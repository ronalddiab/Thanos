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ggy.ridwan\Downloads\"/>
    </mc:Choice>
  </mc:AlternateContent>
  <bookViews>
    <workbookView xWindow="1833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3" l="1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F23" i="3"/>
  <c r="E22" i="3"/>
  <c r="F22" i="3" l="1"/>
  <c r="E21" i="3"/>
  <c r="E20" i="3" l="1"/>
  <c r="E19" i="3"/>
  <c r="F20" i="3"/>
  <c r="F21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F13" i="3"/>
  <c r="E13" i="3"/>
  <c r="E12" i="3"/>
  <c r="FQ11" i="4" l="1"/>
  <c r="FQ12" i="4"/>
  <c r="FQ13" i="4"/>
  <c r="FQ14" i="4"/>
  <c r="FQ15" i="4"/>
  <c r="FQ16" i="4"/>
  <c r="FQ17" i="4"/>
  <c r="FQ18" i="4"/>
  <c r="FQ19" i="4"/>
  <c r="FQ20" i="4"/>
  <c r="FQ21" i="4"/>
  <c r="FQ22" i="4"/>
  <c r="FQ23" i="4"/>
  <c r="FQ24" i="4"/>
  <c r="FQ25" i="4"/>
  <c r="FQ26" i="4"/>
  <c r="FQ27" i="4"/>
  <c r="FQ28" i="4"/>
  <c r="FQ29" i="4"/>
  <c r="FQ30" i="4"/>
  <c r="FQ31" i="4"/>
  <c r="FQ32" i="4"/>
  <c r="FQ33" i="4"/>
  <c r="FQ34" i="4"/>
  <c r="FQ35" i="4"/>
  <c r="FQ36" i="4"/>
  <c r="FQ37" i="4"/>
  <c r="FQ38" i="4"/>
  <c r="FQ39" i="4"/>
  <c r="FQ40" i="4"/>
  <c r="FQ10" i="4"/>
  <c r="FQ9" i="4"/>
  <c r="FO11" i="4"/>
  <c r="FO12" i="4"/>
  <c r="FO13" i="4"/>
  <c r="FO14" i="4"/>
  <c r="FP14" i="4" s="1"/>
  <c r="FO15" i="4"/>
  <c r="FO16" i="4"/>
  <c r="FO17" i="4"/>
  <c r="FO18" i="4"/>
  <c r="FO19" i="4"/>
  <c r="FO20" i="4"/>
  <c r="FP20" i="4" s="1"/>
  <c r="BR12" i="3" s="1"/>
  <c r="FO21" i="4"/>
  <c r="FO22" i="4"/>
  <c r="FO23" i="4"/>
  <c r="FO24" i="4"/>
  <c r="FO25" i="4"/>
  <c r="FO26" i="4"/>
  <c r="FP26" i="4" s="1"/>
  <c r="BR18" i="3" s="1"/>
  <c r="FO27" i="4"/>
  <c r="FO28" i="4"/>
  <c r="FO29" i="4"/>
  <c r="FO30" i="4"/>
  <c r="FO31" i="4"/>
  <c r="FO32" i="4"/>
  <c r="FP32" i="4" s="1"/>
  <c r="FO33" i="4"/>
  <c r="FO34" i="4"/>
  <c r="FO35" i="4"/>
  <c r="FO36" i="4"/>
  <c r="FO37" i="4"/>
  <c r="FP37" i="4" s="1"/>
  <c r="FO38" i="4"/>
  <c r="FP38" i="4" s="1"/>
  <c r="FO39" i="4"/>
  <c r="FO40" i="4"/>
  <c r="FO10" i="4"/>
  <c r="FO9" i="4"/>
  <c r="FE11" i="4"/>
  <c r="FE12" i="4"/>
  <c r="FE13" i="4"/>
  <c r="FE14" i="4"/>
  <c r="FE15" i="4"/>
  <c r="FE16" i="4"/>
  <c r="FE17" i="4"/>
  <c r="FE18" i="4"/>
  <c r="FE19" i="4"/>
  <c r="FE20" i="4"/>
  <c r="FE21" i="4"/>
  <c r="FE22" i="4"/>
  <c r="FE23" i="4"/>
  <c r="FE24" i="4"/>
  <c r="FE25" i="4"/>
  <c r="FE26" i="4"/>
  <c r="FE27" i="4"/>
  <c r="FE28" i="4"/>
  <c r="FE29" i="4"/>
  <c r="FE30" i="4"/>
  <c r="FE31" i="4"/>
  <c r="FE32" i="4"/>
  <c r="FE33" i="4"/>
  <c r="FE34" i="4"/>
  <c r="FE35" i="4"/>
  <c r="FE36" i="4"/>
  <c r="FE37" i="4"/>
  <c r="FE38" i="4"/>
  <c r="FE39" i="4"/>
  <c r="FE40" i="4"/>
  <c r="FE10" i="4"/>
  <c r="FE9" i="4"/>
  <c r="F12" i="3"/>
  <c r="E11" i="3"/>
  <c r="FP31" i="4" l="1"/>
  <c r="FP25" i="4"/>
  <c r="BR17" i="3" s="1"/>
  <c r="FP19" i="4"/>
  <c r="BR11" i="3" s="1"/>
  <c r="FP13" i="4"/>
  <c r="FP40" i="4"/>
  <c r="FP34" i="4"/>
  <c r="FP28" i="4"/>
  <c r="BR20" i="3" s="1"/>
  <c r="FP22" i="4"/>
  <c r="BR14" i="3" s="1"/>
  <c r="FP16" i="4"/>
  <c r="FP36" i="4"/>
  <c r="FP30" i="4"/>
  <c r="FP18" i="4"/>
  <c r="FP12" i="4"/>
  <c r="FP39" i="4"/>
  <c r="FP33" i="4"/>
  <c r="FP27" i="4"/>
  <c r="BR19" i="3" s="1"/>
  <c r="FP21" i="4"/>
  <c r="BR13" i="3" s="1"/>
  <c r="FP15" i="4"/>
  <c r="FP24" i="4"/>
  <c r="BR16" i="3" s="1"/>
  <c r="FP35" i="4"/>
  <c r="FP29" i="4"/>
  <c r="BR21" i="3" s="1"/>
  <c r="FP23" i="4"/>
  <c r="BR15" i="3" s="1"/>
  <c r="FP17" i="4"/>
  <c r="FP11" i="4"/>
  <c r="F11" i="3"/>
  <c r="E10" i="3"/>
  <c r="F10" i="3"/>
  <c r="E9" i="3"/>
  <c r="F9" i="3"/>
  <c r="E8" i="3"/>
  <c r="F8" i="3"/>
  <c r="E7" i="3"/>
  <c r="F6" i="3" l="1"/>
  <c r="F7" i="3"/>
  <c r="E6" i="3"/>
  <c r="E5" i="3"/>
  <c r="F5" i="3" l="1"/>
  <c r="E4" i="3"/>
  <c r="FM10" i="4"/>
  <c r="FM11" i="4"/>
  <c r="FM12" i="4"/>
  <c r="FM13" i="4"/>
  <c r="FM14" i="4"/>
  <c r="FM15" i="4"/>
  <c r="FM16" i="4"/>
  <c r="FM17" i="4"/>
  <c r="FM18" i="4"/>
  <c r="FM19" i="4"/>
  <c r="FM20" i="4"/>
  <c r="FM21" i="4"/>
  <c r="FM22" i="4"/>
  <c r="FM23" i="4"/>
  <c r="FM24" i="4"/>
  <c r="FM25" i="4"/>
  <c r="FM26" i="4"/>
  <c r="FM27" i="4"/>
  <c r="FM28" i="4"/>
  <c r="FM29" i="4"/>
  <c r="FM30" i="4"/>
  <c r="FM31" i="4"/>
  <c r="FM32" i="4"/>
  <c r="FM33" i="4"/>
  <c r="FM34" i="4"/>
  <c r="FM35" i="4"/>
  <c r="FM36" i="4"/>
  <c r="FM37" i="4"/>
  <c r="FM38" i="4"/>
  <c r="FM39" i="4"/>
  <c r="FM40" i="4"/>
  <c r="FM9" i="4"/>
  <c r="FK10" i="4"/>
  <c r="FK11" i="4"/>
  <c r="FL11" i="4" s="1"/>
  <c r="BP3" i="3" s="1"/>
  <c r="FK12" i="4"/>
  <c r="FK13" i="4"/>
  <c r="FK14" i="4"/>
  <c r="FK15" i="4"/>
  <c r="FK16" i="4"/>
  <c r="FK17" i="4"/>
  <c r="FK18" i="4"/>
  <c r="FK19" i="4"/>
  <c r="FK20" i="4"/>
  <c r="FK21" i="4"/>
  <c r="FK22" i="4"/>
  <c r="FK23" i="4"/>
  <c r="FL23" i="4" s="1"/>
  <c r="BP15" i="3" s="1"/>
  <c r="FK24" i="4"/>
  <c r="FK25" i="4"/>
  <c r="FK26" i="4"/>
  <c r="FK27" i="4"/>
  <c r="FK28" i="4"/>
  <c r="FK29" i="4"/>
  <c r="FK30" i="4"/>
  <c r="FK31" i="4"/>
  <c r="FK32" i="4"/>
  <c r="FK33" i="4"/>
  <c r="FK34" i="4"/>
  <c r="FK35" i="4"/>
  <c r="FL35" i="4" s="1"/>
  <c r="FK36" i="4"/>
  <c r="FK37" i="4"/>
  <c r="FK38" i="4"/>
  <c r="FK39" i="4"/>
  <c r="FK40" i="4"/>
  <c r="FK9" i="4"/>
  <c r="FI10" i="4"/>
  <c r="FI11" i="4"/>
  <c r="FI12" i="4"/>
  <c r="FI13" i="4"/>
  <c r="FI14" i="4"/>
  <c r="FI15" i="4"/>
  <c r="FI16" i="4"/>
  <c r="FI17" i="4"/>
  <c r="FI18" i="4"/>
  <c r="FI19" i="4"/>
  <c r="FI20" i="4"/>
  <c r="FI21" i="4"/>
  <c r="FI22" i="4"/>
  <c r="FI23" i="4"/>
  <c r="FI24" i="4"/>
  <c r="FI25" i="4"/>
  <c r="FI26" i="4"/>
  <c r="FI27" i="4"/>
  <c r="FI28" i="4"/>
  <c r="FI29" i="4"/>
  <c r="FI30" i="4"/>
  <c r="FI31" i="4"/>
  <c r="FI32" i="4"/>
  <c r="FI33" i="4"/>
  <c r="FI34" i="4"/>
  <c r="FI35" i="4"/>
  <c r="FI36" i="4"/>
  <c r="FI37" i="4"/>
  <c r="FI38" i="4"/>
  <c r="FI39" i="4"/>
  <c r="FI40" i="4"/>
  <c r="FI9" i="4"/>
  <c r="FG12" i="4"/>
  <c r="FG13" i="4"/>
  <c r="FG14" i="4"/>
  <c r="FG15" i="4"/>
  <c r="FG16" i="4"/>
  <c r="FG17" i="4"/>
  <c r="FG18" i="4"/>
  <c r="FG19" i="4"/>
  <c r="FG20" i="4"/>
  <c r="FG21" i="4"/>
  <c r="FG22" i="4"/>
  <c r="FG23" i="4"/>
  <c r="FG24" i="4"/>
  <c r="FH24" i="4" s="1"/>
  <c r="BN16" i="3" s="1"/>
  <c r="FG25" i="4"/>
  <c r="FG26" i="4"/>
  <c r="FG27" i="4"/>
  <c r="FG28" i="4"/>
  <c r="FG29" i="4"/>
  <c r="FG30" i="4"/>
  <c r="FG31" i="4"/>
  <c r="FG32" i="4"/>
  <c r="FG33" i="4"/>
  <c r="FG34" i="4"/>
  <c r="FG35" i="4"/>
  <c r="FG36" i="4"/>
  <c r="FG37" i="4"/>
  <c r="FG38" i="4"/>
  <c r="FG39" i="4"/>
  <c r="FG40" i="4"/>
  <c r="FG11" i="4"/>
  <c r="FG10" i="4"/>
  <c r="FG9" i="4"/>
  <c r="FH18" i="4"/>
  <c r="BN10" i="3" s="1"/>
  <c r="FH36" i="4" l="1"/>
  <c r="FH30" i="4"/>
  <c r="FJ36" i="4"/>
  <c r="FJ30" i="4"/>
  <c r="FJ24" i="4"/>
  <c r="BO16" i="3" s="1"/>
  <c r="FJ18" i="4"/>
  <c r="BO10" i="3" s="1"/>
  <c r="FJ12" i="4"/>
  <c r="BO4" i="3" s="1"/>
  <c r="FN40" i="4"/>
  <c r="FN34" i="4"/>
  <c r="FN28" i="4"/>
  <c r="BQ20" i="3" s="1"/>
  <c r="FN22" i="4"/>
  <c r="BQ14" i="3" s="1"/>
  <c r="FN16" i="4"/>
  <c r="BQ8" i="3" s="1"/>
  <c r="FH37" i="4"/>
  <c r="FH31" i="4"/>
  <c r="FH25" i="4"/>
  <c r="BN17" i="3" s="1"/>
  <c r="FH19" i="4"/>
  <c r="BN11" i="3" s="1"/>
  <c r="FH13" i="4"/>
  <c r="BN5" i="3" s="1"/>
  <c r="FJ37" i="4"/>
  <c r="FJ19" i="4"/>
  <c r="BO11" i="3" s="1"/>
  <c r="FL39" i="4"/>
  <c r="FL33" i="4"/>
  <c r="FL21" i="4"/>
  <c r="BP13" i="3" s="1"/>
  <c r="FN9" i="4"/>
  <c r="BQ2" i="3" s="1"/>
  <c r="FN35" i="4"/>
  <c r="FN29" i="4"/>
  <c r="BQ21" i="3" s="1"/>
  <c r="FN23" i="4"/>
  <c r="BQ15" i="3" s="1"/>
  <c r="FN17" i="4"/>
  <c r="BQ9" i="3" s="1"/>
  <c r="FN11" i="4"/>
  <c r="BQ3" i="3" s="1"/>
  <c r="FL36" i="4"/>
  <c r="FL30" i="4"/>
  <c r="FL24" i="4"/>
  <c r="BP16" i="3" s="1"/>
  <c r="FL18" i="4"/>
  <c r="BP10" i="3" s="1"/>
  <c r="FL12" i="4"/>
  <c r="BP4" i="3" s="1"/>
  <c r="FL29" i="4"/>
  <c r="BP21" i="3" s="1"/>
  <c r="FL17" i="4"/>
  <c r="BP9" i="3" s="1"/>
  <c r="FL40" i="4"/>
  <c r="FJ35" i="4"/>
  <c r="FJ32" i="4"/>
  <c r="FJ29" i="4"/>
  <c r="BO21" i="3" s="1"/>
  <c r="FJ26" i="4"/>
  <c r="BO18" i="3" s="1"/>
  <c r="FJ23" i="4"/>
  <c r="BO15" i="3" s="1"/>
  <c r="FJ17" i="4"/>
  <c r="BO9" i="3" s="1"/>
  <c r="FJ14" i="4"/>
  <c r="BO6" i="3" s="1"/>
  <c r="FJ9" i="4"/>
  <c r="BO2" i="3" s="1"/>
  <c r="FL32" i="4"/>
  <c r="FL28" i="4"/>
  <c r="BP20" i="3" s="1"/>
  <c r="FL20" i="4"/>
  <c r="BP12" i="3" s="1"/>
  <c r="FL16" i="4"/>
  <c r="BP8" i="3" s="1"/>
  <c r="FL14" i="4"/>
  <c r="BP6" i="3" s="1"/>
  <c r="FJ25" i="4"/>
  <c r="BO17" i="3" s="1"/>
  <c r="FL27" i="4"/>
  <c r="BP19" i="3" s="1"/>
  <c r="FJ13" i="4"/>
  <c r="BO5" i="3" s="1"/>
  <c r="FH35" i="4"/>
  <c r="FH29" i="4"/>
  <c r="BN21" i="3" s="1"/>
  <c r="FH23" i="4"/>
  <c r="BN15" i="3" s="1"/>
  <c r="FH17" i="4"/>
  <c r="BN9" i="3" s="1"/>
  <c r="FL38" i="4"/>
  <c r="FL26" i="4"/>
  <c r="BP18" i="3" s="1"/>
  <c r="FL15" i="4"/>
  <c r="BP7" i="3" s="1"/>
  <c r="FJ31" i="4"/>
  <c r="FH40" i="4"/>
  <c r="FH34" i="4"/>
  <c r="FH28" i="4"/>
  <c r="BN20" i="3" s="1"/>
  <c r="FH22" i="4"/>
  <c r="BN14" i="3" s="1"/>
  <c r="FH16" i="4"/>
  <c r="BN8" i="3" s="1"/>
  <c r="FH38" i="4"/>
  <c r="FH32" i="4"/>
  <c r="FH26" i="4"/>
  <c r="BN18" i="3" s="1"/>
  <c r="FH20" i="4"/>
  <c r="BN12" i="3" s="1"/>
  <c r="FH14" i="4"/>
  <c r="BN6" i="3" s="1"/>
  <c r="FJ38" i="4"/>
  <c r="FJ20" i="4"/>
  <c r="BO12" i="3" s="1"/>
  <c r="FL34" i="4"/>
  <c r="FL22" i="4"/>
  <c r="BP14" i="3" s="1"/>
  <c r="FL9" i="4"/>
  <c r="BP2" i="3" s="1"/>
  <c r="FN36" i="4"/>
  <c r="FN30" i="4"/>
  <c r="FN24" i="4"/>
  <c r="BQ16" i="3" s="1"/>
  <c r="FN18" i="4"/>
  <c r="BQ10" i="3" s="1"/>
  <c r="FN12" i="4"/>
  <c r="BQ4" i="3" s="1"/>
  <c r="FJ40" i="4"/>
  <c r="FJ34" i="4"/>
  <c r="FJ28" i="4"/>
  <c r="BO20" i="3" s="1"/>
  <c r="FJ16" i="4"/>
  <c r="BO8" i="3" s="1"/>
  <c r="FJ11" i="4"/>
  <c r="BO3" i="3" s="1"/>
  <c r="FJ22" i="4"/>
  <c r="BO14" i="3" s="1"/>
  <c r="FN38" i="4"/>
  <c r="FN39" i="4"/>
  <c r="FN33" i="4"/>
  <c r="FN27" i="4"/>
  <c r="BQ19" i="3" s="1"/>
  <c r="FN21" i="4"/>
  <c r="BQ13" i="3" s="1"/>
  <c r="FN15" i="4"/>
  <c r="BQ7" i="3" s="1"/>
  <c r="FN32" i="4"/>
  <c r="FN26" i="4"/>
  <c r="BQ18" i="3" s="1"/>
  <c r="FN20" i="4"/>
  <c r="BQ12" i="3" s="1"/>
  <c r="FN14" i="4"/>
  <c r="BQ6" i="3" s="1"/>
  <c r="FN13" i="4"/>
  <c r="BQ5" i="3" s="1"/>
  <c r="FN19" i="4"/>
  <c r="BQ11" i="3" s="1"/>
  <c r="FN25" i="4"/>
  <c r="BQ17" i="3" s="1"/>
  <c r="FN31" i="4"/>
  <c r="FN37" i="4"/>
  <c r="FL13" i="4"/>
  <c r="BP5" i="3" s="1"/>
  <c r="FL19" i="4"/>
  <c r="BP11" i="3" s="1"/>
  <c r="FL25" i="4"/>
  <c r="BP17" i="3" s="1"/>
  <c r="FL31" i="4"/>
  <c r="FL37" i="4"/>
  <c r="FJ15" i="4"/>
  <c r="BO7" i="3" s="1"/>
  <c r="FJ21" i="4"/>
  <c r="BO13" i="3" s="1"/>
  <c r="FJ27" i="4"/>
  <c r="BO19" i="3" s="1"/>
  <c r="FJ33" i="4"/>
  <c r="FJ39" i="4"/>
  <c r="FH15" i="4"/>
  <c r="BN7" i="3" s="1"/>
  <c r="FH21" i="4"/>
  <c r="BN13" i="3" s="1"/>
  <c r="FH27" i="4"/>
  <c r="BN19" i="3" s="1"/>
  <c r="FH33" i="4"/>
  <c r="FH39" i="4"/>
  <c r="FH12" i="4"/>
  <c r="BN4" i="3" s="1"/>
  <c r="FH11" i="4"/>
  <c r="BN3" i="3" s="1"/>
  <c r="FH9" i="4"/>
  <c r="BN2" i="3" s="1"/>
  <c r="I22" i="1"/>
  <c r="I23" i="1"/>
  <c r="I24" i="1"/>
  <c r="I25" i="1"/>
  <c r="I26" i="1"/>
  <c r="I27" i="1"/>
  <c r="I28" i="1"/>
  <c r="I29" i="1"/>
  <c r="I30" i="1"/>
  <c r="I31" i="1"/>
  <c r="I32" i="1"/>
  <c r="E22" i="1"/>
  <c r="E23" i="1"/>
  <c r="E24" i="1"/>
  <c r="E25" i="1"/>
  <c r="E26" i="1"/>
  <c r="E27" i="1"/>
  <c r="E28" i="1"/>
  <c r="E29" i="1"/>
  <c r="E30" i="1"/>
  <c r="E31" i="1"/>
  <c r="E32" i="1"/>
  <c r="I3" i="3"/>
  <c r="J3" i="3"/>
  <c r="F4" i="3"/>
  <c r="F3" i="3"/>
  <c r="E3" i="3"/>
  <c r="F2" i="3"/>
  <c r="E2" i="3"/>
  <c r="FR15" i="4" l="1"/>
  <c r="BS7" i="3" s="1"/>
  <c r="FR16" i="4"/>
  <c r="BS8" i="3" s="1"/>
  <c r="FR21" i="4"/>
  <c r="BS13" i="3" s="1"/>
  <c r="FR22" i="4"/>
  <c r="BS14" i="3" s="1"/>
  <c r="FR27" i="4"/>
  <c r="BS19" i="3" s="1"/>
  <c r="FR28" i="4"/>
  <c r="BS20" i="3" s="1"/>
  <c r="FR33" i="4"/>
  <c r="FR34" i="4"/>
  <c r="FR39" i="4"/>
  <c r="FR40" i="4"/>
  <c r="BR4" i="3"/>
  <c r="BR5" i="3"/>
  <c r="BR6" i="3"/>
  <c r="BR7" i="3"/>
  <c r="BR8" i="3"/>
  <c r="BR9" i="3"/>
  <c r="BR10" i="3"/>
  <c r="FF12" i="4"/>
  <c r="BM4" i="3" s="1"/>
  <c r="FF17" i="4"/>
  <c r="BM9" i="3" s="1"/>
  <c r="FF18" i="4"/>
  <c r="BM10" i="3" s="1"/>
  <c r="FF23" i="4"/>
  <c r="BM15" i="3" s="1"/>
  <c r="FF24" i="4"/>
  <c r="BM16" i="3" s="1"/>
  <c r="FF29" i="4"/>
  <c r="BM21" i="3" s="1"/>
  <c r="FF30" i="4"/>
  <c r="FF35" i="4"/>
  <c r="FF36" i="4"/>
  <c r="FR38" i="4" l="1"/>
  <c r="FR26" i="4"/>
  <c r="BS18" i="3" s="1"/>
  <c r="FF38" i="4"/>
  <c r="FF32" i="4"/>
  <c r="FF26" i="4"/>
  <c r="BM18" i="3" s="1"/>
  <c r="FF20" i="4"/>
  <c r="BM12" i="3" s="1"/>
  <c r="FF14" i="4"/>
  <c r="BM6" i="3" s="1"/>
  <c r="FR36" i="4"/>
  <c r="FR30" i="4"/>
  <c r="FR24" i="4"/>
  <c r="BS16" i="3" s="1"/>
  <c r="FR18" i="4"/>
  <c r="BS10" i="3" s="1"/>
  <c r="FR12" i="4"/>
  <c r="BS4" i="3" s="1"/>
  <c r="FF39" i="4"/>
  <c r="FF33" i="4"/>
  <c r="FF27" i="4"/>
  <c r="BM19" i="3" s="1"/>
  <c r="FF21" i="4"/>
  <c r="BM13" i="3" s="1"/>
  <c r="FF15" i="4"/>
  <c r="BM7" i="3" s="1"/>
  <c r="FR31" i="4"/>
  <c r="FR19" i="4"/>
  <c r="BS11" i="3" s="1"/>
  <c r="FR14" i="4"/>
  <c r="BS6" i="3" s="1"/>
  <c r="FF11" i="4"/>
  <c r="FF37" i="4"/>
  <c r="FF31" i="4"/>
  <c r="FF25" i="4"/>
  <c r="BM17" i="3" s="1"/>
  <c r="FF19" i="4"/>
  <c r="BM11" i="3" s="1"/>
  <c r="FF13" i="4"/>
  <c r="BM5" i="3" s="1"/>
  <c r="FR35" i="4"/>
  <c r="FR29" i="4"/>
  <c r="BS21" i="3" s="1"/>
  <c r="FR23" i="4"/>
  <c r="BS15" i="3" s="1"/>
  <c r="FR17" i="4"/>
  <c r="BS9" i="3" s="1"/>
  <c r="FR11" i="4"/>
  <c r="BS3" i="3" s="1"/>
  <c r="FF40" i="4"/>
  <c r="FF28" i="4"/>
  <c r="BM20" i="3" s="1"/>
  <c r="FF16" i="4"/>
  <c r="BM8" i="3" s="1"/>
  <c r="FR32" i="4"/>
  <c r="FR20" i="4"/>
  <c r="BS12" i="3" s="1"/>
  <c r="FR37" i="4"/>
  <c r="FR25" i="4"/>
  <c r="BS17" i="3" s="1"/>
  <c r="FR13" i="4"/>
  <c r="BS5" i="3" s="1"/>
  <c r="FF34" i="4"/>
  <c r="FF22" i="4"/>
  <c r="BM14" i="3" s="1"/>
  <c r="FR9" i="4"/>
  <c r="BS2" i="3" s="1"/>
  <c r="G22" i="1"/>
  <c r="G23" i="1"/>
  <c r="G24" i="1"/>
  <c r="G25" i="1"/>
  <c r="G26" i="1"/>
  <c r="G27" i="1"/>
  <c r="G28" i="1"/>
  <c r="G29" i="1"/>
  <c r="G30" i="1"/>
  <c r="G31" i="1"/>
  <c r="G32" i="1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BI21" i="3" s="1"/>
  <c r="EY29" i="4"/>
  <c r="EX29" i="4"/>
  <c r="EW29" i="4"/>
  <c r="EV29" i="4"/>
  <c r="EU29" i="4"/>
  <c r="ET29" i="4"/>
  <c r="BG21" i="3" s="1"/>
  <c r="ER29" i="4"/>
  <c r="EQ29" i="4"/>
  <c r="EP29" i="4"/>
  <c r="EO29" i="4"/>
  <c r="EN29" i="4"/>
  <c r="EM29" i="4"/>
  <c r="BE21" i="3" s="1"/>
  <c r="EL29" i="4"/>
  <c r="EK29" i="4"/>
  <c r="EJ29" i="4"/>
  <c r="EI29" i="4"/>
  <c r="EH29" i="4"/>
  <c r="EG29" i="4"/>
  <c r="BA21" i="3" s="1"/>
  <c r="EE29" i="4"/>
  <c r="ED29" i="4"/>
  <c r="EC29" i="4"/>
  <c r="EB29" i="4"/>
  <c r="EA29" i="4"/>
  <c r="DZ29" i="4"/>
  <c r="AX21" i="3" s="1"/>
  <c r="DY29" i="4"/>
  <c r="DX29" i="4"/>
  <c r="DW29" i="4"/>
  <c r="DV29" i="4"/>
  <c r="DU29" i="4"/>
  <c r="DT29" i="4"/>
  <c r="AU21" i="3" s="1"/>
  <c r="DR29" i="4"/>
  <c r="DQ29" i="4"/>
  <c r="DP29" i="4"/>
  <c r="DO29" i="4"/>
  <c r="DN29" i="4"/>
  <c r="DM29" i="4"/>
  <c r="AS21" i="3" s="1"/>
  <c r="DL29" i="4"/>
  <c r="DK29" i="4"/>
  <c r="DJ29" i="4"/>
  <c r="DI29" i="4"/>
  <c r="DH29" i="4"/>
  <c r="DG29" i="4"/>
  <c r="AN21" i="3" s="1"/>
  <c r="DF29" i="4"/>
  <c r="DE29" i="4"/>
  <c r="DD29" i="4"/>
  <c r="DC29" i="4"/>
  <c r="DB29" i="4"/>
  <c r="DA29" i="4"/>
  <c r="AM21" i="3" s="1"/>
  <c r="CZ29" i="4"/>
  <c r="CY29" i="4"/>
  <c r="CX29" i="4"/>
  <c r="CW29" i="4"/>
  <c r="CU29" i="4"/>
  <c r="CT29" i="4"/>
  <c r="AC21" i="3" s="1"/>
  <c r="CS29" i="4"/>
  <c r="CR29" i="4"/>
  <c r="CQ29" i="4"/>
  <c r="CP29" i="4"/>
  <c r="CO29" i="4"/>
  <c r="CN29" i="4"/>
  <c r="AA21" i="3" s="1"/>
  <c r="CM29" i="4"/>
  <c r="CL29" i="4"/>
  <c r="CK29" i="4"/>
  <c r="CJ29" i="4"/>
  <c r="CI29" i="4"/>
  <c r="AI21" i="3" s="1"/>
  <c r="CH29" i="4"/>
  <c r="CG29" i="4"/>
  <c r="CF29" i="4"/>
  <c r="CE29" i="4"/>
  <c r="CD29" i="4"/>
  <c r="CC29" i="4"/>
  <c r="AF21" i="3" s="1"/>
  <c r="CB29" i="4"/>
  <c r="CA29" i="4"/>
  <c r="BZ29" i="4"/>
  <c r="BY29" i="4"/>
  <c r="BX29" i="4"/>
  <c r="BW29" i="4"/>
  <c r="BV29" i="4"/>
  <c r="BT29" i="4"/>
  <c r="BS29" i="4"/>
  <c r="BH29" i="4"/>
  <c r="BG29" i="4"/>
  <c r="BF29" i="4"/>
  <c r="Y21" i="3" s="1"/>
  <c r="BE29" i="4"/>
  <c r="BD29" i="4"/>
  <c r="BC29" i="4"/>
  <c r="BB29" i="4"/>
  <c r="BA29" i="4"/>
  <c r="AZ29" i="4"/>
  <c r="W21" i="3" s="1"/>
  <c r="AX29" i="4"/>
  <c r="AW29" i="4"/>
  <c r="AV29" i="4"/>
  <c r="AU29" i="4"/>
  <c r="AT29" i="4"/>
  <c r="AS29" i="4"/>
  <c r="U21" i="3" s="1"/>
  <c r="AR29" i="4"/>
  <c r="AQ29" i="4"/>
  <c r="AP29" i="4"/>
  <c r="AO29" i="4"/>
  <c r="AN29" i="4"/>
  <c r="AM29" i="4"/>
  <c r="S21" i="3" s="1"/>
  <c r="AL29" i="4"/>
  <c r="AK29" i="4"/>
  <c r="AJ29" i="4"/>
  <c r="AI29" i="4"/>
  <c r="AH29" i="4"/>
  <c r="AG29" i="4"/>
  <c r="Q21" i="3" s="1"/>
  <c r="AF29" i="4"/>
  <c r="AE29" i="4"/>
  <c r="AD29" i="4"/>
  <c r="AC29" i="4"/>
  <c r="AB29" i="4"/>
  <c r="AA29" i="4"/>
  <c r="O21" i="3" s="1"/>
  <c r="Z29" i="4"/>
  <c r="Y29" i="4"/>
  <c r="X29" i="4"/>
  <c r="W29" i="4"/>
  <c r="V29" i="4"/>
  <c r="U29" i="4"/>
  <c r="M21" i="3" s="1"/>
  <c r="S29" i="4"/>
  <c r="R29" i="4"/>
  <c r="Q29" i="4"/>
  <c r="P29" i="4"/>
  <c r="O29" i="4"/>
  <c r="N29" i="4"/>
  <c r="M29" i="4"/>
  <c r="L29" i="4"/>
  <c r="K29" i="4"/>
  <c r="J29" i="4"/>
  <c r="BL21" i="3" s="1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J21" i="3" s="1"/>
  <c r="M28" i="4"/>
  <c r="L28" i="4"/>
  <c r="I21" i="3" s="1"/>
  <c r="K28" i="4"/>
  <c r="J28" i="4"/>
  <c r="BL20" i="3" s="1"/>
  <c r="I28" i="4"/>
  <c r="H28" i="4"/>
  <c r="G28" i="4"/>
  <c r="F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J20" i="3" s="1"/>
  <c r="M27" i="4"/>
  <c r="L27" i="4"/>
  <c r="I20" i="3" s="1"/>
  <c r="K27" i="4"/>
  <c r="J27" i="4"/>
  <c r="BL19" i="3" s="1"/>
  <c r="I27" i="4"/>
  <c r="H27" i="4"/>
  <c r="G27" i="4"/>
  <c r="F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J19" i="3" s="1"/>
  <c r="M26" i="4"/>
  <c r="L26" i="4"/>
  <c r="I19" i="3" s="1"/>
  <c r="K26" i="4"/>
  <c r="J26" i="4"/>
  <c r="BL18" i="3" s="1"/>
  <c r="I26" i="4"/>
  <c r="H26" i="4"/>
  <c r="G26" i="4"/>
  <c r="F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J18" i="3" s="1"/>
  <c r="M25" i="4"/>
  <c r="L25" i="4"/>
  <c r="I18" i="3" s="1"/>
  <c r="K25" i="4"/>
  <c r="J25" i="4"/>
  <c r="BL17" i="3" s="1"/>
  <c r="I25" i="4"/>
  <c r="H25" i="4"/>
  <c r="G25" i="4"/>
  <c r="F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J17" i="3" s="1"/>
  <c r="M24" i="4"/>
  <c r="L24" i="4"/>
  <c r="I17" i="3" s="1"/>
  <c r="K24" i="4"/>
  <c r="J24" i="4"/>
  <c r="BL16" i="3" s="1"/>
  <c r="I24" i="4"/>
  <c r="H24" i="4"/>
  <c r="G24" i="4"/>
  <c r="F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J16" i="3" s="1"/>
  <c r="M23" i="4"/>
  <c r="L23" i="4"/>
  <c r="I16" i="3" s="1"/>
  <c r="K23" i="4"/>
  <c r="J23" i="4"/>
  <c r="BL15" i="3" s="1"/>
  <c r="I23" i="4"/>
  <c r="H23" i="4"/>
  <c r="G23" i="4"/>
  <c r="F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J15" i="3" s="1"/>
  <c r="M22" i="4"/>
  <c r="L22" i="4"/>
  <c r="I15" i="3" s="1"/>
  <c r="K22" i="4"/>
  <c r="J22" i="4"/>
  <c r="BL14" i="3" s="1"/>
  <c r="I22" i="4"/>
  <c r="H22" i="4"/>
  <c r="G22" i="4"/>
  <c r="F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J14" i="3" s="1"/>
  <c r="M21" i="4"/>
  <c r="L21" i="4"/>
  <c r="I14" i="3" s="1"/>
  <c r="K21" i="4"/>
  <c r="J21" i="4"/>
  <c r="BL13" i="3" s="1"/>
  <c r="I21" i="4"/>
  <c r="H21" i="4"/>
  <c r="G21" i="4"/>
  <c r="F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J13" i="3" s="1"/>
  <c r="M20" i="4"/>
  <c r="L20" i="4"/>
  <c r="I13" i="3" s="1"/>
  <c r="K20" i="4"/>
  <c r="J20" i="4"/>
  <c r="BL12" i="3" s="1"/>
  <c r="I20" i="4"/>
  <c r="H20" i="4"/>
  <c r="G20" i="4"/>
  <c r="F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J12" i="3" s="1"/>
  <c r="M19" i="4"/>
  <c r="L19" i="4"/>
  <c r="I12" i="3" s="1"/>
  <c r="K19" i="4"/>
  <c r="J19" i="4"/>
  <c r="BL11" i="3" s="1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J11" i="3" s="1"/>
  <c r="M18" i="4"/>
  <c r="L18" i="4"/>
  <c r="I11" i="3" s="1"/>
  <c r="K18" i="4"/>
  <c r="J18" i="4"/>
  <c r="BL10" i="3" s="1"/>
  <c r="I18" i="4"/>
  <c r="H18" i="4"/>
  <c r="G18" i="4"/>
  <c r="F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J10" i="3" s="1"/>
  <c r="M17" i="4"/>
  <c r="L17" i="4"/>
  <c r="I10" i="3" s="1"/>
  <c r="K17" i="4"/>
  <c r="J17" i="4"/>
  <c r="BL9" i="3" s="1"/>
  <c r="I17" i="4"/>
  <c r="H17" i="4"/>
  <c r="G17" i="4"/>
  <c r="F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J9" i="3" s="1"/>
  <c r="M16" i="4"/>
  <c r="L16" i="4"/>
  <c r="I9" i="3" s="1"/>
  <c r="K16" i="4"/>
  <c r="J16" i="4"/>
  <c r="BL8" i="3" s="1"/>
  <c r="I16" i="4"/>
  <c r="H16" i="4"/>
  <c r="G16" i="4"/>
  <c r="F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J8" i="3" s="1"/>
  <c r="M15" i="4"/>
  <c r="L15" i="4"/>
  <c r="I8" i="3" s="1"/>
  <c r="K15" i="4"/>
  <c r="J15" i="4"/>
  <c r="BL7" i="3" s="1"/>
  <c r="I15" i="4"/>
  <c r="H15" i="4"/>
  <c r="G15" i="4"/>
  <c r="F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J7" i="3" s="1"/>
  <c r="M14" i="4"/>
  <c r="L14" i="4"/>
  <c r="I7" i="3" s="1"/>
  <c r="K14" i="4"/>
  <c r="J14" i="4"/>
  <c r="BL6" i="3" s="1"/>
  <c r="I14" i="4"/>
  <c r="H14" i="4"/>
  <c r="G14" i="4"/>
  <c r="F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J6" i="3" s="1"/>
  <c r="M13" i="4"/>
  <c r="L13" i="4"/>
  <c r="I6" i="3" s="1"/>
  <c r="K13" i="4"/>
  <c r="J13" i="4"/>
  <c r="BL5" i="3" s="1"/>
  <c r="I13" i="4"/>
  <c r="H13" i="4"/>
  <c r="G13" i="4"/>
  <c r="F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J5" i="3" s="1"/>
  <c r="M12" i="4"/>
  <c r="L12" i="4"/>
  <c r="I5" i="3" s="1"/>
  <c r="K12" i="4"/>
  <c r="J12" i="4"/>
  <c r="BL4" i="3" s="1"/>
  <c r="I12" i="4"/>
  <c r="H12" i="4"/>
  <c r="G12" i="4"/>
  <c r="F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J4" i="3" s="1"/>
  <c r="M11" i="4"/>
  <c r="L11" i="4"/>
  <c r="I4" i="3" s="1"/>
  <c r="K11" i="4"/>
  <c r="J11" i="4"/>
  <c r="BL3" i="3" s="1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B9" i="4"/>
  <c r="C9" i="4"/>
  <c r="H17" i="3" l="1"/>
  <c r="L17" i="3"/>
  <c r="AE17" i="3"/>
  <c r="AH17" i="3"/>
  <c r="G18" i="3"/>
  <c r="AD18" i="3"/>
  <c r="AG18" i="3"/>
  <c r="Z18" i="3"/>
  <c r="AB18" i="3"/>
  <c r="M19" i="3"/>
  <c r="O19" i="3"/>
  <c r="Q19" i="3"/>
  <c r="S19" i="3"/>
  <c r="U19" i="3"/>
  <c r="W19" i="3"/>
  <c r="Y19" i="3"/>
  <c r="AF19" i="3"/>
  <c r="AI19" i="3"/>
  <c r="H20" i="3"/>
  <c r="L20" i="3"/>
  <c r="AE20" i="3"/>
  <c r="AH20" i="3"/>
  <c r="G21" i="3"/>
  <c r="I21" i="1" s="1"/>
  <c r="K21" i="3"/>
  <c r="AK21" i="3"/>
  <c r="AL21" i="3"/>
  <c r="AQ21" i="3"/>
  <c r="AR21" i="3"/>
  <c r="AV21" i="3"/>
  <c r="AY21" i="3"/>
  <c r="BB21" i="3"/>
  <c r="BF21" i="3"/>
  <c r="BH21" i="3"/>
  <c r="BK21" i="3"/>
  <c r="AD21" i="3"/>
  <c r="AG21" i="3"/>
  <c r="Z21" i="3"/>
  <c r="AB21" i="3"/>
  <c r="N21" i="3"/>
  <c r="E21" i="1" s="1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H21" i="3"/>
  <c r="L21" i="3"/>
  <c r="AE21" i="3"/>
  <c r="AH21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K19" i="3"/>
  <c r="AK19" i="3"/>
  <c r="AL19" i="3"/>
  <c r="AQ19" i="3"/>
  <c r="AR19" i="3"/>
  <c r="AV19" i="3"/>
  <c r="AY19" i="3"/>
  <c r="BB19" i="3"/>
  <c r="BF19" i="3"/>
  <c r="BH19" i="3"/>
  <c r="BK19" i="3"/>
  <c r="AA20" i="3"/>
  <c r="AC20" i="3"/>
  <c r="AM20" i="3"/>
  <c r="AN20" i="3"/>
  <c r="AS20" i="3"/>
  <c r="AU20" i="3"/>
  <c r="AX20" i="3"/>
  <c r="BA20" i="3"/>
  <c r="BE20" i="3"/>
  <c r="BG20" i="3"/>
  <c r="BI20" i="3"/>
  <c r="G19" i="3"/>
  <c r="AD19" i="3"/>
  <c r="AG19" i="3"/>
  <c r="Z19" i="3"/>
  <c r="AB19" i="3"/>
  <c r="M20" i="3"/>
  <c r="O20" i="3"/>
  <c r="Q20" i="3"/>
  <c r="S20" i="3"/>
  <c r="U20" i="3"/>
  <c r="W20" i="3"/>
  <c r="Y20" i="3"/>
  <c r="AF20" i="3"/>
  <c r="AI20" i="3"/>
  <c r="N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K20" i="3"/>
  <c r="AK20" i="3"/>
  <c r="AL20" i="3"/>
  <c r="AQ20" i="3"/>
  <c r="AR20" i="3"/>
  <c r="AV20" i="3"/>
  <c r="AY20" i="3"/>
  <c r="BB20" i="3"/>
  <c r="BF20" i="3"/>
  <c r="BH20" i="3"/>
  <c r="BK20" i="3"/>
  <c r="H19" i="3"/>
  <c r="L19" i="3"/>
  <c r="AE19" i="3"/>
  <c r="AH19" i="3"/>
  <c r="G20" i="3"/>
  <c r="AD20" i="3"/>
  <c r="AG20" i="3"/>
  <c r="Z20" i="3"/>
  <c r="AB20" i="3"/>
  <c r="AA19" i="3"/>
  <c r="AC19" i="3"/>
  <c r="AM19" i="3"/>
  <c r="AN19" i="3"/>
  <c r="AS19" i="3"/>
  <c r="AU19" i="3"/>
  <c r="AX19" i="3"/>
  <c r="BA19" i="3"/>
  <c r="BE19" i="3"/>
  <c r="BG19" i="3"/>
  <c r="BI19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M17" i="3"/>
  <c r="O17" i="3"/>
  <c r="Q17" i="3"/>
  <c r="S17" i="3"/>
  <c r="U17" i="3"/>
  <c r="W17" i="3"/>
  <c r="Y17" i="3"/>
  <c r="AF17" i="3"/>
  <c r="AI17" i="3"/>
  <c r="H18" i="3"/>
  <c r="L18" i="3"/>
  <c r="AE18" i="3"/>
  <c r="AH18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K17" i="3"/>
  <c r="AK17" i="3"/>
  <c r="AL17" i="3"/>
  <c r="AQ17" i="3"/>
  <c r="AR17" i="3"/>
  <c r="AV17" i="3"/>
  <c r="AY17" i="3"/>
  <c r="BB17" i="3"/>
  <c r="BF17" i="3"/>
  <c r="BH17" i="3"/>
  <c r="BK17" i="3"/>
  <c r="AA18" i="3"/>
  <c r="AC18" i="3"/>
  <c r="AM18" i="3"/>
  <c r="AN18" i="3"/>
  <c r="AS18" i="3"/>
  <c r="AU18" i="3"/>
  <c r="AX18" i="3"/>
  <c r="BA18" i="3"/>
  <c r="BE18" i="3"/>
  <c r="BG18" i="3"/>
  <c r="BI18" i="3"/>
  <c r="M18" i="3"/>
  <c r="O18" i="3"/>
  <c r="Q18" i="3"/>
  <c r="S18" i="3"/>
  <c r="U18" i="3"/>
  <c r="W18" i="3"/>
  <c r="Y18" i="3"/>
  <c r="AF18" i="3"/>
  <c r="AI18" i="3"/>
  <c r="K18" i="3"/>
  <c r="AK18" i="3"/>
  <c r="AL18" i="3"/>
  <c r="AQ18" i="3"/>
  <c r="AR18" i="3"/>
  <c r="AV18" i="3"/>
  <c r="AY18" i="3"/>
  <c r="BB18" i="3"/>
  <c r="BF18" i="3"/>
  <c r="BH18" i="3"/>
  <c r="BK18" i="3"/>
  <c r="G17" i="3"/>
  <c r="AD17" i="3"/>
  <c r="AG17" i="3"/>
  <c r="Z17" i="3"/>
  <c r="AB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K16" i="3"/>
  <c r="AK16" i="3"/>
  <c r="AL16" i="3"/>
  <c r="AQ16" i="3"/>
  <c r="AR16" i="3"/>
  <c r="AV16" i="3"/>
  <c r="AY16" i="3"/>
  <c r="BB16" i="3"/>
  <c r="BF16" i="3"/>
  <c r="BH16" i="3"/>
  <c r="BK16" i="3"/>
  <c r="AA17" i="3"/>
  <c r="AC17" i="3"/>
  <c r="AM17" i="3"/>
  <c r="AN17" i="3"/>
  <c r="AS17" i="3"/>
  <c r="AU17" i="3"/>
  <c r="AX17" i="3"/>
  <c r="BA17" i="3"/>
  <c r="BE17" i="3"/>
  <c r="BG17" i="3"/>
  <c r="BI17" i="3"/>
  <c r="M15" i="3"/>
  <c r="O15" i="3"/>
  <c r="Q15" i="3"/>
  <c r="S15" i="3"/>
  <c r="U15" i="3"/>
  <c r="W15" i="3"/>
  <c r="Y15" i="3"/>
  <c r="AF15" i="3"/>
  <c r="AI15" i="3"/>
  <c r="H16" i="3"/>
  <c r="L16" i="3"/>
  <c r="AE16" i="3"/>
  <c r="AH16" i="3"/>
  <c r="AA16" i="3"/>
  <c r="AC16" i="3"/>
  <c r="AM16" i="3"/>
  <c r="AN16" i="3"/>
  <c r="AS16" i="3"/>
  <c r="AU16" i="3"/>
  <c r="AX16" i="3"/>
  <c r="BA16" i="3"/>
  <c r="BE16" i="3"/>
  <c r="BG16" i="3"/>
  <c r="BI16" i="3"/>
  <c r="G15" i="3"/>
  <c r="AD15" i="3"/>
  <c r="AG15" i="3"/>
  <c r="Z15" i="3"/>
  <c r="AB15" i="3"/>
  <c r="M16" i="3"/>
  <c r="O16" i="3"/>
  <c r="Q16" i="3"/>
  <c r="S16" i="3"/>
  <c r="U16" i="3"/>
  <c r="W16" i="3"/>
  <c r="Y16" i="3"/>
  <c r="AF16" i="3"/>
  <c r="AI16" i="3"/>
  <c r="G16" i="3"/>
  <c r="AD16" i="3"/>
  <c r="AG16" i="3"/>
  <c r="Z16" i="3"/>
  <c r="AB16" i="3"/>
  <c r="N13" i="3"/>
  <c r="P13" i="3"/>
  <c r="R13" i="3"/>
  <c r="T13" i="3"/>
  <c r="V13" i="3"/>
  <c r="X13" i="3"/>
  <c r="AJ13" i="3"/>
  <c r="AO13" i="3"/>
  <c r="AP13" i="3"/>
  <c r="AT13" i="3"/>
  <c r="G14" i="3"/>
  <c r="AD14" i="3"/>
  <c r="AG14" i="3"/>
  <c r="Z14" i="3"/>
  <c r="AB14" i="3"/>
  <c r="AW14" i="3"/>
  <c r="AZ14" i="3"/>
  <c r="BD14" i="3"/>
  <c r="BC14" i="3"/>
  <c r="BJ14" i="3"/>
  <c r="K15" i="3"/>
  <c r="AK15" i="3"/>
  <c r="AL15" i="3"/>
  <c r="AQ15" i="3"/>
  <c r="AR15" i="3"/>
  <c r="AV15" i="3"/>
  <c r="AY15" i="3"/>
  <c r="BB15" i="3"/>
  <c r="BF15" i="3"/>
  <c r="BH15" i="3"/>
  <c r="BK15" i="3"/>
  <c r="N15" i="3"/>
  <c r="P15" i="3"/>
  <c r="R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H15" i="3"/>
  <c r="L15" i="3"/>
  <c r="AE15" i="3"/>
  <c r="AH15" i="3"/>
  <c r="AA15" i="3"/>
  <c r="AC15" i="3"/>
  <c r="AM15" i="3"/>
  <c r="AN15" i="3"/>
  <c r="AS15" i="3"/>
  <c r="AU15" i="3"/>
  <c r="AX15" i="3"/>
  <c r="BA15" i="3"/>
  <c r="BE15" i="3"/>
  <c r="BG15" i="3"/>
  <c r="BI15" i="3"/>
  <c r="H13" i="3"/>
  <c r="L13" i="3"/>
  <c r="AE13" i="3"/>
  <c r="AH13" i="3"/>
  <c r="AX13" i="3"/>
  <c r="BA13" i="3"/>
  <c r="BE13" i="3"/>
  <c r="BG13" i="3"/>
  <c r="BI13" i="3"/>
  <c r="N14" i="3"/>
  <c r="P14" i="3"/>
  <c r="R14" i="3"/>
  <c r="T14" i="3"/>
  <c r="V14" i="3"/>
  <c r="X14" i="3"/>
  <c r="AJ14" i="3"/>
  <c r="AO14" i="3"/>
  <c r="AP14" i="3"/>
  <c r="AT14" i="3"/>
  <c r="M12" i="3"/>
  <c r="O12" i="3"/>
  <c r="Q12" i="3"/>
  <c r="S12" i="3"/>
  <c r="U12" i="3"/>
  <c r="W12" i="3"/>
  <c r="Y12" i="3"/>
  <c r="AF12" i="3"/>
  <c r="AI12" i="3"/>
  <c r="AV12" i="3"/>
  <c r="AY12" i="3"/>
  <c r="BB12" i="3"/>
  <c r="BF12" i="3"/>
  <c r="BH12" i="3"/>
  <c r="BK12" i="3"/>
  <c r="AA13" i="3"/>
  <c r="AC13" i="3"/>
  <c r="AM13" i="3"/>
  <c r="AN13" i="3"/>
  <c r="AS13" i="3"/>
  <c r="H14" i="3"/>
  <c r="L14" i="3"/>
  <c r="AE14" i="3"/>
  <c r="AH14" i="3"/>
  <c r="AX14" i="3"/>
  <c r="BA14" i="3"/>
  <c r="BE14" i="3"/>
  <c r="BG14" i="3"/>
  <c r="BI14" i="3"/>
  <c r="K12" i="3"/>
  <c r="AK12" i="3"/>
  <c r="AL12" i="3"/>
  <c r="AQ12" i="3"/>
  <c r="AR12" i="3"/>
  <c r="AA14" i="3"/>
  <c r="AC14" i="3"/>
  <c r="AM14" i="3"/>
  <c r="AN14" i="3"/>
  <c r="AS14" i="3"/>
  <c r="H11" i="3"/>
  <c r="L11" i="3"/>
  <c r="AE11" i="3"/>
  <c r="AH11" i="3"/>
  <c r="G12" i="3"/>
  <c r="AD12" i="3"/>
  <c r="AG12" i="3"/>
  <c r="Z12" i="3"/>
  <c r="AB12" i="3"/>
  <c r="M14" i="3"/>
  <c r="O14" i="3"/>
  <c r="Q14" i="3"/>
  <c r="S14" i="3"/>
  <c r="U14" i="3"/>
  <c r="W14" i="3"/>
  <c r="Y14" i="3"/>
  <c r="AF14" i="3"/>
  <c r="AI14" i="3"/>
  <c r="AV14" i="3"/>
  <c r="AY14" i="3"/>
  <c r="BB14" i="3"/>
  <c r="BF14" i="3"/>
  <c r="BH14" i="3"/>
  <c r="BK14" i="3"/>
  <c r="AW13" i="3"/>
  <c r="AZ13" i="3"/>
  <c r="BD13" i="3"/>
  <c r="BC13" i="3"/>
  <c r="BJ13" i="3"/>
  <c r="K14" i="3"/>
  <c r="AK14" i="3"/>
  <c r="AL14" i="3"/>
  <c r="AQ14" i="3"/>
  <c r="AR14" i="3"/>
  <c r="AU13" i="3"/>
  <c r="AU14" i="3"/>
  <c r="M11" i="3"/>
  <c r="O11" i="3"/>
  <c r="Q11" i="3"/>
  <c r="S11" i="3"/>
  <c r="U11" i="3"/>
  <c r="W11" i="3"/>
  <c r="Y11" i="3"/>
  <c r="AF11" i="3"/>
  <c r="AI11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M13" i="3"/>
  <c r="O13" i="3"/>
  <c r="Q13" i="3"/>
  <c r="S13" i="3"/>
  <c r="U13" i="3"/>
  <c r="W13" i="3"/>
  <c r="Y13" i="3"/>
  <c r="AF13" i="3"/>
  <c r="AI13" i="3"/>
  <c r="H12" i="3"/>
  <c r="L12" i="3"/>
  <c r="AE12" i="3"/>
  <c r="AH12" i="3"/>
  <c r="G13" i="3"/>
  <c r="K13" i="3"/>
  <c r="AK13" i="3"/>
  <c r="AL13" i="3"/>
  <c r="AQ13" i="3"/>
  <c r="AR13" i="3"/>
  <c r="AV13" i="3"/>
  <c r="AY13" i="3"/>
  <c r="BB13" i="3"/>
  <c r="BF13" i="3"/>
  <c r="BH13" i="3"/>
  <c r="BK13" i="3"/>
  <c r="AD7" i="3"/>
  <c r="AG7" i="3"/>
  <c r="AA12" i="3"/>
  <c r="AC12" i="3"/>
  <c r="AM12" i="3"/>
  <c r="AN12" i="3"/>
  <c r="AS12" i="3"/>
  <c r="AU12" i="3"/>
  <c r="AX12" i="3"/>
  <c r="BA12" i="3"/>
  <c r="BE12" i="3"/>
  <c r="BG12" i="3"/>
  <c r="BI12" i="3"/>
  <c r="AD13" i="3"/>
  <c r="AG13" i="3"/>
  <c r="Z13" i="3"/>
  <c r="AB13" i="3"/>
  <c r="AA11" i="3"/>
  <c r="AC11" i="3"/>
  <c r="AM11" i="3"/>
  <c r="AN11" i="3"/>
  <c r="AS11" i="3"/>
  <c r="AU11" i="3"/>
  <c r="AX11" i="3"/>
  <c r="BA11" i="3"/>
  <c r="BE11" i="3"/>
  <c r="BG11" i="3"/>
  <c r="BI11" i="3"/>
  <c r="G11" i="3"/>
  <c r="K11" i="3"/>
  <c r="AK11" i="3"/>
  <c r="AL11" i="3"/>
  <c r="AQ11" i="3"/>
  <c r="AR11" i="3"/>
  <c r="AV11" i="3"/>
  <c r="AY11" i="3"/>
  <c r="BB11" i="3"/>
  <c r="BF11" i="3"/>
  <c r="BH11" i="3"/>
  <c r="BK11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M8" i="3"/>
  <c r="O8" i="3"/>
  <c r="Q8" i="3"/>
  <c r="S8" i="3"/>
  <c r="U8" i="3"/>
  <c r="W8" i="3"/>
  <c r="Y8" i="3"/>
  <c r="AF8" i="3"/>
  <c r="AI8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7" i="3"/>
  <c r="L7" i="3"/>
  <c r="AE7" i="3"/>
  <c r="AH7" i="3"/>
  <c r="G8" i="3"/>
  <c r="K8" i="3"/>
  <c r="AK8" i="3"/>
  <c r="AL8" i="3"/>
  <c r="AQ8" i="3"/>
  <c r="AR8" i="3"/>
  <c r="AV8" i="3"/>
  <c r="AY8" i="3"/>
  <c r="BB8" i="3"/>
  <c r="BF8" i="3"/>
  <c r="BH8" i="3"/>
  <c r="BK8" i="3"/>
  <c r="H9" i="3"/>
  <c r="L9" i="3"/>
  <c r="AE9" i="3"/>
  <c r="AH9" i="3"/>
  <c r="G10" i="3"/>
  <c r="K10" i="3"/>
  <c r="AK10" i="3"/>
  <c r="AL10" i="3"/>
  <c r="AQ10" i="3"/>
  <c r="AR10" i="3"/>
  <c r="AV10" i="3"/>
  <c r="AY10" i="3"/>
  <c r="BB10" i="3"/>
  <c r="BF10" i="3"/>
  <c r="BH10" i="3"/>
  <c r="BK10" i="3"/>
  <c r="AA7" i="3"/>
  <c r="AC7" i="3"/>
  <c r="AM7" i="3"/>
  <c r="AN7" i="3"/>
  <c r="AS7" i="3"/>
  <c r="AU7" i="3"/>
  <c r="AX7" i="3"/>
  <c r="BA7" i="3"/>
  <c r="BE7" i="3"/>
  <c r="BG7" i="3"/>
  <c r="BI7" i="3"/>
  <c r="AD8" i="3"/>
  <c r="AG8" i="3"/>
  <c r="Z8" i="3"/>
  <c r="AB8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M7" i="3"/>
  <c r="O7" i="3"/>
  <c r="Q7" i="3"/>
  <c r="S7" i="3"/>
  <c r="U7" i="3"/>
  <c r="W7" i="3"/>
  <c r="Y7" i="3"/>
  <c r="AF7" i="3"/>
  <c r="AI7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G7" i="3"/>
  <c r="K7" i="3"/>
  <c r="AK7" i="3"/>
  <c r="AL7" i="3"/>
  <c r="AQ7" i="3"/>
  <c r="AR7" i="3"/>
  <c r="AV7" i="3"/>
  <c r="AY7" i="3"/>
  <c r="BB7" i="3"/>
  <c r="BF7" i="3"/>
  <c r="BH7" i="3"/>
  <c r="BK7" i="3"/>
  <c r="H8" i="3"/>
  <c r="L8" i="3"/>
  <c r="AE8" i="3"/>
  <c r="AH8" i="3"/>
  <c r="G9" i="3"/>
  <c r="K9" i="3"/>
  <c r="AK9" i="3"/>
  <c r="AL9" i="3"/>
  <c r="AQ9" i="3"/>
  <c r="AR9" i="3"/>
  <c r="AV9" i="3"/>
  <c r="AY9" i="3"/>
  <c r="BB9" i="3"/>
  <c r="BF9" i="3"/>
  <c r="BH9" i="3"/>
  <c r="BK9" i="3"/>
  <c r="H10" i="3"/>
  <c r="L10" i="3"/>
  <c r="AE10" i="3"/>
  <c r="AH10" i="3"/>
  <c r="G4" i="3"/>
  <c r="K4" i="3"/>
  <c r="AK4" i="3"/>
  <c r="AL4" i="3"/>
  <c r="AQ4" i="3"/>
  <c r="AR4" i="3"/>
  <c r="AV4" i="3"/>
  <c r="AY4" i="3"/>
  <c r="BB4" i="3"/>
  <c r="BF4" i="3"/>
  <c r="BH4" i="3"/>
  <c r="BK4" i="3"/>
  <c r="G5" i="3"/>
  <c r="H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AD5" i="3"/>
  <c r="AE5" i="3"/>
  <c r="AF5" i="3"/>
  <c r="AG5" i="3"/>
  <c r="AH5" i="3"/>
  <c r="AI5" i="3"/>
  <c r="Z5" i="3"/>
  <c r="AA5" i="3"/>
  <c r="AB5" i="3"/>
  <c r="AC5" i="3"/>
  <c r="AK5" i="3"/>
  <c r="AJ5" i="3"/>
  <c r="AM5" i="3"/>
  <c r="AL5" i="3"/>
  <c r="AO5" i="3"/>
  <c r="AN5" i="3"/>
  <c r="AQ5" i="3"/>
  <c r="AP5" i="3"/>
  <c r="AS5" i="3"/>
  <c r="AR5" i="3"/>
  <c r="AT5" i="3"/>
  <c r="AU5" i="3"/>
  <c r="AV5" i="3"/>
  <c r="AW5" i="3"/>
  <c r="AX5" i="3"/>
  <c r="AY5" i="3"/>
  <c r="AZ5" i="3"/>
  <c r="BA5" i="3"/>
  <c r="BB5" i="3"/>
  <c r="BD5" i="3"/>
  <c r="BE5" i="3"/>
  <c r="BF5" i="3"/>
  <c r="BC5" i="3"/>
  <c r="BG5" i="3"/>
  <c r="BH5" i="3"/>
  <c r="BJ5" i="3"/>
  <c r="BI5" i="3"/>
  <c r="BK5" i="3"/>
  <c r="G6" i="3"/>
  <c r="H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AD6" i="3"/>
  <c r="AE6" i="3"/>
  <c r="AF6" i="3"/>
  <c r="AG6" i="3"/>
  <c r="AH6" i="3"/>
  <c r="AI6" i="3"/>
  <c r="Z6" i="3"/>
  <c r="AA6" i="3"/>
  <c r="AB6" i="3"/>
  <c r="AC6" i="3"/>
  <c r="AK6" i="3"/>
  <c r="AJ6" i="3"/>
  <c r="AM6" i="3"/>
  <c r="AL6" i="3"/>
  <c r="AO6" i="3"/>
  <c r="AN6" i="3"/>
  <c r="AQ6" i="3"/>
  <c r="AP6" i="3"/>
  <c r="AS6" i="3"/>
  <c r="AR6" i="3"/>
  <c r="AT6" i="3"/>
  <c r="AU6" i="3"/>
  <c r="AV6" i="3"/>
  <c r="AW6" i="3"/>
  <c r="AX6" i="3"/>
  <c r="AY6" i="3"/>
  <c r="AZ6" i="3"/>
  <c r="BA6" i="3"/>
  <c r="BB6" i="3"/>
  <c r="BD6" i="3"/>
  <c r="BE6" i="3"/>
  <c r="BF6" i="3"/>
  <c r="BC6" i="3"/>
  <c r="BG6" i="3"/>
  <c r="BH6" i="3"/>
  <c r="BJ6" i="3"/>
  <c r="BI6" i="3"/>
  <c r="BK6" i="3"/>
  <c r="AA4" i="3"/>
  <c r="AC4" i="3"/>
  <c r="AM4" i="3"/>
  <c r="AN4" i="3"/>
  <c r="AS4" i="3"/>
  <c r="AU4" i="3"/>
  <c r="AX4" i="3"/>
  <c r="BA4" i="3"/>
  <c r="BE4" i="3"/>
  <c r="BG4" i="3"/>
  <c r="BI4" i="3"/>
  <c r="P3" i="3"/>
  <c r="V3" i="3"/>
  <c r="M4" i="3"/>
  <c r="O4" i="3"/>
  <c r="Q4" i="3"/>
  <c r="S4" i="3"/>
  <c r="U4" i="3"/>
  <c r="W4" i="3"/>
  <c r="Y4" i="3"/>
  <c r="AF4" i="3"/>
  <c r="AI4" i="3"/>
  <c r="AC3" i="3"/>
  <c r="AM3" i="3"/>
  <c r="AN3" i="3"/>
  <c r="AS3" i="3"/>
  <c r="BA3" i="3"/>
  <c r="BE3" i="3"/>
  <c r="BG3" i="3"/>
  <c r="BI3" i="3"/>
  <c r="AD4" i="3"/>
  <c r="AG4" i="3"/>
  <c r="Z4" i="3"/>
  <c r="AB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H4" i="3"/>
  <c r="L4" i="3"/>
  <c r="AE4" i="3"/>
  <c r="AH4" i="3"/>
  <c r="R3" i="3"/>
  <c r="X3" i="3"/>
  <c r="AO3" i="3"/>
  <c r="AT3" i="3"/>
  <c r="AZ3" i="3"/>
  <c r="BC3" i="3"/>
  <c r="H3" i="3"/>
  <c r="L3" i="3"/>
  <c r="AD3" i="3"/>
  <c r="AG3" i="3"/>
  <c r="Z3" i="3"/>
  <c r="AB3" i="3"/>
  <c r="AA3" i="3"/>
  <c r="M3" i="3"/>
  <c r="O3" i="3"/>
  <c r="Q3" i="3"/>
  <c r="S3" i="3"/>
  <c r="U3" i="3"/>
  <c r="W3" i="3"/>
  <c r="Y3" i="3"/>
  <c r="AF3" i="3"/>
  <c r="AI3" i="3"/>
  <c r="G3" i="3"/>
  <c r="K3" i="3"/>
  <c r="AK3" i="3"/>
  <c r="AL3" i="3"/>
  <c r="AQ3" i="3"/>
  <c r="AR3" i="3"/>
  <c r="AY3" i="3"/>
  <c r="BB3" i="3"/>
  <c r="BF3" i="3"/>
  <c r="BH3" i="3"/>
  <c r="BK3" i="3"/>
  <c r="N3" i="3"/>
  <c r="AJ3" i="3"/>
  <c r="AP3" i="3"/>
  <c r="BJ3" i="3"/>
  <c r="T3" i="3"/>
  <c r="BD3" i="3"/>
  <c r="AE3" i="3"/>
  <c r="AH3" i="3"/>
  <c r="AV2" i="3"/>
  <c r="AW3" i="3"/>
  <c r="AU2" i="3"/>
  <c r="AU3" i="3"/>
  <c r="EA9" i="4"/>
  <c r="AW2" i="3"/>
  <c r="AV3" i="3"/>
  <c r="AX3" i="3"/>
  <c r="DU9" i="4"/>
  <c r="AX2" i="3"/>
  <c r="DW9" i="4"/>
  <c r="DY9" i="4"/>
  <c r="I18" i="1" l="1"/>
  <c r="G19" i="1"/>
  <c r="E19" i="1"/>
  <c r="G21" i="1"/>
  <c r="G18" i="1"/>
  <c r="I20" i="1"/>
  <c r="E16" i="1"/>
  <c r="E17" i="1"/>
  <c r="I19" i="1"/>
  <c r="G20" i="1"/>
  <c r="E20" i="1"/>
  <c r="E18" i="1"/>
  <c r="G15" i="1"/>
  <c r="G17" i="1"/>
  <c r="G16" i="1"/>
  <c r="I17" i="1"/>
  <c r="I15" i="1"/>
  <c r="I16" i="1"/>
  <c r="E15" i="1"/>
  <c r="G14" i="1"/>
  <c r="E14" i="1"/>
  <c r="E12" i="1"/>
  <c r="I14" i="1"/>
  <c r="G12" i="1"/>
  <c r="I12" i="1"/>
  <c r="I11" i="1"/>
  <c r="I7" i="1"/>
  <c r="I10" i="1"/>
  <c r="I13" i="1"/>
  <c r="E11" i="1"/>
  <c r="I9" i="1"/>
  <c r="G11" i="1"/>
  <c r="E13" i="1"/>
  <c r="G13" i="1"/>
  <c r="I8" i="1"/>
  <c r="E9" i="1"/>
  <c r="G9" i="1"/>
  <c r="G8" i="1"/>
  <c r="G7" i="1"/>
  <c r="E8" i="1"/>
  <c r="E10" i="1"/>
  <c r="E7" i="1"/>
  <c r="G10" i="1"/>
  <c r="I4" i="1"/>
  <c r="E4" i="1"/>
  <c r="G6" i="1"/>
  <c r="E6" i="1"/>
  <c r="I6" i="1"/>
  <c r="G5" i="1"/>
  <c r="E5" i="1"/>
  <c r="I5" i="1"/>
  <c r="G4" i="1"/>
  <c r="G3" i="1"/>
  <c r="E3" i="1"/>
  <c r="BR3" i="3"/>
  <c r="BM3" i="3"/>
  <c r="I3" i="1" l="1"/>
  <c r="FP9" i="4"/>
  <c r="BR2" i="3" s="1"/>
  <c r="FF9" i="4"/>
  <c r="BM2" i="3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M30" i="1" l="1"/>
  <c r="M29" i="1"/>
  <c r="M28" i="1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M32" i="1"/>
  <c r="N32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 s="1"/>
  <c r="K18" i="1"/>
  <c r="K3" i="1" l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AM45" i="4" l="1"/>
  <c r="AM48" i="4"/>
  <c r="AS45" i="4"/>
  <c r="AS48" i="4"/>
  <c r="AP45" i="4"/>
  <c r="AP48" i="4"/>
  <c r="AG45" i="4"/>
  <c r="AG48" i="4"/>
  <c r="AV45" i="4"/>
  <c r="AV48" i="4"/>
  <c r="AD45" i="4"/>
  <c r="AD48" i="4"/>
  <c r="AJ45" i="4"/>
  <c r="AJ48" i="4"/>
  <c r="BK2" i="3" l="1"/>
  <c r="FC9" i="4"/>
  <c r="BJ2" i="3"/>
  <c r="BT9" i="4"/>
  <c r="BS48" i="4" s="1"/>
  <c r="N9" i="4"/>
  <c r="J2" i="3" s="1"/>
  <c r="L9" i="4"/>
  <c r="J9" i="4"/>
  <c r="BL2" i="3" s="1"/>
  <c r="AV44" i="4" l="1"/>
  <c r="CX9" i="4"/>
  <c r="AK2" i="3"/>
  <c r="BG2" i="3"/>
  <c r="EU9" i="4"/>
  <c r="H2" i="3"/>
  <c r="G9" i="4"/>
  <c r="AM44" i="4"/>
  <c r="AM47" i="4"/>
  <c r="AM49" i="4" s="1"/>
  <c r="X2" i="3"/>
  <c r="BD9" i="4"/>
  <c r="CJ9" i="4"/>
  <c r="CI48" i="4" s="1"/>
  <c r="AI2" i="3"/>
  <c r="CZ9" i="4"/>
  <c r="AJ2" i="3"/>
  <c r="AP2" i="3"/>
  <c r="DL9" i="4"/>
  <c r="BB2" i="3"/>
  <c r="EJ9" i="4"/>
  <c r="BH2" i="3"/>
  <c r="EW9" i="4"/>
  <c r="F44" i="4"/>
  <c r="F47" i="4"/>
  <c r="AP47" i="4"/>
  <c r="AP49" i="4" s="1"/>
  <c r="AP44" i="4"/>
  <c r="AD2" i="3"/>
  <c r="BZ9" i="4"/>
  <c r="BY48" i="4" s="1"/>
  <c r="Z2" i="3"/>
  <c r="CL9" i="4"/>
  <c r="AM2" i="3"/>
  <c r="DB9" i="4"/>
  <c r="AS2" i="3"/>
  <c r="DN9" i="4"/>
  <c r="BD2" i="3"/>
  <c r="EL9" i="4"/>
  <c r="AG47" i="4"/>
  <c r="AG49" i="4" s="1"/>
  <c r="AG44" i="4"/>
  <c r="AH2" i="3"/>
  <c r="CH9" i="4"/>
  <c r="CG48" i="4" s="1"/>
  <c r="EH9" i="4"/>
  <c r="BA2" i="3"/>
  <c r="O47" i="4"/>
  <c r="O44" i="4"/>
  <c r="AD44" i="4"/>
  <c r="AD47" i="4"/>
  <c r="AD49" i="4" s="1"/>
  <c r="M2" i="3"/>
  <c r="V9" i="4"/>
  <c r="AS47" i="4"/>
  <c r="AS49" i="4" s="1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AJ49" i="4" s="1"/>
  <c r="N2" i="3"/>
  <c r="Y9" i="4"/>
  <c r="W2" i="3"/>
  <c r="BA9" i="4"/>
  <c r="AF2" i="3"/>
  <c r="CD9" i="4"/>
  <c r="CC48" i="4" s="1"/>
  <c r="DF9" i="4"/>
  <c r="AO2" i="3"/>
  <c r="DR9" i="4"/>
  <c r="AT2" i="3"/>
  <c r="K2" i="1" s="1"/>
  <c r="BF2" i="3"/>
  <c r="EP9" i="4"/>
  <c r="CK47" i="4"/>
  <c r="CK44" i="4"/>
  <c r="G2" i="3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Z2" i="3"/>
  <c r="EE9" i="4"/>
  <c r="ER9" i="4"/>
  <c r="BC2" i="3"/>
  <c r="O45" i="4"/>
  <c r="I2" i="1" l="1"/>
  <c r="E2" i="1"/>
  <c r="BF44" i="4"/>
  <c r="AV47" i="4"/>
  <c r="AV49" i="4" s="1"/>
  <c r="CK48" i="4"/>
  <c r="CK49" i="4" s="1"/>
  <c r="CK45" i="4"/>
  <c r="AA44" i="4"/>
  <c r="AA47" i="4"/>
  <c r="X44" i="4"/>
  <c r="X47" i="4"/>
  <c r="AB2" i="3"/>
  <c r="CR9" i="4"/>
  <c r="X48" i="4"/>
  <c r="X45" i="4"/>
  <c r="F45" i="4"/>
  <c r="F48" i="4"/>
  <c r="F49" i="4" s="1"/>
  <c r="CQ47" i="4"/>
  <c r="CQ44" i="4"/>
  <c r="AA45" i="4"/>
  <c r="AA48" i="4"/>
  <c r="AG2" i="3"/>
  <c r="CF9" i="4"/>
  <c r="CE48" i="4" s="1"/>
  <c r="CN48" i="4"/>
  <c r="CN45" i="4"/>
  <c r="U45" i="4"/>
  <c r="U48" i="4"/>
  <c r="U44" i="4"/>
  <c r="U47" i="4"/>
  <c r="BF45" i="4"/>
  <c r="BC45" i="4"/>
  <c r="BC44" i="4"/>
  <c r="AZ45" i="4"/>
  <c r="AZ44" i="4"/>
  <c r="G2" i="1" l="1"/>
  <c r="BF46" i="4"/>
  <c r="AA51" i="4"/>
  <c r="AM50" i="4"/>
  <c r="U49" i="4"/>
  <c r="AA49" i="4"/>
  <c r="AM51" i="4"/>
  <c r="CN44" i="4"/>
  <c r="CN47" i="4"/>
  <c r="CN49" i="4" s="1"/>
  <c r="CQ48" i="4"/>
  <c r="CQ49" i="4" s="1"/>
  <c r="CQ45" i="4"/>
  <c r="AZ46" i="4"/>
  <c r="AA50" i="4"/>
  <c r="X49" i="4"/>
  <c r="BC46" i="4"/>
  <c r="AV50" i="4" l="1"/>
  <c r="AV51" i="4"/>
  <c r="R48" i="4" l="1"/>
  <c r="R49" i="4" s="1"/>
  <c r="O48" i="4"/>
  <c r="O49" i="4" s="1"/>
  <c r="AZ48" i="4"/>
  <c r="BC48" i="4" l="1"/>
  <c r="BC49" i="4" s="1"/>
  <c r="BF48" i="4"/>
  <c r="BF49" i="4" s="1"/>
  <c r="AZ49" i="4"/>
  <c r="BC51" i="4" l="1"/>
  <c r="DU22" i="4" l="1"/>
  <c r="DU21" i="4"/>
  <c r="DU20" i="4"/>
  <c r="E36" i="4" l="1"/>
  <c r="E37" i="4"/>
  <c r="E35" i="4"/>
  <c r="E31" i="4"/>
  <c r="E32" i="4"/>
  <c r="E33" i="4"/>
  <c r="E34" i="4"/>
  <c r="E26" i="4"/>
  <c r="E28" i="4"/>
  <c r="E27" i="4"/>
  <c r="E24" i="4"/>
  <c r="E25" i="4"/>
  <c r="E23" i="4"/>
  <c r="E20" i="4"/>
  <c r="E21" i="4"/>
  <c r="E22" i="4"/>
  <c r="E15" i="4"/>
  <c r="E18" i="4"/>
  <c r="E16" i="4"/>
  <c r="E17" i="4"/>
  <c r="E12" i="4"/>
  <c r="E14" i="4"/>
  <c r="E13" i="4"/>
  <c r="C44" i="4" l="1"/>
  <c r="C47" i="4"/>
  <c r="C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<sst xmlns="http://schemas.openxmlformats.org/spreadsheetml/2006/main" count="442" uniqueCount="219">
  <si>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</si>
  <si>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</si>
  <si>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</si>
  <si>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</si>
  <si>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</si>
  <si>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</si>
  <si>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</si>
  <si>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</si>
  <si>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</si>
  <si>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</si>
  <si>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</si>
  <si>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</si>
  <si>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</si>
  <si>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</si>
  <si>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</si>
  <si>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</si>
  <si>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</si>
  <si>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</si>
  <si>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</si>
  <si>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</si>
  <si>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</si>
  <si>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</si>
  <si>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</si>
  <si>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</si>
  <si>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</si>
  <si>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</si>
  <si>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</si>
  <si>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</si>
  <si>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</si>
  <si>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</si>
  <si>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</si>
  <si>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</si>
  <si>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</si>
  <si>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</si>
  <si>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</si>
  <si>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</si>
  <si>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</si>
  <si>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</si>
  <si>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</si>
  <si>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</si>
  <si>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</si>
  <si>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</si>
  <si>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</si>
  <si>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</si>
  <si>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</si>
  <si>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</si>
  <si>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</si>
  <si>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</si>
  <si>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</si>
  <si>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</si>
  <si>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</si>
  <si>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</si>
  <si>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</si>
  <si>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</si>
  <si>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</si>
  <si>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</si>
  <si>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</si>
  <si>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</si>
  <si>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</si>
  <si>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</si>
  <si>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</si>
  <si>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</si>
  <si>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</si>
  <si>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</si>
  <si>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</si>
  <si>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</si>
  <si>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</si>
  <si>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</si>
  <si>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</si>
  <si>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</si>
  <si>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</si>
  <si>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</si>
  <si>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</si>
  <si>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>Nammos Main Waterline (m3)</t>
  </si>
  <si>
    <t>Nammos Water 1 (m3)</t>
  </si>
  <si>
    <t>Nammos Water 2 (m3)</t>
  </si>
  <si>
    <t>Nammos Water 3 (m3)</t>
  </si>
  <si>
    <t>Nammos Water 4 (m3)</t>
  </si>
  <si>
    <t>Pavilion (m3)</t>
  </si>
  <si>
    <t>Pavilion (kwh)</t>
  </si>
  <si>
    <t xml:space="preserve">                                                                                                           </t>
  </si>
  <si>
    <t xml:space="preserve"> Daily Water Consumption March 2023</t>
  </si>
  <si>
    <t>Electricity Daily Consumption March 2020</t>
  </si>
  <si>
    <t>Chiller BTU Meter Reading March 2023</t>
  </si>
  <si>
    <t>Lpg Daily Consumption March 2023</t>
  </si>
  <si>
    <t>F&amp; B Village Daily Water Meter Reading  2023</t>
  </si>
  <si>
    <t>F &amp; B Electrical Daily Reading March 2023</t>
  </si>
  <si>
    <t>F &amp; B Village Chilled Water Reading March 2023</t>
  </si>
  <si>
    <t>F &amp; B Village Daily Lpg Reading March 2023</t>
  </si>
  <si>
    <t>Nammos Reading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</si>
  <si>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</si>
  <si>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</si>
  <si>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</si>
  <si>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</si>
  <si>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</si>
  <si>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</si>
  <si>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</si>
  <si>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</si>
  <si>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</si>
  <si>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</si>
  <si>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</si>
  <si>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</si>
  <si>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</si>
  <si>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</si>
  <si>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</si>
  <si>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</si>
  <si>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</si>
  <si>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</si>
  <si>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</si>
  <si>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</si>
  <si>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</si>
  <si>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</si>
  <si>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</si>
  <si>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</si>
  <si>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</si>
  <si>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</si>
  <si>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</si>
  <si>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</si>
  <si>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</si>
  <si>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</si>
  <si>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</si>
  <si>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</si>
  <si>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</si>
  <si>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</si>
  <si>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</si>
  <si>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</si>
  <si>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</si>
  <si>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</si>
  <si>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</si>
  <si>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</si>
  <si>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</si>
  <si>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</si>
  <si>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</si>
  <si>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</si>
  <si>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</si>
  <si>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</si>
  <si>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</si>
  <si>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</si>
  <si>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</si>
  <si>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</si>
  <si>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</si>
  <si>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</si>
  <si>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</si>
  <si>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</si>
  <si>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</si>
  <si>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</si>
  <si>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</si>
  <si>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</si>
  <si>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</si>
  <si>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</si>
  <si>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</si>
  <si>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</si>
  <si>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Namos Water Main</t>
  </si>
  <si>
    <t xml:space="preserve">Water 1 </t>
  </si>
  <si>
    <t>Water 2</t>
  </si>
  <si>
    <t>Water 3</t>
  </si>
  <si>
    <t>Water 4</t>
  </si>
  <si>
    <t>Pavilion Water</t>
  </si>
  <si>
    <t>Pavilion Electricity</t>
  </si>
  <si>
    <t>Reading In M³</t>
  </si>
  <si>
    <t>Daily consumption M³ 2023</t>
  </si>
  <si>
    <t>Daily consumption M³ March-2022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</si>
  <si>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</si>
  <si>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</si>
  <si>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</si>
  <si>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</si>
  <si>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</si>
  <si>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</si>
  <si>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</si>
  <si>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</si>
  <si>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</si>
  <si>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</si>
  <si>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</si>
  <si>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</si>
  <si>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</si>
  <si>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</si>
  <si>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</si>
  <si>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</si>
  <si>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</si>
  <si>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Reading kwh</t>
  </si>
  <si>
    <t>Daily Consumption kwh</t>
  </si>
  <si>
    <t>Potable Water Daily Consumption  March 2023</t>
  </si>
  <si>
    <t>Electricity Daily Consumption March 2023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</si>
  <si>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</si>
  <si>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</si>
  <si>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</si>
  <si>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</si>
  <si>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</si>
  <si>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</si>
  <si>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</si>
  <si>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</si>
  <si>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</si>
  <si>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</si>
  <si>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</si>
  <si>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</si>
  <si>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</si>
  <si>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</si>
  <si>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</si>
  <si>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</si>
  <si>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</si>
  <si>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</si>
  <si>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</si>
  <si>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</si>
  <si>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</si>
  <si>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</si>
  <si>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</si>
  <si>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</si>
  <si>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</si>
  <si>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March Reading 2023 two weeks</t>
  </si>
  <si>
    <t>Grand Total All EMDB KWH</t>
  </si>
  <si>
    <t>Difference</t>
  </si>
  <si>
    <t>March  Reading 2022 Monthly</t>
  </si>
  <si>
    <t>March  Reading 2023 Monthly</t>
  </si>
  <si>
    <t>Total Monthly Electrical Kwh</t>
  </si>
  <si>
    <t>March  2022 Kwh</t>
  </si>
  <si>
    <t>March  2023 Kwh</t>
  </si>
  <si>
    <t>Saving Kwh</t>
  </si>
  <si>
    <t>March  2022 Kwh two weeks</t>
  </si>
  <si>
    <t>March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</si>
</sst>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  <numFmt numFmtId="175" formatCode="#,##0.00_ ;\-#,##0.00\ "/>
    <numFmt numFmtId="176" formatCode="0.000"/>
  </numFmts>
  <fonts count="6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  <font>
      <b/>
      <i/>
      <sz val="12"/>
      <color theme="1"/>
      <name val="Calibri Light"/>
      <family val="2"/>
      <scheme val="major"/>
    </font>
    <font>
      <b/>
      <i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0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5" fontId="0" fillId="0" borderId="15" xfId="0" applyNumberForma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5" fontId="0" fillId="0" borderId="29" xfId="0" applyNumberForma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50" fillId="14" borderId="0" xfId="0" applyFont="1" applyFill="1" applyAlignment="1">
      <alignment horizontal="center"/>
    </xf>
    <xf numFmtId="0" fontId="14" fillId="0" borderId="29" xfId="0" applyFont="1" applyBorder="1" applyAlignment="1">
      <alignment horizontal="center" vertical="center"/>
    </xf>
    <xf numFmtId="175" fontId="15" fillId="0" borderId="3" xfId="0" applyNumberFormat="1" applyFont="1" applyBorder="1" applyAlignment="1">
      <alignment horizontal="center" vertical="center"/>
    </xf>
    <xf numFmtId="0" fontId="55" fillId="18" borderId="7" xfId="0" applyFont="1" applyFill="1" applyBorder="1" applyAlignment="1">
      <alignment vertical="center"/>
    </xf>
    <xf numFmtId="0" fontId="59" fillId="3" borderId="32" xfId="0" applyFont="1" applyFill="1" applyBorder="1" applyAlignment="1">
      <alignment horizontal="center" vertical="center" wrapText="1"/>
    </xf>
    <xf numFmtId="0" fontId="59" fillId="3" borderId="29" xfId="0" applyFont="1" applyFill="1" applyBorder="1" applyAlignment="1">
      <alignment horizontal="center" wrapText="1"/>
    </xf>
    <xf numFmtId="1" fontId="14" fillId="0" borderId="29" xfId="0" applyNumberFormat="1" applyFont="1" applyBorder="1" applyAlignment="1">
      <alignment horizontal="center" vertical="center"/>
    </xf>
    <xf numFmtId="176" fontId="28" fillId="0" borderId="0" xfId="0" applyNumberFormat="1" applyFont="1"/>
    <xf numFmtId="0" fontId="55" fillId="18" borderId="45" xfId="0" applyFont="1" applyFill="1" applyBorder="1" applyAlignment="1">
      <alignment horizontal="center" vertical="center"/>
    </xf>
    <xf numFmtId="0" fontId="55" fillId="18" borderId="37" xfId="0" applyFont="1" applyFill="1" applyBorder="1" applyAlignment="1">
      <alignment horizontal="center" vertical="center"/>
    </xf>
    <xf numFmtId="0" fontId="55" fillId="18" borderId="28" xfId="0" applyFont="1" applyFill="1" applyBorder="1" applyAlignment="1">
      <alignment horizontal="center" vertical="center"/>
    </xf>
    <xf numFmtId="0" fontId="58" fillId="3" borderId="45" xfId="0" applyFont="1" applyFill="1" applyBorder="1" applyAlignment="1">
      <alignment horizontal="center" vertical="center" wrapText="1"/>
    </xf>
    <xf numFmtId="0" fontId="58" fillId="3" borderId="46" xfId="0" applyFont="1" applyFill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166" fontId="8" fillId="6" borderId="3" xfId="0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0" fontId="57" fillId="0" borderId="0" xfId="0" applyFont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32" fillId="6" borderId="4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32" fillId="6" borderId="2" xfId="0" applyNumberFormat="1" applyFont="1" applyFill="1" applyBorder="1" applyAlignment="1">
      <alignment horizontal="center" vertical="center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0" fontId="8" fillId="6" borderId="2" xfId="0" applyFont="1" applyFill="1" applyBorder="1" applyAlignment="1">
      <alignment horizont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17" fillId="11" borderId="3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52" fillId="3" borderId="26" xfId="0" applyFont="1" applyFill="1" applyBorder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4" fontId="15" fillId="0" borderId="49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49" fontId="17" fillId="12" borderId="3" xfId="0" applyNumberFormat="1" applyFont="1" applyFill="1" applyBorder="1" applyAlignment="1">
      <alignment horizontal="left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March - 2023"/>
      <sheetName val="April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9">
          <cell r="B9">
            <v>0.74</v>
          </cell>
          <cell r="E9">
            <v>259612</v>
          </cell>
          <cell r="G9">
            <v>550</v>
          </cell>
          <cell r="H9">
            <v>277903</v>
          </cell>
          <cell r="J9">
            <v>416</v>
          </cell>
          <cell r="K9">
            <v>22339</v>
          </cell>
          <cell r="N9">
            <v>936132</v>
          </cell>
          <cell r="Q9">
            <v>246269</v>
          </cell>
          <cell r="U9">
            <v>122539</v>
          </cell>
          <cell r="W9">
            <v>3.0350000000000001</v>
          </cell>
          <cell r="X9">
            <v>6958</v>
          </cell>
          <cell r="AE9">
            <v>8344420.5599999996</v>
          </cell>
          <cell r="AF9">
            <v>1997.5200000004843</v>
          </cell>
          <cell r="AH9">
            <v>15846667.199999999</v>
          </cell>
          <cell r="AI9">
            <v>4774.5600000005215</v>
          </cell>
          <cell r="AK9">
            <v>15989319.360000001</v>
          </cell>
          <cell r="AL9">
            <v>8233.6799999978393</v>
          </cell>
          <cell r="AN9">
            <v>19147447.199999999</v>
          </cell>
          <cell r="AO9">
            <v>2630.8800000026822</v>
          </cell>
          <cell r="AQ9">
            <v>19399914.239999998</v>
          </cell>
          <cell r="AR9">
            <v>633.35999999940395</v>
          </cell>
          <cell r="AT9">
            <v>18005304.239999998</v>
          </cell>
          <cell r="AU9">
            <v>5748.9600000008941</v>
          </cell>
          <cell r="AW9">
            <v>15118010.880000001</v>
          </cell>
          <cell r="AX9">
            <v>3897.5999999996275</v>
          </cell>
          <cell r="AZ9">
            <v>14675535.84</v>
          </cell>
          <cell r="BA9">
            <v>4482.2400000002235</v>
          </cell>
          <cell r="BC9">
            <v>11425570.799999999</v>
          </cell>
          <cell r="BD9">
            <v>3118.0800000019372</v>
          </cell>
          <cell r="BF9">
            <v>18159649.199999999</v>
          </cell>
          <cell r="BG9">
            <v>5797.679999999702</v>
          </cell>
          <cell r="BM9">
            <v>78980400</v>
          </cell>
          <cell r="BN9">
            <v>49400</v>
          </cell>
          <cell r="BP9">
            <v>81987800</v>
          </cell>
          <cell r="BQ9">
            <v>5900</v>
          </cell>
          <cell r="BS9">
            <v>75851600</v>
          </cell>
          <cell r="BT9">
            <v>0</v>
          </cell>
          <cell r="BV9">
            <v>10777520</v>
          </cell>
          <cell r="BY9">
            <v>0.7</v>
          </cell>
          <cell r="BZ9">
            <v>-0.15000000000000002</v>
          </cell>
          <cell r="CB9">
            <v>65793</v>
          </cell>
          <cell r="CD9">
            <v>57015</v>
          </cell>
          <cell r="CF9">
            <v>19252</v>
          </cell>
          <cell r="CH9">
            <v>26376</v>
          </cell>
          <cell r="CJ9">
            <v>29678</v>
          </cell>
          <cell r="CL9">
            <v>65373</v>
          </cell>
          <cell r="CN9">
            <v>274245</v>
          </cell>
          <cell r="CO9">
            <v>83</v>
          </cell>
          <cell r="CQ9">
            <v>224360</v>
          </cell>
          <cell r="CR9">
            <v>119</v>
          </cell>
          <cell r="CT9">
            <v>376314</v>
          </cell>
          <cell r="CU9">
            <v>186</v>
          </cell>
          <cell r="CW9">
            <v>708909</v>
          </cell>
          <cell r="CZ9">
            <v>9548</v>
          </cell>
          <cell r="DB9">
            <v>6443</v>
          </cell>
          <cell r="DD9">
            <v>33423</v>
          </cell>
          <cell r="DF9">
            <v>33545</v>
          </cell>
          <cell r="DH9">
            <v>22668</v>
          </cell>
          <cell r="DJ9">
            <v>24484</v>
          </cell>
          <cell r="DL9">
            <v>7989</v>
          </cell>
          <cell r="DN9">
            <v>10418</v>
          </cell>
          <cell r="DP9">
            <v>3637</v>
          </cell>
          <cell r="DR9">
            <v>7113</v>
          </cell>
          <cell r="DT9">
            <v>30623</v>
          </cell>
          <cell r="DW9">
            <v>7224.3</v>
          </cell>
          <cell r="DY9">
            <v>11927.6</v>
          </cell>
          <cell r="EA9">
            <v>5311</v>
          </cell>
          <cell r="EC9">
            <v>5926</v>
          </cell>
          <cell r="EE9">
            <v>1172656</v>
          </cell>
          <cell r="EI9">
            <v>243423.5</v>
          </cell>
          <cell r="EL9">
            <v>12370700</v>
          </cell>
          <cell r="EN9">
            <v>953090</v>
          </cell>
          <cell r="EP9">
            <v>7321800</v>
          </cell>
          <cell r="ER9">
            <v>2521500</v>
          </cell>
          <cell r="ET9">
            <v>1325980</v>
          </cell>
          <cell r="EV9">
            <v>16802500</v>
          </cell>
          <cell r="EY9">
            <v>43395</v>
          </cell>
          <cell r="FA9">
            <v>37805</v>
          </cell>
          <cell r="FC9">
            <v>8358</v>
          </cell>
          <cell r="FE9">
            <v>60441</v>
          </cell>
          <cell r="FG9">
            <v>52292</v>
          </cell>
          <cell r="FJ9">
            <v>181.52</v>
          </cell>
          <cell r="FL9">
            <v>262080.3</v>
          </cell>
          <cell r="FN9">
            <v>90044.888000000006</v>
          </cell>
          <cell r="FP9">
            <v>12381</v>
          </cell>
          <cell r="FR9">
            <v>11035</v>
          </cell>
          <cell r="FT9">
            <v>8730</v>
          </cell>
          <cell r="FV9">
            <v>9107</v>
          </cell>
        </row>
        <row r="10">
          <cell r="B10">
            <v>0.78</v>
          </cell>
          <cell r="E10">
            <v>260218</v>
          </cell>
          <cell r="H10">
            <v>278356</v>
          </cell>
          <cell r="K10">
            <v>22343</v>
          </cell>
          <cell r="N10">
            <v>936248</v>
          </cell>
          <cell r="Q10">
            <v>246269</v>
          </cell>
          <cell r="U10">
            <v>122638</v>
          </cell>
          <cell r="X10">
            <v>6975</v>
          </cell>
          <cell r="AE10">
            <v>8346418.0800000001</v>
          </cell>
          <cell r="AH10">
            <v>15851441.76</v>
          </cell>
          <cell r="AK10">
            <v>15997553.039999999</v>
          </cell>
          <cell r="AN10">
            <v>19150078.080000002</v>
          </cell>
          <cell r="AQ10">
            <v>19400547.599999998</v>
          </cell>
          <cell r="AT10">
            <v>18011053.199999999</v>
          </cell>
          <cell r="AW10">
            <v>15121908.48</v>
          </cell>
          <cell r="AZ10">
            <v>14680018.08</v>
          </cell>
          <cell r="BC10">
            <v>11428688.880000001</v>
          </cell>
          <cell r="BF10">
            <v>18165446.879999999</v>
          </cell>
          <cell r="BM10">
            <v>79029800</v>
          </cell>
          <cell r="BP10">
            <v>81993700</v>
          </cell>
          <cell r="BS10">
            <v>75851600</v>
          </cell>
          <cell r="BV10">
            <v>10784870</v>
          </cell>
          <cell r="BY10">
            <v>0.85</v>
          </cell>
          <cell r="CB10">
            <v>65811</v>
          </cell>
          <cell r="CD10">
            <v>57036</v>
          </cell>
          <cell r="CF10">
            <v>19258</v>
          </cell>
          <cell r="CH10">
            <v>26385</v>
          </cell>
          <cell r="CJ10">
            <v>29693</v>
          </cell>
          <cell r="CL10">
            <v>65407</v>
          </cell>
          <cell r="CN10">
            <v>274328</v>
          </cell>
          <cell r="CQ10">
            <v>224479</v>
          </cell>
          <cell r="CT10">
            <v>376500</v>
          </cell>
          <cell r="CW10">
            <v>709093</v>
          </cell>
          <cell r="CZ10">
            <v>9558</v>
          </cell>
          <cell r="DB10">
            <v>6451</v>
          </cell>
          <cell r="DD10">
            <v>33442</v>
          </cell>
          <cell r="DF10">
            <v>33559</v>
          </cell>
          <cell r="DH10">
            <v>22678</v>
          </cell>
          <cell r="DJ10">
            <v>24489</v>
          </cell>
          <cell r="DL10">
            <v>8000</v>
          </cell>
          <cell r="DN10">
            <v>10425</v>
          </cell>
          <cell r="DP10">
            <v>3641</v>
          </cell>
          <cell r="DR10">
            <v>7122</v>
          </cell>
          <cell r="DT10">
            <v>30626</v>
          </cell>
          <cell r="DW10">
            <v>7235.7</v>
          </cell>
          <cell r="DY10">
            <v>11936.8</v>
          </cell>
          <cell r="EA10">
            <v>5317.6</v>
          </cell>
          <cell r="EC10">
            <v>5932.5</v>
          </cell>
          <cell r="EE10">
            <v>1173275</v>
          </cell>
          <cell r="EI10">
            <v>243582.6</v>
          </cell>
          <cell r="EL10">
            <v>12375300</v>
          </cell>
          <cell r="EN10">
            <v>953380</v>
          </cell>
          <cell r="EP10">
            <v>7322900</v>
          </cell>
          <cell r="ER10">
            <v>2522000</v>
          </cell>
          <cell r="ET10">
            <v>1326700</v>
          </cell>
          <cell r="EV10">
            <v>16806200</v>
          </cell>
          <cell r="EY10">
            <v>43409</v>
          </cell>
          <cell r="FA10">
            <v>37817</v>
          </cell>
          <cell r="FC10">
            <v>8366</v>
          </cell>
          <cell r="FE10">
            <v>60451</v>
          </cell>
          <cell r="FG10">
            <v>52329</v>
          </cell>
          <cell r="FJ10">
            <v>181.55</v>
          </cell>
          <cell r="FL10">
            <v>262330</v>
          </cell>
          <cell r="FN10">
            <v>90152</v>
          </cell>
          <cell r="FP10">
            <v>12381</v>
          </cell>
          <cell r="FR10">
            <v>11042</v>
          </cell>
          <cell r="FT10">
            <v>8735</v>
          </cell>
          <cell r="FV10">
            <v>9110</v>
          </cell>
        </row>
        <row r="11">
          <cell r="B11">
            <v>0.92</v>
          </cell>
          <cell r="E11">
            <v>260859</v>
          </cell>
          <cell r="F11">
            <v>641</v>
          </cell>
          <cell r="G11">
            <v>564</v>
          </cell>
          <cell r="H11">
            <v>278799</v>
          </cell>
          <cell r="I11">
            <v>443</v>
          </cell>
          <cell r="J11">
            <v>429</v>
          </cell>
          <cell r="K11">
            <v>22553</v>
          </cell>
          <cell r="L11">
            <v>210</v>
          </cell>
          <cell r="N11">
            <v>936458</v>
          </cell>
          <cell r="O11">
            <v>210</v>
          </cell>
          <cell r="Q11">
            <v>246269</v>
          </cell>
          <cell r="R11">
            <v>0</v>
          </cell>
          <cell r="U11">
            <v>122744</v>
          </cell>
          <cell r="V11">
            <v>106</v>
          </cell>
          <cell r="W11">
            <v>3.262</v>
          </cell>
          <cell r="X11">
            <v>6991</v>
          </cell>
          <cell r="Y11">
            <v>16</v>
          </cell>
          <cell r="AE11">
            <v>8348415.5999999996</v>
          </cell>
          <cell r="AF11">
            <v>1997.519999999553</v>
          </cell>
          <cell r="AH11">
            <v>15855729.119999999</v>
          </cell>
          <cell r="AI11">
            <v>4287.359999999404</v>
          </cell>
          <cell r="AK11">
            <v>15997553.039999999</v>
          </cell>
          <cell r="AL11">
            <v>0</v>
          </cell>
          <cell r="AN11">
            <v>19158750.239999998</v>
          </cell>
          <cell r="AO11">
            <v>8672.1599999964237</v>
          </cell>
          <cell r="AQ11">
            <v>19402447.68</v>
          </cell>
          <cell r="AR11">
            <v>1900.0800000019372</v>
          </cell>
          <cell r="AT11">
            <v>18016217.52</v>
          </cell>
          <cell r="AU11">
            <v>5164.320000000298</v>
          </cell>
          <cell r="AW11">
            <v>15125757.359999999</v>
          </cell>
          <cell r="AX11">
            <v>3848.8799999989569</v>
          </cell>
          <cell r="AZ11">
            <v>14684110.559999999</v>
          </cell>
          <cell r="BA11">
            <v>4092.4799999985844</v>
          </cell>
          <cell r="BC11">
            <v>11431709.52</v>
          </cell>
          <cell r="BD11">
            <v>3020.6399999987334</v>
          </cell>
          <cell r="BF11">
            <v>18170806.080000002</v>
          </cell>
          <cell r="BG11">
            <v>5359.2000000029802</v>
          </cell>
          <cell r="BM11">
            <v>79029800</v>
          </cell>
          <cell r="BN11">
            <v>0</v>
          </cell>
          <cell r="BP11">
            <v>82043400</v>
          </cell>
          <cell r="BQ11">
            <v>49700</v>
          </cell>
          <cell r="BS11">
            <v>75857600</v>
          </cell>
          <cell r="BT11">
            <v>6000</v>
          </cell>
          <cell r="BV11">
            <v>10791670</v>
          </cell>
          <cell r="BW11">
            <v>6800</v>
          </cell>
          <cell r="BY11">
            <v>0.78</v>
          </cell>
          <cell r="BZ11">
            <v>6.9999999999999951E-2</v>
          </cell>
          <cell r="CB11">
            <v>65826</v>
          </cell>
          <cell r="CC11">
            <v>15</v>
          </cell>
          <cell r="CD11">
            <v>57053</v>
          </cell>
          <cell r="CE11">
            <v>17</v>
          </cell>
          <cell r="CF11">
            <v>19265</v>
          </cell>
          <cell r="CG11">
            <v>7</v>
          </cell>
          <cell r="CH11">
            <v>26395</v>
          </cell>
          <cell r="CI11">
            <v>10</v>
          </cell>
          <cell r="CJ11">
            <v>29699</v>
          </cell>
          <cell r="CK11">
            <v>6</v>
          </cell>
          <cell r="CL11">
            <v>65441</v>
          </cell>
          <cell r="CM11">
            <v>34</v>
          </cell>
          <cell r="CN11">
            <v>274399</v>
          </cell>
          <cell r="CO11">
            <v>71</v>
          </cell>
          <cell r="CQ11">
            <v>224589</v>
          </cell>
          <cell r="CR11">
            <v>110</v>
          </cell>
          <cell r="CT11">
            <v>376666</v>
          </cell>
          <cell r="CU11">
            <v>166</v>
          </cell>
          <cell r="CW11">
            <v>709251</v>
          </cell>
          <cell r="CX11">
            <v>158</v>
          </cell>
          <cell r="CZ11">
            <v>9567</v>
          </cell>
          <cell r="DA11">
            <v>9</v>
          </cell>
          <cell r="DB11">
            <v>6459</v>
          </cell>
          <cell r="DC11">
            <v>8</v>
          </cell>
          <cell r="DD11">
            <v>33462</v>
          </cell>
          <cell r="DE11">
            <v>20</v>
          </cell>
          <cell r="DF11">
            <v>33572</v>
          </cell>
          <cell r="DG11">
            <v>13</v>
          </cell>
          <cell r="DH11">
            <v>22687</v>
          </cell>
          <cell r="DI11">
            <v>9</v>
          </cell>
          <cell r="DJ11">
            <v>24493</v>
          </cell>
          <cell r="DK11">
            <v>4</v>
          </cell>
          <cell r="DL11">
            <v>8011</v>
          </cell>
          <cell r="DM11">
            <v>11</v>
          </cell>
          <cell r="DN11">
            <v>10431</v>
          </cell>
          <cell r="DO11">
            <v>6</v>
          </cell>
          <cell r="DP11">
            <v>3645</v>
          </cell>
          <cell r="DQ11">
            <v>4</v>
          </cell>
          <cell r="DR11">
            <v>7130</v>
          </cell>
          <cell r="DS11">
            <v>8</v>
          </cell>
          <cell r="DT11">
            <v>30633</v>
          </cell>
          <cell r="DU11">
            <v>7</v>
          </cell>
          <cell r="DW11">
            <v>7245.9</v>
          </cell>
          <cell r="DX11">
            <v>10.199999999999818</v>
          </cell>
          <cell r="DY11">
            <v>11944.9</v>
          </cell>
          <cell r="DZ11">
            <v>8.1000000000003638</v>
          </cell>
          <cell r="EA11">
            <v>5323.6</v>
          </cell>
          <cell r="EB11">
            <v>6</v>
          </cell>
          <cell r="EC11">
            <v>5938.6</v>
          </cell>
          <cell r="ED11">
            <v>6.1000000000003638</v>
          </cell>
          <cell r="EE11">
            <v>1173869</v>
          </cell>
          <cell r="EF11">
            <v>594</v>
          </cell>
          <cell r="EI11">
            <v>243722.5</v>
          </cell>
          <cell r="EJ11">
            <v>139.89999999999418</v>
          </cell>
          <cell r="EL11">
            <v>12379400</v>
          </cell>
          <cell r="EM11">
            <v>4100</v>
          </cell>
          <cell r="EN11">
            <v>953610</v>
          </cell>
          <cell r="EO11">
            <v>230</v>
          </cell>
          <cell r="EP11">
            <v>7324100</v>
          </cell>
          <cell r="EQ11">
            <v>1200</v>
          </cell>
          <cell r="ER11">
            <v>2522700</v>
          </cell>
          <cell r="ES11">
            <v>700</v>
          </cell>
          <cell r="ET11">
            <v>1327370</v>
          </cell>
          <cell r="EU11">
            <v>670</v>
          </cell>
          <cell r="EV11">
            <v>16809100</v>
          </cell>
          <cell r="EW11">
            <v>2900</v>
          </cell>
          <cell r="EY11">
            <v>43423</v>
          </cell>
          <cell r="EZ11">
            <v>14</v>
          </cell>
          <cell r="FA11">
            <v>37827</v>
          </cell>
          <cell r="FB11">
            <v>10</v>
          </cell>
          <cell r="FC11">
            <v>8375</v>
          </cell>
          <cell r="FD11">
            <v>9</v>
          </cell>
          <cell r="FE11">
            <v>60473</v>
          </cell>
          <cell r="FF11">
            <v>22</v>
          </cell>
          <cell r="FG11">
            <v>52362</v>
          </cell>
          <cell r="FH11">
            <v>33</v>
          </cell>
          <cell r="FJ11">
            <v>181.58</v>
          </cell>
          <cell r="FL11">
            <v>262564.59999999998</v>
          </cell>
          <cell r="FN11">
            <v>90300.854999999996</v>
          </cell>
          <cell r="FP11">
            <v>12381</v>
          </cell>
          <cell r="FR11">
            <v>11047</v>
          </cell>
          <cell r="FT11">
            <v>8739</v>
          </cell>
          <cell r="FV11">
            <v>9115</v>
          </cell>
        </row>
        <row r="12">
          <cell r="B12">
            <v>0.87</v>
          </cell>
          <cell r="E12">
            <v>261580</v>
          </cell>
          <cell r="F12">
            <v>721</v>
          </cell>
          <cell r="G12">
            <v>682</v>
          </cell>
          <cell r="H12">
            <v>279331</v>
          </cell>
          <cell r="I12">
            <v>532</v>
          </cell>
          <cell r="J12">
            <v>463</v>
          </cell>
          <cell r="K12">
            <v>22909</v>
          </cell>
          <cell r="L12">
            <v>356</v>
          </cell>
          <cell r="N12">
            <v>936734</v>
          </cell>
          <cell r="O12">
            <v>276</v>
          </cell>
          <cell r="Q12">
            <v>246269</v>
          </cell>
          <cell r="R12">
            <v>0</v>
          </cell>
          <cell r="U12">
            <v>122859</v>
          </cell>
          <cell r="V12">
            <v>115</v>
          </cell>
          <cell r="W12">
            <v>2.0859999999999999</v>
          </cell>
          <cell r="X12">
            <v>7008</v>
          </cell>
          <cell r="Y12">
            <v>17</v>
          </cell>
          <cell r="AE12">
            <v>8350461.8399999999</v>
          </cell>
          <cell r="AF12">
            <v>2046.2400000002235</v>
          </cell>
          <cell r="AH12">
            <v>15862406.24</v>
          </cell>
          <cell r="AI12">
            <v>6677.1200000010431</v>
          </cell>
          <cell r="AK12">
            <v>15997553.039999999</v>
          </cell>
          <cell r="AL12">
            <v>0</v>
          </cell>
          <cell r="AN12">
            <v>19163040.079999998</v>
          </cell>
          <cell r="AO12">
            <v>4289.839999999851</v>
          </cell>
          <cell r="AQ12">
            <v>19412971.199999999</v>
          </cell>
          <cell r="AR12">
            <v>10523.519999999553</v>
          </cell>
          <cell r="AT12">
            <v>18021771.599999998</v>
          </cell>
          <cell r="AU12">
            <v>5554.0799999982119</v>
          </cell>
          <cell r="AW12">
            <v>15130093.439999999</v>
          </cell>
          <cell r="AX12">
            <v>4336.0800000000745</v>
          </cell>
          <cell r="AZ12">
            <v>14688592.799999999</v>
          </cell>
          <cell r="BA12">
            <v>4482.2400000002235</v>
          </cell>
          <cell r="BC12">
            <v>11434925.040000001</v>
          </cell>
          <cell r="BD12">
            <v>3215.5200000014156</v>
          </cell>
          <cell r="BF12">
            <v>18176603.760000002</v>
          </cell>
          <cell r="BG12">
            <v>5797.679999999702</v>
          </cell>
          <cell r="BM12">
            <v>79029800</v>
          </cell>
          <cell r="BN12">
            <v>0</v>
          </cell>
          <cell r="BP12">
            <v>82049800</v>
          </cell>
          <cell r="BQ12">
            <v>6400</v>
          </cell>
          <cell r="BS12">
            <v>75913700</v>
          </cell>
          <cell r="BT12">
            <v>56100</v>
          </cell>
          <cell r="BV12">
            <v>10799680</v>
          </cell>
          <cell r="BW12">
            <v>8010</v>
          </cell>
          <cell r="BY12">
            <v>0.7</v>
          </cell>
          <cell r="BZ12">
            <v>8.0000000000000071E-2</v>
          </cell>
          <cell r="CB12">
            <v>65844</v>
          </cell>
          <cell r="CC12">
            <v>18</v>
          </cell>
          <cell r="CD12">
            <v>57073</v>
          </cell>
          <cell r="CE12">
            <v>20</v>
          </cell>
          <cell r="CF12">
            <v>19273</v>
          </cell>
          <cell r="CG12">
            <v>8</v>
          </cell>
          <cell r="CH12">
            <v>26404</v>
          </cell>
          <cell r="CI12">
            <v>9</v>
          </cell>
          <cell r="CJ12">
            <v>29712</v>
          </cell>
          <cell r="CK12">
            <v>13</v>
          </cell>
          <cell r="CL12">
            <v>65477</v>
          </cell>
          <cell r="CM12">
            <v>36</v>
          </cell>
          <cell r="CN12">
            <v>274479</v>
          </cell>
          <cell r="CO12">
            <v>80</v>
          </cell>
          <cell r="CQ12">
            <v>224705</v>
          </cell>
          <cell r="CR12">
            <v>116</v>
          </cell>
          <cell r="CT12">
            <v>376814</v>
          </cell>
          <cell r="CU12">
            <v>148</v>
          </cell>
          <cell r="CW12">
            <v>709427</v>
          </cell>
          <cell r="CX12">
            <v>176</v>
          </cell>
          <cell r="CZ12">
            <v>9576</v>
          </cell>
          <cell r="DA12">
            <v>9</v>
          </cell>
          <cell r="DB12">
            <v>6467</v>
          </cell>
          <cell r="DC12">
            <v>8</v>
          </cell>
          <cell r="DD12">
            <v>33483</v>
          </cell>
          <cell r="DE12">
            <v>21</v>
          </cell>
          <cell r="DF12">
            <v>33586</v>
          </cell>
          <cell r="DG12">
            <v>14</v>
          </cell>
          <cell r="DH12">
            <v>22697</v>
          </cell>
          <cell r="DI12">
            <v>10</v>
          </cell>
          <cell r="DJ12">
            <v>24499</v>
          </cell>
          <cell r="DK12">
            <v>6</v>
          </cell>
          <cell r="DL12">
            <v>8025</v>
          </cell>
          <cell r="DM12">
            <v>14</v>
          </cell>
          <cell r="DN12">
            <v>10442</v>
          </cell>
          <cell r="DO12">
            <v>11</v>
          </cell>
          <cell r="DP12">
            <v>3649</v>
          </cell>
          <cell r="DQ12">
            <v>4</v>
          </cell>
          <cell r="DR12">
            <v>7138</v>
          </cell>
          <cell r="DS12">
            <v>8</v>
          </cell>
          <cell r="DT12">
            <v>30639</v>
          </cell>
          <cell r="DU12">
            <v>6</v>
          </cell>
          <cell r="DW12">
            <v>7256.9</v>
          </cell>
          <cell r="DX12">
            <v>11</v>
          </cell>
          <cell r="DY12">
            <v>11953.9</v>
          </cell>
          <cell r="DZ12">
            <v>9</v>
          </cell>
          <cell r="EA12">
            <v>5330.3</v>
          </cell>
          <cell r="EB12">
            <v>6.6999999999998181</v>
          </cell>
          <cell r="EC12">
            <v>5945.8</v>
          </cell>
          <cell r="ED12">
            <v>7.1999999999998181</v>
          </cell>
          <cell r="EE12">
            <v>1174527</v>
          </cell>
          <cell r="EF12">
            <v>658</v>
          </cell>
          <cell r="EI12">
            <v>243874.5</v>
          </cell>
          <cell r="EJ12">
            <v>152</v>
          </cell>
          <cell r="EL12">
            <v>12384200</v>
          </cell>
          <cell r="EM12">
            <v>4800</v>
          </cell>
          <cell r="EN12">
            <v>953940</v>
          </cell>
          <cell r="EO12">
            <v>330</v>
          </cell>
          <cell r="EP12">
            <v>7325600</v>
          </cell>
          <cell r="EQ12">
            <v>1500</v>
          </cell>
          <cell r="ER12">
            <v>2523400</v>
          </cell>
          <cell r="ES12">
            <v>700</v>
          </cell>
          <cell r="ET12">
            <v>1328180</v>
          </cell>
          <cell r="EU12">
            <v>810</v>
          </cell>
          <cell r="EV12">
            <v>16813900</v>
          </cell>
          <cell r="EW12">
            <v>4800</v>
          </cell>
          <cell r="EY12">
            <v>43440</v>
          </cell>
          <cell r="EZ12">
            <v>17</v>
          </cell>
          <cell r="FA12">
            <v>37840</v>
          </cell>
          <cell r="FB12">
            <v>13</v>
          </cell>
          <cell r="FC12">
            <v>8388</v>
          </cell>
          <cell r="FD12">
            <v>13</v>
          </cell>
          <cell r="FE12">
            <v>60489</v>
          </cell>
          <cell r="FF12">
            <v>16</v>
          </cell>
          <cell r="FG12">
            <v>52394</v>
          </cell>
          <cell r="FH12">
            <v>32</v>
          </cell>
          <cell r="FJ12">
            <v>181.63</v>
          </cell>
          <cell r="FL12">
            <v>262725.7</v>
          </cell>
          <cell r="FN12">
            <v>90453.15</v>
          </cell>
          <cell r="FP12">
            <v>12381</v>
          </cell>
          <cell r="FR12">
            <v>11053</v>
          </cell>
          <cell r="FT12">
            <v>8744</v>
          </cell>
          <cell r="FV12">
            <v>9118</v>
          </cell>
        </row>
        <row r="13">
          <cell r="B13">
            <v>0.91</v>
          </cell>
          <cell r="E13">
            <v>262319</v>
          </cell>
          <cell r="F13">
            <v>739</v>
          </cell>
          <cell r="G13">
            <v>680</v>
          </cell>
          <cell r="H13">
            <v>279949</v>
          </cell>
          <cell r="I13">
            <v>618</v>
          </cell>
          <cell r="J13">
            <v>508</v>
          </cell>
          <cell r="K13">
            <v>23237</v>
          </cell>
          <cell r="L13">
            <v>328</v>
          </cell>
          <cell r="N13">
            <v>936999</v>
          </cell>
          <cell r="O13">
            <v>265</v>
          </cell>
          <cell r="Q13">
            <v>246269</v>
          </cell>
          <cell r="R13">
            <v>0</v>
          </cell>
          <cell r="U13">
            <v>122979</v>
          </cell>
          <cell r="V13">
            <v>120</v>
          </cell>
          <cell r="W13">
            <v>2.0870000000000002</v>
          </cell>
          <cell r="X13">
            <v>7031</v>
          </cell>
          <cell r="Y13">
            <v>23</v>
          </cell>
          <cell r="AE13">
            <v>8353872.2400000002</v>
          </cell>
          <cell r="AF13">
            <v>3410.4000000003725</v>
          </cell>
          <cell r="AH13">
            <v>15865960.319999998</v>
          </cell>
          <cell r="AI13">
            <v>3554.0799999982119</v>
          </cell>
          <cell r="AK13">
            <v>15997553.039999999</v>
          </cell>
          <cell r="AL13">
            <v>0</v>
          </cell>
          <cell r="AN13">
            <v>19169853.440000001</v>
          </cell>
          <cell r="AO13">
            <v>6813.3600000031292</v>
          </cell>
          <cell r="AQ13">
            <v>19414286.639999997</v>
          </cell>
          <cell r="AR13">
            <v>1315.4399999976158</v>
          </cell>
          <cell r="AT13">
            <v>18028494.960000001</v>
          </cell>
          <cell r="AU13">
            <v>6723.3600000031292</v>
          </cell>
          <cell r="AW13">
            <v>15135111.6</v>
          </cell>
          <cell r="AX13">
            <v>5018.160000000149</v>
          </cell>
          <cell r="AZ13">
            <v>14694341.76</v>
          </cell>
          <cell r="BA13">
            <v>5748.9600000008941</v>
          </cell>
          <cell r="BC13">
            <v>11438773.92</v>
          </cell>
          <cell r="BD13">
            <v>3848.8799999989569</v>
          </cell>
          <cell r="BF13">
            <v>18183814.32</v>
          </cell>
          <cell r="BG13">
            <v>7210.5599999986589</v>
          </cell>
          <cell r="BM13">
            <v>79029800</v>
          </cell>
          <cell r="BN13">
            <v>0</v>
          </cell>
          <cell r="BP13">
            <v>82109500</v>
          </cell>
          <cell r="BQ13">
            <v>59700</v>
          </cell>
          <cell r="BS13">
            <v>75913700</v>
          </cell>
          <cell r="BT13">
            <v>0</v>
          </cell>
          <cell r="BV13">
            <v>10808810</v>
          </cell>
          <cell r="BW13">
            <v>9130</v>
          </cell>
          <cell r="BY13">
            <v>0.79</v>
          </cell>
          <cell r="BZ13">
            <v>-9.000000000000008E-2</v>
          </cell>
          <cell r="CB13">
            <v>65865</v>
          </cell>
          <cell r="CC13">
            <v>21</v>
          </cell>
          <cell r="CD13">
            <v>57096</v>
          </cell>
          <cell r="CE13">
            <v>23</v>
          </cell>
          <cell r="CF13">
            <v>19283</v>
          </cell>
          <cell r="CG13">
            <v>10</v>
          </cell>
          <cell r="CH13">
            <v>26417</v>
          </cell>
          <cell r="CI13">
            <v>13</v>
          </cell>
          <cell r="CJ13">
            <v>29732</v>
          </cell>
          <cell r="CK13">
            <v>20</v>
          </cell>
          <cell r="CL13">
            <v>65524</v>
          </cell>
          <cell r="CM13">
            <v>47</v>
          </cell>
          <cell r="CN13">
            <v>274574</v>
          </cell>
          <cell r="CO13">
            <v>95</v>
          </cell>
          <cell r="CQ13">
            <v>224843</v>
          </cell>
          <cell r="CR13">
            <v>138</v>
          </cell>
          <cell r="CT13">
            <v>377040</v>
          </cell>
          <cell r="CU13">
            <v>226</v>
          </cell>
          <cell r="CW13">
            <v>709640</v>
          </cell>
          <cell r="CX13">
            <v>213</v>
          </cell>
          <cell r="CZ13">
            <v>9586</v>
          </cell>
          <cell r="DA13">
            <v>10</v>
          </cell>
          <cell r="DB13">
            <v>6476</v>
          </cell>
          <cell r="DC13">
            <v>9</v>
          </cell>
          <cell r="DD13">
            <v>33510</v>
          </cell>
          <cell r="DE13">
            <v>27</v>
          </cell>
          <cell r="DF13">
            <v>33600</v>
          </cell>
          <cell r="DG13">
            <v>14</v>
          </cell>
          <cell r="DH13">
            <v>22708</v>
          </cell>
          <cell r="DI13">
            <v>11</v>
          </cell>
          <cell r="DJ13">
            <v>24504</v>
          </cell>
          <cell r="DK13">
            <v>5</v>
          </cell>
          <cell r="DL13">
            <v>8036</v>
          </cell>
          <cell r="DM13">
            <v>11</v>
          </cell>
          <cell r="DN13">
            <v>10450</v>
          </cell>
          <cell r="DO13">
            <v>8</v>
          </cell>
          <cell r="DP13">
            <v>3655</v>
          </cell>
          <cell r="DQ13">
            <v>6</v>
          </cell>
          <cell r="DR13">
            <v>7151</v>
          </cell>
          <cell r="DS13">
            <v>13</v>
          </cell>
          <cell r="DT13">
            <v>30646</v>
          </cell>
          <cell r="DU13">
            <v>7</v>
          </cell>
          <cell r="DW13">
            <v>7270.1</v>
          </cell>
          <cell r="DX13">
            <v>13.200000000000728</v>
          </cell>
          <cell r="DY13">
            <v>11964.5</v>
          </cell>
          <cell r="DZ13">
            <v>10.600000000000364</v>
          </cell>
          <cell r="EA13">
            <v>5338.2</v>
          </cell>
          <cell r="EB13">
            <v>7.8999999999996362</v>
          </cell>
          <cell r="EC13">
            <v>5955.6</v>
          </cell>
          <cell r="ED13">
            <v>9.8000000000001819</v>
          </cell>
          <cell r="EE13">
            <v>1175292</v>
          </cell>
          <cell r="EF13">
            <v>765</v>
          </cell>
          <cell r="EI13">
            <v>244056.1</v>
          </cell>
          <cell r="EJ13">
            <v>181.60000000000582</v>
          </cell>
          <cell r="EL13">
            <v>12390100</v>
          </cell>
          <cell r="EM13">
            <v>5900</v>
          </cell>
          <cell r="EN13">
            <v>954320</v>
          </cell>
          <cell r="EO13">
            <v>380</v>
          </cell>
          <cell r="EP13">
            <v>7327300</v>
          </cell>
          <cell r="EQ13">
            <v>1700</v>
          </cell>
          <cell r="ER13">
            <v>2524200</v>
          </cell>
          <cell r="ES13">
            <v>800</v>
          </cell>
          <cell r="ET13">
            <v>1329050</v>
          </cell>
          <cell r="EU13">
            <v>870</v>
          </cell>
          <cell r="EV13">
            <v>16820900</v>
          </cell>
          <cell r="EW13">
            <v>7000</v>
          </cell>
          <cell r="EY13">
            <v>43460</v>
          </cell>
          <cell r="EZ13">
            <v>20</v>
          </cell>
          <cell r="FA13">
            <v>37855</v>
          </cell>
          <cell r="FB13">
            <v>15</v>
          </cell>
          <cell r="FC13">
            <v>8405</v>
          </cell>
          <cell r="FD13">
            <v>17</v>
          </cell>
          <cell r="FE13">
            <v>60505</v>
          </cell>
          <cell r="FF13">
            <v>16</v>
          </cell>
          <cell r="FG13">
            <v>52439</v>
          </cell>
          <cell r="FH13">
            <v>45</v>
          </cell>
          <cell r="FJ13">
            <v>182.3</v>
          </cell>
          <cell r="FL13">
            <v>262982.8</v>
          </cell>
          <cell r="FN13">
            <v>90619.41</v>
          </cell>
          <cell r="FP13">
            <v>12381</v>
          </cell>
          <cell r="FR13">
            <v>11058</v>
          </cell>
          <cell r="FT13">
            <v>8752</v>
          </cell>
          <cell r="FV13">
            <v>9122</v>
          </cell>
        </row>
        <row r="14">
          <cell r="B14">
            <v>0.85</v>
          </cell>
          <cell r="E14">
            <v>262926</v>
          </cell>
          <cell r="F14">
            <v>607</v>
          </cell>
          <cell r="G14">
            <v>675</v>
          </cell>
          <cell r="H14">
            <v>280336</v>
          </cell>
          <cell r="I14">
            <v>387</v>
          </cell>
          <cell r="J14">
            <v>486</v>
          </cell>
          <cell r="K14">
            <v>23419</v>
          </cell>
          <cell r="L14">
            <v>182</v>
          </cell>
          <cell r="N14">
            <v>937209</v>
          </cell>
          <cell r="O14">
            <v>210</v>
          </cell>
          <cell r="Q14">
            <v>246269</v>
          </cell>
          <cell r="R14">
            <v>0</v>
          </cell>
          <cell r="U14">
            <v>123083</v>
          </cell>
          <cell r="V14">
            <v>104</v>
          </cell>
          <cell r="W14">
            <v>2.0950000000000002</v>
          </cell>
          <cell r="X14">
            <v>7046</v>
          </cell>
          <cell r="Y14">
            <v>15</v>
          </cell>
          <cell r="AE14">
            <v>8356918.4800000004</v>
          </cell>
          <cell r="AF14">
            <v>3046.2400000002235</v>
          </cell>
          <cell r="AH14">
            <v>15870468.16</v>
          </cell>
          <cell r="AI14">
            <v>4507.8400000017136</v>
          </cell>
          <cell r="AK14">
            <v>15997553.039999999</v>
          </cell>
          <cell r="AL14">
            <v>0</v>
          </cell>
          <cell r="AN14">
            <v>19183453.760000002</v>
          </cell>
          <cell r="AO14">
            <v>13600.320000000298</v>
          </cell>
          <cell r="AQ14">
            <v>19414822.560000002</v>
          </cell>
          <cell r="AR14">
            <v>535.92000000551343</v>
          </cell>
          <cell r="AT14">
            <v>18032733.599999998</v>
          </cell>
          <cell r="AU14">
            <v>4238.6399999968708</v>
          </cell>
          <cell r="AW14">
            <v>15138180.959999999</v>
          </cell>
          <cell r="AX14">
            <v>3069.359999999404</v>
          </cell>
          <cell r="AZ14">
            <v>14697606</v>
          </cell>
          <cell r="BA14">
            <v>3264.2400000002235</v>
          </cell>
          <cell r="BC14">
            <v>11441112.48</v>
          </cell>
          <cell r="BD14">
            <v>2338.5600000005215</v>
          </cell>
          <cell r="BF14">
            <v>18188150.399999999</v>
          </cell>
          <cell r="BG14">
            <v>4336.0799999982119</v>
          </cell>
          <cell r="BM14">
            <v>79029800</v>
          </cell>
          <cell r="BN14">
            <v>0</v>
          </cell>
          <cell r="BP14">
            <v>82165000</v>
          </cell>
          <cell r="BQ14">
            <v>55500</v>
          </cell>
          <cell r="BS14">
            <v>75913700</v>
          </cell>
          <cell r="BT14">
            <v>0</v>
          </cell>
          <cell r="BV14">
            <v>10815120</v>
          </cell>
          <cell r="BW14">
            <v>6310</v>
          </cell>
          <cell r="BY14">
            <v>0.71</v>
          </cell>
          <cell r="BZ14">
            <v>8.0000000000000071E-2</v>
          </cell>
          <cell r="CB14">
            <v>65878</v>
          </cell>
          <cell r="CC14">
            <v>13</v>
          </cell>
          <cell r="CD14">
            <v>57112</v>
          </cell>
          <cell r="CE14">
            <v>16</v>
          </cell>
          <cell r="CF14">
            <v>19289</v>
          </cell>
          <cell r="CG14">
            <v>6</v>
          </cell>
          <cell r="CH14">
            <v>26424</v>
          </cell>
          <cell r="CI14">
            <v>7</v>
          </cell>
          <cell r="CJ14">
            <v>29742</v>
          </cell>
          <cell r="CK14">
            <v>10</v>
          </cell>
          <cell r="CL14">
            <v>65554</v>
          </cell>
          <cell r="CM14">
            <v>30</v>
          </cell>
          <cell r="CN14">
            <v>274639</v>
          </cell>
          <cell r="CO14">
            <v>65</v>
          </cell>
          <cell r="CQ14">
            <v>224933</v>
          </cell>
          <cell r="CR14">
            <v>90</v>
          </cell>
          <cell r="CT14">
            <v>377173</v>
          </cell>
          <cell r="CU14">
            <v>133</v>
          </cell>
          <cell r="CW14">
            <v>709784</v>
          </cell>
          <cell r="CX14">
            <v>144</v>
          </cell>
          <cell r="CZ14">
            <v>9589</v>
          </cell>
          <cell r="DA14">
            <v>3</v>
          </cell>
          <cell r="DB14">
            <v>6479</v>
          </cell>
          <cell r="DC14">
            <v>3</v>
          </cell>
          <cell r="DD14">
            <v>33523</v>
          </cell>
          <cell r="DE14">
            <v>13</v>
          </cell>
          <cell r="DF14">
            <v>33611</v>
          </cell>
          <cell r="DG14">
            <v>11</v>
          </cell>
          <cell r="DH14">
            <v>22715</v>
          </cell>
          <cell r="DI14">
            <v>7</v>
          </cell>
          <cell r="DJ14">
            <v>24509</v>
          </cell>
          <cell r="DK14">
            <v>5</v>
          </cell>
          <cell r="DL14">
            <v>8043</v>
          </cell>
          <cell r="DM14">
            <v>7</v>
          </cell>
          <cell r="DN14">
            <v>10471</v>
          </cell>
          <cell r="DO14">
            <v>21</v>
          </cell>
          <cell r="DP14">
            <v>3659</v>
          </cell>
          <cell r="DQ14">
            <v>4</v>
          </cell>
          <cell r="DR14">
            <v>7157</v>
          </cell>
          <cell r="DS14">
            <v>6</v>
          </cell>
          <cell r="DT14">
            <v>30652</v>
          </cell>
          <cell r="DU14">
            <v>6</v>
          </cell>
          <cell r="DW14">
            <v>7278.4</v>
          </cell>
          <cell r="DX14">
            <v>8.2999999999992724</v>
          </cell>
          <cell r="DY14">
            <v>11971.1</v>
          </cell>
          <cell r="DZ14">
            <v>6.6000000000003638</v>
          </cell>
          <cell r="EA14">
            <v>5343.1</v>
          </cell>
          <cell r="EB14">
            <v>4.9000000000005457</v>
          </cell>
          <cell r="EC14">
            <v>5961.8</v>
          </cell>
          <cell r="ED14">
            <v>6.1999999999998181</v>
          </cell>
          <cell r="EE14">
            <v>1175788</v>
          </cell>
          <cell r="EF14">
            <v>496</v>
          </cell>
          <cell r="EI14">
            <v>244176.2</v>
          </cell>
          <cell r="EJ14">
            <v>120.10000000000582</v>
          </cell>
          <cell r="EL14">
            <v>12392700</v>
          </cell>
          <cell r="EM14">
            <v>2600</v>
          </cell>
          <cell r="EN14">
            <v>954520</v>
          </cell>
          <cell r="EO14">
            <v>200</v>
          </cell>
          <cell r="EP14">
            <v>7327800</v>
          </cell>
          <cell r="EQ14">
            <v>500</v>
          </cell>
          <cell r="ER14">
            <v>2524700</v>
          </cell>
          <cell r="ES14">
            <v>500</v>
          </cell>
          <cell r="ET14">
            <v>1329480</v>
          </cell>
          <cell r="EU14">
            <v>430</v>
          </cell>
          <cell r="EV14">
            <v>16823900</v>
          </cell>
          <cell r="EW14">
            <v>3000</v>
          </cell>
          <cell r="EY14">
            <v>43471</v>
          </cell>
          <cell r="EZ14">
            <v>11</v>
          </cell>
          <cell r="FA14">
            <v>37864</v>
          </cell>
          <cell r="FB14">
            <v>9</v>
          </cell>
          <cell r="FC14">
            <v>8413</v>
          </cell>
          <cell r="FD14">
            <v>8</v>
          </cell>
          <cell r="FE14">
            <v>60518</v>
          </cell>
          <cell r="FF14">
            <v>13</v>
          </cell>
          <cell r="FG14">
            <v>52460</v>
          </cell>
          <cell r="FH14">
            <v>21</v>
          </cell>
          <cell r="FJ14">
            <v>182.33</v>
          </cell>
          <cell r="FL14">
            <v>263091.09999999998</v>
          </cell>
          <cell r="FN14">
            <v>90736.592000000004</v>
          </cell>
          <cell r="FP14">
            <v>12381</v>
          </cell>
          <cell r="FR14">
            <v>11066</v>
          </cell>
          <cell r="FT14">
            <v>8756</v>
          </cell>
          <cell r="FV14">
            <v>9126</v>
          </cell>
        </row>
        <row r="15">
          <cell r="B15">
            <v>0.89</v>
          </cell>
          <cell r="E15">
            <v>263534</v>
          </cell>
          <cell r="F15">
            <v>608</v>
          </cell>
          <cell r="G15">
            <v>644</v>
          </cell>
          <cell r="H15">
            <v>280840</v>
          </cell>
          <cell r="I15">
            <v>504</v>
          </cell>
          <cell r="J15">
            <v>438</v>
          </cell>
          <cell r="K15">
            <v>23704</v>
          </cell>
          <cell r="L15">
            <v>285</v>
          </cell>
          <cell r="N15">
            <v>937464</v>
          </cell>
          <cell r="O15">
            <v>255</v>
          </cell>
          <cell r="Q15">
            <v>246269</v>
          </cell>
          <cell r="R15">
            <v>0</v>
          </cell>
          <cell r="U15">
            <v>123186</v>
          </cell>
          <cell r="V15">
            <v>103</v>
          </cell>
          <cell r="W15">
            <v>9.2360000000000007</v>
          </cell>
          <cell r="X15">
            <v>7059</v>
          </cell>
          <cell r="Y15">
            <v>13</v>
          </cell>
          <cell r="AE15">
            <v>8359134</v>
          </cell>
          <cell r="AF15">
            <v>2215.519999999553</v>
          </cell>
          <cell r="AH15">
            <v>15874924.799999999</v>
          </cell>
          <cell r="AI15">
            <v>4456.6399999987334</v>
          </cell>
          <cell r="AK15">
            <v>15997747.919999998</v>
          </cell>
          <cell r="AL15">
            <v>194.87999999895692</v>
          </cell>
          <cell r="AN15">
            <v>19191246.48</v>
          </cell>
          <cell r="AO15">
            <v>7792.7199999988079</v>
          </cell>
          <cell r="AQ15">
            <v>19416966.239999998</v>
          </cell>
          <cell r="AR15">
            <v>2143.6799999959767</v>
          </cell>
          <cell r="AT15">
            <v>18039310.800000001</v>
          </cell>
          <cell r="AU15">
            <v>6577.2000000029802</v>
          </cell>
          <cell r="AW15">
            <v>15142809.359999999</v>
          </cell>
          <cell r="AX15">
            <v>4628.4000000003725</v>
          </cell>
          <cell r="AZ15">
            <v>14702575.439999999</v>
          </cell>
          <cell r="BA15">
            <v>4969.4399999994785</v>
          </cell>
          <cell r="BC15">
            <v>11444717.76</v>
          </cell>
          <cell r="BD15">
            <v>3605.2799999993294</v>
          </cell>
          <cell r="BF15">
            <v>18194337.84</v>
          </cell>
          <cell r="BG15">
            <v>6187.4400000013411</v>
          </cell>
          <cell r="BM15">
            <v>79029800</v>
          </cell>
          <cell r="BN15">
            <v>0</v>
          </cell>
          <cell r="BP15">
            <v>82218200</v>
          </cell>
          <cell r="BQ15">
            <v>53200</v>
          </cell>
          <cell r="BS15">
            <v>75913700</v>
          </cell>
          <cell r="BT15">
            <v>0</v>
          </cell>
          <cell r="BV15">
            <v>10823360</v>
          </cell>
          <cell r="BW15">
            <v>8240</v>
          </cell>
          <cell r="BY15">
            <v>0.74</v>
          </cell>
          <cell r="BZ15">
            <v>-3.0000000000000027E-2</v>
          </cell>
          <cell r="CB15">
            <v>65899</v>
          </cell>
          <cell r="CC15">
            <v>21</v>
          </cell>
          <cell r="CD15">
            <v>57135</v>
          </cell>
          <cell r="CE15">
            <v>23</v>
          </cell>
          <cell r="CF15">
            <v>19299</v>
          </cell>
          <cell r="CG15">
            <v>10</v>
          </cell>
          <cell r="CH15">
            <v>26434</v>
          </cell>
          <cell r="CI15">
            <v>10</v>
          </cell>
          <cell r="CJ15">
            <v>29762</v>
          </cell>
          <cell r="CK15">
            <v>20</v>
          </cell>
          <cell r="CL15">
            <v>65596</v>
          </cell>
          <cell r="CM15">
            <v>42</v>
          </cell>
          <cell r="CN15">
            <v>274732</v>
          </cell>
          <cell r="CO15">
            <v>93</v>
          </cell>
          <cell r="CQ15">
            <v>225056</v>
          </cell>
          <cell r="CR15">
            <v>123</v>
          </cell>
          <cell r="CT15">
            <v>377359</v>
          </cell>
          <cell r="CU15">
            <v>186</v>
          </cell>
          <cell r="CW15">
            <v>709991</v>
          </cell>
          <cell r="CX15">
            <v>207</v>
          </cell>
          <cell r="CZ15">
            <v>9595</v>
          </cell>
          <cell r="DA15">
            <v>6</v>
          </cell>
          <cell r="DB15">
            <v>6484</v>
          </cell>
          <cell r="DC15">
            <v>5</v>
          </cell>
          <cell r="DD15">
            <v>33542</v>
          </cell>
          <cell r="DE15">
            <v>19</v>
          </cell>
          <cell r="DF15">
            <v>33627</v>
          </cell>
          <cell r="DG15">
            <v>16</v>
          </cell>
          <cell r="DH15">
            <v>22724</v>
          </cell>
          <cell r="DI15">
            <v>9</v>
          </cell>
          <cell r="DJ15">
            <v>24514</v>
          </cell>
          <cell r="DK15">
            <v>5</v>
          </cell>
          <cell r="DL15">
            <v>8052</v>
          </cell>
          <cell r="DM15">
            <v>9</v>
          </cell>
          <cell r="DN15">
            <v>10476</v>
          </cell>
          <cell r="DO15">
            <v>5</v>
          </cell>
          <cell r="DP15">
            <v>3663</v>
          </cell>
          <cell r="DQ15">
            <v>4</v>
          </cell>
          <cell r="DR15">
            <v>7166</v>
          </cell>
          <cell r="DS15">
            <v>9</v>
          </cell>
          <cell r="DT15">
            <v>30658</v>
          </cell>
          <cell r="DU15">
            <v>6</v>
          </cell>
          <cell r="DW15">
            <v>7290.3</v>
          </cell>
          <cell r="DX15">
            <v>11.900000000000546</v>
          </cell>
          <cell r="DY15">
            <v>11979.2</v>
          </cell>
          <cell r="DZ15">
            <v>8.1000000000003638</v>
          </cell>
          <cell r="EA15">
            <v>5350.3</v>
          </cell>
          <cell r="EB15">
            <v>7.1999999999998181</v>
          </cell>
          <cell r="EC15">
            <v>5968.7</v>
          </cell>
          <cell r="ED15">
            <v>6.8999999999996362</v>
          </cell>
          <cell r="EE15">
            <v>1176460</v>
          </cell>
          <cell r="EF15">
            <v>672</v>
          </cell>
          <cell r="EI15">
            <v>244352.3</v>
          </cell>
          <cell r="EJ15">
            <v>176.09999999997672</v>
          </cell>
          <cell r="EL15">
            <v>12397300</v>
          </cell>
          <cell r="EM15">
            <v>4600</v>
          </cell>
          <cell r="EN15">
            <v>954830</v>
          </cell>
          <cell r="EO15">
            <v>310</v>
          </cell>
          <cell r="EP15">
            <v>7329000</v>
          </cell>
          <cell r="EQ15">
            <v>1200</v>
          </cell>
          <cell r="ER15">
            <v>2525300</v>
          </cell>
          <cell r="ES15">
            <v>600</v>
          </cell>
          <cell r="ET15">
            <v>1330200</v>
          </cell>
          <cell r="EU15">
            <v>720</v>
          </cell>
          <cell r="EV15">
            <v>16829300</v>
          </cell>
          <cell r="EW15">
            <v>5400</v>
          </cell>
          <cell r="EY15">
            <v>43492</v>
          </cell>
          <cell r="EZ15">
            <v>21</v>
          </cell>
          <cell r="FA15">
            <v>37877</v>
          </cell>
          <cell r="FB15">
            <v>13</v>
          </cell>
          <cell r="FC15">
            <v>8421</v>
          </cell>
          <cell r="FD15">
            <v>8</v>
          </cell>
          <cell r="FE15">
            <v>60531</v>
          </cell>
          <cell r="FF15">
            <v>13</v>
          </cell>
          <cell r="FG15">
            <v>52496</v>
          </cell>
          <cell r="FH15">
            <v>36</v>
          </cell>
          <cell r="FJ15">
            <v>183.56200000000001</v>
          </cell>
          <cell r="FL15">
            <v>263341.09999999998</v>
          </cell>
          <cell r="FN15">
            <v>90898.723100000003</v>
          </cell>
          <cell r="FP15">
            <v>12391</v>
          </cell>
          <cell r="FR15">
            <v>11073</v>
          </cell>
          <cell r="FT15">
            <v>8760</v>
          </cell>
          <cell r="FV15">
            <v>9129</v>
          </cell>
        </row>
        <row r="16">
          <cell r="B16">
            <v>0.91</v>
          </cell>
          <cell r="E16">
            <v>264152</v>
          </cell>
          <cell r="F16">
            <v>618</v>
          </cell>
          <cell r="G16">
            <v>643</v>
          </cell>
          <cell r="H16">
            <v>281230</v>
          </cell>
          <cell r="I16">
            <v>390</v>
          </cell>
          <cell r="J16">
            <v>425</v>
          </cell>
          <cell r="K16">
            <v>23902</v>
          </cell>
          <cell r="L16">
            <v>198</v>
          </cell>
          <cell r="N16">
            <v>937701</v>
          </cell>
          <cell r="O16">
            <v>237</v>
          </cell>
          <cell r="Q16">
            <v>246269</v>
          </cell>
          <cell r="R16">
            <v>0</v>
          </cell>
          <cell r="U16">
            <v>123289</v>
          </cell>
          <cell r="V16">
            <v>103</v>
          </cell>
          <cell r="W16">
            <v>4.9279999999999999</v>
          </cell>
          <cell r="X16">
            <v>7075</v>
          </cell>
          <cell r="Y16">
            <v>16</v>
          </cell>
          <cell r="AE16">
            <v>8361277.6800000006</v>
          </cell>
          <cell r="AF16">
            <v>2143.6800000006333</v>
          </cell>
          <cell r="AH16">
            <v>15878724.959999999</v>
          </cell>
          <cell r="AI16">
            <v>3800.160000000149</v>
          </cell>
          <cell r="AK16">
            <v>16006322.639999999</v>
          </cell>
          <cell r="AL16">
            <v>8574.7200000006706</v>
          </cell>
          <cell r="AN16">
            <v>19191295.199999999</v>
          </cell>
          <cell r="AO16">
            <v>48.719999998807907</v>
          </cell>
          <cell r="AQ16">
            <v>19417648.32</v>
          </cell>
          <cell r="AR16">
            <v>682.08000000193715</v>
          </cell>
          <cell r="AT16">
            <v>18043695.599999998</v>
          </cell>
          <cell r="AU16">
            <v>4384.7999999970198</v>
          </cell>
          <cell r="AW16">
            <v>15145878.719999999</v>
          </cell>
          <cell r="AX16">
            <v>3069.359999999404</v>
          </cell>
          <cell r="AZ16">
            <v>14705888.4</v>
          </cell>
          <cell r="BA16">
            <v>3312.9600000008941</v>
          </cell>
          <cell r="BC16">
            <v>11447105.040000001</v>
          </cell>
          <cell r="BD16">
            <v>2387.2800000011921</v>
          </cell>
          <cell r="BF16">
            <v>18198917.52</v>
          </cell>
          <cell r="BG16">
            <v>4579.679999999702</v>
          </cell>
          <cell r="BM16">
            <v>79075800</v>
          </cell>
          <cell r="BN16">
            <v>46000</v>
          </cell>
          <cell r="BP16">
            <v>82220500</v>
          </cell>
          <cell r="BQ16">
            <v>2300</v>
          </cell>
          <cell r="BS16">
            <v>75920000</v>
          </cell>
          <cell r="BT16">
            <v>6300</v>
          </cell>
          <cell r="BV16">
            <v>10829780</v>
          </cell>
          <cell r="BW16">
            <v>6420</v>
          </cell>
          <cell r="BY16">
            <v>0.81</v>
          </cell>
          <cell r="BZ16">
            <v>-7.0000000000000062E-2</v>
          </cell>
          <cell r="CB16">
            <v>65915</v>
          </cell>
          <cell r="CC16">
            <v>16</v>
          </cell>
          <cell r="CD16">
            <v>57154</v>
          </cell>
          <cell r="CE16">
            <v>19</v>
          </cell>
          <cell r="CF16">
            <v>19305</v>
          </cell>
          <cell r="CG16">
            <v>6</v>
          </cell>
          <cell r="CH16">
            <v>26442</v>
          </cell>
          <cell r="CI16">
            <v>8</v>
          </cell>
          <cell r="CJ16">
            <v>29772</v>
          </cell>
          <cell r="CK16">
            <v>10</v>
          </cell>
          <cell r="CL16">
            <v>65625</v>
          </cell>
          <cell r="CM16">
            <v>29</v>
          </cell>
          <cell r="CN16">
            <v>274798</v>
          </cell>
          <cell r="CO16">
            <v>66</v>
          </cell>
          <cell r="CQ16">
            <v>225145</v>
          </cell>
          <cell r="CR16">
            <v>89</v>
          </cell>
          <cell r="CT16">
            <v>377471</v>
          </cell>
          <cell r="CU16">
            <v>112</v>
          </cell>
          <cell r="CW16">
            <v>710138</v>
          </cell>
          <cell r="CX16">
            <v>147</v>
          </cell>
          <cell r="CZ16">
            <v>9603</v>
          </cell>
          <cell r="DA16">
            <v>8</v>
          </cell>
          <cell r="DB16">
            <v>6492</v>
          </cell>
          <cell r="DC16">
            <v>8</v>
          </cell>
          <cell r="DD16">
            <v>33558</v>
          </cell>
          <cell r="DE16">
            <v>16</v>
          </cell>
          <cell r="DF16">
            <v>33641</v>
          </cell>
          <cell r="DG16">
            <v>14</v>
          </cell>
          <cell r="DH16">
            <v>22730</v>
          </cell>
          <cell r="DI16">
            <v>6</v>
          </cell>
          <cell r="DJ16">
            <v>24519</v>
          </cell>
          <cell r="DK16">
            <v>5</v>
          </cell>
          <cell r="DL16">
            <v>8060</v>
          </cell>
          <cell r="DM16">
            <v>8</v>
          </cell>
          <cell r="DN16">
            <v>10483</v>
          </cell>
          <cell r="DO16">
            <v>7</v>
          </cell>
          <cell r="DP16">
            <v>3667</v>
          </cell>
          <cell r="DQ16">
            <v>4</v>
          </cell>
          <cell r="DR16">
            <v>7173</v>
          </cell>
          <cell r="DS16">
            <v>7</v>
          </cell>
          <cell r="DT16">
            <v>30665</v>
          </cell>
          <cell r="DU16">
            <v>7</v>
          </cell>
          <cell r="DW16">
            <v>7298.7</v>
          </cell>
          <cell r="DX16">
            <v>8.3999999999996362</v>
          </cell>
          <cell r="DY16">
            <v>11987.2</v>
          </cell>
          <cell r="DZ16">
            <v>8</v>
          </cell>
          <cell r="EA16">
            <v>5355.3</v>
          </cell>
          <cell r="EB16">
            <v>5</v>
          </cell>
          <cell r="EC16">
            <v>5974.6</v>
          </cell>
          <cell r="ED16">
            <v>5.9000000000005457</v>
          </cell>
          <cell r="EE16">
            <v>1176925</v>
          </cell>
          <cell r="EF16">
            <v>465</v>
          </cell>
          <cell r="EI16">
            <v>244475.3</v>
          </cell>
          <cell r="EJ16">
            <v>123</v>
          </cell>
          <cell r="EL16">
            <v>12400500</v>
          </cell>
          <cell r="EM16">
            <v>3200</v>
          </cell>
          <cell r="EN16">
            <v>955070</v>
          </cell>
          <cell r="EO16">
            <v>240</v>
          </cell>
          <cell r="EP16">
            <v>7329800</v>
          </cell>
          <cell r="EQ16">
            <v>800</v>
          </cell>
          <cell r="ER16">
            <v>2525900</v>
          </cell>
          <cell r="ES16">
            <v>600</v>
          </cell>
          <cell r="ET16">
            <v>1330560</v>
          </cell>
          <cell r="EU16">
            <v>360</v>
          </cell>
          <cell r="EV16">
            <v>16833400</v>
          </cell>
          <cell r="EW16">
            <v>4100</v>
          </cell>
          <cell r="EY16">
            <v>43506</v>
          </cell>
          <cell r="EZ16">
            <v>14</v>
          </cell>
          <cell r="FA16">
            <v>37885</v>
          </cell>
          <cell r="FB16">
            <v>8</v>
          </cell>
          <cell r="FC16">
            <v>8430</v>
          </cell>
          <cell r="FD16">
            <v>9</v>
          </cell>
          <cell r="FE16">
            <v>60544</v>
          </cell>
          <cell r="FF16">
            <v>13</v>
          </cell>
          <cell r="FG16">
            <v>52518</v>
          </cell>
          <cell r="FH16">
            <v>22</v>
          </cell>
          <cell r="FJ16">
            <v>184.79</v>
          </cell>
          <cell r="FL16">
            <v>263581.09999999998</v>
          </cell>
          <cell r="FN16">
            <v>91047.497000000003</v>
          </cell>
          <cell r="FP16">
            <v>12395</v>
          </cell>
          <cell r="FR16">
            <v>11077</v>
          </cell>
          <cell r="FT16">
            <v>8766</v>
          </cell>
          <cell r="FV16">
            <v>9133</v>
          </cell>
        </row>
        <row r="17">
          <cell r="B17">
            <v>0.76</v>
          </cell>
          <cell r="E17">
            <v>264779</v>
          </cell>
          <cell r="F17">
            <v>627</v>
          </cell>
          <cell r="G17">
            <v>696</v>
          </cell>
          <cell r="H17">
            <v>281710</v>
          </cell>
          <cell r="I17">
            <v>480</v>
          </cell>
          <cell r="J17">
            <v>451</v>
          </cell>
          <cell r="K17">
            <v>24054</v>
          </cell>
          <cell r="L17">
            <v>152</v>
          </cell>
          <cell r="N17">
            <v>937849</v>
          </cell>
          <cell r="O17">
            <v>148</v>
          </cell>
          <cell r="Q17">
            <v>246269</v>
          </cell>
          <cell r="R17">
            <v>0</v>
          </cell>
          <cell r="U17">
            <v>123401</v>
          </cell>
          <cell r="V17">
            <v>112</v>
          </cell>
          <cell r="W17">
            <v>4.9160000000000004</v>
          </cell>
          <cell r="X17">
            <v>7091</v>
          </cell>
          <cell r="Y17">
            <v>16</v>
          </cell>
          <cell r="AE17">
            <v>8364054.7199999988</v>
          </cell>
          <cell r="AF17">
            <v>2777.0399999981746</v>
          </cell>
          <cell r="AH17">
            <v>15883402.08</v>
          </cell>
          <cell r="AI17">
            <v>4677.1200000010431</v>
          </cell>
          <cell r="AK17">
            <v>16016846.16</v>
          </cell>
          <cell r="AL17">
            <v>10523.520000001416</v>
          </cell>
          <cell r="AN17">
            <v>19191343.919999998</v>
          </cell>
          <cell r="AO17">
            <v>48.719999998807907</v>
          </cell>
          <cell r="AQ17">
            <v>19418574</v>
          </cell>
          <cell r="AR17">
            <v>925.67999999970198</v>
          </cell>
          <cell r="AT17">
            <v>18049200.960000001</v>
          </cell>
          <cell r="AU17">
            <v>5505.3600000031292</v>
          </cell>
          <cell r="AW17">
            <v>15149776.319999998</v>
          </cell>
          <cell r="AX17">
            <v>3897.5999999996275</v>
          </cell>
          <cell r="AZ17">
            <v>14710273.199999999</v>
          </cell>
          <cell r="BA17">
            <v>4384.7999999988824</v>
          </cell>
          <cell r="BC17">
            <v>11450076.959999999</v>
          </cell>
          <cell r="BD17">
            <v>2971.9199999980628</v>
          </cell>
          <cell r="BF17">
            <v>18204666.48</v>
          </cell>
          <cell r="BG17">
            <v>5748.9600000008941</v>
          </cell>
          <cell r="BM17">
            <v>79133200</v>
          </cell>
          <cell r="BN17">
            <v>57400</v>
          </cell>
          <cell r="BP17">
            <v>82220500</v>
          </cell>
          <cell r="BQ17">
            <v>0</v>
          </cell>
          <cell r="BS17">
            <v>75920000</v>
          </cell>
          <cell r="BT17">
            <v>0</v>
          </cell>
          <cell r="BV17">
            <v>10837630</v>
          </cell>
          <cell r="BW17">
            <v>7850</v>
          </cell>
          <cell r="BY17">
            <v>0.81</v>
          </cell>
          <cell r="BZ17">
            <v>0</v>
          </cell>
          <cell r="CB17">
            <v>65929</v>
          </cell>
          <cell r="CC17">
            <v>14</v>
          </cell>
          <cell r="CD17">
            <v>57173</v>
          </cell>
          <cell r="CE17">
            <v>19</v>
          </cell>
          <cell r="CF17">
            <v>19311</v>
          </cell>
          <cell r="CG17">
            <v>6</v>
          </cell>
          <cell r="CH17">
            <v>26450</v>
          </cell>
          <cell r="CI17">
            <v>8</v>
          </cell>
          <cell r="CJ17">
            <v>29787</v>
          </cell>
          <cell r="CK17">
            <v>15</v>
          </cell>
          <cell r="CL17">
            <v>65660</v>
          </cell>
          <cell r="CM17">
            <v>35</v>
          </cell>
          <cell r="CN17">
            <v>274878</v>
          </cell>
          <cell r="CO17">
            <v>80</v>
          </cell>
          <cell r="CQ17">
            <v>225243</v>
          </cell>
          <cell r="CR17">
            <v>98</v>
          </cell>
          <cell r="CT17">
            <v>377602</v>
          </cell>
          <cell r="CU17">
            <v>131</v>
          </cell>
          <cell r="CW17">
            <v>710314</v>
          </cell>
          <cell r="CX17">
            <v>176</v>
          </cell>
          <cell r="CZ17">
            <v>9606</v>
          </cell>
          <cell r="DA17">
            <v>3</v>
          </cell>
          <cell r="DB17">
            <v>6497</v>
          </cell>
          <cell r="DC17">
            <v>5</v>
          </cell>
          <cell r="DD17">
            <v>33577</v>
          </cell>
          <cell r="DE17">
            <v>19</v>
          </cell>
          <cell r="DF17">
            <v>33658</v>
          </cell>
          <cell r="DG17">
            <v>17</v>
          </cell>
          <cell r="DH17">
            <v>22737</v>
          </cell>
          <cell r="DI17">
            <v>7</v>
          </cell>
          <cell r="DJ17">
            <v>24525</v>
          </cell>
          <cell r="DK17">
            <v>6</v>
          </cell>
          <cell r="DL17">
            <v>8068</v>
          </cell>
          <cell r="DM17">
            <v>8</v>
          </cell>
          <cell r="DN17">
            <v>10495</v>
          </cell>
          <cell r="DO17">
            <v>12</v>
          </cell>
          <cell r="DP17">
            <v>3671</v>
          </cell>
          <cell r="DQ17">
            <v>4</v>
          </cell>
          <cell r="DR17">
            <v>7182</v>
          </cell>
          <cell r="DS17">
            <v>9</v>
          </cell>
          <cell r="DT17">
            <v>30668</v>
          </cell>
          <cell r="DU17">
            <v>3</v>
          </cell>
          <cell r="DW17">
            <v>7309.9</v>
          </cell>
          <cell r="DX17">
            <v>11.199999999999818</v>
          </cell>
          <cell r="DY17">
            <v>11995.8</v>
          </cell>
          <cell r="DZ17">
            <v>8.5999999999985448</v>
          </cell>
          <cell r="EA17">
            <v>5361.7</v>
          </cell>
          <cell r="EB17">
            <v>6.3999999999996362</v>
          </cell>
          <cell r="EC17">
            <v>5981.3</v>
          </cell>
          <cell r="ED17">
            <v>6.6999999999998181</v>
          </cell>
          <cell r="EE17">
            <v>1177518</v>
          </cell>
          <cell r="EF17">
            <v>593</v>
          </cell>
          <cell r="EI17">
            <v>244629.7</v>
          </cell>
          <cell r="EJ17">
            <v>154.40000000002328</v>
          </cell>
          <cell r="EL17">
            <v>12404800</v>
          </cell>
          <cell r="EM17">
            <v>4300</v>
          </cell>
          <cell r="EN17">
            <v>955370</v>
          </cell>
          <cell r="EO17">
            <v>300</v>
          </cell>
          <cell r="EP17">
            <v>7330900</v>
          </cell>
          <cell r="EQ17">
            <v>1100</v>
          </cell>
          <cell r="ER17">
            <v>2526600</v>
          </cell>
          <cell r="ES17">
            <v>700</v>
          </cell>
          <cell r="ET17">
            <v>1331130</v>
          </cell>
          <cell r="EU17">
            <v>570</v>
          </cell>
          <cell r="EV17">
            <v>16838800</v>
          </cell>
          <cell r="EW17">
            <v>5400</v>
          </cell>
          <cell r="EY17">
            <v>43522</v>
          </cell>
          <cell r="EZ17">
            <v>16</v>
          </cell>
          <cell r="FA17">
            <v>37896</v>
          </cell>
          <cell r="FB17">
            <v>11</v>
          </cell>
          <cell r="FC17">
            <v>8440</v>
          </cell>
          <cell r="FD17">
            <v>10</v>
          </cell>
          <cell r="FE17">
            <v>60560</v>
          </cell>
          <cell r="FF17">
            <v>16</v>
          </cell>
          <cell r="FG17">
            <v>52552</v>
          </cell>
          <cell r="FH17">
            <v>34</v>
          </cell>
          <cell r="FJ17">
            <v>187.018</v>
          </cell>
          <cell r="FL17">
            <v>263858.2</v>
          </cell>
          <cell r="FN17">
            <v>91140.099000000002</v>
          </cell>
          <cell r="FP17">
            <v>12397</v>
          </cell>
          <cell r="FR17">
            <v>11082</v>
          </cell>
          <cell r="FT17">
            <v>8772</v>
          </cell>
          <cell r="FV17">
            <v>9137</v>
          </cell>
        </row>
        <row r="18">
          <cell r="B18">
            <v>0.86</v>
          </cell>
          <cell r="E18">
            <v>265364</v>
          </cell>
          <cell r="F18">
            <v>585</v>
          </cell>
          <cell r="G18">
            <v>687</v>
          </cell>
          <cell r="H18">
            <v>282195</v>
          </cell>
          <cell r="I18">
            <v>485</v>
          </cell>
          <cell r="J18">
            <v>450</v>
          </cell>
          <cell r="K18">
            <v>24324</v>
          </cell>
          <cell r="L18">
            <v>270</v>
          </cell>
          <cell r="N18">
            <v>938112</v>
          </cell>
          <cell r="O18">
            <v>263</v>
          </cell>
          <cell r="Q18">
            <v>246269</v>
          </cell>
          <cell r="R18">
            <v>0</v>
          </cell>
          <cell r="U18">
            <v>123514</v>
          </cell>
          <cell r="V18">
            <v>113</v>
          </cell>
          <cell r="W18">
            <v>4.93</v>
          </cell>
          <cell r="X18">
            <v>7108</v>
          </cell>
          <cell r="Y18">
            <v>17</v>
          </cell>
          <cell r="AE18">
            <v>8366783.04</v>
          </cell>
          <cell r="AF18">
            <v>2728.3200000012293</v>
          </cell>
          <cell r="AH18">
            <v>15887981.76</v>
          </cell>
          <cell r="AI18">
            <v>4579.679999999702</v>
          </cell>
          <cell r="AK18">
            <v>16026833.760000002</v>
          </cell>
          <cell r="AL18">
            <v>9987.6000000014901</v>
          </cell>
          <cell r="AN18">
            <v>19191392.639999997</v>
          </cell>
          <cell r="AO18">
            <v>48.719999998807907</v>
          </cell>
          <cell r="AQ18">
            <v>19419402.239999998</v>
          </cell>
          <cell r="AR18">
            <v>828.23999999836087</v>
          </cell>
          <cell r="AT18">
            <v>18054657.599999998</v>
          </cell>
          <cell r="AU18">
            <v>5456.6399999968708</v>
          </cell>
          <cell r="AW18">
            <v>15153722.640000001</v>
          </cell>
          <cell r="AX18">
            <v>3946.3200000021607</v>
          </cell>
          <cell r="AZ18">
            <v>14714511.84</v>
          </cell>
          <cell r="BA18">
            <v>4238.640000000596</v>
          </cell>
          <cell r="BC18">
            <v>11452902.719999999</v>
          </cell>
          <cell r="BD18">
            <v>2825.7599999997765</v>
          </cell>
          <cell r="BF18">
            <v>18210074.399999999</v>
          </cell>
          <cell r="BG18">
            <v>5407.9199999980628</v>
          </cell>
          <cell r="BM18">
            <v>79189900</v>
          </cell>
          <cell r="BN18">
            <v>56700</v>
          </cell>
          <cell r="BP18">
            <v>82220500</v>
          </cell>
          <cell r="BQ18">
            <v>0</v>
          </cell>
          <cell r="BS18">
            <v>75920000</v>
          </cell>
          <cell r="BT18">
            <v>0</v>
          </cell>
          <cell r="BV18">
            <v>10845760</v>
          </cell>
          <cell r="BW18">
            <v>8130</v>
          </cell>
          <cell r="BY18">
            <v>0.79</v>
          </cell>
          <cell r="BZ18">
            <v>2.0000000000000018E-2</v>
          </cell>
          <cell r="CB18">
            <v>65943</v>
          </cell>
          <cell r="CC18">
            <v>14</v>
          </cell>
          <cell r="CD18">
            <v>57192</v>
          </cell>
          <cell r="CE18">
            <v>19</v>
          </cell>
          <cell r="CF18">
            <v>19317</v>
          </cell>
          <cell r="CG18">
            <v>6</v>
          </cell>
          <cell r="CH18">
            <v>26458</v>
          </cell>
          <cell r="CI18">
            <v>8</v>
          </cell>
          <cell r="CJ18">
            <v>29803</v>
          </cell>
          <cell r="CK18">
            <v>16</v>
          </cell>
          <cell r="CL18">
            <v>65694</v>
          </cell>
          <cell r="CM18">
            <v>34</v>
          </cell>
          <cell r="CN18">
            <v>274960</v>
          </cell>
          <cell r="CO18">
            <v>82</v>
          </cell>
          <cell r="CQ18">
            <v>225356</v>
          </cell>
          <cell r="CR18">
            <v>113</v>
          </cell>
          <cell r="CT18">
            <v>377752</v>
          </cell>
          <cell r="CU18">
            <v>150</v>
          </cell>
          <cell r="CW18">
            <v>710497</v>
          </cell>
          <cell r="CX18">
            <v>183</v>
          </cell>
          <cell r="CZ18">
            <v>9609</v>
          </cell>
          <cell r="DA18">
            <v>3</v>
          </cell>
          <cell r="DB18">
            <v>6503</v>
          </cell>
          <cell r="DC18">
            <v>6</v>
          </cell>
          <cell r="DD18">
            <v>33594</v>
          </cell>
          <cell r="DE18">
            <v>17</v>
          </cell>
          <cell r="DF18">
            <v>33670</v>
          </cell>
          <cell r="DG18">
            <v>12</v>
          </cell>
          <cell r="DH18">
            <v>22745</v>
          </cell>
          <cell r="DI18">
            <v>8</v>
          </cell>
          <cell r="DJ18">
            <v>24531</v>
          </cell>
          <cell r="DK18">
            <v>6</v>
          </cell>
          <cell r="DL18">
            <v>8078</v>
          </cell>
          <cell r="DM18">
            <v>10</v>
          </cell>
          <cell r="DN18">
            <v>10502</v>
          </cell>
          <cell r="DO18">
            <v>7</v>
          </cell>
          <cell r="DP18">
            <v>3675</v>
          </cell>
          <cell r="DQ18">
            <v>4</v>
          </cell>
          <cell r="DR18">
            <v>7190</v>
          </cell>
          <cell r="DS18">
            <v>8</v>
          </cell>
          <cell r="DT18">
            <v>30671</v>
          </cell>
          <cell r="DU18">
            <v>3</v>
          </cell>
          <cell r="DW18">
            <v>7320.1</v>
          </cell>
          <cell r="DX18">
            <v>10.200000000000728</v>
          </cell>
          <cell r="DY18">
            <v>12004.7</v>
          </cell>
          <cell r="DZ18">
            <v>8.9000000000014552</v>
          </cell>
          <cell r="EA18">
            <v>5367.9</v>
          </cell>
          <cell r="EB18">
            <v>6.1999999999998181</v>
          </cell>
          <cell r="EC18">
            <v>5987.7</v>
          </cell>
          <cell r="ED18">
            <v>6.3999999999996362</v>
          </cell>
          <cell r="EE18">
            <v>1178146</v>
          </cell>
          <cell r="EF18">
            <v>628</v>
          </cell>
          <cell r="EI18">
            <v>244780.2</v>
          </cell>
          <cell r="EJ18">
            <v>150.5</v>
          </cell>
          <cell r="EL18">
            <v>12408800</v>
          </cell>
          <cell r="EM18">
            <v>4000</v>
          </cell>
          <cell r="EN18">
            <v>955630</v>
          </cell>
          <cell r="EO18">
            <v>260</v>
          </cell>
          <cell r="EP18">
            <v>7332100</v>
          </cell>
          <cell r="EQ18">
            <v>1200</v>
          </cell>
          <cell r="ER18">
            <v>2527100</v>
          </cell>
          <cell r="ES18">
            <v>500</v>
          </cell>
          <cell r="ET18">
            <v>1331800</v>
          </cell>
          <cell r="EU18">
            <v>670</v>
          </cell>
          <cell r="EV18">
            <v>16843900</v>
          </cell>
          <cell r="EW18">
            <v>5100</v>
          </cell>
          <cell r="EY18">
            <v>43534</v>
          </cell>
          <cell r="EZ18">
            <v>12</v>
          </cell>
          <cell r="FA18">
            <v>37908</v>
          </cell>
          <cell r="FB18">
            <v>12</v>
          </cell>
          <cell r="FC18">
            <v>8449</v>
          </cell>
          <cell r="FD18">
            <v>9</v>
          </cell>
          <cell r="FE18">
            <v>60576</v>
          </cell>
          <cell r="FF18">
            <v>16</v>
          </cell>
          <cell r="FG18">
            <v>52584</v>
          </cell>
          <cell r="FH18">
            <v>32</v>
          </cell>
          <cell r="FJ18">
            <v>189.04</v>
          </cell>
          <cell r="FL18">
            <v>264019.5</v>
          </cell>
          <cell r="FN18">
            <v>91260.955000000002</v>
          </cell>
          <cell r="FP18">
            <v>12406</v>
          </cell>
          <cell r="FR18">
            <v>11088</v>
          </cell>
          <cell r="FT18">
            <v>8778</v>
          </cell>
          <cell r="FV18">
            <v>9141</v>
          </cell>
        </row>
        <row r="19">
          <cell r="B19">
            <v>0.85</v>
          </cell>
          <cell r="E19">
            <v>266045</v>
          </cell>
          <cell r="F19">
            <v>681</v>
          </cell>
          <cell r="G19">
            <v>682</v>
          </cell>
          <cell r="H19">
            <v>282718</v>
          </cell>
          <cell r="I19">
            <v>523</v>
          </cell>
          <cell r="J19">
            <v>481</v>
          </cell>
          <cell r="K19">
            <v>24599</v>
          </cell>
          <cell r="L19">
            <v>275</v>
          </cell>
          <cell r="N19">
            <v>938378</v>
          </cell>
          <cell r="O19">
            <v>266</v>
          </cell>
          <cell r="Q19">
            <v>246269</v>
          </cell>
          <cell r="R19">
            <v>0</v>
          </cell>
          <cell r="U19">
            <v>123617</v>
          </cell>
          <cell r="V19">
            <v>103</v>
          </cell>
          <cell r="W19">
            <v>0.622</v>
          </cell>
          <cell r="X19">
            <v>7118</v>
          </cell>
          <cell r="Y19">
            <v>10</v>
          </cell>
          <cell r="AE19">
            <v>8369657.5199999996</v>
          </cell>
          <cell r="AF19">
            <v>2874.4799999995157</v>
          </cell>
          <cell r="AH19">
            <v>15892610.16</v>
          </cell>
          <cell r="AI19">
            <v>4628.4000000003725</v>
          </cell>
          <cell r="AK19">
            <v>16034044.319999998</v>
          </cell>
          <cell r="AL19">
            <v>7210.5599999967963</v>
          </cell>
          <cell r="AN19">
            <v>19192172.16</v>
          </cell>
          <cell r="AO19">
            <v>779.52000000327826</v>
          </cell>
          <cell r="AQ19">
            <v>19421448.48</v>
          </cell>
          <cell r="AR19">
            <v>2046.2400000020862</v>
          </cell>
          <cell r="AT19">
            <v>18060260.399999999</v>
          </cell>
          <cell r="AU19">
            <v>5602.8000000007451</v>
          </cell>
          <cell r="AW19">
            <v>15157766.4</v>
          </cell>
          <cell r="AX19">
            <v>4043.7599999997765</v>
          </cell>
          <cell r="AZ19">
            <v>14719042.799999999</v>
          </cell>
          <cell r="BA19">
            <v>4530.9599999990314</v>
          </cell>
          <cell r="BC19">
            <v>11455777.199999999</v>
          </cell>
          <cell r="BD19">
            <v>2874.480000000447</v>
          </cell>
          <cell r="BF19">
            <v>18215628.48</v>
          </cell>
          <cell r="BG19">
            <v>5554.0800000019372</v>
          </cell>
          <cell r="BM19">
            <v>79232900</v>
          </cell>
          <cell r="BN19">
            <v>43000</v>
          </cell>
          <cell r="BP19">
            <v>82224500</v>
          </cell>
          <cell r="BQ19">
            <v>4000</v>
          </cell>
          <cell r="BS19">
            <v>75925700</v>
          </cell>
          <cell r="BT19">
            <v>5700</v>
          </cell>
          <cell r="BV19">
            <v>10853780</v>
          </cell>
          <cell r="BW19">
            <v>8020</v>
          </cell>
          <cell r="BY19">
            <v>0.85</v>
          </cell>
          <cell r="BZ19">
            <v>-5.9999999999999942E-2</v>
          </cell>
          <cell r="CB19">
            <v>65961</v>
          </cell>
          <cell r="CC19">
            <v>18</v>
          </cell>
          <cell r="CD19">
            <v>57208</v>
          </cell>
          <cell r="CE19">
            <v>16</v>
          </cell>
          <cell r="CF19">
            <v>19323</v>
          </cell>
          <cell r="CG19">
            <v>6</v>
          </cell>
          <cell r="CH19">
            <v>26467</v>
          </cell>
          <cell r="CI19">
            <v>9</v>
          </cell>
          <cell r="CJ19">
            <v>29818</v>
          </cell>
          <cell r="CK19">
            <v>15</v>
          </cell>
          <cell r="CL19">
            <v>65733</v>
          </cell>
          <cell r="CM19">
            <v>39</v>
          </cell>
          <cell r="CN19">
            <v>275041</v>
          </cell>
          <cell r="CO19">
            <v>81</v>
          </cell>
          <cell r="CQ19">
            <v>225475</v>
          </cell>
          <cell r="CR19">
            <v>119</v>
          </cell>
          <cell r="CT19">
            <v>377954</v>
          </cell>
          <cell r="CU19">
            <v>202</v>
          </cell>
          <cell r="CW19">
            <v>710677</v>
          </cell>
          <cell r="CX19">
            <v>180</v>
          </cell>
          <cell r="CZ19">
            <v>9612</v>
          </cell>
          <cell r="DA19">
            <v>3</v>
          </cell>
          <cell r="DB19">
            <v>6508</v>
          </cell>
          <cell r="DC19">
            <v>5</v>
          </cell>
          <cell r="DD19">
            <v>33613</v>
          </cell>
          <cell r="DE19">
            <v>19</v>
          </cell>
          <cell r="DF19">
            <v>33685</v>
          </cell>
          <cell r="DG19">
            <v>15</v>
          </cell>
          <cell r="DH19">
            <v>22753</v>
          </cell>
          <cell r="DI19">
            <v>8</v>
          </cell>
          <cell r="DJ19">
            <v>24538</v>
          </cell>
          <cell r="DK19">
            <v>7</v>
          </cell>
          <cell r="DL19">
            <v>8088</v>
          </cell>
          <cell r="DM19">
            <v>10</v>
          </cell>
          <cell r="DN19">
            <v>10513</v>
          </cell>
          <cell r="DO19">
            <v>11</v>
          </cell>
          <cell r="DP19">
            <v>3679</v>
          </cell>
          <cell r="DQ19">
            <v>4</v>
          </cell>
          <cell r="DR19">
            <v>7199</v>
          </cell>
          <cell r="DS19">
            <v>9</v>
          </cell>
          <cell r="DT19">
            <v>30674</v>
          </cell>
          <cell r="DU19">
            <v>3</v>
          </cell>
          <cell r="DW19">
            <v>7330.5</v>
          </cell>
          <cell r="DX19">
            <v>10.399999999999636</v>
          </cell>
          <cell r="DY19">
            <v>12013.5</v>
          </cell>
          <cell r="DZ19">
            <v>8.7999999999992724</v>
          </cell>
          <cell r="EA19">
            <v>5373.6</v>
          </cell>
          <cell r="EB19">
            <v>5.7000000000007276</v>
          </cell>
          <cell r="EC19">
            <v>5995.2</v>
          </cell>
          <cell r="ED19">
            <v>7.5</v>
          </cell>
          <cell r="EE19">
            <v>1178791</v>
          </cell>
          <cell r="EF19">
            <v>645</v>
          </cell>
          <cell r="EI19">
            <v>244931.6</v>
          </cell>
          <cell r="EJ19">
            <v>151.39999999999418</v>
          </cell>
          <cell r="EL19">
            <v>12412300</v>
          </cell>
          <cell r="EM19">
            <v>3500</v>
          </cell>
          <cell r="EN19">
            <v>955890</v>
          </cell>
          <cell r="EO19">
            <v>260</v>
          </cell>
          <cell r="EP19">
            <v>7333300</v>
          </cell>
          <cell r="EQ19">
            <v>1200</v>
          </cell>
          <cell r="ER19">
            <v>2527700</v>
          </cell>
          <cell r="ES19">
            <v>600</v>
          </cell>
          <cell r="ET19">
            <v>1332490</v>
          </cell>
          <cell r="EU19">
            <v>690</v>
          </cell>
          <cell r="EV19">
            <v>16848200</v>
          </cell>
          <cell r="EW19">
            <v>4300</v>
          </cell>
          <cell r="EY19">
            <v>43548</v>
          </cell>
          <cell r="EZ19">
            <v>14</v>
          </cell>
          <cell r="FA19">
            <v>37920</v>
          </cell>
          <cell r="FB19">
            <v>12</v>
          </cell>
          <cell r="FC19">
            <v>8461</v>
          </cell>
          <cell r="FD19">
            <v>12</v>
          </cell>
          <cell r="FE19">
            <v>60592</v>
          </cell>
          <cell r="FF19">
            <v>16</v>
          </cell>
          <cell r="FG19">
            <v>52619</v>
          </cell>
          <cell r="FH19">
            <v>35</v>
          </cell>
          <cell r="FJ19">
            <v>189.08</v>
          </cell>
          <cell r="FL19">
            <v>264180.7</v>
          </cell>
          <cell r="FN19">
            <v>91399.569000000003</v>
          </cell>
          <cell r="FP19">
            <v>12415</v>
          </cell>
          <cell r="FR19">
            <v>11094</v>
          </cell>
          <cell r="FT19">
            <v>8784</v>
          </cell>
          <cell r="FV19">
            <v>9146</v>
          </cell>
        </row>
        <row r="20">
          <cell r="B20">
            <v>0.82</v>
          </cell>
          <cell r="E20">
            <v>266718</v>
          </cell>
          <cell r="F20">
            <v>673</v>
          </cell>
          <cell r="G20">
            <v>725</v>
          </cell>
          <cell r="H20">
            <v>283229</v>
          </cell>
          <cell r="I20">
            <v>511</v>
          </cell>
          <cell r="J20">
            <v>472</v>
          </cell>
          <cell r="K20">
            <v>24906</v>
          </cell>
          <cell r="L20">
            <v>307</v>
          </cell>
          <cell r="N20">
            <v>938645</v>
          </cell>
          <cell r="O20">
            <v>267</v>
          </cell>
          <cell r="Q20">
            <v>246269</v>
          </cell>
          <cell r="R20">
            <v>0</v>
          </cell>
          <cell r="U20">
            <v>123726</v>
          </cell>
          <cell r="V20">
            <v>109</v>
          </cell>
          <cell r="W20">
            <v>0.55800000000000005</v>
          </cell>
          <cell r="X20">
            <v>7133</v>
          </cell>
          <cell r="Y20">
            <v>15</v>
          </cell>
          <cell r="AE20">
            <v>8372580.7199999988</v>
          </cell>
          <cell r="AF20">
            <v>2923.1999999992549</v>
          </cell>
          <cell r="AH20">
            <v>15897482.16</v>
          </cell>
          <cell r="AI20">
            <v>4872</v>
          </cell>
          <cell r="AK20">
            <v>16035700.799999999</v>
          </cell>
          <cell r="AL20">
            <v>1656.480000000447</v>
          </cell>
          <cell r="AN20">
            <v>19193049.119999997</v>
          </cell>
          <cell r="AO20">
            <v>876.95999999716878</v>
          </cell>
          <cell r="AQ20">
            <v>19430900.16</v>
          </cell>
          <cell r="AR20">
            <v>9451.679999999702</v>
          </cell>
          <cell r="AT20">
            <v>18065911.919999998</v>
          </cell>
          <cell r="AU20">
            <v>5651.519999999553</v>
          </cell>
          <cell r="AW20">
            <v>15161858.880000001</v>
          </cell>
          <cell r="AX20">
            <v>4092.480000000447</v>
          </cell>
          <cell r="AZ20">
            <v>14723671.199999999</v>
          </cell>
          <cell r="BA20">
            <v>4628.4000000003725</v>
          </cell>
          <cell r="BC20">
            <v>11458846.559999999</v>
          </cell>
          <cell r="BD20">
            <v>3069.359999999404</v>
          </cell>
          <cell r="BF20">
            <v>18221669.760000002</v>
          </cell>
          <cell r="BG20">
            <v>6041.2800000011921</v>
          </cell>
          <cell r="BM20">
            <v>79238600</v>
          </cell>
          <cell r="BN20">
            <v>5700</v>
          </cell>
          <cell r="BP20">
            <v>82224500</v>
          </cell>
          <cell r="BQ20">
            <v>0</v>
          </cell>
          <cell r="BS20">
            <v>75975900</v>
          </cell>
          <cell r="BT20">
            <v>50200</v>
          </cell>
          <cell r="BV20">
            <v>10861820</v>
          </cell>
          <cell r="BW20">
            <v>8040</v>
          </cell>
          <cell r="BY20">
            <v>0.77</v>
          </cell>
          <cell r="BZ20">
            <v>7.999999999999996E-2</v>
          </cell>
          <cell r="CB20">
            <v>65979</v>
          </cell>
          <cell r="CC20">
            <v>18</v>
          </cell>
          <cell r="CD20">
            <v>57229</v>
          </cell>
          <cell r="CE20">
            <v>21</v>
          </cell>
          <cell r="CF20">
            <v>19330</v>
          </cell>
          <cell r="CG20">
            <v>7</v>
          </cell>
          <cell r="CH20">
            <v>26477</v>
          </cell>
          <cell r="CI20">
            <v>10</v>
          </cell>
          <cell r="CJ20">
            <v>29834</v>
          </cell>
          <cell r="CK20">
            <v>16</v>
          </cell>
          <cell r="CL20">
            <v>65768</v>
          </cell>
          <cell r="CM20">
            <v>35</v>
          </cell>
          <cell r="CN20">
            <v>275123</v>
          </cell>
          <cell r="CO20">
            <v>82</v>
          </cell>
          <cell r="CQ20">
            <v>225589</v>
          </cell>
          <cell r="CR20">
            <v>114</v>
          </cell>
          <cell r="CT20">
            <v>378081</v>
          </cell>
          <cell r="CU20">
            <v>127</v>
          </cell>
          <cell r="CW20">
            <v>710859</v>
          </cell>
          <cell r="CX20">
            <v>182</v>
          </cell>
          <cell r="CZ20">
            <v>9615</v>
          </cell>
          <cell r="DA20">
            <v>3</v>
          </cell>
          <cell r="DB20">
            <v>6511</v>
          </cell>
          <cell r="DC20">
            <v>3</v>
          </cell>
          <cell r="DD20">
            <v>33632</v>
          </cell>
          <cell r="DE20">
            <v>19</v>
          </cell>
          <cell r="DF20">
            <v>33698</v>
          </cell>
          <cell r="DG20">
            <v>13</v>
          </cell>
          <cell r="DH20">
            <v>22762</v>
          </cell>
          <cell r="DI20">
            <v>9</v>
          </cell>
          <cell r="DJ20">
            <v>24543</v>
          </cell>
          <cell r="DK20">
            <v>5</v>
          </cell>
          <cell r="DL20">
            <v>8097</v>
          </cell>
          <cell r="DM20">
            <v>9</v>
          </cell>
          <cell r="DN20">
            <v>10522</v>
          </cell>
          <cell r="DO20">
            <v>9</v>
          </cell>
          <cell r="DP20">
            <v>3684</v>
          </cell>
          <cell r="DQ20">
            <v>5</v>
          </cell>
          <cell r="DR20">
            <v>7210</v>
          </cell>
          <cell r="DS20">
            <v>11</v>
          </cell>
          <cell r="DT20">
            <v>30678</v>
          </cell>
          <cell r="DU20">
            <v>4</v>
          </cell>
          <cell r="DW20">
            <v>7341.4</v>
          </cell>
          <cell r="DX20">
            <v>10.899999999999636</v>
          </cell>
          <cell r="DY20">
            <v>12022.4</v>
          </cell>
          <cell r="DZ20">
            <v>8.8999999999996362</v>
          </cell>
          <cell r="EA20">
            <v>5379.6</v>
          </cell>
          <cell r="EB20">
            <v>6</v>
          </cell>
          <cell r="EC20">
            <v>6002.6</v>
          </cell>
          <cell r="ED20">
            <v>7.4000000000005457</v>
          </cell>
          <cell r="EE20">
            <v>1179476</v>
          </cell>
          <cell r="EF20">
            <v>685</v>
          </cell>
          <cell r="EI20">
            <v>245083.9</v>
          </cell>
          <cell r="EJ20">
            <v>152.29999999998836</v>
          </cell>
          <cell r="EL20">
            <v>12416600</v>
          </cell>
          <cell r="EM20">
            <v>4300</v>
          </cell>
          <cell r="EN20">
            <v>956190</v>
          </cell>
          <cell r="EO20">
            <v>300</v>
          </cell>
          <cell r="EP20">
            <v>7334600</v>
          </cell>
          <cell r="EQ20">
            <v>1300</v>
          </cell>
          <cell r="ER20">
            <v>2528200</v>
          </cell>
          <cell r="ES20">
            <v>500</v>
          </cell>
          <cell r="ET20">
            <v>1333280</v>
          </cell>
          <cell r="EU20">
            <v>790</v>
          </cell>
          <cell r="EV20">
            <v>16853200</v>
          </cell>
          <cell r="EW20">
            <v>5000</v>
          </cell>
          <cell r="EY20">
            <v>43564</v>
          </cell>
          <cell r="EZ20">
            <v>16</v>
          </cell>
          <cell r="FA20">
            <v>37932</v>
          </cell>
          <cell r="FB20">
            <v>12</v>
          </cell>
          <cell r="FC20">
            <v>8474</v>
          </cell>
          <cell r="FD20">
            <v>13</v>
          </cell>
          <cell r="FE20">
            <v>60609</v>
          </cell>
          <cell r="FF20">
            <v>17</v>
          </cell>
          <cell r="FG20">
            <v>52656</v>
          </cell>
          <cell r="FH20">
            <v>37</v>
          </cell>
          <cell r="FJ20">
            <v>189.68</v>
          </cell>
          <cell r="FL20">
            <v>264430.2</v>
          </cell>
          <cell r="FN20">
            <v>91541.654999999999</v>
          </cell>
          <cell r="FP20">
            <v>12423</v>
          </cell>
          <cell r="FR20">
            <v>11102</v>
          </cell>
          <cell r="FT20">
            <v>8790</v>
          </cell>
          <cell r="FV20">
            <v>9150</v>
          </cell>
        </row>
        <row r="21">
          <cell r="B21">
            <v>0.76</v>
          </cell>
          <cell r="E21">
            <v>267402</v>
          </cell>
          <cell r="F21">
            <v>684</v>
          </cell>
          <cell r="G21">
            <v>789</v>
          </cell>
          <cell r="H21">
            <v>283735</v>
          </cell>
          <cell r="I21">
            <v>506</v>
          </cell>
          <cell r="J21">
            <v>518</v>
          </cell>
          <cell r="K21">
            <v>25161</v>
          </cell>
          <cell r="L21">
            <v>255</v>
          </cell>
          <cell r="N21">
            <v>938914</v>
          </cell>
          <cell r="O21">
            <v>269</v>
          </cell>
          <cell r="Q21">
            <v>246269</v>
          </cell>
          <cell r="R21">
            <v>0</v>
          </cell>
          <cell r="U21">
            <v>123845</v>
          </cell>
          <cell r="V21">
            <v>119</v>
          </cell>
          <cell r="W21">
            <v>0.55400000000000005</v>
          </cell>
          <cell r="X21">
            <v>7148</v>
          </cell>
          <cell r="Y21">
            <v>15</v>
          </cell>
          <cell r="AE21">
            <v>8375211.5999999996</v>
          </cell>
          <cell r="AF21">
            <v>2630.8800000008196</v>
          </cell>
          <cell r="AH21">
            <v>15902013.119999999</v>
          </cell>
          <cell r="AI21">
            <v>4530.9599999990314</v>
          </cell>
          <cell r="AK21">
            <v>16044762.719999999</v>
          </cell>
          <cell r="AL21">
            <v>9061.9199999999255</v>
          </cell>
          <cell r="AN21">
            <v>19195144.080000002</v>
          </cell>
          <cell r="AO21">
            <v>2094.9600000046194</v>
          </cell>
          <cell r="AQ21">
            <v>19430900.16</v>
          </cell>
          <cell r="AR21">
            <v>0</v>
          </cell>
          <cell r="AT21">
            <v>18071173.68</v>
          </cell>
          <cell r="AU21">
            <v>5261.7600000016391</v>
          </cell>
          <cell r="AW21">
            <v>15165805.199999999</v>
          </cell>
          <cell r="AX21">
            <v>3946.3199999984354</v>
          </cell>
          <cell r="AZ21">
            <v>14728104.719999999</v>
          </cell>
          <cell r="BA21">
            <v>4433.519999999553</v>
          </cell>
          <cell r="BC21">
            <v>11461818.48</v>
          </cell>
          <cell r="BD21">
            <v>2971.9200000017881</v>
          </cell>
          <cell r="BF21">
            <v>18227077.68</v>
          </cell>
          <cell r="BG21">
            <v>5407.9199999980628</v>
          </cell>
          <cell r="BM21">
            <v>79294000</v>
          </cell>
          <cell r="BN21">
            <v>55400</v>
          </cell>
          <cell r="BP21">
            <v>82229900</v>
          </cell>
          <cell r="BQ21">
            <v>5400</v>
          </cell>
          <cell r="BS21">
            <v>75975900</v>
          </cell>
          <cell r="BT21">
            <v>0</v>
          </cell>
          <cell r="BV21">
            <v>10869660</v>
          </cell>
          <cell r="BW21">
            <v>7840</v>
          </cell>
          <cell r="BY21">
            <v>0.81</v>
          </cell>
          <cell r="BZ21">
            <v>-4.0000000000000036E-2</v>
          </cell>
          <cell r="CB21">
            <v>65996</v>
          </cell>
          <cell r="CC21">
            <v>17</v>
          </cell>
          <cell r="CD21">
            <v>57250</v>
          </cell>
          <cell r="CE21">
            <v>21</v>
          </cell>
          <cell r="CF21">
            <v>19336</v>
          </cell>
          <cell r="CG21">
            <v>6</v>
          </cell>
          <cell r="CH21">
            <v>26486</v>
          </cell>
          <cell r="CI21">
            <v>9</v>
          </cell>
          <cell r="CJ21">
            <v>29849</v>
          </cell>
          <cell r="CK21">
            <v>15</v>
          </cell>
          <cell r="CL21">
            <v>65806</v>
          </cell>
          <cell r="CM21">
            <v>38</v>
          </cell>
          <cell r="CN21">
            <v>275204</v>
          </cell>
          <cell r="CO21">
            <v>81</v>
          </cell>
          <cell r="CQ21">
            <v>225706</v>
          </cell>
          <cell r="CR21">
            <v>117</v>
          </cell>
          <cell r="CT21">
            <v>378198</v>
          </cell>
          <cell r="CU21">
            <v>117</v>
          </cell>
          <cell r="CW21">
            <v>711037</v>
          </cell>
          <cell r="CX21">
            <v>178</v>
          </cell>
          <cell r="CZ21">
            <v>9618</v>
          </cell>
          <cell r="DA21">
            <v>3</v>
          </cell>
          <cell r="DB21">
            <v>6514</v>
          </cell>
          <cell r="DC21">
            <v>3</v>
          </cell>
          <cell r="DD21">
            <v>33653</v>
          </cell>
          <cell r="DE21">
            <v>21</v>
          </cell>
          <cell r="DF21">
            <v>33716</v>
          </cell>
          <cell r="DG21">
            <v>18</v>
          </cell>
          <cell r="DH21">
            <v>22770</v>
          </cell>
          <cell r="DI21">
            <v>8</v>
          </cell>
          <cell r="DJ21">
            <v>24550</v>
          </cell>
          <cell r="DK21">
            <v>7</v>
          </cell>
          <cell r="DL21">
            <v>8108</v>
          </cell>
          <cell r="DM21">
            <v>11</v>
          </cell>
          <cell r="DN21">
            <v>10537</v>
          </cell>
          <cell r="DO21">
            <v>15</v>
          </cell>
          <cell r="DP21">
            <v>3688</v>
          </cell>
          <cell r="DQ21">
            <v>4</v>
          </cell>
          <cell r="DR21">
            <v>7220</v>
          </cell>
          <cell r="DS21">
            <v>10</v>
          </cell>
          <cell r="DT21">
            <v>30687</v>
          </cell>
          <cell r="DU21">
            <v>9</v>
          </cell>
          <cell r="DW21">
            <v>7354</v>
          </cell>
          <cell r="DX21">
            <v>12.600000000000364</v>
          </cell>
          <cell r="DY21">
            <v>12030.9</v>
          </cell>
          <cell r="DZ21">
            <v>8.5</v>
          </cell>
          <cell r="EA21">
            <v>5386.7</v>
          </cell>
          <cell r="EB21">
            <v>7.0999999999994543</v>
          </cell>
          <cell r="EC21">
            <v>6010.2</v>
          </cell>
          <cell r="ED21">
            <v>7.5999999999994543</v>
          </cell>
          <cell r="EE21">
            <v>1180111</v>
          </cell>
          <cell r="EF21">
            <v>635</v>
          </cell>
          <cell r="EI21">
            <v>245259.4</v>
          </cell>
          <cell r="EJ21">
            <v>175.5</v>
          </cell>
          <cell r="EL21">
            <v>12420300</v>
          </cell>
          <cell r="EM21">
            <v>3700</v>
          </cell>
          <cell r="EN21">
            <v>956450</v>
          </cell>
          <cell r="EO21">
            <v>260</v>
          </cell>
          <cell r="EP21">
            <v>7335800</v>
          </cell>
          <cell r="EQ21">
            <v>1200</v>
          </cell>
          <cell r="ER21">
            <v>2528700</v>
          </cell>
          <cell r="ES21">
            <v>500</v>
          </cell>
          <cell r="ET21">
            <v>1333950</v>
          </cell>
          <cell r="EU21">
            <v>670</v>
          </cell>
          <cell r="EV21">
            <v>16858100</v>
          </cell>
          <cell r="EW21">
            <v>4900</v>
          </cell>
          <cell r="EY21">
            <v>43578</v>
          </cell>
          <cell r="EZ21">
            <v>14</v>
          </cell>
          <cell r="FA21">
            <v>37944</v>
          </cell>
          <cell r="FB21">
            <v>12</v>
          </cell>
          <cell r="FC21">
            <v>8486</v>
          </cell>
          <cell r="FD21">
            <v>12</v>
          </cell>
          <cell r="FE21">
            <v>60624</v>
          </cell>
          <cell r="FF21">
            <v>15</v>
          </cell>
          <cell r="FG21">
            <v>52688</v>
          </cell>
          <cell r="FH21">
            <v>32</v>
          </cell>
          <cell r="FJ21">
            <v>189.73</v>
          </cell>
          <cell r="FL21">
            <v>264759.5</v>
          </cell>
          <cell r="FN21">
            <v>91681.48</v>
          </cell>
          <cell r="FP21">
            <v>12430</v>
          </cell>
          <cell r="FR21">
            <v>11106</v>
          </cell>
          <cell r="FT21">
            <v>8796</v>
          </cell>
          <cell r="FV21">
            <v>9155</v>
          </cell>
        </row>
        <row r="22">
          <cell r="B22">
            <v>0.83</v>
          </cell>
          <cell r="E22">
            <v>268026</v>
          </cell>
          <cell r="F22">
            <v>624</v>
          </cell>
          <cell r="G22">
            <v>748</v>
          </cell>
          <cell r="H22">
            <v>284202</v>
          </cell>
          <cell r="I22">
            <v>467</v>
          </cell>
          <cell r="J22">
            <v>441</v>
          </cell>
          <cell r="K22">
            <v>25452</v>
          </cell>
          <cell r="L22">
            <v>291</v>
          </cell>
          <cell r="N22">
            <v>939183</v>
          </cell>
          <cell r="O22">
            <v>269</v>
          </cell>
          <cell r="Q22">
            <v>246269</v>
          </cell>
          <cell r="R22">
            <v>0</v>
          </cell>
          <cell r="U22">
            <v>123961</v>
          </cell>
          <cell r="V22">
            <v>116</v>
          </cell>
          <cell r="W22">
            <v>0.55200000000000005</v>
          </cell>
          <cell r="X22">
            <v>7157</v>
          </cell>
          <cell r="Y22">
            <v>9</v>
          </cell>
          <cell r="AE22">
            <v>8377988.6400000006</v>
          </cell>
          <cell r="AF22">
            <v>2777.0400000009686</v>
          </cell>
          <cell r="AH22">
            <v>15906592.799999999</v>
          </cell>
          <cell r="AI22">
            <v>4579.679999999702</v>
          </cell>
          <cell r="AK22">
            <v>16044762.719999999</v>
          </cell>
          <cell r="AL22">
            <v>0</v>
          </cell>
          <cell r="AN22">
            <v>19204644.48</v>
          </cell>
          <cell r="AO22">
            <v>9500.3999999985099</v>
          </cell>
          <cell r="AQ22">
            <v>19432313.039999999</v>
          </cell>
          <cell r="AR22">
            <v>1412.8799999989569</v>
          </cell>
          <cell r="AT22">
            <v>18076679.039999999</v>
          </cell>
          <cell r="AU22">
            <v>5505.359999999404</v>
          </cell>
          <cell r="AW22">
            <v>15169605.359999999</v>
          </cell>
          <cell r="AX22">
            <v>3800.160000000149</v>
          </cell>
          <cell r="AZ22">
            <v>14732733.119999999</v>
          </cell>
          <cell r="BA22">
            <v>4628.4000000003725</v>
          </cell>
          <cell r="BC22">
            <v>11464546.799999999</v>
          </cell>
          <cell r="BD22">
            <v>2728.3199999984354</v>
          </cell>
          <cell r="BF22">
            <v>18232631.760000002</v>
          </cell>
          <cell r="BG22">
            <v>5554.0800000019372</v>
          </cell>
          <cell r="BM22">
            <v>79294000</v>
          </cell>
          <cell r="BN22">
            <v>0</v>
          </cell>
          <cell r="BP22">
            <v>82281800</v>
          </cell>
          <cell r="BQ22">
            <v>51900</v>
          </cell>
          <cell r="BS22">
            <v>75981800</v>
          </cell>
          <cell r="BT22">
            <v>5900</v>
          </cell>
          <cell r="BV22">
            <v>10877290</v>
          </cell>
          <cell r="BW22">
            <v>7630</v>
          </cell>
          <cell r="BY22">
            <v>0.84</v>
          </cell>
          <cell r="BZ22">
            <v>-2.9999999999999916E-2</v>
          </cell>
          <cell r="CB22">
            <v>66012</v>
          </cell>
          <cell r="CC22">
            <v>16</v>
          </cell>
          <cell r="CD22">
            <v>57269</v>
          </cell>
          <cell r="CE22">
            <v>19</v>
          </cell>
          <cell r="CF22">
            <v>19343</v>
          </cell>
          <cell r="CG22">
            <v>7</v>
          </cell>
          <cell r="CH22">
            <v>26496</v>
          </cell>
          <cell r="CI22">
            <v>10</v>
          </cell>
          <cell r="CJ22">
            <v>29864</v>
          </cell>
          <cell r="CK22">
            <v>15</v>
          </cell>
          <cell r="CL22">
            <v>65844</v>
          </cell>
          <cell r="CM22">
            <v>38</v>
          </cell>
          <cell r="CN22">
            <v>275285</v>
          </cell>
          <cell r="CO22">
            <v>81</v>
          </cell>
          <cell r="CQ22">
            <v>225802</v>
          </cell>
          <cell r="CR22">
            <v>96</v>
          </cell>
          <cell r="CT22">
            <v>378361</v>
          </cell>
          <cell r="CU22">
            <v>163</v>
          </cell>
          <cell r="CW22">
            <v>711216</v>
          </cell>
          <cell r="CX22">
            <v>179</v>
          </cell>
          <cell r="CZ22">
            <v>9621</v>
          </cell>
          <cell r="DA22">
            <v>3</v>
          </cell>
          <cell r="DB22">
            <v>6517</v>
          </cell>
          <cell r="DC22">
            <v>3</v>
          </cell>
          <cell r="DD22">
            <v>33670</v>
          </cell>
          <cell r="DE22">
            <v>17</v>
          </cell>
          <cell r="DF22">
            <v>33730</v>
          </cell>
          <cell r="DG22">
            <v>14</v>
          </cell>
          <cell r="DH22">
            <v>22777</v>
          </cell>
          <cell r="DI22">
            <v>7</v>
          </cell>
          <cell r="DJ22">
            <v>24555</v>
          </cell>
          <cell r="DK22">
            <v>5</v>
          </cell>
          <cell r="DL22">
            <v>8116</v>
          </cell>
          <cell r="DM22">
            <v>8</v>
          </cell>
          <cell r="DN22">
            <v>10545</v>
          </cell>
          <cell r="DO22">
            <v>8</v>
          </cell>
          <cell r="DP22">
            <v>3692</v>
          </cell>
          <cell r="DQ22">
            <v>4</v>
          </cell>
          <cell r="DR22">
            <v>7228</v>
          </cell>
          <cell r="DS22">
            <v>8</v>
          </cell>
          <cell r="DT22">
            <v>30693</v>
          </cell>
          <cell r="DU22">
            <v>6</v>
          </cell>
          <cell r="DW22">
            <v>7362.7</v>
          </cell>
          <cell r="DX22">
            <v>8.6999999999998181</v>
          </cell>
          <cell r="DY22">
            <v>12039.3</v>
          </cell>
          <cell r="DZ22">
            <v>8.3999999999996362</v>
          </cell>
          <cell r="EA22">
            <v>5391.2</v>
          </cell>
          <cell r="EB22">
            <v>4.5</v>
          </cell>
          <cell r="EC22">
            <v>6016.7</v>
          </cell>
          <cell r="ED22">
            <v>6.5</v>
          </cell>
          <cell r="EE22">
            <v>1180711</v>
          </cell>
          <cell r="EF22">
            <v>600</v>
          </cell>
          <cell r="EI22">
            <v>245385.1</v>
          </cell>
          <cell r="EJ22">
            <v>125.70000000001164</v>
          </cell>
          <cell r="EL22">
            <v>12424300</v>
          </cell>
          <cell r="EM22">
            <v>4000</v>
          </cell>
          <cell r="EN22">
            <v>956730</v>
          </cell>
          <cell r="EO22">
            <v>280</v>
          </cell>
          <cell r="EP22">
            <v>7337100</v>
          </cell>
          <cell r="EQ22">
            <v>1300</v>
          </cell>
          <cell r="ER22">
            <v>2529300</v>
          </cell>
          <cell r="ES22">
            <v>600</v>
          </cell>
          <cell r="ET22">
            <v>1334630</v>
          </cell>
          <cell r="EU22">
            <v>680</v>
          </cell>
          <cell r="EV22">
            <v>16863700</v>
          </cell>
          <cell r="EW22">
            <v>5600</v>
          </cell>
          <cell r="EY22">
            <v>43593</v>
          </cell>
          <cell r="EZ22">
            <v>15</v>
          </cell>
          <cell r="FA22">
            <v>37955</v>
          </cell>
          <cell r="FB22">
            <v>11</v>
          </cell>
          <cell r="FC22">
            <v>8495</v>
          </cell>
          <cell r="FD22">
            <v>9</v>
          </cell>
          <cell r="FE22">
            <v>60638</v>
          </cell>
          <cell r="FF22">
            <v>14</v>
          </cell>
          <cell r="FG22">
            <v>52717</v>
          </cell>
          <cell r="FH22">
            <v>29</v>
          </cell>
          <cell r="FJ22">
            <v>189.75</v>
          </cell>
          <cell r="FL22">
            <v>264970.7</v>
          </cell>
          <cell r="FN22">
            <v>91798.343999999997</v>
          </cell>
          <cell r="FP22">
            <v>12435</v>
          </cell>
          <cell r="FR22">
            <v>11113</v>
          </cell>
          <cell r="FT22">
            <v>8802</v>
          </cell>
          <cell r="FV22">
            <v>9159</v>
          </cell>
        </row>
        <row r="23">
          <cell r="B23">
            <v>0.78</v>
          </cell>
          <cell r="E23">
            <v>268652</v>
          </cell>
          <cell r="F23">
            <v>626</v>
          </cell>
          <cell r="G23">
            <v>771</v>
          </cell>
          <cell r="H23">
            <v>284647</v>
          </cell>
          <cell r="I23">
            <v>445</v>
          </cell>
          <cell r="J23">
            <v>454</v>
          </cell>
          <cell r="K23">
            <v>25665</v>
          </cell>
          <cell r="L23">
            <v>213</v>
          </cell>
          <cell r="N23">
            <v>939442</v>
          </cell>
          <cell r="O23">
            <v>259</v>
          </cell>
          <cell r="Q23">
            <v>246269</v>
          </cell>
          <cell r="R23">
            <v>0</v>
          </cell>
          <cell r="U23">
            <v>124076</v>
          </cell>
          <cell r="V23">
            <v>115</v>
          </cell>
          <cell r="W23">
            <v>0.55000000000000004</v>
          </cell>
          <cell r="X23">
            <v>7169</v>
          </cell>
          <cell r="Y23">
            <v>12</v>
          </cell>
          <cell r="AE23">
            <v>8380716.959999999</v>
          </cell>
          <cell r="AF23">
            <v>2728.3199999984354</v>
          </cell>
          <cell r="AH23">
            <v>15911269.919999998</v>
          </cell>
          <cell r="AI23">
            <v>4677.1199999991804</v>
          </cell>
          <cell r="AK23">
            <v>16046175.6</v>
          </cell>
          <cell r="AL23">
            <v>1412.8800000008196</v>
          </cell>
          <cell r="AN23">
            <v>19205326.560000002</v>
          </cell>
          <cell r="AO23">
            <v>682.08000000193715</v>
          </cell>
          <cell r="AQ23">
            <v>19441667.280000001</v>
          </cell>
          <cell r="AR23">
            <v>9354.2400000020862</v>
          </cell>
          <cell r="AT23">
            <v>18082184.399999999</v>
          </cell>
          <cell r="AU23">
            <v>5505.359999999404</v>
          </cell>
          <cell r="AW23">
            <v>15173259.359999999</v>
          </cell>
          <cell r="AX23">
            <v>3654</v>
          </cell>
          <cell r="AZ23">
            <v>14737020.48</v>
          </cell>
          <cell r="BA23">
            <v>4287.3600000012666</v>
          </cell>
          <cell r="BC23">
            <v>11467567.439999999</v>
          </cell>
          <cell r="BD23">
            <v>3020.640000000596</v>
          </cell>
          <cell r="BF23">
            <v>18237942.239999998</v>
          </cell>
          <cell r="BG23">
            <v>5310.4799999967217</v>
          </cell>
          <cell r="BM23">
            <v>79300000</v>
          </cell>
          <cell r="BN23">
            <v>6000</v>
          </cell>
          <cell r="BP23">
            <v>82281800</v>
          </cell>
          <cell r="BQ23">
            <v>0</v>
          </cell>
          <cell r="BS23">
            <v>76035000</v>
          </cell>
          <cell r="BT23">
            <v>53200</v>
          </cell>
          <cell r="BV23">
            <v>10884860</v>
          </cell>
          <cell r="BW23">
            <v>7570</v>
          </cell>
          <cell r="BY23">
            <v>0.78</v>
          </cell>
          <cell r="BZ23">
            <v>5.9999999999999942E-2</v>
          </cell>
          <cell r="CB23">
            <v>66027</v>
          </cell>
          <cell r="CC23">
            <v>15</v>
          </cell>
          <cell r="CD23">
            <v>57289</v>
          </cell>
          <cell r="CE23">
            <v>20</v>
          </cell>
          <cell r="CF23">
            <v>19349</v>
          </cell>
          <cell r="CG23">
            <v>6</v>
          </cell>
          <cell r="CH23">
            <v>26506</v>
          </cell>
          <cell r="CI23">
            <v>10</v>
          </cell>
          <cell r="CJ23">
            <v>29875</v>
          </cell>
          <cell r="CK23">
            <v>11</v>
          </cell>
          <cell r="CL23">
            <v>65880</v>
          </cell>
          <cell r="CM23">
            <v>36</v>
          </cell>
          <cell r="CN23">
            <v>275365</v>
          </cell>
          <cell r="CO23">
            <v>80</v>
          </cell>
          <cell r="CQ23">
            <v>225917</v>
          </cell>
          <cell r="CR23">
            <v>115</v>
          </cell>
          <cell r="CT23">
            <v>378457</v>
          </cell>
          <cell r="CU23">
            <v>96</v>
          </cell>
          <cell r="CW23">
            <v>711393</v>
          </cell>
          <cell r="CX23">
            <v>177</v>
          </cell>
          <cell r="CZ23">
            <v>9624</v>
          </cell>
          <cell r="DA23">
            <v>3</v>
          </cell>
          <cell r="DB23">
            <v>6520</v>
          </cell>
          <cell r="DC23">
            <v>3</v>
          </cell>
          <cell r="DD23">
            <v>33687</v>
          </cell>
          <cell r="DE23">
            <v>17</v>
          </cell>
          <cell r="DF23">
            <v>33743</v>
          </cell>
          <cell r="DG23">
            <v>13</v>
          </cell>
          <cell r="DH23">
            <v>22785</v>
          </cell>
          <cell r="DI23">
            <v>8</v>
          </cell>
          <cell r="DJ23">
            <v>24561</v>
          </cell>
          <cell r="DK23">
            <v>6</v>
          </cell>
          <cell r="DL23">
            <v>8126</v>
          </cell>
          <cell r="DM23">
            <v>10</v>
          </cell>
          <cell r="DN23">
            <v>10552</v>
          </cell>
          <cell r="DO23">
            <v>7</v>
          </cell>
          <cell r="DP23">
            <v>3696</v>
          </cell>
          <cell r="DQ23">
            <v>4</v>
          </cell>
          <cell r="DR23">
            <v>7236</v>
          </cell>
          <cell r="DS23">
            <v>8</v>
          </cell>
          <cell r="DT23">
            <v>30700</v>
          </cell>
          <cell r="DU23">
            <v>7</v>
          </cell>
          <cell r="DW23">
            <v>7372.6</v>
          </cell>
          <cell r="DX23">
            <v>9.9000000000005457</v>
          </cell>
          <cell r="DY23">
            <v>12047.5</v>
          </cell>
          <cell r="DZ23">
            <v>8.2000000000007276</v>
          </cell>
          <cell r="EA23">
            <v>5396.5</v>
          </cell>
          <cell r="EB23">
            <v>5.3000000000001819</v>
          </cell>
          <cell r="EC23">
            <v>6023.5</v>
          </cell>
          <cell r="ED23">
            <v>6.8000000000001819</v>
          </cell>
          <cell r="EE23">
            <v>1181297</v>
          </cell>
          <cell r="EF23">
            <v>586</v>
          </cell>
          <cell r="EI23">
            <v>245535.5</v>
          </cell>
          <cell r="EJ23">
            <v>150.39999999999418</v>
          </cell>
          <cell r="EL23">
            <v>12428200</v>
          </cell>
          <cell r="EM23">
            <v>3900</v>
          </cell>
          <cell r="EN23">
            <v>957010</v>
          </cell>
          <cell r="EO23">
            <v>280</v>
          </cell>
          <cell r="EP23">
            <v>7338300</v>
          </cell>
          <cell r="EQ23">
            <v>1200</v>
          </cell>
          <cell r="ER23">
            <v>2529800</v>
          </cell>
          <cell r="ES23">
            <v>500</v>
          </cell>
          <cell r="ET23">
            <v>1335270</v>
          </cell>
          <cell r="EU23">
            <v>640</v>
          </cell>
          <cell r="EV23">
            <v>16869400</v>
          </cell>
          <cell r="EW23">
            <v>5700</v>
          </cell>
          <cell r="EY23">
            <v>43608</v>
          </cell>
          <cell r="EZ23">
            <v>15</v>
          </cell>
          <cell r="FA23">
            <v>37966</v>
          </cell>
          <cell r="FB23">
            <v>11</v>
          </cell>
          <cell r="FC23">
            <v>8505</v>
          </cell>
          <cell r="FD23">
            <v>10</v>
          </cell>
          <cell r="FE23">
            <v>60654</v>
          </cell>
          <cell r="FF23">
            <v>16</v>
          </cell>
          <cell r="FG23">
            <v>52747</v>
          </cell>
          <cell r="FH23">
            <v>30</v>
          </cell>
          <cell r="FJ23">
            <v>189.78</v>
          </cell>
          <cell r="FL23">
            <v>265208.8</v>
          </cell>
          <cell r="FN23">
            <v>91930.566999999995</v>
          </cell>
          <cell r="FP23">
            <v>12435</v>
          </cell>
          <cell r="FR23">
            <v>11118</v>
          </cell>
          <cell r="FT23">
            <v>8808</v>
          </cell>
          <cell r="FV23">
            <v>9163</v>
          </cell>
        </row>
        <row r="24">
          <cell r="B24">
            <v>0.93</v>
          </cell>
          <cell r="E24">
            <v>269291</v>
          </cell>
          <cell r="F24">
            <v>639</v>
          </cell>
          <cell r="G24">
            <v>731</v>
          </cell>
          <cell r="H24">
            <v>285124</v>
          </cell>
          <cell r="I24">
            <v>477</v>
          </cell>
          <cell r="J24">
            <v>443</v>
          </cell>
          <cell r="K24">
            <v>25829</v>
          </cell>
          <cell r="L24">
            <v>164</v>
          </cell>
          <cell r="N24">
            <v>939556</v>
          </cell>
          <cell r="O24">
            <v>114</v>
          </cell>
          <cell r="Q24">
            <v>246269</v>
          </cell>
          <cell r="R24">
            <v>0</v>
          </cell>
          <cell r="U24">
            <v>124192</v>
          </cell>
          <cell r="V24">
            <v>116</v>
          </cell>
          <cell r="W24">
            <v>0.28000000000000003</v>
          </cell>
          <cell r="X24">
            <v>7187</v>
          </cell>
          <cell r="Y24">
            <v>18</v>
          </cell>
          <cell r="AE24">
            <v>8383494</v>
          </cell>
          <cell r="AF24">
            <v>2777.0400000009686</v>
          </cell>
          <cell r="AH24">
            <v>15916141.919999998</v>
          </cell>
          <cell r="AI24">
            <v>4872</v>
          </cell>
          <cell r="AK24">
            <v>16055627.280000001</v>
          </cell>
          <cell r="AL24">
            <v>9451.6800000015646</v>
          </cell>
          <cell r="AN24">
            <v>19207713.84</v>
          </cell>
          <cell r="AO24">
            <v>2387.2799999974668</v>
          </cell>
          <cell r="AQ24">
            <v>19441959.599999998</v>
          </cell>
          <cell r="AR24">
            <v>292.31999999657273</v>
          </cell>
          <cell r="AT24">
            <v>18087835.919999998</v>
          </cell>
          <cell r="AU24">
            <v>5651.519999999553</v>
          </cell>
          <cell r="AW24">
            <v>15177108.24</v>
          </cell>
          <cell r="AX24">
            <v>3848.8800000008196</v>
          </cell>
          <cell r="AZ24">
            <v>14741551.439999999</v>
          </cell>
          <cell r="BA24">
            <v>4530.9599999990314</v>
          </cell>
          <cell r="BC24">
            <v>11470539.359999999</v>
          </cell>
          <cell r="BD24">
            <v>2971.9199999999255</v>
          </cell>
          <cell r="BF24">
            <v>18243593.760000002</v>
          </cell>
          <cell r="BG24">
            <v>5651.5200000032783</v>
          </cell>
          <cell r="BM24">
            <v>79357000</v>
          </cell>
          <cell r="BN24">
            <v>57000</v>
          </cell>
          <cell r="BP24">
            <v>82287300</v>
          </cell>
          <cell r="BQ24">
            <v>5500</v>
          </cell>
          <cell r="BS24">
            <v>76035000</v>
          </cell>
          <cell r="BT24">
            <v>0</v>
          </cell>
          <cell r="BV24">
            <v>10892820</v>
          </cell>
          <cell r="BW24">
            <v>7960</v>
          </cell>
          <cell r="BY24">
            <v>0.7</v>
          </cell>
          <cell r="BZ24">
            <v>8.0000000000000071E-2</v>
          </cell>
          <cell r="CB24">
            <v>66042</v>
          </cell>
          <cell r="CC24">
            <v>15</v>
          </cell>
          <cell r="CD24">
            <v>57310</v>
          </cell>
          <cell r="CE24">
            <v>21</v>
          </cell>
          <cell r="CF24">
            <v>19357</v>
          </cell>
          <cell r="CG24">
            <v>8</v>
          </cell>
          <cell r="CH24">
            <v>26515</v>
          </cell>
          <cell r="CI24">
            <v>9</v>
          </cell>
          <cell r="CJ24">
            <v>29886</v>
          </cell>
          <cell r="CK24">
            <v>11</v>
          </cell>
          <cell r="CL24">
            <v>65917</v>
          </cell>
          <cell r="CM24">
            <v>37</v>
          </cell>
          <cell r="CN24">
            <v>275458</v>
          </cell>
          <cell r="CO24">
            <v>93</v>
          </cell>
          <cell r="CQ24">
            <v>226033</v>
          </cell>
          <cell r="CR24">
            <v>116</v>
          </cell>
          <cell r="CT24">
            <v>378589</v>
          </cell>
          <cell r="CU24">
            <v>132</v>
          </cell>
          <cell r="CW24">
            <v>711587</v>
          </cell>
          <cell r="CX24">
            <v>194</v>
          </cell>
          <cell r="CZ24">
            <v>9627</v>
          </cell>
          <cell r="DA24">
            <v>3</v>
          </cell>
          <cell r="DB24">
            <v>6525</v>
          </cell>
          <cell r="DC24">
            <v>5</v>
          </cell>
          <cell r="DD24">
            <v>33704</v>
          </cell>
          <cell r="DE24">
            <v>17</v>
          </cell>
          <cell r="DF24">
            <v>33755</v>
          </cell>
          <cell r="DG24">
            <v>12</v>
          </cell>
          <cell r="DH24">
            <v>22792</v>
          </cell>
          <cell r="DI24">
            <v>7</v>
          </cell>
          <cell r="DJ24">
            <v>24567</v>
          </cell>
          <cell r="DK24">
            <v>6</v>
          </cell>
          <cell r="DL24">
            <v>8133</v>
          </cell>
          <cell r="DM24">
            <v>7</v>
          </cell>
          <cell r="DN24">
            <v>10567</v>
          </cell>
          <cell r="DO24">
            <v>15</v>
          </cell>
          <cell r="DP24">
            <v>3700</v>
          </cell>
          <cell r="DQ24">
            <v>4</v>
          </cell>
          <cell r="DR24">
            <v>7245</v>
          </cell>
          <cell r="DS24">
            <v>9</v>
          </cell>
          <cell r="DT24">
            <v>30700</v>
          </cell>
          <cell r="DU24">
            <v>0</v>
          </cell>
          <cell r="DW24">
            <v>7382.9</v>
          </cell>
          <cell r="DX24">
            <v>10.299999999999272</v>
          </cell>
          <cell r="DY24">
            <v>12056.6</v>
          </cell>
          <cell r="DZ24">
            <v>9.1000000000003638</v>
          </cell>
          <cell r="EA24">
            <v>5402.3</v>
          </cell>
          <cell r="EB24">
            <v>5.8000000000001819</v>
          </cell>
          <cell r="EC24">
            <v>6030.5</v>
          </cell>
          <cell r="ED24">
            <v>7</v>
          </cell>
          <cell r="EE24">
            <v>1181888</v>
          </cell>
          <cell r="EF24">
            <v>591</v>
          </cell>
          <cell r="EI24">
            <v>245695</v>
          </cell>
          <cell r="EJ24">
            <v>159.5</v>
          </cell>
          <cell r="EL24">
            <v>12432000</v>
          </cell>
          <cell r="EM24">
            <v>3800</v>
          </cell>
          <cell r="EN24">
            <v>957310</v>
          </cell>
          <cell r="EO24">
            <v>300</v>
          </cell>
          <cell r="EP24">
            <v>7339700</v>
          </cell>
          <cell r="EQ24">
            <v>1400</v>
          </cell>
          <cell r="ER24">
            <v>2530400</v>
          </cell>
          <cell r="ES24">
            <v>600</v>
          </cell>
          <cell r="ET24">
            <v>1335940</v>
          </cell>
          <cell r="EU24">
            <v>670</v>
          </cell>
          <cell r="EV24">
            <v>16875500</v>
          </cell>
          <cell r="EW24">
            <v>6100</v>
          </cell>
          <cell r="EY24">
            <v>43624</v>
          </cell>
          <cell r="EZ24">
            <v>16</v>
          </cell>
          <cell r="FA24">
            <v>37978</v>
          </cell>
          <cell r="FB24">
            <v>12</v>
          </cell>
          <cell r="FC24">
            <v>8514</v>
          </cell>
          <cell r="FD24">
            <v>9</v>
          </cell>
          <cell r="FE24">
            <v>60669</v>
          </cell>
          <cell r="FF24">
            <v>15</v>
          </cell>
          <cell r="FG24">
            <v>52784</v>
          </cell>
          <cell r="FH24">
            <v>37</v>
          </cell>
          <cell r="FJ24">
            <v>189.83</v>
          </cell>
          <cell r="FL24">
            <v>265496</v>
          </cell>
          <cell r="FN24">
            <v>92065.831999999995</v>
          </cell>
          <cell r="FP24">
            <v>12435</v>
          </cell>
          <cell r="FR24">
            <v>11122</v>
          </cell>
          <cell r="FT24">
            <v>8811</v>
          </cell>
          <cell r="FV24">
            <v>9166</v>
          </cell>
        </row>
        <row r="25">
          <cell r="B25">
            <v>0.94</v>
          </cell>
          <cell r="E25">
            <v>269918</v>
          </cell>
          <cell r="F25">
            <v>627</v>
          </cell>
          <cell r="G25">
            <v>691</v>
          </cell>
          <cell r="H25">
            <v>285575</v>
          </cell>
          <cell r="I25">
            <v>451</v>
          </cell>
          <cell r="J25">
            <v>482</v>
          </cell>
          <cell r="K25">
            <v>26090</v>
          </cell>
          <cell r="L25">
            <v>261</v>
          </cell>
          <cell r="N25">
            <v>939823</v>
          </cell>
          <cell r="O25">
            <v>267</v>
          </cell>
          <cell r="Q25">
            <v>246269</v>
          </cell>
          <cell r="R25">
            <v>0</v>
          </cell>
          <cell r="U25">
            <v>124314</v>
          </cell>
          <cell r="V25">
            <v>122</v>
          </cell>
          <cell r="W25">
            <v>1.222</v>
          </cell>
          <cell r="X25">
            <v>7204</v>
          </cell>
          <cell r="Y25">
            <v>17</v>
          </cell>
          <cell r="AE25">
            <v>8386173.5999999996</v>
          </cell>
          <cell r="AF25">
            <v>2679.5999999996275</v>
          </cell>
          <cell r="AH25">
            <v>15920624.16</v>
          </cell>
          <cell r="AI25">
            <v>4482.2400000020862</v>
          </cell>
          <cell r="AK25">
            <v>16055627.280000001</v>
          </cell>
          <cell r="AL25">
            <v>0</v>
          </cell>
          <cell r="AN25">
            <v>19218091.199999999</v>
          </cell>
          <cell r="AO25">
            <v>10377.359999999404</v>
          </cell>
          <cell r="AQ25">
            <v>19443810.960000001</v>
          </cell>
          <cell r="AR25">
            <v>1851.3600000031292</v>
          </cell>
          <cell r="AT25">
            <v>18093000.239999998</v>
          </cell>
          <cell r="AU25">
            <v>5164.320000000298</v>
          </cell>
          <cell r="AW25">
            <v>15180957.119999999</v>
          </cell>
          <cell r="AX25">
            <v>3848.8799999989569</v>
          </cell>
          <cell r="AZ25">
            <v>14746033.68</v>
          </cell>
          <cell r="BA25">
            <v>4482.2400000002235</v>
          </cell>
          <cell r="BC25">
            <v>11473511.280000001</v>
          </cell>
          <cell r="BD25">
            <v>2971.9200000017881</v>
          </cell>
          <cell r="BF25">
            <v>18249001.68</v>
          </cell>
          <cell r="BG25">
            <v>5407.9199999980628</v>
          </cell>
          <cell r="BM25">
            <v>79357000</v>
          </cell>
          <cell r="BN25">
            <v>0</v>
          </cell>
          <cell r="BP25">
            <v>82345900</v>
          </cell>
          <cell r="BQ25">
            <v>58600</v>
          </cell>
          <cell r="BS25">
            <v>76041600</v>
          </cell>
          <cell r="BT25">
            <v>6600</v>
          </cell>
          <cell r="BV25">
            <v>10900180</v>
          </cell>
          <cell r="BW25">
            <v>7360</v>
          </cell>
          <cell r="BY25">
            <v>0.79</v>
          </cell>
          <cell r="BZ25">
            <v>-9.000000000000008E-2</v>
          </cell>
          <cell r="CB25">
            <v>66059</v>
          </cell>
          <cell r="CC25">
            <v>17</v>
          </cell>
          <cell r="CD25">
            <v>57330</v>
          </cell>
          <cell r="CE25">
            <v>20</v>
          </cell>
          <cell r="CF25">
            <v>19363</v>
          </cell>
          <cell r="CG25">
            <v>6</v>
          </cell>
          <cell r="CH25">
            <v>26525</v>
          </cell>
          <cell r="CI25">
            <v>10</v>
          </cell>
          <cell r="CJ25">
            <v>29896</v>
          </cell>
          <cell r="CK25">
            <v>10</v>
          </cell>
          <cell r="CL25">
            <v>65951</v>
          </cell>
          <cell r="CM25">
            <v>34</v>
          </cell>
          <cell r="CN25">
            <v>275534</v>
          </cell>
          <cell r="CO25">
            <v>76</v>
          </cell>
          <cell r="CQ25">
            <v>226154</v>
          </cell>
          <cell r="CR25">
            <v>121</v>
          </cell>
          <cell r="CT25">
            <v>378690</v>
          </cell>
          <cell r="CU25">
            <v>101</v>
          </cell>
          <cell r="CW25">
            <v>711760</v>
          </cell>
          <cell r="CX25">
            <v>173</v>
          </cell>
          <cell r="CZ25">
            <v>9630</v>
          </cell>
          <cell r="DA25">
            <v>3</v>
          </cell>
          <cell r="DB25">
            <v>6528</v>
          </cell>
          <cell r="DC25">
            <v>3</v>
          </cell>
          <cell r="DD25">
            <v>33720</v>
          </cell>
          <cell r="DE25">
            <v>16</v>
          </cell>
          <cell r="DF25">
            <v>33767</v>
          </cell>
          <cell r="DG25">
            <v>12</v>
          </cell>
          <cell r="DH25">
            <v>22799</v>
          </cell>
          <cell r="DI25">
            <v>7</v>
          </cell>
          <cell r="DJ25">
            <v>24574</v>
          </cell>
          <cell r="DK25">
            <v>7</v>
          </cell>
          <cell r="DL25">
            <v>8142</v>
          </cell>
          <cell r="DM25">
            <v>9</v>
          </cell>
          <cell r="DN25">
            <v>10570</v>
          </cell>
          <cell r="DO25">
            <v>3</v>
          </cell>
          <cell r="DP25">
            <v>3704</v>
          </cell>
          <cell r="DQ25">
            <v>4</v>
          </cell>
          <cell r="DR25">
            <v>7254</v>
          </cell>
          <cell r="DS25">
            <v>9</v>
          </cell>
          <cell r="DT25">
            <v>30706</v>
          </cell>
          <cell r="DU25">
            <v>6</v>
          </cell>
          <cell r="DW25">
            <v>7392.8</v>
          </cell>
          <cell r="DX25">
            <v>9.9000000000005457</v>
          </cell>
          <cell r="DY25">
            <v>12064.5</v>
          </cell>
          <cell r="DZ25">
            <v>7.8999999999996362</v>
          </cell>
          <cell r="EA25">
            <v>5407.5</v>
          </cell>
          <cell r="EB25">
            <v>5.1999999999998181</v>
          </cell>
          <cell r="EC25">
            <v>6037.1</v>
          </cell>
          <cell r="ED25">
            <v>6.6000000000003638</v>
          </cell>
          <cell r="EE25">
            <v>1182509</v>
          </cell>
          <cell r="EF25">
            <v>621</v>
          </cell>
          <cell r="EI25">
            <v>245837.2</v>
          </cell>
          <cell r="EJ25">
            <v>142.20000000001164</v>
          </cell>
          <cell r="EL25">
            <v>12435900</v>
          </cell>
          <cell r="EM25">
            <v>3900</v>
          </cell>
          <cell r="EN25">
            <v>957610</v>
          </cell>
          <cell r="EO25">
            <v>300</v>
          </cell>
          <cell r="EP25">
            <v>7341000</v>
          </cell>
          <cell r="EQ25">
            <v>1300</v>
          </cell>
          <cell r="ER25">
            <v>2531000</v>
          </cell>
          <cell r="ES25">
            <v>600</v>
          </cell>
          <cell r="ET25">
            <v>1336610</v>
          </cell>
          <cell r="EU25">
            <v>670</v>
          </cell>
          <cell r="EV25">
            <v>16881100</v>
          </cell>
          <cell r="EW25">
            <v>5600</v>
          </cell>
          <cell r="EY25">
            <v>43638</v>
          </cell>
          <cell r="EZ25">
            <v>14</v>
          </cell>
          <cell r="FA25">
            <v>37989</v>
          </cell>
          <cell r="FB25">
            <v>11</v>
          </cell>
          <cell r="FC25">
            <v>8523</v>
          </cell>
          <cell r="FD25">
            <v>9</v>
          </cell>
          <cell r="FE25">
            <v>60686</v>
          </cell>
          <cell r="FF25">
            <v>17</v>
          </cell>
          <cell r="FG25">
            <v>52815</v>
          </cell>
          <cell r="FH25">
            <v>31</v>
          </cell>
          <cell r="FJ25">
            <v>189.87</v>
          </cell>
          <cell r="FL25">
            <v>265743.59999999998</v>
          </cell>
          <cell r="FN25">
            <v>92193.107000000004</v>
          </cell>
          <cell r="FP25">
            <v>12444</v>
          </cell>
          <cell r="FR25">
            <v>11127</v>
          </cell>
          <cell r="FT25">
            <v>8816</v>
          </cell>
          <cell r="FV25">
            <v>9170</v>
          </cell>
        </row>
        <row r="26">
          <cell r="B26">
            <v>0.96</v>
          </cell>
          <cell r="E26">
            <v>270609</v>
          </cell>
          <cell r="F26">
            <v>691</v>
          </cell>
          <cell r="G26">
            <v>800</v>
          </cell>
          <cell r="H26">
            <v>286108</v>
          </cell>
          <cell r="I26">
            <v>533</v>
          </cell>
          <cell r="J26">
            <v>493</v>
          </cell>
          <cell r="K26">
            <v>26241</v>
          </cell>
          <cell r="L26">
            <v>151</v>
          </cell>
          <cell r="N26">
            <v>939953</v>
          </cell>
          <cell r="O26">
            <v>130</v>
          </cell>
          <cell r="Q26">
            <v>246269</v>
          </cell>
          <cell r="R26">
            <v>0</v>
          </cell>
          <cell r="U26">
            <v>124421</v>
          </cell>
          <cell r="V26">
            <v>107</v>
          </cell>
          <cell r="W26">
            <v>4.9240000000000004</v>
          </cell>
          <cell r="X26">
            <v>7219</v>
          </cell>
          <cell r="Y26">
            <v>15</v>
          </cell>
          <cell r="AE26">
            <v>8388901.9199999999</v>
          </cell>
          <cell r="AF26">
            <v>2728.320000000298</v>
          </cell>
          <cell r="AH26">
            <v>15925496.16</v>
          </cell>
          <cell r="AI26">
            <v>4872</v>
          </cell>
          <cell r="AK26">
            <v>16056942.719999999</v>
          </cell>
          <cell r="AL26">
            <v>1315.4399999976158</v>
          </cell>
          <cell r="AN26">
            <v>19218822</v>
          </cell>
          <cell r="AO26">
            <v>730.80000000074506</v>
          </cell>
          <cell r="AQ26">
            <v>19453311.359999999</v>
          </cell>
          <cell r="AR26">
            <v>9500.3999999985099</v>
          </cell>
          <cell r="AT26">
            <v>18098554.32</v>
          </cell>
          <cell r="AU26">
            <v>5554.0800000019372</v>
          </cell>
          <cell r="AW26">
            <v>15185147.039999999</v>
          </cell>
          <cell r="AX26">
            <v>4189.9199999999255</v>
          </cell>
          <cell r="AZ26">
            <v>14750759.52</v>
          </cell>
          <cell r="BA26">
            <v>4725.839999999851</v>
          </cell>
          <cell r="BC26">
            <v>11476775.52</v>
          </cell>
          <cell r="BD26">
            <v>3264.2399999983609</v>
          </cell>
          <cell r="BF26">
            <v>18254896.800000001</v>
          </cell>
          <cell r="BG26">
            <v>5895.1200000010431</v>
          </cell>
          <cell r="BM26">
            <v>79362400</v>
          </cell>
          <cell r="BN26">
            <v>5400</v>
          </cell>
          <cell r="BP26">
            <v>82345900</v>
          </cell>
          <cell r="BQ26">
            <v>0</v>
          </cell>
          <cell r="BS26">
            <v>76094900</v>
          </cell>
          <cell r="BT26">
            <v>53300</v>
          </cell>
          <cell r="BV26">
            <v>10908480</v>
          </cell>
          <cell r="BW26">
            <v>8300</v>
          </cell>
          <cell r="BY26">
            <v>0.69</v>
          </cell>
          <cell r="BZ26">
            <v>0.10000000000000009</v>
          </cell>
          <cell r="CB26">
            <v>66078</v>
          </cell>
          <cell r="CC26">
            <v>19</v>
          </cell>
          <cell r="CD26">
            <v>57352</v>
          </cell>
          <cell r="CE26">
            <v>22</v>
          </cell>
          <cell r="CF26">
            <v>19370</v>
          </cell>
          <cell r="CG26">
            <v>7</v>
          </cell>
          <cell r="CH26">
            <v>26534</v>
          </cell>
          <cell r="CI26">
            <v>9</v>
          </cell>
          <cell r="CJ26">
            <v>29907</v>
          </cell>
          <cell r="CK26">
            <v>11</v>
          </cell>
          <cell r="CL26">
            <v>65980</v>
          </cell>
          <cell r="CM26">
            <v>29</v>
          </cell>
          <cell r="CN26">
            <v>275616</v>
          </cell>
          <cell r="CO26">
            <v>82</v>
          </cell>
          <cell r="CQ26">
            <v>226292</v>
          </cell>
          <cell r="CR26">
            <v>138</v>
          </cell>
          <cell r="CT26">
            <v>378894</v>
          </cell>
          <cell r="CU26">
            <v>204</v>
          </cell>
          <cell r="CW26">
            <v>711946</v>
          </cell>
          <cell r="CX26">
            <v>186</v>
          </cell>
          <cell r="CZ26">
            <v>9634</v>
          </cell>
          <cell r="DA26">
            <v>4</v>
          </cell>
          <cell r="DB26">
            <v>6531</v>
          </cell>
          <cell r="DC26">
            <v>3</v>
          </cell>
          <cell r="DD26">
            <v>33739</v>
          </cell>
          <cell r="DE26">
            <v>19</v>
          </cell>
          <cell r="DF26">
            <v>33781</v>
          </cell>
          <cell r="DG26">
            <v>14</v>
          </cell>
          <cell r="DH26">
            <v>22807</v>
          </cell>
          <cell r="DI26">
            <v>8</v>
          </cell>
          <cell r="DJ26">
            <v>24582</v>
          </cell>
          <cell r="DK26">
            <v>8</v>
          </cell>
          <cell r="DL26">
            <v>8152</v>
          </cell>
          <cell r="DM26">
            <v>10</v>
          </cell>
          <cell r="DN26">
            <v>10581</v>
          </cell>
          <cell r="DO26">
            <v>11</v>
          </cell>
          <cell r="DP26">
            <v>3709</v>
          </cell>
          <cell r="DQ26">
            <v>5</v>
          </cell>
          <cell r="DR26">
            <v>7263</v>
          </cell>
          <cell r="DS26">
            <v>9</v>
          </cell>
          <cell r="DT26">
            <v>30706</v>
          </cell>
          <cell r="DU26">
            <v>0</v>
          </cell>
          <cell r="DW26">
            <v>7403.5</v>
          </cell>
          <cell r="DX26">
            <v>10.699999999999818</v>
          </cell>
          <cell r="DY26">
            <v>12073.4</v>
          </cell>
          <cell r="DZ26">
            <v>8.8999999999996362</v>
          </cell>
          <cell r="EA26">
            <v>5413.4</v>
          </cell>
          <cell r="EB26">
            <v>5.8999999999996362</v>
          </cell>
          <cell r="EC26">
            <v>6045.1</v>
          </cell>
          <cell r="ED26">
            <v>8</v>
          </cell>
          <cell r="EE26">
            <v>1183162</v>
          </cell>
          <cell r="EF26">
            <v>653</v>
          </cell>
          <cell r="EI26">
            <v>245993.5</v>
          </cell>
          <cell r="EJ26">
            <v>156.29999999998836</v>
          </cell>
          <cell r="EL26">
            <v>12440300</v>
          </cell>
          <cell r="EM26">
            <v>4400</v>
          </cell>
          <cell r="EN26">
            <v>957920</v>
          </cell>
          <cell r="EO26">
            <v>310</v>
          </cell>
          <cell r="EP26">
            <v>7342700</v>
          </cell>
          <cell r="EQ26">
            <v>1700</v>
          </cell>
          <cell r="ER26">
            <v>2531500</v>
          </cell>
          <cell r="ES26">
            <v>500</v>
          </cell>
          <cell r="ET26">
            <v>1337360</v>
          </cell>
          <cell r="EU26">
            <v>750</v>
          </cell>
          <cell r="EV26">
            <v>16887200</v>
          </cell>
          <cell r="EW26">
            <v>6100</v>
          </cell>
          <cell r="EY26">
            <v>43655</v>
          </cell>
          <cell r="EZ26">
            <v>17</v>
          </cell>
          <cell r="FA26">
            <v>38001</v>
          </cell>
          <cell r="FB26">
            <v>12</v>
          </cell>
          <cell r="FC26">
            <v>8536</v>
          </cell>
          <cell r="FD26">
            <v>13</v>
          </cell>
          <cell r="FE26">
            <v>60702</v>
          </cell>
          <cell r="FF26">
            <v>16</v>
          </cell>
          <cell r="FG26">
            <v>52851</v>
          </cell>
          <cell r="FH26">
            <v>36</v>
          </cell>
          <cell r="FJ26">
            <v>190.38</v>
          </cell>
          <cell r="FL26">
            <v>265904</v>
          </cell>
          <cell r="FN26">
            <v>92342.293000000005</v>
          </cell>
          <cell r="FP26">
            <v>12444</v>
          </cell>
          <cell r="FR26">
            <v>11137</v>
          </cell>
          <cell r="FT26">
            <v>8819</v>
          </cell>
          <cell r="FV26">
            <v>9170</v>
          </cell>
        </row>
        <row r="27">
          <cell r="B27">
            <v>0.91</v>
          </cell>
          <cell r="E27">
            <v>271225</v>
          </cell>
          <cell r="F27">
            <v>616</v>
          </cell>
          <cell r="G27">
            <v>795</v>
          </cell>
          <cell r="H27">
            <v>286651</v>
          </cell>
          <cell r="I27">
            <v>543</v>
          </cell>
          <cell r="J27">
            <v>495</v>
          </cell>
          <cell r="K27">
            <v>26598</v>
          </cell>
          <cell r="L27">
            <v>357</v>
          </cell>
          <cell r="N27">
            <v>940212</v>
          </cell>
          <cell r="O27">
            <v>259</v>
          </cell>
          <cell r="Q27">
            <v>246269</v>
          </cell>
          <cell r="R27">
            <v>0</v>
          </cell>
          <cell r="U27">
            <v>124521</v>
          </cell>
          <cell r="V27">
            <v>100</v>
          </cell>
          <cell r="W27">
            <v>4.9530000000000003</v>
          </cell>
          <cell r="X27">
            <v>7231</v>
          </cell>
          <cell r="Y27">
            <v>12</v>
          </cell>
          <cell r="AE27">
            <v>8391191.7599999998</v>
          </cell>
          <cell r="AF27">
            <v>2289.839999999851</v>
          </cell>
          <cell r="AH27">
            <v>15930416.880000001</v>
          </cell>
          <cell r="AI27">
            <v>4920.7200000006706</v>
          </cell>
          <cell r="AK27">
            <v>16066199.52</v>
          </cell>
          <cell r="AL27">
            <v>9256.8000000007451</v>
          </cell>
          <cell r="AN27">
            <v>19221160.560000002</v>
          </cell>
          <cell r="AO27">
            <v>2338.5600000023842</v>
          </cell>
          <cell r="AQ27">
            <v>19453311.359999999</v>
          </cell>
          <cell r="AR27">
            <v>0</v>
          </cell>
          <cell r="AT27">
            <v>18104254.560000002</v>
          </cell>
          <cell r="AU27">
            <v>5700.2400000020862</v>
          </cell>
          <cell r="AW27">
            <v>15189434.4</v>
          </cell>
          <cell r="AX27">
            <v>4287.3600000012666</v>
          </cell>
          <cell r="AZ27">
            <v>14755875.119999999</v>
          </cell>
          <cell r="BA27">
            <v>5115.5999999996275</v>
          </cell>
          <cell r="BC27">
            <v>11479942.319999998</v>
          </cell>
          <cell r="BD27">
            <v>3166.7999999988824</v>
          </cell>
          <cell r="BF27">
            <v>18261279.119999997</v>
          </cell>
          <cell r="BG27">
            <v>6382.3199999965727</v>
          </cell>
          <cell r="BM27">
            <v>79413400</v>
          </cell>
          <cell r="BN27">
            <v>51000</v>
          </cell>
          <cell r="BP27">
            <v>82350700</v>
          </cell>
          <cell r="BQ27">
            <v>4800</v>
          </cell>
          <cell r="BS27">
            <v>76094900</v>
          </cell>
          <cell r="BT27">
            <v>0</v>
          </cell>
          <cell r="BV27">
            <v>10916820</v>
          </cell>
          <cell r="BW27">
            <v>8340</v>
          </cell>
          <cell r="BY27">
            <v>0.62</v>
          </cell>
          <cell r="BZ27">
            <v>6.9999999999999951E-2</v>
          </cell>
          <cell r="CB27">
            <v>66098</v>
          </cell>
          <cell r="CC27">
            <v>20</v>
          </cell>
          <cell r="CD27">
            <v>57374</v>
          </cell>
          <cell r="CE27">
            <v>22</v>
          </cell>
          <cell r="CF27">
            <v>19377</v>
          </cell>
          <cell r="CG27">
            <v>7</v>
          </cell>
          <cell r="CH27">
            <v>26545</v>
          </cell>
          <cell r="CI27">
            <v>11</v>
          </cell>
          <cell r="CJ27">
            <v>29921</v>
          </cell>
          <cell r="CK27">
            <v>14</v>
          </cell>
          <cell r="CL27">
            <v>66020</v>
          </cell>
          <cell r="CM27">
            <v>40</v>
          </cell>
          <cell r="CN27">
            <v>275700</v>
          </cell>
          <cell r="CO27">
            <v>84</v>
          </cell>
          <cell r="CQ27">
            <v>226434</v>
          </cell>
          <cell r="CR27">
            <v>142</v>
          </cell>
          <cell r="CT27">
            <v>379082</v>
          </cell>
          <cell r="CU27">
            <v>188</v>
          </cell>
          <cell r="CW27">
            <v>712137</v>
          </cell>
          <cell r="CX27">
            <v>191</v>
          </cell>
          <cell r="CZ27">
            <v>9639</v>
          </cell>
          <cell r="DA27">
            <v>5</v>
          </cell>
          <cell r="DB27">
            <v>6537</v>
          </cell>
          <cell r="DC27">
            <v>6</v>
          </cell>
          <cell r="DD27">
            <v>33763</v>
          </cell>
          <cell r="DE27">
            <v>24</v>
          </cell>
          <cell r="DF27">
            <v>33797</v>
          </cell>
          <cell r="DG27">
            <v>16</v>
          </cell>
          <cell r="DH27">
            <v>22819</v>
          </cell>
          <cell r="DI27">
            <v>12</v>
          </cell>
          <cell r="DJ27">
            <v>24587</v>
          </cell>
          <cell r="DK27">
            <v>5</v>
          </cell>
          <cell r="DL27">
            <v>8165</v>
          </cell>
          <cell r="DM27">
            <v>13</v>
          </cell>
          <cell r="DN27">
            <v>10594</v>
          </cell>
          <cell r="DO27">
            <v>13</v>
          </cell>
          <cell r="DP27">
            <v>3716</v>
          </cell>
          <cell r="DQ27">
            <v>7</v>
          </cell>
          <cell r="DR27">
            <v>7277</v>
          </cell>
          <cell r="DS27">
            <v>14</v>
          </cell>
          <cell r="DT27">
            <v>30706</v>
          </cell>
          <cell r="DU27">
            <v>0</v>
          </cell>
          <cell r="DW27">
            <v>7415.7</v>
          </cell>
          <cell r="DX27">
            <v>12.199999999999818</v>
          </cell>
          <cell r="DY27">
            <v>12082.6</v>
          </cell>
          <cell r="DZ27">
            <v>9.2000000000007276</v>
          </cell>
          <cell r="EA27">
            <v>5420.4</v>
          </cell>
          <cell r="EB27">
            <v>7</v>
          </cell>
          <cell r="EC27">
            <v>6054</v>
          </cell>
          <cell r="ED27">
            <v>8.8999999999996362</v>
          </cell>
          <cell r="EE27">
            <v>1183889</v>
          </cell>
          <cell r="EF27">
            <v>727</v>
          </cell>
          <cell r="EI27">
            <v>246164.9</v>
          </cell>
          <cell r="EJ27">
            <v>171.39999999999418</v>
          </cell>
          <cell r="EL27">
            <v>12443000</v>
          </cell>
          <cell r="EM27">
            <v>2700</v>
          </cell>
          <cell r="EN27">
            <v>958200</v>
          </cell>
          <cell r="EO27">
            <v>280</v>
          </cell>
          <cell r="EP27">
            <v>7344300</v>
          </cell>
          <cell r="EQ27">
            <v>1600</v>
          </cell>
          <cell r="ER27">
            <v>2532300</v>
          </cell>
          <cell r="ES27">
            <v>800</v>
          </cell>
          <cell r="ET27">
            <v>1338050</v>
          </cell>
          <cell r="EU27">
            <v>690</v>
          </cell>
          <cell r="EV27">
            <v>16891800</v>
          </cell>
          <cell r="EW27">
            <v>4600</v>
          </cell>
          <cell r="EY27">
            <v>43672</v>
          </cell>
          <cell r="EZ27">
            <v>17</v>
          </cell>
          <cell r="FA27">
            <v>38015</v>
          </cell>
          <cell r="FB27">
            <v>14</v>
          </cell>
          <cell r="FC27">
            <v>8552</v>
          </cell>
          <cell r="FD27">
            <v>16</v>
          </cell>
          <cell r="FE27">
            <v>60724</v>
          </cell>
          <cell r="FF27">
            <v>22</v>
          </cell>
          <cell r="FG27">
            <v>52894</v>
          </cell>
          <cell r="FH27">
            <v>43</v>
          </cell>
          <cell r="FJ27">
            <v>190.52</v>
          </cell>
          <cell r="FL27">
            <v>266147.90000000002</v>
          </cell>
          <cell r="FN27">
            <v>92485.918000000005</v>
          </cell>
          <cell r="FP27">
            <v>12445</v>
          </cell>
          <cell r="FR27">
            <v>11143</v>
          </cell>
          <cell r="FT27">
            <v>8825</v>
          </cell>
          <cell r="FV27">
            <v>9172</v>
          </cell>
        </row>
        <row r="28">
          <cell r="B28">
            <v>0.74</v>
          </cell>
          <cell r="E28">
            <v>271920</v>
          </cell>
          <cell r="F28">
            <v>695</v>
          </cell>
          <cell r="G28">
            <v>844</v>
          </cell>
          <cell r="H28">
            <v>287114</v>
          </cell>
          <cell r="I28">
            <v>463</v>
          </cell>
          <cell r="J28">
            <v>542</v>
          </cell>
          <cell r="K28">
            <v>26764</v>
          </cell>
          <cell r="L28">
            <v>166</v>
          </cell>
          <cell r="N28">
            <v>940474</v>
          </cell>
          <cell r="O28">
            <v>262</v>
          </cell>
          <cell r="Q28">
            <v>246269</v>
          </cell>
          <cell r="R28">
            <v>0</v>
          </cell>
          <cell r="U28">
            <v>124614</v>
          </cell>
          <cell r="V28">
            <v>93</v>
          </cell>
          <cell r="W28">
            <v>4.92</v>
          </cell>
          <cell r="X28">
            <v>7245</v>
          </cell>
          <cell r="Y28">
            <v>14</v>
          </cell>
          <cell r="AE28">
            <v>8393140.5599999987</v>
          </cell>
          <cell r="AF28">
            <v>1948.7999999988824</v>
          </cell>
          <cell r="AH28">
            <v>15934704.24</v>
          </cell>
          <cell r="AI28">
            <v>4287.359999999404</v>
          </cell>
          <cell r="AK28">
            <v>16066930.319999998</v>
          </cell>
          <cell r="AL28">
            <v>730.79999999888241</v>
          </cell>
          <cell r="AN28">
            <v>19229248.080000002</v>
          </cell>
          <cell r="AO28">
            <v>8087.519999999553</v>
          </cell>
          <cell r="AQ28">
            <v>19454578.080000002</v>
          </cell>
          <cell r="AR28">
            <v>1266.7200000025332</v>
          </cell>
          <cell r="AT28">
            <v>18109175.280000001</v>
          </cell>
          <cell r="AU28">
            <v>4920.7199999988079</v>
          </cell>
          <cell r="AW28">
            <v>15193039.68</v>
          </cell>
          <cell r="AX28">
            <v>3605.2799999993294</v>
          </cell>
          <cell r="AZ28">
            <v>14759821.439999999</v>
          </cell>
          <cell r="BA28">
            <v>3946.320000000298</v>
          </cell>
          <cell r="BC28">
            <v>11482670.640000001</v>
          </cell>
          <cell r="BD28">
            <v>2728.3200000021607</v>
          </cell>
          <cell r="BF28">
            <v>18266540.879999999</v>
          </cell>
          <cell r="BG28">
            <v>5261.7600000016391</v>
          </cell>
          <cell r="BM28">
            <v>79413400</v>
          </cell>
          <cell r="BN28">
            <v>0</v>
          </cell>
          <cell r="BP28">
            <v>82398000</v>
          </cell>
          <cell r="BQ28">
            <v>47300</v>
          </cell>
          <cell r="BS28">
            <v>76099600</v>
          </cell>
          <cell r="BT28">
            <v>4700</v>
          </cell>
          <cell r="BV28">
            <v>10924220</v>
          </cell>
          <cell r="BW28">
            <v>7400</v>
          </cell>
          <cell r="BY28">
            <v>0.79</v>
          </cell>
          <cell r="BZ28">
            <v>-0.17000000000000004</v>
          </cell>
          <cell r="CB28">
            <v>66113</v>
          </cell>
          <cell r="CC28">
            <v>15</v>
          </cell>
          <cell r="CD28">
            <v>57391</v>
          </cell>
          <cell r="CE28">
            <v>17</v>
          </cell>
          <cell r="CF28">
            <v>19383</v>
          </cell>
          <cell r="CG28">
            <v>6</v>
          </cell>
          <cell r="CH28">
            <v>26553</v>
          </cell>
          <cell r="CI28">
            <v>8</v>
          </cell>
          <cell r="CJ28">
            <v>29930</v>
          </cell>
          <cell r="CK28">
            <v>9</v>
          </cell>
          <cell r="CL28">
            <v>66052</v>
          </cell>
          <cell r="CM28">
            <v>32</v>
          </cell>
          <cell r="CN28">
            <v>275777</v>
          </cell>
          <cell r="CO28">
            <v>77</v>
          </cell>
          <cell r="CQ28">
            <v>226563</v>
          </cell>
          <cell r="CR28">
            <v>129</v>
          </cell>
          <cell r="CT28">
            <v>379246</v>
          </cell>
          <cell r="CU28">
            <v>164</v>
          </cell>
          <cell r="CW28">
            <v>712312</v>
          </cell>
          <cell r="CX28">
            <v>175</v>
          </cell>
          <cell r="CZ28">
            <v>9642</v>
          </cell>
          <cell r="DA28">
            <v>3</v>
          </cell>
          <cell r="DB28">
            <v>6543</v>
          </cell>
          <cell r="DC28">
            <v>6</v>
          </cell>
          <cell r="DD28">
            <v>33777</v>
          </cell>
          <cell r="DE28">
            <v>14</v>
          </cell>
          <cell r="DF28">
            <v>33810</v>
          </cell>
          <cell r="DG28">
            <v>13</v>
          </cell>
          <cell r="DH28">
            <v>22823</v>
          </cell>
          <cell r="DI28">
            <v>4</v>
          </cell>
          <cell r="DJ28">
            <v>24592</v>
          </cell>
          <cell r="DK28">
            <v>5</v>
          </cell>
          <cell r="DL28">
            <v>8173</v>
          </cell>
          <cell r="DM28">
            <v>8</v>
          </cell>
          <cell r="DN28">
            <v>10606</v>
          </cell>
          <cell r="DO28">
            <v>12</v>
          </cell>
          <cell r="DP28">
            <v>3718</v>
          </cell>
          <cell r="DQ28">
            <v>2</v>
          </cell>
          <cell r="DR28">
            <v>7282</v>
          </cell>
          <cell r="DS28">
            <v>5</v>
          </cell>
          <cell r="DT28">
            <v>30712</v>
          </cell>
          <cell r="DU28">
            <v>6</v>
          </cell>
          <cell r="DW28">
            <v>7424.3</v>
          </cell>
          <cell r="DX28">
            <v>8.6000000000003638</v>
          </cell>
          <cell r="DY28">
            <v>12090.3</v>
          </cell>
          <cell r="DZ28">
            <v>7.6999999999989086</v>
          </cell>
          <cell r="EA28">
            <v>5425.6</v>
          </cell>
          <cell r="EB28">
            <v>5.2000000000007276</v>
          </cell>
          <cell r="EC28">
            <v>6060.7</v>
          </cell>
          <cell r="ED28">
            <v>6.6999999999998181</v>
          </cell>
          <cell r="EE28">
            <v>1184407</v>
          </cell>
          <cell r="EF28">
            <v>518</v>
          </cell>
          <cell r="EI28">
            <v>246295.4</v>
          </cell>
          <cell r="EJ28">
            <v>130.5</v>
          </cell>
          <cell r="EL28">
            <v>12447100</v>
          </cell>
          <cell r="EM28">
            <v>4100</v>
          </cell>
          <cell r="EN28">
            <v>958370</v>
          </cell>
          <cell r="EO28">
            <v>170</v>
          </cell>
          <cell r="EP28">
            <v>7345500</v>
          </cell>
          <cell r="EQ28">
            <v>1200</v>
          </cell>
          <cell r="ER28">
            <v>2532800</v>
          </cell>
          <cell r="ES28">
            <v>500</v>
          </cell>
          <cell r="ET28">
            <v>1338610</v>
          </cell>
          <cell r="EU28">
            <v>560</v>
          </cell>
          <cell r="EV28">
            <v>16895300</v>
          </cell>
          <cell r="EW28">
            <v>3500</v>
          </cell>
          <cell r="EY28">
            <v>43683</v>
          </cell>
          <cell r="EZ28">
            <v>11</v>
          </cell>
          <cell r="FA28">
            <v>38024</v>
          </cell>
          <cell r="FB28">
            <v>9</v>
          </cell>
          <cell r="FC28">
            <v>8563</v>
          </cell>
          <cell r="FD28">
            <v>11</v>
          </cell>
          <cell r="FE28">
            <v>60732</v>
          </cell>
          <cell r="FF28">
            <v>8</v>
          </cell>
          <cell r="FG28">
            <v>52919</v>
          </cell>
          <cell r="FH28">
            <v>25</v>
          </cell>
          <cell r="FJ28">
            <v>191.58</v>
          </cell>
          <cell r="FL28">
            <v>266341.09999999998</v>
          </cell>
          <cell r="FN28">
            <v>92620.42</v>
          </cell>
          <cell r="FP28">
            <v>12448</v>
          </cell>
          <cell r="FR28">
            <v>11151</v>
          </cell>
          <cell r="FT28">
            <v>8831</v>
          </cell>
          <cell r="FV28">
            <v>9175</v>
          </cell>
        </row>
        <row r="29">
          <cell r="B29">
            <v>0.73</v>
          </cell>
          <cell r="E29">
            <v>272491</v>
          </cell>
          <cell r="F29">
            <v>571</v>
          </cell>
          <cell r="G29">
            <v>725</v>
          </cell>
          <cell r="H29">
            <v>287530</v>
          </cell>
          <cell r="I29">
            <v>416</v>
          </cell>
          <cell r="J29">
            <v>419</v>
          </cell>
          <cell r="K29">
            <v>27039</v>
          </cell>
          <cell r="L29">
            <v>275</v>
          </cell>
          <cell r="N29">
            <v>940742</v>
          </cell>
          <cell r="O29">
            <v>268</v>
          </cell>
          <cell r="Q29">
            <v>246269</v>
          </cell>
          <cell r="R29">
            <v>0</v>
          </cell>
          <cell r="U29">
            <v>124708</v>
          </cell>
          <cell r="V29">
            <v>94</v>
          </cell>
          <cell r="W29">
            <v>4.93</v>
          </cell>
          <cell r="X29">
            <v>7257</v>
          </cell>
          <cell r="Y29">
            <v>12</v>
          </cell>
          <cell r="AE29">
            <v>8395186.7999999989</v>
          </cell>
          <cell r="AF29">
            <v>2046.2400000002235</v>
          </cell>
          <cell r="AH29">
            <v>15939283.919999998</v>
          </cell>
          <cell r="AI29">
            <v>4579.6799999978393</v>
          </cell>
          <cell r="AK29">
            <v>16068879.119999999</v>
          </cell>
          <cell r="AL29">
            <v>1948.8000000007451</v>
          </cell>
          <cell r="AN29">
            <v>19229881.439999998</v>
          </cell>
          <cell r="AO29">
            <v>633.35999999567866</v>
          </cell>
          <cell r="AQ29">
            <v>19462324.560000002</v>
          </cell>
          <cell r="AR29">
            <v>7746.480000000447</v>
          </cell>
          <cell r="AT29">
            <v>18114534.48</v>
          </cell>
          <cell r="AU29">
            <v>5359.1999999992549</v>
          </cell>
          <cell r="AW29">
            <v>15196742.4</v>
          </cell>
          <cell r="AX29">
            <v>3702.7200000006706</v>
          </cell>
          <cell r="AZ29">
            <v>14764157.52</v>
          </cell>
          <cell r="BA29">
            <v>4336.0800000000745</v>
          </cell>
          <cell r="BC29">
            <v>11485593.84</v>
          </cell>
          <cell r="BD29">
            <v>2923.1999999992549</v>
          </cell>
          <cell r="BF29">
            <v>18271851.359999999</v>
          </cell>
          <cell r="BG29">
            <v>5310.480000000447</v>
          </cell>
          <cell r="BM29">
            <v>79418000</v>
          </cell>
          <cell r="BN29">
            <v>4600</v>
          </cell>
          <cell r="BP29">
            <v>82398000</v>
          </cell>
          <cell r="BQ29">
            <v>0</v>
          </cell>
          <cell r="BS29">
            <v>76143100</v>
          </cell>
          <cell r="BT29">
            <v>43500</v>
          </cell>
          <cell r="BV29">
            <v>10931270</v>
          </cell>
          <cell r="BW29">
            <v>7050</v>
          </cell>
          <cell r="BY29">
            <v>0.71</v>
          </cell>
          <cell r="BZ29">
            <v>8.0000000000000071E-2</v>
          </cell>
          <cell r="CB29">
            <v>66129</v>
          </cell>
          <cell r="CC29">
            <v>16</v>
          </cell>
          <cell r="CD29">
            <v>57410</v>
          </cell>
          <cell r="CE29">
            <v>19</v>
          </cell>
          <cell r="CF29">
            <v>19390</v>
          </cell>
          <cell r="CG29">
            <v>7</v>
          </cell>
          <cell r="CH29">
            <v>26563</v>
          </cell>
          <cell r="CI29">
            <v>10</v>
          </cell>
          <cell r="CJ29">
            <v>29940</v>
          </cell>
          <cell r="CK29">
            <v>10</v>
          </cell>
          <cell r="CL29">
            <v>66087</v>
          </cell>
          <cell r="CM29">
            <v>35</v>
          </cell>
          <cell r="CN29">
            <v>275859</v>
          </cell>
          <cell r="CO29">
            <v>82</v>
          </cell>
          <cell r="CQ29">
            <v>226692</v>
          </cell>
          <cell r="CR29">
            <v>129</v>
          </cell>
          <cell r="CT29">
            <v>379391</v>
          </cell>
          <cell r="CU29">
            <v>145</v>
          </cell>
          <cell r="CW29">
            <v>712495</v>
          </cell>
          <cell r="CX29">
            <v>183</v>
          </cell>
          <cell r="CZ29">
            <v>9645</v>
          </cell>
          <cell r="DA29">
            <v>3</v>
          </cell>
          <cell r="DB29">
            <v>6546</v>
          </cell>
          <cell r="DC29">
            <v>3</v>
          </cell>
          <cell r="DD29">
            <v>33789</v>
          </cell>
          <cell r="DE29">
            <v>12</v>
          </cell>
          <cell r="DF29">
            <v>33829</v>
          </cell>
          <cell r="DG29">
            <v>19</v>
          </cell>
          <cell r="DH29">
            <v>22830</v>
          </cell>
          <cell r="DI29">
            <v>7</v>
          </cell>
          <cell r="DJ29">
            <v>24599</v>
          </cell>
          <cell r="DK29">
            <v>7</v>
          </cell>
          <cell r="DL29">
            <v>8179</v>
          </cell>
          <cell r="DM29">
            <v>6</v>
          </cell>
          <cell r="DN29">
            <v>10613</v>
          </cell>
          <cell r="DO29">
            <v>7</v>
          </cell>
          <cell r="DP29">
            <v>3722</v>
          </cell>
          <cell r="DQ29">
            <v>4</v>
          </cell>
          <cell r="DR29">
            <v>7289</v>
          </cell>
          <cell r="DS29">
            <v>7</v>
          </cell>
          <cell r="DT29">
            <v>30719</v>
          </cell>
          <cell r="DU29">
            <v>7</v>
          </cell>
          <cell r="DW29">
            <v>7434.1</v>
          </cell>
          <cell r="DX29">
            <v>9.8000000000001819</v>
          </cell>
          <cell r="DY29">
            <v>12098.1</v>
          </cell>
          <cell r="DZ29">
            <v>7.8000000000010914</v>
          </cell>
          <cell r="EA29">
            <v>5431.6</v>
          </cell>
          <cell r="EB29">
            <v>6</v>
          </cell>
          <cell r="EC29">
            <v>6066.8</v>
          </cell>
          <cell r="ED29">
            <v>6.1000000000003638</v>
          </cell>
          <cell r="EE29">
            <v>1184980</v>
          </cell>
          <cell r="EF29">
            <v>573</v>
          </cell>
          <cell r="EI29">
            <v>246446.5</v>
          </cell>
          <cell r="EJ29">
            <v>151.10000000000582</v>
          </cell>
          <cell r="EL29">
            <v>12450200</v>
          </cell>
          <cell r="EM29">
            <v>3100</v>
          </cell>
          <cell r="EN29">
            <v>958610</v>
          </cell>
          <cell r="EO29">
            <v>240</v>
          </cell>
          <cell r="EP29">
            <v>7347000</v>
          </cell>
          <cell r="EQ29">
            <v>1500</v>
          </cell>
          <cell r="ER29">
            <v>2533300</v>
          </cell>
          <cell r="ES29">
            <v>500</v>
          </cell>
          <cell r="ET29">
            <v>1339280</v>
          </cell>
          <cell r="EU29">
            <v>670</v>
          </cell>
          <cell r="EV29">
            <v>16899200</v>
          </cell>
          <cell r="EW29">
            <v>3900</v>
          </cell>
          <cell r="EY29">
            <v>43697</v>
          </cell>
          <cell r="EZ29">
            <v>14</v>
          </cell>
          <cell r="FA29">
            <v>38035</v>
          </cell>
          <cell r="FB29">
            <v>11</v>
          </cell>
          <cell r="FC29">
            <v>8572</v>
          </cell>
          <cell r="FD29">
            <v>9</v>
          </cell>
          <cell r="FE29">
            <v>60743</v>
          </cell>
          <cell r="FF29">
            <v>11</v>
          </cell>
          <cell r="FG29">
            <v>52950</v>
          </cell>
          <cell r="FH29">
            <v>31</v>
          </cell>
          <cell r="FJ29">
            <v>191.63</v>
          </cell>
          <cell r="FL29">
            <v>266531.59999999998</v>
          </cell>
          <cell r="FN29">
            <v>92740.672999999995</v>
          </cell>
          <cell r="FP29">
            <v>12460</v>
          </cell>
          <cell r="FR29">
            <v>11157</v>
          </cell>
          <cell r="FT29">
            <v>8837</v>
          </cell>
          <cell r="FV29">
            <v>9180</v>
          </cell>
        </row>
        <row r="30">
          <cell r="B30">
            <v>0.8</v>
          </cell>
          <cell r="E30">
            <v>273042</v>
          </cell>
          <cell r="F30">
            <v>551</v>
          </cell>
          <cell r="G30">
            <v>772</v>
          </cell>
          <cell r="H30">
            <v>287942</v>
          </cell>
          <cell r="I30">
            <v>412</v>
          </cell>
          <cell r="J30">
            <v>441</v>
          </cell>
          <cell r="K30">
            <v>27324</v>
          </cell>
          <cell r="L30">
            <v>285</v>
          </cell>
          <cell r="N30">
            <v>941002</v>
          </cell>
          <cell r="O30">
            <v>260</v>
          </cell>
          <cell r="Q30">
            <v>246269</v>
          </cell>
          <cell r="R30">
            <v>0</v>
          </cell>
          <cell r="U30">
            <v>124806</v>
          </cell>
          <cell r="V30">
            <v>98</v>
          </cell>
          <cell r="W30">
            <v>4.9130000000000003</v>
          </cell>
          <cell r="X30">
            <v>7270</v>
          </cell>
          <cell r="Y30">
            <v>13</v>
          </cell>
          <cell r="AE30">
            <v>8397135.5999999996</v>
          </cell>
          <cell r="AF30">
            <v>1948.8000000007451</v>
          </cell>
          <cell r="AH30">
            <v>15943814.880000001</v>
          </cell>
          <cell r="AI30">
            <v>4530.9600000027567</v>
          </cell>
          <cell r="AK30">
            <v>16077502.560000001</v>
          </cell>
          <cell r="AL30">
            <v>8623.4400000013411</v>
          </cell>
          <cell r="AN30">
            <v>19231635.359999999</v>
          </cell>
          <cell r="AO30">
            <v>1753.9200000017881</v>
          </cell>
          <cell r="AQ30">
            <v>19462373.280000001</v>
          </cell>
          <cell r="AR30">
            <v>48.719999998807907</v>
          </cell>
          <cell r="AT30">
            <v>18119893.68</v>
          </cell>
          <cell r="AU30">
            <v>5359.1999999992549</v>
          </cell>
          <cell r="AW30">
            <v>15200298.959999999</v>
          </cell>
          <cell r="AX30">
            <v>3556.5599999986589</v>
          </cell>
          <cell r="AZ30">
            <v>14768396.16</v>
          </cell>
          <cell r="BA30">
            <v>4238.640000000596</v>
          </cell>
          <cell r="BC30">
            <v>11488419.6</v>
          </cell>
          <cell r="BD30">
            <v>2825.7599999997765</v>
          </cell>
          <cell r="BF30">
            <v>18277015.68</v>
          </cell>
          <cell r="BG30">
            <v>5164.320000000298</v>
          </cell>
          <cell r="BM30">
            <v>79465900</v>
          </cell>
          <cell r="BN30">
            <v>47900</v>
          </cell>
          <cell r="BP30">
            <v>82402800</v>
          </cell>
          <cell r="BQ30">
            <v>4800</v>
          </cell>
          <cell r="BS30">
            <v>76143100</v>
          </cell>
          <cell r="BT30">
            <v>0</v>
          </cell>
          <cell r="BV30">
            <v>10938860</v>
          </cell>
          <cell r="BW30">
            <v>7590</v>
          </cell>
          <cell r="BY30">
            <v>0.65</v>
          </cell>
          <cell r="BZ30">
            <v>5.9999999999999942E-2</v>
          </cell>
          <cell r="CB30">
            <v>66146</v>
          </cell>
          <cell r="CC30">
            <v>17</v>
          </cell>
          <cell r="CD30">
            <v>57430</v>
          </cell>
          <cell r="CE30">
            <v>20</v>
          </cell>
          <cell r="CF30">
            <v>19397</v>
          </cell>
          <cell r="CG30">
            <v>7</v>
          </cell>
          <cell r="CH30">
            <v>26573</v>
          </cell>
          <cell r="CI30">
            <v>10</v>
          </cell>
          <cell r="CJ30">
            <v>29950</v>
          </cell>
          <cell r="CK30">
            <v>10</v>
          </cell>
          <cell r="CL30">
            <v>66121</v>
          </cell>
          <cell r="CM30">
            <v>34</v>
          </cell>
          <cell r="CN30">
            <v>275940</v>
          </cell>
          <cell r="CO30">
            <v>81</v>
          </cell>
          <cell r="CQ30">
            <v>226826</v>
          </cell>
          <cell r="CR30">
            <v>134</v>
          </cell>
          <cell r="CT30">
            <v>379577</v>
          </cell>
          <cell r="CU30">
            <v>186</v>
          </cell>
          <cell r="CW30">
            <v>712678</v>
          </cell>
          <cell r="CX30">
            <v>183</v>
          </cell>
          <cell r="CZ30">
            <v>9648</v>
          </cell>
          <cell r="DA30">
            <v>3</v>
          </cell>
          <cell r="DB30">
            <v>6551</v>
          </cell>
          <cell r="DC30">
            <v>5</v>
          </cell>
          <cell r="DD30">
            <v>33805</v>
          </cell>
          <cell r="DE30">
            <v>16</v>
          </cell>
          <cell r="DF30">
            <v>33836</v>
          </cell>
          <cell r="DG30">
            <v>7</v>
          </cell>
          <cell r="DH30">
            <v>22838</v>
          </cell>
          <cell r="DI30">
            <v>8</v>
          </cell>
          <cell r="DJ30">
            <v>24605</v>
          </cell>
          <cell r="DK30">
            <v>6</v>
          </cell>
          <cell r="DL30">
            <v>8187</v>
          </cell>
          <cell r="DM30">
            <v>8</v>
          </cell>
          <cell r="DN30">
            <v>10622</v>
          </cell>
          <cell r="DO30">
            <v>9</v>
          </cell>
          <cell r="DP30">
            <v>3726</v>
          </cell>
          <cell r="DQ30">
            <v>4</v>
          </cell>
          <cell r="DR30">
            <v>7298</v>
          </cell>
          <cell r="DS30">
            <v>9</v>
          </cell>
          <cell r="DT30">
            <v>30725</v>
          </cell>
          <cell r="DU30">
            <v>6</v>
          </cell>
          <cell r="DW30">
            <v>7443.7</v>
          </cell>
          <cell r="DX30">
            <v>9.5999999999994543</v>
          </cell>
          <cell r="DY30">
            <v>12106</v>
          </cell>
          <cell r="DZ30">
            <v>7.8999999999996362</v>
          </cell>
          <cell r="EA30">
            <v>5437.5</v>
          </cell>
          <cell r="EB30">
            <v>5.8999999999996362</v>
          </cell>
          <cell r="EC30">
            <v>6072.9</v>
          </cell>
          <cell r="ED30">
            <v>6.0999999999994543</v>
          </cell>
          <cell r="EE30">
            <v>1185581</v>
          </cell>
          <cell r="EF30">
            <v>601</v>
          </cell>
          <cell r="EI30">
            <v>246593.4</v>
          </cell>
          <cell r="EJ30">
            <v>146.89999999999418</v>
          </cell>
          <cell r="EL30">
            <v>12453400</v>
          </cell>
          <cell r="EM30">
            <v>3200</v>
          </cell>
          <cell r="EN30">
            <v>958860</v>
          </cell>
          <cell r="EO30">
            <v>250</v>
          </cell>
          <cell r="EP30">
            <v>7348500</v>
          </cell>
          <cell r="EQ30">
            <v>1500</v>
          </cell>
          <cell r="ER30">
            <v>2533700</v>
          </cell>
          <cell r="ES30">
            <v>400</v>
          </cell>
          <cell r="ET30">
            <v>1339920</v>
          </cell>
          <cell r="EU30">
            <v>640</v>
          </cell>
          <cell r="EV30">
            <v>16903600</v>
          </cell>
          <cell r="EW30">
            <v>4400</v>
          </cell>
          <cell r="EY30">
            <v>43712</v>
          </cell>
          <cell r="EZ30">
            <v>15</v>
          </cell>
          <cell r="FA30">
            <v>38046</v>
          </cell>
          <cell r="FB30">
            <v>11</v>
          </cell>
          <cell r="FC30">
            <v>8582</v>
          </cell>
          <cell r="FD30">
            <v>10</v>
          </cell>
          <cell r="FE30">
            <v>60753</v>
          </cell>
          <cell r="FF30">
            <v>10</v>
          </cell>
          <cell r="FG30">
            <v>52980</v>
          </cell>
          <cell r="FH30">
            <v>30</v>
          </cell>
          <cell r="FJ30">
            <v>191.66</v>
          </cell>
          <cell r="FL30">
            <v>266747.3</v>
          </cell>
          <cell r="FN30">
            <v>92867.707999999999</v>
          </cell>
          <cell r="FP30">
            <v>12468</v>
          </cell>
          <cell r="FR30">
            <v>11162</v>
          </cell>
          <cell r="FT30">
            <v>8842</v>
          </cell>
          <cell r="FV30">
            <v>9184</v>
          </cell>
        </row>
        <row r="31">
          <cell r="F31">
            <v>-273042</v>
          </cell>
          <cell r="G31">
            <v>703</v>
          </cell>
          <cell r="I31">
            <v>-287942</v>
          </cell>
          <cell r="J31">
            <v>444</v>
          </cell>
          <cell r="L31">
            <v>-27324</v>
          </cell>
          <cell r="O31">
            <v>-941002</v>
          </cell>
          <cell r="R31">
            <v>-246269</v>
          </cell>
          <cell r="V31">
            <v>-124806</v>
          </cell>
          <cell r="W31">
            <v>3.6640000000000001</v>
          </cell>
          <cell r="Y31">
            <v>-7270</v>
          </cell>
          <cell r="AF31">
            <v>-8397135.5999999996</v>
          </cell>
          <cell r="AI31">
            <v>-15943814.880000001</v>
          </cell>
          <cell r="AL31">
            <v>-16077502.560000001</v>
          </cell>
          <cell r="AO31">
            <v>-19231635.359999999</v>
          </cell>
          <cell r="AR31">
            <v>-19462373.280000001</v>
          </cell>
          <cell r="AU31">
            <v>-18119893.68</v>
          </cell>
          <cell r="AX31">
            <v>-15200298.959999999</v>
          </cell>
          <cell r="BA31">
            <v>-14768396.16</v>
          </cell>
          <cell r="BD31">
            <v>-11488419.6</v>
          </cell>
          <cell r="BG31">
            <v>-18277015.68</v>
          </cell>
          <cell r="BN31">
            <v>-79465900</v>
          </cell>
          <cell r="BQ31">
            <v>-82402800</v>
          </cell>
          <cell r="BT31">
            <v>-76143100</v>
          </cell>
          <cell r="BW31">
            <v>-10938860</v>
          </cell>
          <cell r="BZ31">
            <v>0.65</v>
          </cell>
          <cell r="CC31">
            <v>-66146</v>
          </cell>
          <cell r="CE31">
            <v>-57430</v>
          </cell>
          <cell r="CG31">
            <v>-19397</v>
          </cell>
          <cell r="CI31">
            <v>-26573</v>
          </cell>
          <cell r="CK31">
            <v>-29950</v>
          </cell>
          <cell r="CM31">
            <v>-66121</v>
          </cell>
          <cell r="CO31">
            <v>-275940</v>
          </cell>
          <cell r="CR31">
            <v>-226826</v>
          </cell>
          <cell r="CU31">
            <v>-379577</v>
          </cell>
          <cell r="CX31">
            <v>-712678</v>
          </cell>
          <cell r="DA31">
            <v>-9648</v>
          </cell>
          <cell r="DC31">
            <v>-6551</v>
          </cell>
          <cell r="DE31">
            <v>-33805</v>
          </cell>
          <cell r="DG31">
            <v>-33836</v>
          </cell>
          <cell r="DI31">
            <v>-22838</v>
          </cell>
          <cell r="DK31">
            <v>-24605</v>
          </cell>
          <cell r="DM31">
            <v>-8187</v>
          </cell>
          <cell r="DO31">
            <v>-10622</v>
          </cell>
          <cell r="DQ31">
            <v>-3726</v>
          </cell>
          <cell r="DS31">
            <v>-7298</v>
          </cell>
          <cell r="DU31">
            <v>-30725</v>
          </cell>
          <cell r="DX31">
            <v>-7443.7</v>
          </cell>
          <cell r="DZ31">
            <v>-12106</v>
          </cell>
          <cell r="EB31">
            <v>-5437.5</v>
          </cell>
          <cell r="ED31">
            <v>-6072.9</v>
          </cell>
          <cell r="EF31">
            <v>-1185581</v>
          </cell>
          <cell r="EJ31">
            <v>-246593.4</v>
          </cell>
          <cell r="EM31">
            <v>-12453400</v>
          </cell>
          <cell r="EO31">
            <v>-958860</v>
          </cell>
          <cell r="EQ31">
            <v>-7348500</v>
          </cell>
          <cell r="ES31">
            <v>-2533700</v>
          </cell>
          <cell r="EU31">
            <v>-1339920</v>
          </cell>
          <cell r="EW31">
            <v>-16903600</v>
          </cell>
          <cell r="EZ31">
            <v>-43712</v>
          </cell>
          <cell r="FB31">
            <v>-38046</v>
          </cell>
          <cell r="FD31">
            <v>-8582</v>
          </cell>
          <cell r="FF31">
            <v>-60753</v>
          </cell>
          <cell r="FH31">
            <v>-52980</v>
          </cell>
        </row>
        <row r="32">
          <cell r="F32">
            <v>0</v>
          </cell>
          <cell r="G32">
            <v>744</v>
          </cell>
          <cell r="I32">
            <v>0</v>
          </cell>
          <cell r="J32">
            <v>452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4.9530000000000003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773</v>
          </cell>
          <cell r="I33">
            <v>0</v>
          </cell>
          <cell r="J33">
            <v>496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4.9210000000000003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806</v>
          </cell>
          <cell r="I34">
            <v>0</v>
          </cell>
          <cell r="J34">
            <v>520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5.9560000000000004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692</v>
          </cell>
          <cell r="I35">
            <v>0</v>
          </cell>
          <cell r="J35">
            <v>648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4.9269999999999996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702</v>
          </cell>
          <cell r="I36">
            <v>0</v>
          </cell>
          <cell r="J36">
            <v>369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4.9260000000000002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749</v>
          </cell>
          <cell r="I37">
            <v>0</v>
          </cell>
          <cell r="J37">
            <v>450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4.9180000000000001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794</v>
          </cell>
          <cell r="I38">
            <v>0</v>
          </cell>
          <cell r="J38">
            <v>463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4.923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807</v>
          </cell>
          <cell r="I39">
            <v>0</v>
          </cell>
          <cell r="J39">
            <v>482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4.93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774</v>
          </cell>
          <cell r="I40">
            <v>0</v>
          </cell>
          <cell r="J40">
            <v>444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4.9329999999999998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D27" sqref="D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3</v>
      </c>
      <c r="D2">
        <v>2023</v>
      </c>
      <c r="E2" s="3">
        <f>SUM(Submetering!M2:V2)-SUM(Submetering!AU2:AY2,Submetering!BS2)</f>
        <v>37075.860000003413</v>
      </c>
      <c r="F2">
        <v>0.44447999999999999</v>
      </c>
      <c r="G2" s="3">
        <f>Submetering!Z2+Submetering!AA2+Submetering!AB2+Submetering!AD2+Submetering!AE2+Submetering!AF2+Submetering!AG2+Submetering!AH2+Submetering!AI2</f>
        <v>927.99</v>
      </c>
      <c r="H2" s="217">
        <f>1.62/0.52</f>
        <v>3.1153846153846154</v>
      </c>
      <c r="I2" s="3">
        <f>Submetering!G2-SUM(Submetering!AJ2:AS2,Submetering!BM2:BR2)</f>
        <v>386.85800000000631</v>
      </c>
      <c r="J2">
        <v>13.83</v>
      </c>
      <c r="K2" s="3">
        <f>Submetering!BL2-Submetering!AT2</f>
        <v>1</v>
      </c>
      <c r="L2">
        <v>1.2</v>
      </c>
      <c r="M2" s="217">
        <f>Submetering!E2</f>
        <v>184.86</v>
      </c>
      <c r="N2">
        <f>Submetering!F2</f>
        <v>366</v>
      </c>
    </row>
    <row r="3" spans="1:14" x14ac:dyDescent="0.25">
      <c r="A3" t="s">
        <v>14</v>
      </c>
      <c r="B3">
        <f>B2+1</f>
        <v>2</v>
      </c>
      <c r="C3">
        <v>3</v>
      </c>
      <c r="D3">
        <v>2023</v>
      </c>
      <c r="E3" s="3">
        <f>SUM(Submetering!M3:V3)-SUM(Submetering!AU3:AY3,Submetering!BS3)</f>
        <v>34474.039999996836</v>
      </c>
      <c r="F3">
        <v>0.44447999999999999</v>
      </c>
      <c r="G3" s="3">
        <f>Submetering!Z3+Submetering!AA3+Submetering!AB3+Submetering!AD3+Submetering!AE3+Submetering!AF3+Submetering!AG3+Submetering!AH3+Submetering!AI3</f>
        <v>824.04</v>
      </c>
      <c r="H3" s="217">
        <f t="shared" ref="H3:H32" si="0">1.62/0.52</f>
        <v>3.1153846153846154</v>
      </c>
      <c r="I3" s="3">
        <f>Submetering!G3-SUM(Submetering!AJ3:AS3,Submetering!BM3:BR3)</f>
        <v>386.1150000000041</v>
      </c>
      <c r="J3">
        <v>13.83</v>
      </c>
      <c r="K3" s="3">
        <f>Submetering!BL3</f>
        <v>210</v>
      </c>
      <c r="L3">
        <v>1.2</v>
      </c>
      <c r="M3" s="217">
        <f>Submetering!E3</f>
        <v>218.04000000000002</v>
      </c>
      <c r="N3">
        <f>Submetering!F3</f>
        <v>413</v>
      </c>
    </row>
    <row r="4" spans="1:14" x14ac:dyDescent="0.25">
      <c r="A4" t="s">
        <v>14</v>
      </c>
      <c r="B4">
        <f t="shared" ref="B4:B32" si="1">B3+1</f>
        <v>3</v>
      </c>
      <c r="C4">
        <v>3</v>
      </c>
      <c r="D4">
        <v>2023</v>
      </c>
      <c r="E4" s="3">
        <f>SUM(Submetering!M4:V4)-SUM(Submetering!AU4:AY4,Submetering!BS4)</f>
        <v>42713.220000000299</v>
      </c>
      <c r="F4">
        <v>0.44447999999999999</v>
      </c>
      <c r="G4" s="3">
        <f>Submetering!Z4+Submetering!AA4+Submetering!AB4+Submetering!AD4+Submetering!AE4+Submetering!AF4+Submetering!AG4+Submetering!AH4+Submetering!AI4</f>
        <v>846.7199999999998</v>
      </c>
      <c r="H4" s="217">
        <f t="shared" si="0"/>
        <v>3.1153846153846154</v>
      </c>
      <c r="I4" s="3">
        <f>Submetering!G4-SUM(Submetering!AJ4:AS4,Submetering!BM4:BR4)</f>
        <v>449.65500000000179</v>
      </c>
      <c r="J4">
        <v>13.83</v>
      </c>
      <c r="K4" s="3">
        <f>Submetering!BL4</f>
        <v>356</v>
      </c>
      <c r="L4">
        <v>1.2</v>
      </c>
      <c r="M4" s="217">
        <f>Submetering!E4</f>
        <v>206.19</v>
      </c>
      <c r="N4">
        <f>Submetering!F4</f>
        <v>411</v>
      </c>
    </row>
    <row r="5" spans="1:14" x14ac:dyDescent="0.25">
      <c r="A5" t="s">
        <v>14</v>
      </c>
      <c r="B5">
        <f t="shared" si="1"/>
        <v>4</v>
      </c>
      <c r="C5">
        <v>3</v>
      </c>
      <c r="D5">
        <v>2023</v>
      </c>
      <c r="E5" s="3">
        <f>SUM(Submetering!M5:V5)-SUM(Submetering!AU5:AY5,Submetering!BS5)</f>
        <v>38471.100000001054</v>
      </c>
      <c r="F5">
        <v>0.44447999999999999</v>
      </c>
      <c r="G5" s="3">
        <f>Submetering!Z5+Submetering!AA5+Submetering!AB5+Submetering!AD5+Submetering!AE5+Submetering!AF5+Submetering!AG5+Submetering!AH5+Submetering!AI5</f>
        <v>1120.77</v>
      </c>
      <c r="H5" s="217">
        <f t="shared" si="0"/>
        <v>3.1153846153846154</v>
      </c>
      <c r="I5" s="3">
        <f>Submetering!G5-SUM(Submetering!AJ5:AS5,Submetering!BM5:BR5)</f>
        <v>441.06999999999067</v>
      </c>
      <c r="J5">
        <v>13.83</v>
      </c>
      <c r="K5" s="3">
        <f>Submetering!BL5</f>
        <v>328</v>
      </c>
      <c r="L5">
        <v>1.2</v>
      </c>
      <c r="M5" s="217">
        <f>Submetering!E5</f>
        <v>215.67000000000002</v>
      </c>
      <c r="N5">
        <f>Submetering!F5</f>
        <v>401</v>
      </c>
    </row>
    <row r="6" spans="1:14" x14ac:dyDescent="0.25">
      <c r="A6" t="s">
        <v>14</v>
      </c>
      <c r="B6">
        <f t="shared" si="1"/>
        <v>5</v>
      </c>
      <c r="C6">
        <v>3</v>
      </c>
      <c r="D6">
        <v>2023</v>
      </c>
      <c r="E6" s="3">
        <f>SUM(Submetering!M6:V6)-SUM(Submetering!AU6:AY6,Submetering!BS6)</f>
        <v>35732.900000002992</v>
      </c>
      <c r="F6">
        <v>0.44447999999999999</v>
      </c>
      <c r="G6" s="3">
        <f>Submetering!Z6+Submetering!AA6+Submetering!AB6+Submetering!AD6+Submetering!AE6+Submetering!AF6+Submetering!AG6+Submetering!AH6+Submetering!AI6</f>
        <v>699.30000000000007</v>
      </c>
      <c r="H6" s="217">
        <f t="shared" si="0"/>
        <v>3.1153846153846154</v>
      </c>
      <c r="I6" s="3">
        <f>Submetering!G6-SUM(Submetering!AJ6:AS6,Submetering!BM6:BR6)</f>
        <v>393.78799999999933</v>
      </c>
      <c r="J6">
        <v>13.83</v>
      </c>
      <c r="K6" s="3">
        <f>Submetering!BL6</f>
        <v>182</v>
      </c>
      <c r="L6">
        <v>1.2</v>
      </c>
      <c r="M6" s="217">
        <f>Submetering!E6</f>
        <v>201.45</v>
      </c>
      <c r="N6">
        <f>Submetering!F6</f>
        <v>364</v>
      </c>
    </row>
    <row r="7" spans="1:14" x14ac:dyDescent="0.25">
      <c r="A7" t="s">
        <v>14</v>
      </c>
      <c r="B7">
        <f t="shared" si="1"/>
        <v>6</v>
      </c>
      <c r="C7">
        <v>3</v>
      </c>
      <c r="D7">
        <v>2023</v>
      </c>
      <c r="E7" s="3">
        <f>SUM(Submetering!M7:V7)-SUM(Submetering!AU7:AY7,Submetering!BS7)</f>
        <v>38439.199999995493</v>
      </c>
      <c r="F7">
        <v>0.44447999999999999</v>
      </c>
      <c r="G7" s="3">
        <f>Submetering!Z7+Submetering!AA7+Submetering!AB7+Submetering!AD7+Submetering!AE7+Submetering!AF7+Submetering!AG7+Submetering!AH7+Submetering!AI7</f>
        <v>997.92</v>
      </c>
      <c r="H7" s="217">
        <f t="shared" si="0"/>
        <v>3.1153846153846154</v>
      </c>
      <c r="I7" s="3">
        <f>Submetering!G7-SUM(Submetering!AJ7:AS7,Submetering!BM7:BR7)</f>
        <v>333.63690000000133</v>
      </c>
      <c r="J7">
        <v>13.83</v>
      </c>
      <c r="K7" s="3">
        <f>Submetering!BL7</f>
        <v>285</v>
      </c>
      <c r="L7">
        <v>1.2</v>
      </c>
      <c r="M7" s="217">
        <f>Submetering!E7</f>
        <v>210.93</v>
      </c>
      <c r="N7">
        <f>Submetering!F7</f>
        <v>354</v>
      </c>
    </row>
    <row r="8" spans="1:14" x14ac:dyDescent="0.25">
      <c r="A8" t="s">
        <v>14</v>
      </c>
      <c r="B8">
        <f t="shared" si="1"/>
        <v>7</v>
      </c>
      <c r="C8">
        <v>3</v>
      </c>
      <c r="D8">
        <v>2023</v>
      </c>
      <c r="E8" s="3">
        <f>SUM(Submetering!M8:V8)-SUM(Submetering!AU8:AY8,Submetering!BS8)</f>
        <v>29548.440000000392</v>
      </c>
      <c r="F8">
        <v>0.44447999999999999</v>
      </c>
      <c r="G8" s="3">
        <f>Submetering!Z8+Submetering!AA8+Submetering!AB8+Submetering!AD8+Submetering!AE8+Submetering!AF8+Submetering!AG8+Submetering!AH8+Submetering!AI8</f>
        <v>670.94999999999993</v>
      </c>
      <c r="H8" s="217">
        <f t="shared" si="0"/>
        <v>3.1153846153846154</v>
      </c>
      <c r="I8" s="3">
        <f>Submetering!G8-SUM(Submetering!AJ8:AS8,Submetering!BM8:BR8)</f>
        <v>366.99809999999991</v>
      </c>
      <c r="J8">
        <v>13.83</v>
      </c>
      <c r="K8" s="3">
        <f>Submetering!BL8</f>
        <v>198</v>
      </c>
      <c r="L8">
        <v>1.2</v>
      </c>
      <c r="M8" s="217">
        <f>Submetering!E8</f>
        <v>215.67000000000002</v>
      </c>
      <c r="N8">
        <f>Submetering!F8</f>
        <v>377</v>
      </c>
    </row>
    <row r="9" spans="1:14" x14ac:dyDescent="0.25">
      <c r="A9" t="s">
        <v>14</v>
      </c>
      <c r="B9">
        <f t="shared" si="1"/>
        <v>8</v>
      </c>
      <c r="C9">
        <v>3</v>
      </c>
      <c r="D9">
        <v>2023</v>
      </c>
      <c r="E9" s="3">
        <f>SUM(Submetering!M9:V9)-SUM(Submetering!AU9:AY9,Submetering!BS9)</f>
        <v>37300.619999999923</v>
      </c>
      <c r="F9">
        <v>0.44447999999999999</v>
      </c>
      <c r="G9" s="3">
        <f>Submetering!Z9+Submetering!AA9+Submetering!AB9+Submetering!AD9+Submetering!AE9+Submetering!AF9+Submetering!AG9+Submetering!AH9+Submetering!AI9</f>
        <v>767.34</v>
      </c>
      <c r="H9" s="217">
        <f t="shared" si="0"/>
        <v>3.1153846153846154</v>
      </c>
      <c r="I9" s="3">
        <f>Submetering!G9-SUM(Submetering!AJ9:AS9,Submetering!BM9:BR9)</f>
        <v>425.17000000000104</v>
      </c>
      <c r="J9">
        <v>13.83</v>
      </c>
      <c r="K9" s="3">
        <f>Submetering!BL9</f>
        <v>152</v>
      </c>
      <c r="L9">
        <v>1.2</v>
      </c>
      <c r="M9" s="217">
        <f>Submetering!E9</f>
        <v>180.12</v>
      </c>
      <c r="N9">
        <f>Submetering!F9</f>
        <v>350</v>
      </c>
    </row>
    <row r="10" spans="1:14" x14ac:dyDescent="0.25">
      <c r="A10" t="s">
        <v>14</v>
      </c>
      <c r="B10">
        <f t="shared" si="1"/>
        <v>9</v>
      </c>
      <c r="C10">
        <v>3</v>
      </c>
      <c r="D10">
        <v>2023</v>
      </c>
      <c r="E10" s="3">
        <f>SUM(Submetering!M10:V10)-SUM(Submetering!AU10:AY10,Submetering!BS10)</f>
        <v>36088.539999996909</v>
      </c>
      <c r="F10">
        <v>0.44447999999999999</v>
      </c>
      <c r="G10" s="3">
        <f>Submetering!Z10+Submetering!AA10+Submetering!AB10+Submetering!AD10+Submetering!AE10+Submetering!AF10+Submetering!AG10+Submetering!AH10+Submetering!AI10</f>
        <v>835.38</v>
      </c>
      <c r="H10" s="217">
        <f t="shared" si="0"/>
        <v>3.1153846153846154</v>
      </c>
      <c r="I10" s="3">
        <f>Submetering!G10-SUM(Submetering!AJ10:AS10,Submetering!BM10:BR10)</f>
        <v>356.12200000000024</v>
      </c>
      <c r="J10">
        <v>13.83</v>
      </c>
      <c r="K10" s="3">
        <f>Submetering!BL10</f>
        <v>270</v>
      </c>
      <c r="L10">
        <v>1.2</v>
      </c>
      <c r="M10" s="217">
        <f>Submetering!E10</f>
        <v>203.82</v>
      </c>
      <c r="N10">
        <f>Submetering!F10</f>
        <v>344</v>
      </c>
    </row>
    <row r="11" spans="1:14" x14ac:dyDescent="0.25">
      <c r="A11" t="s">
        <v>14</v>
      </c>
      <c r="B11">
        <f t="shared" si="1"/>
        <v>10</v>
      </c>
      <c r="C11">
        <v>3</v>
      </c>
      <c r="D11">
        <v>2023</v>
      </c>
      <c r="E11" s="3">
        <f>SUM(Submetering!M11:V11)-SUM(Submetering!AU11:AY11,Submetering!BS11)</f>
        <v>36099.080000004011</v>
      </c>
      <c r="F11">
        <v>0.44447999999999999</v>
      </c>
      <c r="G11" s="3">
        <f>Submetering!Z11+Submetering!AA11+Submetering!AB11+Submetering!AD11+Submetering!AE11+Submetering!AF11+Submetering!AG11+Submetering!AH11+Submetering!AI11</f>
        <v>954.45</v>
      </c>
      <c r="H11" s="217">
        <f t="shared" si="0"/>
        <v>3.1153846153846154</v>
      </c>
      <c r="I11" s="3">
        <f>Submetering!G11-SUM(Submetering!AJ11:AS11,Submetering!BM11:BR11)</f>
        <v>425.34599999999858</v>
      </c>
      <c r="J11">
        <v>13.83</v>
      </c>
      <c r="K11" s="3">
        <f>Submetering!BL11</f>
        <v>275</v>
      </c>
      <c r="L11">
        <v>1.2</v>
      </c>
      <c r="M11" s="217">
        <f>Submetering!E11</f>
        <v>201.45</v>
      </c>
      <c r="N11">
        <f>Submetering!F11</f>
        <v>360</v>
      </c>
    </row>
    <row r="12" spans="1:14" x14ac:dyDescent="0.25">
      <c r="A12" t="s">
        <v>14</v>
      </c>
      <c r="B12">
        <f t="shared" si="1"/>
        <v>11</v>
      </c>
      <c r="C12">
        <v>3</v>
      </c>
      <c r="D12">
        <v>2023</v>
      </c>
      <c r="E12" s="3">
        <f>SUM(Submetering!M12:V12)-SUM(Submetering!AU12:AY12,Submetering!BS12)</f>
        <v>39008.859999997556</v>
      </c>
      <c r="F12">
        <v>0.44447999999999999</v>
      </c>
      <c r="G12" s="3">
        <f>Submetering!Z12+Submetering!AA12+Submetering!AB12+Submetering!AD12+Submetering!AE12+Submetering!AF12+Submetering!AG12+Submetering!AH12+Submetering!AI12</f>
        <v>812.69999999999982</v>
      </c>
      <c r="H12" s="217">
        <f t="shared" si="0"/>
        <v>3.1153846153846154</v>
      </c>
      <c r="I12" s="3">
        <f>Submetering!G12-SUM(Submetering!AJ12:AS12,Submetering!BM12:BR12)</f>
        <v>418.31400000000428</v>
      </c>
      <c r="J12">
        <v>13.83</v>
      </c>
      <c r="K12" s="3">
        <f>Submetering!BL12</f>
        <v>307</v>
      </c>
      <c r="L12">
        <v>1.2</v>
      </c>
      <c r="M12" s="217">
        <f>Submetering!E12</f>
        <v>194.33999999999997</v>
      </c>
      <c r="N12">
        <f>Submetering!F12</f>
        <v>373</v>
      </c>
    </row>
    <row r="13" spans="1:14" x14ac:dyDescent="0.25">
      <c r="A13" t="s">
        <v>14</v>
      </c>
      <c r="B13">
        <f t="shared" si="1"/>
        <v>12</v>
      </c>
      <c r="C13">
        <v>3</v>
      </c>
      <c r="D13">
        <v>2023</v>
      </c>
      <c r="E13" s="3">
        <f>SUM(Submetering!M13:V13)-SUM(Submetering!AU13:AY13,Submetering!BS13)</f>
        <v>35795.860000003959</v>
      </c>
      <c r="F13">
        <v>0.44447999999999999</v>
      </c>
      <c r="G13" s="3">
        <f>Submetering!Z13+Submetering!AA13+Submetering!AB13+Submetering!AD13+Submetering!AE13+Submetering!AF13+Submetering!AG13+Submetering!AH13+Submetering!AI13</f>
        <v>795.69</v>
      </c>
      <c r="H13" s="217">
        <f t="shared" si="0"/>
        <v>3.1153846153846154</v>
      </c>
      <c r="I13" s="3">
        <f>Submetering!G13-SUM(Submetering!AJ13:AS13,Submetering!BM13:BR13)</f>
        <v>422.12500000000296</v>
      </c>
      <c r="J13">
        <v>13.83</v>
      </c>
      <c r="K13" s="3">
        <f>Submetering!BL13</f>
        <v>255</v>
      </c>
      <c r="L13">
        <v>1.2</v>
      </c>
      <c r="M13" s="217">
        <f>Submetering!E13</f>
        <v>180.12</v>
      </c>
      <c r="N13">
        <f>Submetering!F13</f>
        <v>339</v>
      </c>
    </row>
    <row r="14" spans="1:14" x14ac:dyDescent="0.25">
      <c r="A14" t="s">
        <v>14</v>
      </c>
      <c r="B14">
        <f t="shared" si="1"/>
        <v>13</v>
      </c>
      <c r="C14">
        <v>3</v>
      </c>
      <c r="D14">
        <v>2023</v>
      </c>
      <c r="E14" s="3">
        <f>SUM(Submetering!M14:V14)-SUM(Submetering!AU14:AY14,Submetering!BS14)</f>
        <v>36865.119999998482</v>
      </c>
      <c r="F14">
        <v>0.44447999999999999</v>
      </c>
      <c r="G14" s="3">
        <f>Submetering!Z14+Submetering!AA14+Submetering!AB14+Submetering!AD14+Submetering!AE14+Submetering!AF14+Submetering!AG14+Submetering!AH14+Submetering!AI14</f>
        <v>841.05</v>
      </c>
      <c r="H14" s="217">
        <f t="shared" si="0"/>
        <v>3.1153846153846154</v>
      </c>
      <c r="I14" s="3">
        <f>Submetering!G14-SUM(Submetering!AJ14:AS14,Submetering!BM14:BR14)</f>
        <v>408.11599999999862</v>
      </c>
      <c r="J14">
        <v>13.83</v>
      </c>
      <c r="K14" s="3">
        <f>Submetering!BL14</f>
        <v>291</v>
      </c>
      <c r="L14">
        <v>1.2</v>
      </c>
      <c r="M14" s="217">
        <f>Submetering!E14</f>
        <v>196.70999999999998</v>
      </c>
      <c r="N14">
        <f>Submetering!F14</f>
        <v>348</v>
      </c>
    </row>
    <row r="15" spans="1:14" x14ac:dyDescent="0.25">
      <c r="A15" t="s">
        <v>14</v>
      </c>
      <c r="B15">
        <f t="shared" si="1"/>
        <v>14</v>
      </c>
      <c r="C15">
        <v>3</v>
      </c>
      <c r="D15">
        <v>2023</v>
      </c>
      <c r="E15" s="3">
        <f>SUM(Submetering!M15:V15)-SUM(Submetering!AU15:AY15,Submetering!BS15)</f>
        <v>36788.38000000031</v>
      </c>
      <c r="F15">
        <v>0.44447999999999999</v>
      </c>
      <c r="G15" s="3">
        <f>Submetering!Z15+Submetering!AA15+Submetering!AB15+Submetering!AD15+Submetering!AE15+Submetering!AF15+Submetering!AG15+Submetering!AH15+Submetering!AI15</f>
        <v>735.20999999999992</v>
      </c>
      <c r="H15" s="217">
        <f t="shared" si="0"/>
        <v>3.1153846153846154</v>
      </c>
      <c r="I15" s="3">
        <f>Submetering!G15-SUM(Submetering!AJ15:AS15,Submetering!BM15:BR15)</f>
        <v>399.74700000000189</v>
      </c>
      <c r="J15">
        <v>13.83</v>
      </c>
      <c r="K15" s="3">
        <f>Submetering!BL15</f>
        <v>213</v>
      </c>
      <c r="L15">
        <v>1.2</v>
      </c>
      <c r="M15" s="217">
        <f>Submetering!E15</f>
        <v>184.86</v>
      </c>
      <c r="N15">
        <f>Submetering!F15</f>
        <v>324</v>
      </c>
    </row>
    <row r="16" spans="1:14" x14ac:dyDescent="0.25">
      <c r="A16" t="s">
        <v>14</v>
      </c>
      <c r="B16">
        <f t="shared" si="1"/>
        <v>15</v>
      </c>
      <c r="C16">
        <v>3</v>
      </c>
      <c r="D16">
        <v>2023</v>
      </c>
      <c r="E16" s="3">
        <f>SUM(Submetering!M16:V16)-SUM(Submetering!AU16:AY16,Submetering!BS16)</f>
        <v>38336.919999999183</v>
      </c>
      <c r="F16">
        <v>0.44447999999999999</v>
      </c>
      <c r="G16" s="3">
        <f>Submetering!Z16+Submetering!AA16+Submetering!AB16+Submetering!AD16+Submetering!AE16+Submetering!AF16+Submetering!AG16+Submetering!AH16+Submetering!AI16</f>
        <v>835.37999999999988</v>
      </c>
      <c r="H16" s="217">
        <f t="shared" si="0"/>
        <v>3.1153846153846154</v>
      </c>
      <c r="I16" s="3">
        <f>Submetering!G16-SUM(Submetering!AJ16:AS16,Submetering!BM16:BR16)</f>
        <v>408.68500000000057</v>
      </c>
      <c r="J16">
        <v>13.83</v>
      </c>
      <c r="K16" s="3">
        <f>Submetering!BL16</f>
        <v>164</v>
      </c>
      <c r="L16">
        <v>1.2</v>
      </c>
      <c r="M16" s="217">
        <f>Submetering!E16</f>
        <v>220.41000000000003</v>
      </c>
      <c r="N16">
        <f>Submetering!F16</f>
        <v>373</v>
      </c>
    </row>
    <row r="17" spans="1:14" x14ac:dyDescent="0.25">
      <c r="A17" t="s">
        <v>14</v>
      </c>
      <c r="B17">
        <f t="shared" si="1"/>
        <v>16</v>
      </c>
      <c r="C17">
        <v>3</v>
      </c>
      <c r="D17">
        <v>2023</v>
      </c>
      <c r="E17" s="3">
        <f>SUM(Submetering!M17:V17)-SUM(Submetering!AU17:AY17,Submetering!BS17)</f>
        <v>37437.240000003563</v>
      </c>
      <c r="F17">
        <v>0.44447999999999999</v>
      </c>
      <c r="G17" s="3">
        <f>Submetering!Z17+Submetering!AA17+Submetering!AB17+Submetering!AD17+Submetering!AE17+Submetering!AF17+Submetering!AG17+Submetering!AH17+Submetering!AI17</f>
        <v>746.55</v>
      </c>
      <c r="H17" s="217">
        <f t="shared" si="0"/>
        <v>3.1153846153846154</v>
      </c>
      <c r="I17" s="3">
        <f>Submetering!G17-SUM(Submetering!AJ17:AS17,Submetering!BM17:BR17)</f>
        <v>403.68499999999131</v>
      </c>
      <c r="J17">
        <v>13.83</v>
      </c>
      <c r="K17" s="3">
        <f>Submetering!BL17</f>
        <v>261</v>
      </c>
      <c r="L17">
        <v>1.2</v>
      </c>
      <c r="M17" s="217">
        <f>Submetering!E17</f>
        <v>222.78</v>
      </c>
      <c r="N17">
        <f>Submetering!F17</f>
        <v>398</v>
      </c>
    </row>
    <row r="18" spans="1:14" x14ac:dyDescent="0.25">
      <c r="A18" t="s">
        <v>14</v>
      </c>
      <c r="B18">
        <f t="shared" si="1"/>
        <v>17</v>
      </c>
      <c r="C18">
        <v>3</v>
      </c>
      <c r="D18">
        <v>2023</v>
      </c>
      <c r="E18" s="3">
        <f>SUM(Submetering!M18:V18)-SUM(Submetering!AU18:AY18,Submetering!BS18)</f>
        <v>38612.75999999835</v>
      </c>
      <c r="F18">
        <v>0.44447999999999999</v>
      </c>
      <c r="G18" s="3">
        <f>Submetering!Z18+Submetering!AA18+Submetering!AB18+Submetering!AD18+Submetering!AE18+Submetering!AF18+Submetering!AG18+Submetering!AH18+Submetering!AI18</f>
        <v>984.68999999999983</v>
      </c>
      <c r="H18" s="217">
        <f t="shared" si="0"/>
        <v>3.1153846153846154</v>
      </c>
      <c r="I18" s="3">
        <f>Submetering!G18-SUM(Submetering!AJ18:AS18,Submetering!BM18:BR18)</f>
        <v>437.3039999999985</v>
      </c>
      <c r="J18">
        <v>13.83</v>
      </c>
      <c r="K18" s="3">
        <f>Submetering!BL18</f>
        <v>151</v>
      </c>
      <c r="L18">
        <v>1.2</v>
      </c>
      <c r="M18" s="217">
        <f>Submetering!E18</f>
        <v>227.51999999999998</v>
      </c>
      <c r="N18">
        <f>Submetering!F18</f>
        <v>427</v>
      </c>
    </row>
    <row r="19" spans="1:14" x14ac:dyDescent="0.25">
      <c r="A19" t="s">
        <v>14</v>
      </c>
      <c r="B19">
        <f t="shared" si="1"/>
        <v>18</v>
      </c>
      <c r="C19">
        <v>3</v>
      </c>
      <c r="D19">
        <v>2023</v>
      </c>
      <c r="E19" s="3">
        <f>SUM(Submetering!M19:V19)-SUM(Submetering!AU19:AY19,Submetering!BS19)</f>
        <v>38757.340000002048</v>
      </c>
      <c r="F19">
        <v>0.44447999999999999</v>
      </c>
      <c r="G19" s="3">
        <f>Submetering!Z19+Submetering!AA19+Submetering!AB19+Submetering!AD19+Submetering!AE19+Submetering!AF19+Submetering!AG19+Submetering!AH19+Submetering!AI19</f>
        <v>997.92000000000007</v>
      </c>
      <c r="H19" s="217">
        <f t="shared" si="0"/>
        <v>3.1153846153846154</v>
      </c>
      <c r="I19" s="3">
        <f>Submetering!G19-SUM(Submetering!AJ19:AS19,Submetering!BM19:BR19)</f>
        <v>342.23500000000001</v>
      </c>
      <c r="J19">
        <v>13.83</v>
      </c>
      <c r="K19" s="3">
        <f>Submetering!BL19</f>
        <v>357</v>
      </c>
      <c r="L19">
        <v>1.2</v>
      </c>
      <c r="M19" s="217">
        <f>Submetering!E19</f>
        <v>215.67000000000002</v>
      </c>
      <c r="N19">
        <f>Submetering!F19</f>
        <v>414</v>
      </c>
    </row>
    <row r="20" spans="1:14" x14ac:dyDescent="0.25">
      <c r="A20" t="s">
        <v>14</v>
      </c>
      <c r="B20">
        <f t="shared" si="1"/>
        <v>19</v>
      </c>
      <c r="C20">
        <v>3</v>
      </c>
      <c r="D20">
        <v>2023</v>
      </c>
      <c r="E20" s="3">
        <f>SUM(Submetering!M20:V20)-SUM(Submetering!AU20:AY20,Submetering!BS20)</f>
        <v>33252.400000001551</v>
      </c>
      <c r="F20">
        <v>0.44447999999999999</v>
      </c>
      <c r="G20" s="3">
        <f>Submetering!Z20+Submetering!AA20+Submetering!AB20+Submetering!AD20+Submetering!AE20+Submetering!AF20+Submetering!AG20+Submetering!AH20+Submetering!AI20</f>
        <v>863.73</v>
      </c>
      <c r="H20" s="217">
        <f t="shared" si="0"/>
        <v>3.1153846153846154</v>
      </c>
      <c r="I20" s="3">
        <f>Submetering!G20-SUM(Submetering!AJ20:AS20,Submetering!BM20:BR20)</f>
        <v>467.43800000000687</v>
      </c>
      <c r="J20">
        <v>13.83</v>
      </c>
      <c r="K20" s="3">
        <f>Submetering!BL20</f>
        <v>166</v>
      </c>
      <c r="L20">
        <v>1.2</v>
      </c>
      <c r="M20" s="217">
        <f>Submetering!E20</f>
        <v>175.38</v>
      </c>
      <c r="N20">
        <f>Submetering!F20</f>
        <v>325</v>
      </c>
    </row>
    <row r="21" spans="1:14" x14ac:dyDescent="0.25">
      <c r="A21" t="s">
        <v>14</v>
      </c>
      <c r="B21">
        <f t="shared" si="1"/>
        <v>20</v>
      </c>
      <c r="C21">
        <v>3</v>
      </c>
      <c r="D21">
        <v>2023</v>
      </c>
      <c r="E21" s="3">
        <f>SUM(Submetering!M21:V21)-SUM(Submetering!AU21:AY21,Submetering!BS21)</f>
        <v>34852.739999994476</v>
      </c>
      <c r="F21">
        <v>0.44447999999999999</v>
      </c>
      <c r="G21" s="3">
        <f>Submetering!Z21+Submetering!AA21+Submetering!AB21+Submetering!AD21+Submetering!AE21+Submetering!AF21+Submetering!AG21+Submetering!AH21+Submetering!AI21</f>
        <v>856.16999999999985</v>
      </c>
      <c r="H21" s="217">
        <f t="shared" si="0"/>
        <v>3.1153846153846154</v>
      </c>
      <c r="I21" s="3">
        <f>Submetering!G21-SUM(Submetering!AJ21:AS21,Submetering!BM21:BR21)</f>
        <v>346.69700000000307</v>
      </c>
      <c r="J21">
        <v>13.83</v>
      </c>
      <c r="K21" s="3">
        <f>Submetering!BL21</f>
        <v>275</v>
      </c>
      <c r="L21">
        <v>1.2</v>
      </c>
      <c r="M21" s="217">
        <f>Submetering!E21</f>
        <v>173.01</v>
      </c>
      <c r="N21">
        <f>Submetering!F21</f>
        <v>304</v>
      </c>
    </row>
    <row r="22" spans="1:14" x14ac:dyDescent="0.25">
      <c r="A22" t="s">
        <v>14</v>
      </c>
      <c r="B22">
        <f t="shared" si="1"/>
        <v>21</v>
      </c>
      <c r="C22">
        <v>3</v>
      </c>
      <c r="D22">
        <v>2023</v>
      </c>
      <c r="E22" s="3">
        <f>SUM(Submetering!M22:V22)-SUM(Submetering!AU22:AY22,Submetering!BS22)</f>
        <v>34283.620000004194</v>
      </c>
      <c r="F22">
        <v>0.44447999999999999</v>
      </c>
      <c r="G22" s="3">
        <f>Submetering!Z22+Submetering!AA22+Submetering!AB22+Submetering!AD22+Submetering!AE22+Submetering!AF22+Submetering!AG22+Submetering!AH22+Submetering!AI22</f>
        <v>943.1099999999999</v>
      </c>
      <c r="H22" s="217">
        <f t="shared" si="0"/>
        <v>3.1153846153846154</v>
      </c>
      <c r="I22" s="3">
        <f>Submetering!G22-SUM(Submetering!AJ22:AS22,Submetering!BM22:BR22)</f>
        <v>326.93499999999653</v>
      </c>
      <c r="J22">
        <v>13.83</v>
      </c>
      <c r="K22" s="3">
        <f>Submetering!BL22</f>
        <v>285</v>
      </c>
      <c r="L22">
        <v>1.2</v>
      </c>
      <c r="M22" s="217">
        <f>Submetering!E22</f>
        <v>189.60000000000002</v>
      </c>
      <c r="N22">
        <f>Submetering!F22</f>
        <v>305</v>
      </c>
    </row>
    <row r="23" spans="1:14" x14ac:dyDescent="0.25">
      <c r="A23" t="s">
        <v>14</v>
      </c>
      <c r="B23">
        <f t="shared" si="1"/>
        <v>22</v>
      </c>
      <c r="C23">
        <v>3</v>
      </c>
      <c r="D23">
        <v>2023</v>
      </c>
      <c r="E23" s="3">
        <f>SUM(Submetering!M23:V23)-SUM(Submetering!AU23:AY23,Submetering!BS23)</f>
        <v>0</v>
      </c>
      <c r="F23">
        <v>0.44447999999999999</v>
      </c>
      <c r="G23" s="3">
        <f>Submetering!Z23+Submetering!AA23+Submetering!AB23+Submetering!AD23+Submetering!AE23+Submetering!AF23+Submetering!AG23+Submetering!AH23+Submetering!AI23</f>
        <v>0</v>
      </c>
      <c r="H23" s="217">
        <f t="shared" si="0"/>
        <v>3.1153846153846154</v>
      </c>
      <c r="I23" s="3">
        <f>Submetering!G23-SUM(Submetering!AJ23:AS23,Submetering!BM23:BR23)</f>
        <v>0</v>
      </c>
      <c r="J23">
        <v>13.83</v>
      </c>
      <c r="K23" s="3">
        <f>Submetering!BL23</f>
        <v>0</v>
      </c>
      <c r="L23">
        <v>1.2</v>
      </c>
      <c r="M23" s="217">
        <f>Submetering!E23</f>
        <v>0</v>
      </c>
      <c r="N23">
        <f>Submetering!F23</f>
        <v>361</v>
      </c>
    </row>
    <row r="24" spans="1:14" x14ac:dyDescent="0.25">
      <c r="A24" t="s">
        <v>14</v>
      </c>
      <c r="B24">
        <f t="shared" si="1"/>
        <v>23</v>
      </c>
      <c r="C24">
        <v>3</v>
      </c>
      <c r="D24">
        <v>2023</v>
      </c>
      <c r="E24" s="3">
        <f>SUM(Submetering!M24:V24)-SUM(Submetering!AU24:AY24,Submetering!BS24)</f>
        <v>0</v>
      </c>
      <c r="F24">
        <v>0.44447999999999999</v>
      </c>
      <c r="G24" s="3">
        <f>Submetering!Z24+Submetering!AA24+Submetering!AB24+Submetering!AD24+Submetering!AE24+Submetering!AF24+Submetering!AG24+Submetering!AH24+Submetering!AI24</f>
        <v>0</v>
      </c>
      <c r="H24" s="217">
        <f t="shared" si="0"/>
        <v>3.1153846153846154</v>
      </c>
      <c r="I24" s="3">
        <f>Submetering!G24-SUM(Submetering!AJ24:AS24,Submetering!BM24:BR24)</f>
        <v>0</v>
      </c>
      <c r="J24">
        <v>13.83</v>
      </c>
      <c r="K24" s="3">
        <f>Submetering!BL24</f>
        <v>0</v>
      </c>
      <c r="L24">
        <v>1.2</v>
      </c>
      <c r="M24" s="217">
        <f>Submetering!E24</f>
        <v>0</v>
      </c>
      <c r="N24">
        <f>Submetering!F24</f>
        <v>0</v>
      </c>
    </row>
    <row r="25" spans="1:14" x14ac:dyDescent="0.25">
      <c r="A25" t="s">
        <v>14</v>
      </c>
      <c r="B25">
        <f t="shared" si="1"/>
        <v>24</v>
      </c>
      <c r="C25">
        <v>3</v>
      </c>
      <c r="D25">
        <v>2023</v>
      </c>
      <c r="E25" s="3">
        <f>SUM(Submetering!M25:V25)-SUM(Submetering!AU25:AY25,Submetering!BS25)</f>
        <v>0</v>
      </c>
      <c r="F25">
        <v>0.44447999999999999</v>
      </c>
      <c r="G25" s="3">
        <f>Submetering!Z25+Submetering!AA25+Submetering!AB25+Submetering!AD25+Submetering!AE25+Submetering!AF25+Submetering!AG25+Submetering!AH25+Submetering!AI25</f>
        <v>0</v>
      </c>
      <c r="H25" s="217">
        <f t="shared" si="0"/>
        <v>3.1153846153846154</v>
      </c>
      <c r="I25" s="3">
        <f>Submetering!G25-SUM(Submetering!AJ25:AS25,Submetering!BM25:BR25)</f>
        <v>0</v>
      </c>
      <c r="J25">
        <v>13.83</v>
      </c>
      <c r="K25" s="3">
        <f>Submetering!BL25</f>
        <v>0</v>
      </c>
      <c r="L25">
        <v>1.2</v>
      </c>
      <c r="M25" s="217">
        <f>Submetering!E25</f>
        <v>0</v>
      </c>
      <c r="N25">
        <f>Submetering!F25</f>
        <v>0</v>
      </c>
    </row>
    <row r="26" spans="1:14" x14ac:dyDescent="0.25">
      <c r="A26" t="s">
        <v>14</v>
      </c>
      <c r="B26">
        <f>B25+1</f>
        <v>25</v>
      </c>
      <c r="C26">
        <v>3</v>
      </c>
      <c r="D26">
        <v>2023</v>
      </c>
      <c r="E26" s="3">
        <f>SUM(Submetering!M26:V26)-SUM(Submetering!AU26:AY26,Submetering!BS26)</f>
        <v>0</v>
      </c>
      <c r="F26">
        <v>0.44447999999999999</v>
      </c>
      <c r="G26" s="3">
        <f>Submetering!Z26+Submetering!AA26+Submetering!AB26+Submetering!AD26+Submetering!AE26+Submetering!AF26+Submetering!AG26+Submetering!AH26+Submetering!AI26</f>
        <v>0</v>
      </c>
      <c r="H26" s="217">
        <f t="shared" si="0"/>
        <v>3.1153846153846154</v>
      </c>
      <c r="I26" s="3">
        <f>Submetering!G26-SUM(Submetering!AJ26:AS26,Submetering!BM26:BR26)</f>
        <v>0</v>
      </c>
      <c r="J26">
        <v>13.83</v>
      </c>
      <c r="K26" s="3">
        <f>Submetering!BL26</f>
        <v>0</v>
      </c>
      <c r="L26">
        <v>1.2</v>
      </c>
      <c r="M26" s="217">
        <f>Submetering!E26</f>
        <v>0</v>
      </c>
      <c r="N26">
        <f>Submetering!F26</f>
        <v>0</v>
      </c>
    </row>
    <row r="27" spans="1:14" x14ac:dyDescent="0.25">
      <c r="A27" t="s">
        <v>14</v>
      </c>
      <c r="B27">
        <f t="shared" si="1"/>
        <v>26</v>
      </c>
      <c r="C27">
        <v>3</v>
      </c>
      <c r="D27">
        <v>2023</v>
      </c>
      <c r="E27" s="3">
        <f>SUM(Submetering!M27:V27)-SUM(Submetering!AU27:AY27,Submetering!BS27)</f>
        <v>0</v>
      </c>
      <c r="F27">
        <v>0.44447999999999999</v>
      </c>
      <c r="G27" s="3">
        <f>Submetering!Z27+Submetering!AA27+Submetering!AB27+Submetering!AD27+Submetering!AE27+Submetering!AF27+Submetering!AG27+Submetering!AH27+Submetering!AI27</f>
        <v>0</v>
      </c>
      <c r="H27" s="217">
        <f t="shared" si="0"/>
        <v>3.1153846153846154</v>
      </c>
      <c r="I27" s="3">
        <f>Submetering!G27-SUM(Submetering!AJ27:AS27,Submetering!BM27:BR27)</f>
        <v>0</v>
      </c>
      <c r="J27">
        <v>13.83</v>
      </c>
      <c r="K27" s="3">
        <f>Submetering!BL27</f>
        <v>0</v>
      </c>
      <c r="L27">
        <v>1.2</v>
      </c>
      <c r="M27" s="217">
        <f>Submetering!E27</f>
        <v>0</v>
      </c>
      <c r="N27">
        <f>Submetering!F27</f>
        <v>0</v>
      </c>
    </row>
    <row r="28" spans="1:14" x14ac:dyDescent="0.25">
      <c r="A28" t="s">
        <v>14</v>
      </c>
      <c r="B28">
        <f t="shared" si="1"/>
        <v>27</v>
      </c>
      <c r="C28">
        <v>3</v>
      </c>
      <c r="D28">
        <v>2023</v>
      </c>
      <c r="E28" s="3">
        <f>SUM(Submetering!M28:V28)-SUM(Submetering!AU28:AY28,Submetering!BS28)</f>
        <v>0</v>
      </c>
      <c r="F28">
        <v>0.44447999999999999</v>
      </c>
      <c r="G28" s="3">
        <f>Submetering!Z28+Submetering!AA28+Submetering!AB28+Submetering!AD28+Submetering!AE28+Submetering!AF28+Submetering!AG28+Submetering!AH28+Submetering!AI28</f>
        <v>0</v>
      </c>
      <c r="H28" s="217">
        <f t="shared" si="0"/>
        <v>3.1153846153846154</v>
      </c>
      <c r="I28" s="3">
        <f>Submetering!G28-SUM(Submetering!AJ28:AS28,Submetering!BM28:BR28)</f>
        <v>0</v>
      </c>
      <c r="J28">
        <v>13.83</v>
      </c>
      <c r="K28" s="3">
        <f>Submetering!BL28</f>
        <v>0</v>
      </c>
      <c r="L28">
        <v>1.2</v>
      </c>
      <c r="M28" s="217">
        <f>Submetering!E28</f>
        <v>0</v>
      </c>
      <c r="N28">
        <f>Submetering!F28</f>
        <v>0</v>
      </c>
    </row>
    <row r="29" spans="1:14" x14ac:dyDescent="0.25">
      <c r="A29" t="s">
        <v>14</v>
      </c>
      <c r="B29">
        <f t="shared" si="1"/>
        <v>28</v>
      </c>
      <c r="C29">
        <v>3</v>
      </c>
      <c r="D29">
        <v>2023</v>
      </c>
      <c r="E29" s="3">
        <f>SUM(Submetering!M29:V29)-SUM(Submetering!AU29:AY29,Submetering!BS29)</f>
        <v>0</v>
      </c>
      <c r="F29">
        <v>0.44447999999999999</v>
      </c>
      <c r="G29" s="3">
        <f>Submetering!Z29+Submetering!AA29+Submetering!AB29+Submetering!AD29+Submetering!AE29+Submetering!AF29+Submetering!AG29+Submetering!AH29+Submetering!AI29</f>
        <v>0</v>
      </c>
      <c r="H29" s="217">
        <f t="shared" si="0"/>
        <v>3.1153846153846154</v>
      </c>
      <c r="I29" s="3">
        <f>Submetering!G29-SUM(Submetering!AJ29:AS29,Submetering!BM29:BR29)</f>
        <v>0</v>
      </c>
      <c r="J29">
        <v>13.83</v>
      </c>
      <c r="K29" s="3">
        <f>Submetering!BL29</f>
        <v>0</v>
      </c>
      <c r="L29">
        <v>1.2</v>
      </c>
      <c r="M29" s="217">
        <f>Submetering!E29</f>
        <v>0</v>
      </c>
      <c r="N29">
        <f>Submetering!F29</f>
        <v>0</v>
      </c>
    </row>
    <row r="30" spans="1:14" x14ac:dyDescent="0.25">
      <c r="A30" t="s">
        <v>14</v>
      </c>
      <c r="B30">
        <f t="shared" si="1"/>
        <v>29</v>
      </c>
      <c r="C30">
        <v>3</v>
      </c>
      <c r="D30">
        <v>2023</v>
      </c>
      <c r="E30" s="3">
        <f>SUM(Submetering!M30:V30)-SUM(Submetering!AU30:AY30,Submetering!BS30)</f>
        <v>0</v>
      </c>
      <c r="F30">
        <v>0.44447999999999999</v>
      </c>
      <c r="G30" s="3">
        <f>Submetering!Z30+Submetering!AA30+Submetering!AB30+Submetering!AD30+Submetering!AE30+Submetering!AF30+Submetering!AG30+Submetering!AH30+Submetering!AI30</f>
        <v>0</v>
      </c>
      <c r="H30" s="217">
        <f t="shared" si="0"/>
        <v>3.1153846153846154</v>
      </c>
      <c r="I30" s="3">
        <f>Submetering!G30-SUM(Submetering!AJ30:AS30,Submetering!BM30:BR30)</f>
        <v>0</v>
      </c>
      <c r="J30">
        <v>13.83</v>
      </c>
      <c r="K30" s="3">
        <f>Submetering!BL30</f>
        <v>0</v>
      </c>
      <c r="L30">
        <v>1.2</v>
      </c>
      <c r="M30" s="217">
        <f>Submetering!E30</f>
        <v>0</v>
      </c>
      <c r="N30">
        <f>Submetering!F30</f>
        <v>0</v>
      </c>
    </row>
    <row r="31" spans="1:14" x14ac:dyDescent="0.25">
      <c r="A31" t="s">
        <v>14</v>
      </c>
      <c r="B31">
        <f t="shared" si="1"/>
        <v>30</v>
      </c>
      <c r="C31">
        <v>3</v>
      </c>
      <c r="D31">
        <v>2023</v>
      </c>
      <c r="E31" s="3">
        <f>SUM(Submetering!M31:V31)-SUM(Submetering!AU31:AY31,Submetering!BS31)</f>
        <v>0</v>
      </c>
      <c r="F31">
        <v>0.44447999999999999</v>
      </c>
      <c r="G31" s="3">
        <f>Submetering!Z31+Submetering!AA31+Submetering!AB31+Submetering!AD31+Submetering!AE31+Submetering!AF31+Submetering!AG31+Submetering!AH31+Submetering!AI31</f>
        <v>0</v>
      </c>
      <c r="H31" s="217">
        <f t="shared" si="0"/>
        <v>3.1153846153846154</v>
      </c>
      <c r="I31" s="3">
        <f>Submetering!G31-SUM(Submetering!AJ31:AS31,Submetering!BM31:BR31)</f>
        <v>0</v>
      </c>
      <c r="J31">
        <v>13.83</v>
      </c>
      <c r="K31" s="3">
        <f>Submetering!BL31</f>
        <v>0</v>
      </c>
      <c r="L31">
        <v>1.2</v>
      </c>
      <c r="M31" s="217">
        <f>Submetering!E31</f>
        <v>0</v>
      </c>
      <c r="N31">
        <f>Submetering!F31</f>
        <v>0</v>
      </c>
    </row>
    <row r="32" spans="1:14" x14ac:dyDescent="0.25">
      <c r="A32" t="s">
        <v>14</v>
      </c>
      <c r="B32">
        <f t="shared" si="1"/>
        <v>31</v>
      </c>
      <c r="C32">
        <v>3</v>
      </c>
      <c r="D32">
        <v>2023</v>
      </c>
      <c r="E32" s="3">
        <f>SUM(Submetering!M32:V32)-SUM(Submetering!AU32:AY32,Submetering!BS32)</f>
        <v>0</v>
      </c>
      <c r="F32">
        <v>0.44447999999999999</v>
      </c>
      <c r="G32" s="3">
        <f>Submetering!Z32+Submetering!AA32+Submetering!AB32+Submetering!AD32+Submetering!AE32+Submetering!AF32+Submetering!AG32+Submetering!AH32+Submetering!AI32</f>
        <v>0</v>
      </c>
      <c r="H32" s="217">
        <f t="shared" si="0"/>
        <v>3.1153846153846154</v>
      </c>
      <c r="I32" s="3">
        <f>Submetering!G32-SUM(Submetering!AJ32:AS32,Submetering!BM32:BR32)</f>
        <v>0</v>
      </c>
      <c r="J32">
        <v>13.83</v>
      </c>
      <c r="K32" s="3">
        <f>Submetering!BL32</f>
        <v>0</v>
      </c>
      <c r="L32">
        <v>1.2</v>
      </c>
      <c r="M32" s="21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2" sqref="C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72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  <c r="BM1" s="76" t="s">
        <v>73</v>
      </c>
      <c r="BN1" s="76" t="s">
        <v>74</v>
      </c>
      <c r="BO1" s="76" t="s">
        <v>75</v>
      </c>
      <c r="BP1" s="76" t="s">
        <v>76</v>
      </c>
      <c r="BQ1" s="76" t="s">
        <v>77</v>
      </c>
      <c r="BR1" s="76" t="s">
        <v>78</v>
      </c>
      <c r="BS1" s="76" t="s">
        <v>79</v>
      </c>
    </row>
    <row r="2" spans="1:72" x14ac:dyDescent="0.25">
      <c r="A2" t="s">
        <v>14</v>
      </c>
      <c r="B2">
        <v>1</v>
      </c>
      <c r="C2">
        <v>3</v>
      </c>
      <c r="D2">
        <v>2023</v>
      </c>
      <c r="E2" s="74">
        <f>237*0.78</f>
        <v>184.86</v>
      </c>
      <c r="F2" s="75">
        <f>322+44</f>
        <v>366</v>
      </c>
      <c r="G2" s="3">
        <f>'DJB Daily Readings'!C10-'DJB Daily Readings'!C9</f>
        <v>606</v>
      </c>
      <c r="H2" s="3">
        <f>'DJB Daily Readings'!F10-'DJB Daily Readings'!F9</f>
        <v>453</v>
      </c>
      <c r="I2" s="3">
        <f>'DJB Daily Readings'!L9</f>
        <v>116</v>
      </c>
      <c r="J2" s="3">
        <f>'DJB Daily Readings'!N9</f>
        <v>0</v>
      </c>
      <c r="K2" s="3">
        <f>'DJB Daily Readings'!O10-'DJB Daily Readings'!O9</f>
        <v>99</v>
      </c>
      <c r="L2" s="3">
        <f>'DJB Daily Readings'!R10-'DJB Daily Readings'!R9</f>
        <v>17</v>
      </c>
      <c r="M2" s="3">
        <f>'DJB Daily Readings'!U10-'DJB Daily Readings'!U9</f>
        <v>1997.5200000004843</v>
      </c>
      <c r="N2" s="3">
        <f>'DJB Daily Readings'!X10-'DJB Daily Readings'!X9</f>
        <v>4774.5600000005215</v>
      </c>
      <c r="O2" s="3">
        <f>'DJB Daily Readings'!AA10-'DJB Daily Readings'!AA9</f>
        <v>8233.6799999978393</v>
      </c>
      <c r="P2" s="3">
        <f>'DJB Daily Readings'!AD10-'DJB Daily Readings'!AD9</f>
        <v>2630.8800000026822</v>
      </c>
      <c r="Q2" s="3">
        <f>'DJB Daily Readings'!AG10-'DJB Daily Readings'!AG9</f>
        <v>633.35999999940395</v>
      </c>
      <c r="R2" s="3">
        <f>'DJB Daily Readings'!AJ10-'DJB Daily Readings'!AJ9</f>
        <v>5748.9600000008941</v>
      </c>
      <c r="S2" s="3">
        <f>'DJB Daily Readings'!AM10-'DJB Daily Readings'!AM9</f>
        <v>3897.5999999996275</v>
      </c>
      <c r="T2" s="3">
        <f>'DJB Daily Readings'!AP10-'DJB Daily Readings'!AP9</f>
        <v>4482.2400000002235</v>
      </c>
      <c r="U2" s="3">
        <f>'DJB Daily Readings'!AS10-'DJB Daily Readings'!AS9</f>
        <v>3118.0800000019372</v>
      </c>
      <c r="V2" s="3">
        <f>'DJB Daily Readings'!AV10-'DJB Daily Readings'!AV9</f>
        <v>5797.679999999702</v>
      </c>
      <c r="W2" s="3">
        <f>'DJB Daily Readings'!AZ10-'DJB Daily Readings'!AZ9</f>
        <v>49400</v>
      </c>
      <c r="X2" s="3">
        <f>'DJB Daily Readings'!BC10-'DJB Daily Readings'!BC9</f>
        <v>5900</v>
      </c>
      <c r="Y2" s="3">
        <f>'DJB Daily Readings'!BF10-'DJB Daily Readings'!BF9</f>
        <v>0</v>
      </c>
      <c r="Z2" s="3">
        <f>('DJB Daily Readings'!CK10-'DJB Daily Readings'!CK9)*1.89</f>
        <v>156.87</v>
      </c>
      <c r="AA2" s="3">
        <f>('DJB Daily Readings'!CN10-'DJB Daily Readings'!CN9)*1.89</f>
        <v>224.91</v>
      </c>
      <c r="AB2" s="3">
        <f>('DJB Daily Readings'!CQ10-'DJB Daily Readings'!CQ9)*1.89</f>
        <v>351.53999999999996</v>
      </c>
      <c r="AC2" s="3">
        <f>'DJB Daily Readings'!CT10-'DJB Daily Readings'!CT9</f>
        <v>184</v>
      </c>
      <c r="AD2" s="80">
        <f>('DJB Daily Readings'!BY10-'DJB Daily Readings'!BY9)*1.89</f>
        <v>34.019999999999996</v>
      </c>
      <c r="AE2" s="80">
        <f>('DJB Daily Readings'!CA10-'DJB Daily Readings'!CA9)*1.89</f>
        <v>39.69</v>
      </c>
      <c r="AF2" s="80">
        <f>('DJB Daily Readings'!CC10-'DJB Daily Readings'!CC9)*1.89</f>
        <v>11.34</v>
      </c>
      <c r="AG2" s="80">
        <f>('DJB Daily Readings'!CE10-'DJB Daily Readings'!CE9)*1.89</f>
        <v>17.009999999999998</v>
      </c>
      <c r="AH2" s="80">
        <f>('DJB Daily Readings'!CG10-'DJB Daily Readings'!CG9)*1.89</f>
        <v>28.349999999999998</v>
      </c>
      <c r="AI2" s="80">
        <f>('DJB Daily Readings'!CI10-'DJB Daily Readings'!CI9)*1.89</f>
        <v>64.259999999999991</v>
      </c>
      <c r="AJ2" s="77">
        <f>'DJB Daily Readings'!CY10-'DJB Daily Readings'!CY9</f>
        <v>8</v>
      </c>
      <c r="AK2" s="77">
        <f>'DJB Daily Readings'!CW10-'DJB Daily Readings'!CW9</f>
        <v>10</v>
      </c>
      <c r="AL2" s="78">
        <f>'DJB Daily Readings'!DC10-'DJB Daily Readings'!DC9</f>
        <v>14</v>
      </c>
      <c r="AM2" s="78">
        <f>'DJB Daily Readings'!DA10-'DJB Daily Readings'!DA9</f>
        <v>19</v>
      </c>
      <c r="AN2" s="78">
        <f>'DJB Daily Readings'!DG10-'DJB Daily Readings'!DG9</f>
        <v>5</v>
      </c>
      <c r="AO2" s="78">
        <f>'DJB Daily Readings'!DE10-'DJB Daily Readings'!DE9</f>
        <v>10</v>
      </c>
      <c r="AP2" s="78">
        <f>'DJB Daily Readings'!DK10-'DJB Daily Readings'!DK9</f>
        <v>7</v>
      </c>
      <c r="AQ2" s="78">
        <f>'DJB Daily Readings'!DI10-'DJB Daily Readings'!DI9</f>
        <v>11</v>
      </c>
      <c r="AR2" s="78">
        <f>'DJB Daily Readings'!DO10-'DJB Daily Readings'!DO9</f>
        <v>9</v>
      </c>
      <c r="AS2" s="78">
        <f>'DJB Daily Readings'!DM10-'DJB Daily Readings'!DM9</f>
        <v>4</v>
      </c>
      <c r="AT2" s="78">
        <f>'DJB Daily Readings'!DQ10-'DJB Daily Readings'!DQ9</f>
        <v>3</v>
      </c>
      <c r="AU2" s="78">
        <f>('DJB Daily Readings'!DT10-'DJB Daily Readings'!DT9)*100</f>
        <v>1139.9999999999636</v>
      </c>
      <c r="AV2" s="78">
        <f>('DJB Daily Readings'!DV10-'DJB Daily Readings'!DV9)*100</f>
        <v>919.99999999989086</v>
      </c>
      <c r="AW2" s="78">
        <f>('DJB Daily Readings'!DX10-'DJB Daily Readings'!DX9)*100</f>
        <v>660.00000000003638</v>
      </c>
      <c r="AX2" s="78">
        <f>('DJB Daily Readings'!DZ10-'DJB Daily Readings'!DZ9)*100</f>
        <v>650</v>
      </c>
      <c r="AY2" s="78">
        <f>'DJB Daily Readings'!EB10-'DJB Daily Readings'!EB9</f>
        <v>619</v>
      </c>
      <c r="AZ2" s="78">
        <f>'DJB Daily Readings'!ED10-'DJB Daily Readings'!ED9</f>
        <v>159.10000000000582</v>
      </c>
      <c r="BA2" s="78">
        <f>'DJB Daily Readings'!EG10-'DJB Daily Readings'!EG9</f>
        <v>4600</v>
      </c>
      <c r="BB2" s="78">
        <f>'DJB Daily Readings'!EI10-'DJB Daily Readings'!EI9</f>
        <v>290</v>
      </c>
      <c r="BC2" s="78">
        <f>'DJB Daily Readings'!EQ10-'DJB Daily Readings'!EQ9</f>
        <v>3700</v>
      </c>
      <c r="BD2" s="78">
        <f>'DJB Daily Readings'!EK10-'DJB Daily Readings'!EK9</f>
        <v>1100</v>
      </c>
      <c r="BE2" s="78">
        <f>'DJB Daily Readings'!EM10-'DJB Daily Readings'!EM9</f>
        <v>500</v>
      </c>
      <c r="BF2" s="78">
        <f>'DJB Daily Readings'!EO10-'DJB Daily Readings'!EO9</f>
        <v>720</v>
      </c>
      <c r="BG2" s="78">
        <f>('DJB Daily Readings'!ET10-'DJB Daily Readings'!ET9)*1.89</f>
        <v>26.459999999999997</v>
      </c>
      <c r="BH2" s="78">
        <f>('DJB Daily Readings'!EV10-'DJB Daily Readings'!EV9)*1.89</f>
        <v>22.68</v>
      </c>
      <c r="BI2" s="78">
        <f>('DJB Daily Readings'!EZ10-'DJB Daily Readings'!EZ9)*1.89</f>
        <v>18.899999999999999</v>
      </c>
      <c r="BJ2" s="78">
        <f>('DJB Daily Readings'!EX10-'DJB Daily Readings'!EX9)*1.89</f>
        <v>15.12</v>
      </c>
      <c r="BK2" s="78">
        <f>('DJB Daily Readings'!FB10-'DJB Daily Readings'!FB9)*1.89</f>
        <v>69.929999999999993</v>
      </c>
      <c r="BL2" s="78">
        <f>'DJB Daily Readings'!J9</f>
        <v>4</v>
      </c>
      <c r="BM2" s="78">
        <f>'DJB Daily Readings'!FF9</f>
        <v>107.11199999999371</v>
      </c>
      <c r="BN2" s="78">
        <f>'DJB Daily Readings'!FH9</f>
        <v>0</v>
      </c>
      <c r="BO2" s="78">
        <f>'DJB Daily Readings'!FJ9</f>
        <v>7</v>
      </c>
      <c r="BP2" s="78">
        <f>'DJB Daily Readings'!FL9</f>
        <v>5</v>
      </c>
      <c r="BQ2" s="78">
        <f>'DJB Daily Readings'!FN9</f>
        <v>3</v>
      </c>
      <c r="BR2" s="276">
        <f>'DJB Daily Readings'!FP9</f>
        <v>3.0000000000001137E-2</v>
      </c>
      <c r="BS2" s="78">
        <f>'DJB Daily Readings'!FR9</f>
        <v>249.70000000001164</v>
      </c>
    </row>
    <row r="3" spans="1:72" x14ac:dyDescent="0.25">
      <c r="A3" t="s">
        <v>14</v>
      </c>
      <c r="B3">
        <f>B2+1</f>
        <v>2</v>
      </c>
      <c r="C3">
        <v>3</v>
      </c>
      <c r="D3">
        <v>2023</v>
      </c>
      <c r="E3" s="74">
        <f>237*0.92</f>
        <v>218.04000000000002</v>
      </c>
      <c r="F3" s="75">
        <f>365+48</f>
        <v>413</v>
      </c>
      <c r="G3" s="3">
        <f>'DJB Daily Readings'!C11-'DJB Daily Readings'!C10</f>
        <v>641</v>
      </c>
      <c r="H3" s="3">
        <f>'DJB Daily Readings'!F11-'DJB Daily Readings'!F10</f>
        <v>443</v>
      </c>
      <c r="I3" s="3">
        <f>'DJB Daily Readings'!L10</f>
        <v>0</v>
      </c>
      <c r="J3" s="3">
        <f>'DJB Daily Readings'!N10</f>
        <v>0</v>
      </c>
      <c r="K3" s="3">
        <f>'DJB Daily Readings'!O11-'DJB Daily Readings'!O10</f>
        <v>106</v>
      </c>
      <c r="L3" s="3">
        <f>'DJB Daily Readings'!R11-'DJB Daily Readings'!R10</f>
        <v>16</v>
      </c>
      <c r="M3" s="3">
        <f>'DJB Daily Readings'!U11-'DJB Daily Readings'!U10</f>
        <v>1997.519999999553</v>
      </c>
      <c r="N3" s="3">
        <f>'DJB Daily Readings'!X11-'DJB Daily Readings'!X10</f>
        <v>4287.359999999404</v>
      </c>
      <c r="O3" s="3">
        <f>'DJB Daily Readings'!AA11-'DJB Daily Readings'!AA10</f>
        <v>0</v>
      </c>
      <c r="P3" s="3">
        <f>'DJB Daily Readings'!AD11-'DJB Daily Readings'!AD10</f>
        <v>8672.1599999964237</v>
      </c>
      <c r="Q3" s="3">
        <f>'DJB Daily Readings'!AG11-'DJB Daily Readings'!AG10</f>
        <v>1900.0800000019372</v>
      </c>
      <c r="R3" s="3">
        <f>'DJB Daily Readings'!AJ11-'DJB Daily Readings'!AJ10</f>
        <v>5164.320000000298</v>
      </c>
      <c r="S3" s="3">
        <f>'DJB Daily Readings'!AM11-'DJB Daily Readings'!AM10</f>
        <v>3848.8799999989569</v>
      </c>
      <c r="T3" s="3">
        <f>'DJB Daily Readings'!AP11-'DJB Daily Readings'!AP10</f>
        <v>4092.4799999985844</v>
      </c>
      <c r="U3" s="3">
        <f>'DJB Daily Readings'!AS11-'DJB Daily Readings'!AS10</f>
        <v>3020.6399999987334</v>
      </c>
      <c r="V3" s="3">
        <f>'DJB Daily Readings'!AV11-'DJB Daily Readings'!AV10</f>
        <v>5359.2000000029802</v>
      </c>
      <c r="W3" s="3">
        <f>'DJB Daily Readings'!AZ11-'DJB Daily Readings'!AZ10</f>
        <v>0</v>
      </c>
      <c r="X3" s="3">
        <f>'DJB Daily Readings'!BC11-'DJB Daily Readings'!BC10</f>
        <v>49700</v>
      </c>
      <c r="Y3" s="3">
        <f>'DJB Daily Readings'!BF11-'DJB Daily Readings'!BF10</f>
        <v>6000</v>
      </c>
      <c r="Z3" s="3">
        <f>('DJB Daily Readings'!CK11-'DJB Daily Readings'!CK10)*1.89</f>
        <v>134.19</v>
      </c>
      <c r="AA3" s="3">
        <f>('DJB Daily Readings'!CN11-'DJB Daily Readings'!CN10)*1.89</f>
        <v>207.89999999999998</v>
      </c>
      <c r="AB3" s="3">
        <f>('DJB Daily Readings'!CQ11-'DJB Daily Readings'!CQ10)*1.89</f>
        <v>313.74</v>
      </c>
      <c r="AC3" s="3">
        <f>'DJB Daily Readings'!CT11-'DJB Daily Readings'!CT10</f>
        <v>158</v>
      </c>
      <c r="AD3" s="80">
        <f>('DJB Daily Readings'!BY11-'DJB Daily Readings'!BY10)*1.89</f>
        <v>28.349999999999998</v>
      </c>
      <c r="AE3" s="80">
        <f>('DJB Daily Readings'!CA11-'DJB Daily Readings'!CA10)*1.89</f>
        <v>32.129999999999995</v>
      </c>
      <c r="AF3" s="80">
        <f>('DJB Daily Readings'!CC11-'DJB Daily Readings'!CC10)*1.89</f>
        <v>13.229999999999999</v>
      </c>
      <c r="AG3" s="80">
        <f>('DJB Daily Readings'!CE11-'DJB Daily Readings'!CE10)*1.89</f>
        <v>18.899999999999999</v>
      </c>
      <c r="AH3" s="80">
        <f>('DJB Daily Readings'!CG11-'DJB Daily Readings'!CG10)*1.89</f>
        <v>11.34</v>
      </c>
      <c r="AI3" s="80">
        <f>('DJB Daily Readings'!CI11-'DJB Daily Readings'!CI10)*1.89</f>
        <v>64.259999999999991</v>
      </c>
      <c r="AJ3" s="77">
        <f>'DJB Daily Readings'!CY11-'DJB Daily Readings'!CY10</f>
        <v>8</v>
      </c>
      <c r="AK3" s="77">
        <f>'DJB Daily Readings'!CW11-'DJB Daily Readings'!CW10</f>
        <v>9</v>
      </c>
      <c r="AL3" s="78">
        <f>'DJB Daily Readings'!DC11-'DJB Daily Readings'!DC10</f>
        <v>13</v>
      </c>
      <c r="AM3" s="78">
        <f>'DJB Daily Readings'!DA11-'DJB Daily Readings'!DA10</f>
        <v>20</v>
      </c>
      <c r="AN3" s="78">
        <f>'DJB Daily Readings'!DG11-'DJB Daily Readings'!DG10</f>
        <v>4</v>
      </c>
      <c r="AO3" s="78">
        <f>'DJB Daily Readings'!DE11-'DJB Daily Readings'!DE10</f>
        <v>9</v>
      </c>
      <c r="AP3" s="78">
        <f>'DJB Daily Readings'!DK11-'DJB Daily Readings'!DK10</f>
        <v>6</v>
      </c>
      <c r="AQ3" s="78">
        <f>'DJB Daily Readings'!DI11-'DJB Daily Readings'!DI10</f>
        <v>11</v>
      </c>
      <c r="AR3" s="78">
        <f>'DJB Daily Readings'!DO11-'DJB Daily Readings'!DO10</f>
        <v>8</v>
      </c>
      <c r="AS3" s="78">
        <f>'DJB Daily Readings'!DM11-'DJB Daily Readings'!DM10</f>
        <v>4</v>
      </c>
      <c r="AT3" s="78">
        <f>'DJB Daily Readings'!DQ11-'DJB Daily Readings'!DQ10</f>
        <v>7</v>
      </c>
      <c r="AU3" s="78">
        <f>('DJB Daily Readings'!DT11-'DJB Daily Readings'!DT10)*100</f>
        <v>1019.9999999999818</v>
      </c>
      <c r="AV3" s="78">
        <f>('DJB Daily Readings'!DV11-'DJB Daily Readings'!DV10)*100</f>
        <v>810.00000000003638</v>
      </c>
      <c r="AW3" s="78">
        <f>('DJB Daily Readings'!DX11-'DJB Daily Readings'!DX10)*100</f>
        <v>600</v>
      </c>
      <c r="AX3" s="78">
        <f>('DJB Daily Readings'!DZ11-'DJB Daily Readings'!DZ10)*100</f>
        <v>610.00000000003638</v>
      </c>
      <c r="AY3" s="78">
        <f>'DJB Daily Readings'!EB11-'DJB Daily Readings'!EB10</f>
        <v>594</v>
      </c>
      <c r="AZ3" s="78">
        <f>'DJB Daily Readings'!ED11-'DJB Daily Readings'!ED10</f>
        <v>139.89999999999418</v>
      </c>
      <c r="BA3" s="78">
        <f>'DJB Daily Readings'!EG11-'DJB Daily Readings'!EG10</f>
        <v>4100</v>
      </c>
      <c r="BB3" s="78">
        <f>'DJB Daily Readings'!EI11-'DJB Daily Readings'!EI10</f>
        <v>230</v>
      </c>
      <c r="BC3" s="78">
        <f>'DJB Daily Readings'!EQ11-'DJB Daily Readings'!EQ10</f>
        <v>2900</v>
      </c>
      <c r="BD3" s="78">
        <f>'DJB Daily Readings'!EK11-'DJB Daily Readings'!EK10</f>
        <v>1200</v>
      </c>
      <c r="BE3" s="78">
        <f>'DJB Daily Readings'!EM11-'DJB Daily Readings'!EM10</f>
        <v>700</v>
      </c>
      <c r="BF3" s="78">
        <f>'DJB Daily Readings'!EO11-'DJB Daily Readings'!EO10</f>
        <v>670</v>
      </c>
      <c r="BG3" s="78">
        <f>('DJB Daily Readings'!ET11-'DJB Daily Readings'!ET10)*1.89</f>
        <v>26.459999999999997</v>
      </c>
      <c r="BH3" s="78">
        <f>('DJB Daily Readings'!EV11-'DJB Daily Readings'!EV10)*1.89</f>
        <v>18.899999999999999</v>
      </c>
      <c r="BI3" s="78">
        <f>('DJB Daily Readings'!EZ11-'DJB Daily Readings'!EZ10)*1.89</f>
        <v>41.58</v>
      </c>
      <c r="BJ3" s="78">
        <f>('DJB Daily Readings'!EX11-'DJB Daily Readings'!EX10)*1.89</f>
        <v>17.009999999999998</v>
      </c>
      <c r="BK3" s="78">
        <f>('DJB Daily Readings'!FB11-'DJB Daily Readings'!FB10)*1.89</f>
        <v>62.37</v>
      </c>
      <c r="BL3" s="78">
        <f>'DJB Daily Readings'!J11</f>
        <v>210</v>
      </c>
      <c r="BM3" s="78">
        <f>'DJB Daily Readings'!FF11</f>
        <v>148.85499999999593</v>
      </c>
      <c r="BN3" s="78">
        <f>'DJB Daily Readings'!FH11</f>
        <v>0</v>
      </c>
      <c r="BO3" s="78">
        <f>'DJB Daily Readings'!FJ11</f>
        <v>5</v>
      </c>
      <c r="BP3" s="78">
        <f>'DJB Daily Readings'!FL11</f>
        <v>4</v>
      </c>
      <c r="BQ3" s="78">
        <f>'DJB Daily Readings'!FN11</f>
        <v>5</v>
      </c>
      <c r="BR3" s="276">
        <f>'DJB Daily Readings'!FP11</f>
        <v>3.0000000000001137E-2</v>
      </c>
      <c r="BS3" s="78">
        <f>'DJB Daily Readings'!FR11</f>
        <v>234.59999999997672</v>
      </c>
    </row>
    <row r="4" spans="1:72" x14ac:dyDescent="0.25">
      <c r="A4" t="s">
        <v>14</v>
      </c>
      <c r="B4">
        <f t="shared" ref="B4:B32" si="0">B3+1</f>
        <v>3</v>
      </c>
      <c r="C4">
        <v>3</v>
      </c>
      <c r="D4">
        <v>2023</v>
      </c>
      <c r="E4" s="74">
        <f>237*0.87</f>
        <v>206.19</v>
      </c>
      <c r="F4" s="75">
        <f>357+54</f>
        <v>411</v>
      </c>
      <c r="G4" s="3">
        <f>'DJB Daily Readings'!C12-'DJB Daily Readings'!C11</f>
        <v>721</v>
      </c>
      <c r="H4" s="3">
        <f>'DJB Daily Readings'!F12-'DJB Daily Readings'!F11</f>
        <v>532</v>
      </c>
      <c r="I4" s="3">
        <f>'DJB Daily Readings'!L11</f>
        <v>210</v>
      </c>
      <c r="J4" s="3">
        <f>'DJB Daily Readings'!N11</f>
        <v>0</v>
      </c>
      <c r="K4" s="3">
        <f>'DJB Daily Readings'!O12-'DJB Daily Readings'!O11</f>
        <v>115</v>
      </c>
      <c r="L4" s="3">
        <f>'DJB Daily Readings'!R12-'DJB Daily Readings'!R11</f>
        <v>17</v>
      </c>
      <c r="M4" s="3">
        <f>'DJB Daily Readings'!U12-'DJB Daily Readings'!U11</f>
        <v>2046.2400000002235</v>
      </c>
      <c r="N4" s="3">
        <f>'DJB Daily Readings'!X12-'DJB Daily Readings'!X11</f>
        <v>6677.1200000010431</v>
      </c>
      <c r="O4" s="3">
        <f>'DJB Daily Readings'!AA12-'DJB Daily Readings'!AA11</f>
        <v>0</v>
      </c>
      <c r="P4" s="3">
        <f>'DJB Daily Readings'!AD12-'DJB Daily Readings'!AD11</f>
        <v>4289.839999999851</v>
      </c>
      <c r="Q4" s="3">
        <f>'DJB Daily Readings'!AG12-'DJB Daily Readings'!AG11</f>
        <v>10523.519999999553</v>
      </c>
      <c r="R4" s="3">
        <f>'DJB Daily Readings'!AJ12-'DJB Daily Readings'!AJ11</f>
        <v>5554.0799999982119</v>
      </c>
      <c r="S4" s="3">
        <f>'DJB Daily Readings'!AM12-'DJB Daily Readings'!AM11</f>
        <v>4336.0800000000745</v>
      </c>
      <c r="T4" s="3">
        <f>'DJB Daily Readings'!AP12-'DJB Daily Readings'!AP11</f>
        <v>4482.2400000002235</v>
      </c>
      <c r="U4" s="3">
        <f>'DJB Daily Readings'!AS12-'DJB Daily Readings'!AS11</f>
        <v>3215.5200000014156</v>
      </c>
      <c r="V4" s="3">
        <f>'DJB Daily Readings'!AV12-'DJB Daily Readings'!AV11</f>
        <v>5797.679999999702</v>
      </c>
      <c r="W4" s="3">
        <f>'DJB Daily Readings'!AZ12-'DJB Daily Readings'!AZ11</f>
        <v>0</v>
      </c>
      <c r="X4" s="3">
        <f>'DJB Daily Readings'!BC12-'DJB Daily Readings'!BC11</f>
        <v>6400</v>
      </c>
      <c r="Y4" s="3">
        <f>'DJB Daily Readings'!BF12-'DJB Daily Readings'!BF11</f>
        <v>56100</v>
      </c>
      <c r="Z4" s="3">
        <f>('DJB Daily Readings'!CK12-'DJB Daily Readings'!CK11)*1.89</f>
        <v>151.19999999999999</v>
      </c>
      <c r="AA4" s="3">
        <f>('DJB Daily Readings'!CN12-'DJB Daily Readings'!CN11)*1.89</f>
        <v>219.23999999999998</v>
      </c>
      <c r="AB4" s="3">
        <f>('DJB Daily Readings'!CQ12-'DJB Daily Readings'!CQ11)*1.89</f>
        <v>279.71999999999997</v>
      </c>
      <c r="AC4" s="3">
        <f>'DJB Daily Readings'!CT12-'DJB Daily Readings'!CT11</f>
        <v>176</v>
      </c>
      <c r="AD4" s="80">
        <f>('DJB Daily Readings'!BY12-'DJB Daily Readings'!BY11)*1.89</f>
        <v>34.019999999999996</v>
      </c>
      <c r="AE4" s="80">
        <f>('DJB Daily Readings'!CA12-'DJB Daily Readings'!CA11)*1.89</f>
        <v>37.799999999999997</v>
      </c>
      <c r="AF4" s="80">
        <f>('DJB Daily Readings'!CC12-'DJB Daily Readings'!CC11)*1.89</f>
        <v>15.12</v>
      </c>
      <c r="AG4" s="80">
        <f>('DJB Daily Readings'!CE12-'DJB Daily Readings'!CE11)*1.89</f>
        <v>17.009999999999998</v>
      </c>
      <c r="AH4" s="80">
        <f>('DJB Daily Readings'!CG12-'DJB Daily Readings'!CG11)*1.89</f>
        <v>24.57</v>
      </c>
      <c r="AI4" s="80">
        <f>('DJB Daily Readings'!CI12-'DJB Daily Readings'!CI11)*1.89</f>
        <v>68.039999999999992</v>
      </c>
      <c r="AJ4" s="77">
        <f>'DJB Daily Readings'!CY12-'DJB Daily Readings'!CY11</f>
        <v>8</v>
      </c>
      <c r="AK4" s="77">
        <f>'DJB Daily Readings'!CW12-'DJB Daily Readings'!CW11</f>
        <v>9</v>
      </c>
      <c r="AL4" s="78">
        <f>'DJB Daily Readings'!DC12-'DJB Daily Readings'!DC11</f>
        <v>14</v>
      </c>
      <c r="AM4" s="78">
        <f>'DJB Daily Readings'!DA12-'DJB Daily Readings'!DA11</f>
        <v>21</v>
      </c>
      <c r="AN4" s="78">
        <f>'DJB Daily Readings'!DG12-'DJB Daily Readings'!DG11</f>
        <v>6</v>
      </c>
      <c r="AO4" s="78">
        <f>'DJB Daily Readings'!DE12-'DJB Daily Readings'!DE11</f>
        <v>10</v>
      </c>
      <c r="AP4" s="78">
        <f>'DJB Daily Readings'!DK12-'DJB Daily Readings'!DK11</f>
        <v>11</v>
      </c>
      <c r="AQ4" s="78">
        <f>'DJB Daily Readings'!DI12-'DJB Daily Readings'!DI11</f>
        <v>14</v>
      </c>
      <c r="AR4" s="78">
        <f>'DJB Daily Readings'!DO12-'DJB Daily Readings'!DO11</f>
        <v>8</v>
      </c>
      <c r="AS4" s="78">
        <f>'DJB Daily Readings'!DM12-'DJB Daily Readings'!DM11</f>
        <v>4</v>
      </c>
      <c r="AT4" s="78">
        <f>'DJB Daily Readings'!DQ12-'DJB Daily Readings'!DQ11</f>
        <v>6</v>
      </c>
      <c r="AU4" s="78">
        <f>('DJB Daily Readings'!DT12-'DJB Daily Readings'!DT11)*100</f>
        <v>1100</v>
      </c>
      <c r="AV4" s="78">
        <f>('DJB Daily Readings'!DV12-'DJB Daily Readings'!DV11)*100</f>
        <v>900</v>
      </c>
      <c r="AW4" s="78">
        <f>('DJB Daily Readings'!DX12-'DJB Daily Readings'!DX11)*100</f>
        <v>669.99999999998181</v>
      </c>
      <c r="AX4" s="78">
        <f>('DJB Daily Readings'!DZ12-'DJB Daily Readings'!DZ11)*100</f>
        <v>719.99999999998181</v>
      </c>
      <c r="AY4" s="78">
        <f>'DJB Daily Readings'!EB12-'DJB Daily Readings'!EB11</f>
        <v>658</v>
      </c>
      <c r="AZ4" s="78">
        <f>'DJB Daily Readings'!ED12-'DJB Daily Readings'!ED11</f>
        <v>152</v>
      </c>
      <c r="BA4" s="78">
        <f>'DJB Daily Readings'!EG12-'DJB Daily Readings'!EG11</f>
        <v>4800</v>
      </c>
      <c r="BB4" s="78">
        <f>'DJB Daily Readings'!EI12-'DJB Daily Readings'!EI11</f>
        <v>330</v>
      </c>
      <c r="BC4" s="78">
        <f>'DJB Daily Readings'!EQ12-'DJB Daily Readings'!EQ11</f>
        <v>4800</v>
      </c>
      <c r="BD4" s="78">
        <f>'DJB Daily Readings'!EK12-'DJB Daily Readings'!EK11</f>
        <v>1500</v>
      </c>
      <c r="BE4" s="78">
        <f>'DJB Daily Readings'!EM12-'DJB Daily Readings'!EM11</f>
        <v>700</v>
      </c>
      <c r="BF4" s="78">
        <f>'DJB Daily Readings'!EO12-'DJB Daily Readings'!EO11</f>
        <v>810</v>
      </c>
      <c r="BG4" s="78">
        <f>('DJB Daily Readings'!ET12-'DJB Daily Readings'!ET11)*1.89</f>
        <v>32.129999999999995</v>
      </c>
      <c r="BH4" s="78">
        <f>('DJB Daily Readings'!EV12-'DJB Daily Readings'!EV11)*1.89</f>
        <v>24.57</v>
      </c>
      <c r="BI4" s="78">
        <f>('DJB Daily Readings'!EZ12-'DJB Daily Readings'!EZ11)*1.89</f>
        <v>30.24</v>
      </c>
      <c r="BJ4" s="78">
        <f>('DJB Daily Readings'!EX12-'DJB Daily Readings'!EX11)*1.89</f>
        <v>24.57</v>
      </c>
      <c r="BK4" s="78">
        <f>('DJB Daily Readings'!FB12-'DJB Daily Readings'!FB11)*1.89</f>
        <v>60.48</v>
      </c>
      <c r="BL4" s="78">
        <f>'DJB Daily Readings'!J12</f>
        <v>356</v>
      </c>
      <c r="BM4" s="78">
        <f>'DJB Daily Readings'!FF12</f>
        <v>152.29499999999825</v>
      </c>
      <c r="BN4" s="78">
        <f>'DJB Daily Readings'!FH12</f>
        <v>0</v>
      </c>
      <c r="BO4" s="78">
        <f>'DJB Daily Readings'!FJ12</f>
        <v>6</v>
      </c>
      <c r="BP4" s="78">
        <f>'DJB Daily Readings'!FL12</f>
        <v>5</v>
      </c>
      <c r="BQ4" s="78">
        <f>'DJB Daily Readings'!FN12</f>
        <v>3</v>
      </c>
      <c r="BR4" s="276">
        <f>'DJB Daily Readings'!FP12</f>
        <v>4.9999999999982947E-2</v>
      </c>
      <c r="BS4" s="78">
        <f>'DJB Daily Readings'!FR12</f>
        <v>161.10000000003492</v>
      </c>
    </row>
    <row r="5" spans="1:72" x14ac:dyDescent="0.25">
      <c r="A5" t="s">
        <v>14</v>
      </c>
      <c r="B5">
        <f t="shared" si="0"/>
        <v>4</v>
      </c>
      <c r="C5">
        <v>3</v>
      </c>
      <c r="D5">
        <v>2023</v>
      </c>
      <c r="E5" s="74">
        <f>237*0.91</f>
        <v>215.67000000000002</v>
      </c>
      <c r="F5" s="75">
        <f>354+47</f>
        <v>401</v>
      </c>
      <c r="G5" s="3">
        <f>'DJB Daily Readings'!C13-'DJB Daily Readings'!C12</f>
        <v>739</v>
      </c>
      <c r="H5" s="3">
        <f>'DJB Daily Readings'!F13-'DJB Daily Readings'!F12</f>
        <v>618</v>
      </c>
      <c r="I5" s="3">
        <f>'DJB Daily Readings'!L12</f>
        <v>276</v>
      </c>
      <c r="J5" s="3">
        <f>'DJB Daily Readings'!N12</f>
        <v>0</v>
      </c>
      <c r="K5" s="3">
        <f>'DJB Daily Readings'!O13-'DJB Daily Readings'!O12</f>
        <v>120</v>
      </c>
      <c r="L5" s="3">
        <f>'DJB Daily Readings'!R13-'DJB Daily Readings'!R12</f>
        <v>23</v>
      </c>
      <c r="M5" s="3">
        <f>'DJB Daily Readings'!U13-'DJB Daily Readings'!U12</f>
        <v>3410.4000000003725</v>
      </c>
      <c r="N5" s="3">
        <f>'DJB Daily Readings'!X13-'DJB Daily Readings'!X12</f>
        <v>3554.0799999982119</v>
      </c>
      <c r="O5" s="3">
        <f>'DJB Daily Readings'!AA13-'DJB Daily Readings'!AA12</f>
        <v>0</v>
      </c>
      <c r="P5" s="3">
        <f>'DJB Daily Readings'!AD13-'DJB Daily Readings'!AD12</f>
        <v>6813.3600000031292</v>
      </c>
      <c r="Q5" s="3">
        <f>'DJB Daily Readings'!AG13-'DJB Daily Readings'!AG12</f>
        <v>1315.4399999976158</v>
      </c>
      <c r="R5" s="3">
        <f>'DJB Daily Readings'!AJ13-'DJB Daily Readings'!AJ12</f>
        <v>6723.3600000031292</v>
      </c>
      <c r="S5" s="3">
        <f>'DJB Daily Readings'!AM13-'DJB Daily Readings'!AM12</f>
        <v>5018.160000000149</v>
      </c>
      <c r="T5" s="3">
        <f>'DJB Daily Readings'!AP13-'DJB Daily Readings'!AP12</f>
        <v>5748.9600000008941</v>
      </c>
      <c r="U5" s="3">
        <f>'DJB Daily Readings'!AS13-'DJB Daily Readings'!AS12</f>
        <v>3848.8799999989569</v>
      </c>
      <c r="V5" s="3">
        <f>'DJB Daily Readings'!AV13-'DJB Daily Readings'!AV12</f>
        <v>7210.5599999986589</v>
      </c>
      <c r="W5" s="3">
        <f>'DJB Daily Readings'!AZ13-'DJB Daily Readings'!AZ12</f>
        <v>0</v>
      </c>
      <c r="X5" s="3">
        <f>'DJB Daily Readings'!BC13-'DJB Daily Readings'!BC12</f>
        <v>59700</v>
      </c>
      <c r="Y5" s="3">
        <f>'DJB Daily Readings'!BF13-'DJB Daily Readings'!BF12</f>
        <v>0</v>
      </c>
      <c r="Z5" s="3">
        <f>('DJB Daily Readings'!CK13-'DJB Daily Readings'!CK12)*1.89</f>
        <v>179.54999999999998</v>
      </c>
      <c r="AA5" s="3">
        <f>('DJB Daily Readings'!CN13-'DJB Daily Readings'!CN12)*1.89</f>
        <v>260.82</v>
      </c>
      <c r="AB5" s="3">
        <f>('DJB Daily Readings'!CQ13-'DJB Daily Readings'!CQ12)*1.89</f>
        <v>427.14</v>
      </c>
      <c r="AC5" s="3">
        <f>'DJB Daily Readings'!CT13-'DJB Daily Readings'!CT12</f>
        <v>213</v>
      </c>
      <c r="AD5" s="80">
        <f>('DJB Daily Readings'!BY13-'DJB Daily Readings'!BY12)*1.89</f>
        <v>39.69</v>
      </c>
      <c r="AE5" s="80">
        <f>('DJB Daily Readings'!CA13-'DJB Daily Readings'!CA12)*1.89</f>
        <v>43.47</v>
      </c>
      <c r="AF5" s="80">
        <f>('DJB Daily Readings'!CC13-'DJB Daily Readings'!CC12)*1.89</f>
        <v>18.899999999999999</v>
      </c>
      <c r="AG5" s="80">
        <f>('DJB Daily Readings'!CE13-'DJB Daily Readings'!CE12)*1.89</f>
        <v>24.57</v>
      </c>
      <c r="AH5" s="80">
        <f>('DJB Daily Readings'!CG13-'DJB Daily Readings'!CG12)*1.89</f>
        <v>37.799999999999997</v>
      </c>
      <c r="AI5" s="80">
        <f>('DJB Daily Readings'!CI13-'DJB Daily Readings'!CI12)*1.89</f>
        <v>88.83</v>
      </c>
      <c r="AJ5" s="77">
        <f>'DJB Daily Readings'!CY13-'DJB Daily Readings'!CY12</f>
        <v>9</v>
      </c>
      <c r="AK5" s="77">
        <f>'DJB Daily Readings'!CW13-'DJB Daily Readings'!CW12</f>
        <v>10</v>
      </c>
      <c r="AL5" s="78">
        <f>'DJB Daily Readings'!DC13-'DJB Daily Readings'!DC12</f>
        <v>14</v>
      </c>
      <c r="AM5" s="78">
        <f>'DJB Daily Readings'!DA13-'DJB Daily Readings'!DA12</f>
        <v>27</v>
      </c>
      <c r="AN5" s="78">
        <f>'DJB Daily Readings'!DG13-'DJB Daily Readings'!DG12</f>
        <v>5</v>
      </c>
      <c r="AO5" s="78">
        <f>'DJB Daily Readings'!DE13-'DJB Daily Readings'!DE12</f>
        <v>11</v>
      </c>
      <c r="AP5" s="78">
        <f>'DJB Daily Readings'!DK13-'DJB Daily Readings'!DK12</f>
        <v>8</v>
      </c>
      <c r="AQ5" s="78">
        <f>'DJB Daily Readings'!DI13-'DJB Daily Readings'!DI12</f>
        <v>11</v>
      </c>
      <c r="AR5" s="78">
        <f>'DJB Daily Readings'!DO13-'DJB Daily Readings'!DO12</f>
        <v>13</v>
      </c>
      <c r="AS5" s="78">
        <f>'DJB Daily Readings'!DM13-'DJB Daily Readings'!DM12</f>
        <v>6</v>
      </c>
      <c r="AT5" s="78">
        <f>'DJB Daily Readings'!DQ13-'DJB Daily Readings'!DQ12</f>
        <v>7</v>
      </c>
      <c r="AU5" s="78">
        <f>('DJB Daily Readings'!DT13-'DJB Daily Readings'!DT12)*100</f>
        <v>1320.0000000000728</v>
      </c>
      <c r="AV5" s="78">
        <f>('DJB Daily Readings'!DV13-'DJB Daily Readings'!DV12)*100</f>
        <v>1060.0000000000364</v>
      </c>
      <c r="AW5" s="78">
        <f>('DJB Daily Readings'!DX13-'DJB Daily Readings'!DX12)*100</f>
        <v>789.99999999996362</v>
      </c>
      <c r="AX5" s="78">
        <f>('DJB Daily Readings'!DZ13-'DJB Daily Readings'!DZ12)*100</f>
        <v>980.00000000001819</v>
      </c>
      <c r="AY5" s="78">
        <f>'DJB Daily Readings'!EB13-'DJB Daily Readings'!EB12</f>
        <v>765</v>
      </c>
      <c r="AZ5" s="78">
        <f>'DJB Daily Readings'!ED13-'DJB Daily Readings'!ED12</f>
        <v>181.60000000000582</v>
      </c>
      <c r="BA5" s="78">
        <f>'DJB Daily Readings'!EG13-'DJB Daily Readings'!EG12</f>
        <v>5900</v>
      </c>
      <c r="BB5" s="78">
        <f>'DJB Daily Readings'!EI13-'DJB Daily Readings'!EI12</f>
        <v>380</v>
      </c>
      <c r="BC5" s="78">
        <f>'DJB Daily Readings'!EQ13-'DJB Daily Readings'!EQ12</f>
        <v>7000</v>
      </c>
      <c r="BD5" s="78">
        <f>'DJB Daily Readings'!EK13-'DJB Daily Readings'!EK12</f>
        <v>1700</v>
      </c>
      <c r="BE5" s="78">
        <f>'DJB Daily Readings'!EM13-'DJB Daily Readings'!EM12</f>
        <v>800</v>
      </c>
      <c r="BF5" s="78">
        <f>'DJB Daily Readings'!EO13-'DJB Daily Readings'!EO12</f>
        <v>870</v>
      </c>
      <c r="BG5" s="78">
        <f>('DJB Daily Readings'!ET13-'DJB Daily Readings'!ET12)*1.89</f>
        <v>37.799999999999997</v>
      </c>
      <c r="BH5" s="78">
        <f>('DJB Daily Readings'!EV13-'DJB Daily Readings'!EV12)*1.89</f>
        <v>28.349999999999998</v>
      </c>
      <c r="BI5" s="78">
        <f>('DJB Daily Readings'!EZ13-'DJB Daily Readings'!EZ12)*1.89</f>
        <v>30.24</v>
      </c>
      <c r="BJ5" s="78">
        <f>('DJB Daily Readings'!EX13-'DJB Daily Readings'!EX12)*1.89</f>
        <v>32.129999999999995</v>
      </c>
      <c r="BK5" s="78">
        <f>('DJB Daily Readings'!FB13-'DJB Daily Readings'!FB12)*1.89</f>
        <v>85.05</v>
      </c>
      <c r="BL5" s="78">
        <f>'DJB Daily Readings'!J13</f>
        <v>328</v>
      </c>
      <c r="BM5" s="78">
        <f>'DJB Daily Readings'!FF13</f>
        <v>166.26000000000931</v>
      </c>
      <c r="BN5" s="78">
        <f>'DJB Daily Readings'!FH13</f>
        <v>0</v>
      </c>
      <c r="BO5" s="78">
        <f>'DJB Daily Readings'!FJ13</f>
        <v>5</v>
      </c>
      <c r="BP5" s="78">
        <f>'DJB Daily Readings'!FL13</f>
        <v>8</v>
      </c>
      <c r="BQ5" s="78">
        <f>'DJB Daily Readings'!FN13</f>
        <v>4</v>
      </c>
      <c r="BR5" s="276">
        <f>'DJB Daily Readings'!FP13</f>
        <v>0.67000000000001592</v>
      </c>
      <c r="BS5" s="78">
        <f>'DJB Daily Readings'!FR13</f>
        <v>257.09999999997672</v>
      </c>
      <c r="BT5" s="78"/>
    </row>
    <row r="6" spans="1:72" x14ac:dyDescent="0.25">
      <c r="A6" t="s">
        <v>14</v>
      </c>
      <c r="B6">
        <f t="shared" si="0"/>
        <v>5</v>
      </c>
      <c r="C6">
        <v>3</v>
      </c>
      <c r="D6">
        <v>2023</v>
      </c>
      <c r="E6" s="74">
        <f>237*0.85</f>
        <v>201.45</v>
      </c>
      <c r="F6" s="75">
        <f>328+36</f>
        <v>364</v>
      </c>
      <c r="G6" s="3">
        <f>'DJB Daily Readings'!C14-'DJB Daily Readings'!C13</f>
        <v>607</v>
      </c>
      <c r="H6" s="3">
        <f>'DJB Daily Readings'!F14-'DJB Daily Readings'!F13</f>
        <v>387</v>
      </c>
      <c r="I6" s="3">
        <f>'DJB Daily Readings'!L13</f>
        <v>265</v>
      </c>
      <c r="J6" s="3">
        <f>'DJB Daily Readings'!N13</f>
        <v>0</v>
      </c>
      <c r="K6" s="3">
        <f>'DJB Daily Readings'!O14-'DJB Daily Readings'!O13</f>
        <v>104</v>
      </c>
      <c r="L6" s="3">
        <f>'DJB Daily Readings'!R14-'DJB Daily Readings'!R13</f>
        <v>15</v>
      </c>
      <c r="M6" s="3">
        <f>'DJB Daily Readings'!U14-'DJB Daily Readings'!U13</f>
        <v>3046.2400000002235</v>
      </c>
      <c r="N6" s="3">
        <f>'DJB Daily Readings'!X14-'DJB Daily Readings'!X13</f>
        <v>4507.8400000017136</v>
      </c>
      <c r="O6" s="3">
        <f>'DJB Daily Readings'!AA14-'DJB Daily Readings'!AA13</f>
        <v>0</v>
      </c>
      <c r="P6" s="3">
        <f>'DJB Daily Readings'!AD14-'DJB Daily Readings'!AD13</f>
        <v>13600.320000000298</v>
      </c>
      <c r="Q6" s="3">
        <f>'DJB Daily Readings'!AG14-'DJB Daily Readings'!AG13</f>
        <v>535.92000000551343</v>
      </c>
      <c r="R6" s="3">
        <f>'DJB Daily Readings'!AJ14-'DJB Daily Readings'!AJ13</f>
        <v>4238.6399999968708</v>
      </c>
      <c r="S6" s="3">
        <f>'DJB Daily Readings'!AM14-'DJB Daily Readings'!AM13</f>
        <v>3069.359999999404</v>
      </c>
      <c r="T6" s="3">
        <f>'DJB Daily Readings'!AP14-'DJB Daily Readings'!AP13</f>
        <v>3264.2400000002235</v>
      </c>
      <c r="U6" s="3">
        <f>'DJB Daily Readings'!AS14-'DJB Daily Readings'!AS13</f>
        <v>2338.5600000005215</v>
      </c>
      <c r="V6" s="3">
        <f>'DJB Daily Readings'!AV14-'DJB Daily Readings'!AV13</f>
        <v>4336.0799999982119</v>
      </c>
      <c r="W6" s="3">
        <f>'DJB Daily Readings'!AZ14-'DJB Daily Readings'!AZ13</f>
        <v>0</v>
      </c>
      <c r="X6" s="3">
        <f>'DJB Daily Readings'!BC14-'DJB Daily Readings'!BC13</f>
        <v>55500</v>
      </c>
      <c r="Y6" s="3">
        <f>'DJB Daily Readings'!BF14-'DJB Daily Readings'!BF13</f>
        <v>0</v>
      </c>
      <c r="Z6" s="3">
        <f>('DJB Daily Readings'!CK14-'DJB Daily Readings'!CK13)*1.89</f>
        <v>122.85</v>
      </c>
      <c r="AA6" s="3">
        <f>('DJB Daily Readings'!CN14-'DJB Daily Readings'!CN13)*1.89</f>
        <v>170.1</v>
      </c>
      <c r="AB6" s="3">
        <f>('DJB Daily Readings'!CQ14-'DJB Daily Readings'!CQ13)*1.89</f>
        <v>251.36999999999998</v>
      </c>
      <c r="AC6" s="3">
        <f>'DJB Daily Readings'!CT14-'DJB Daily Readings'!CT13</f>
        <v>144</v>
      </c>
      <c r="AD6" s="80">
        <f>('DJB Daily Readings'!BY14-'DJB Daily Readings'!BY13)*1.89</f>
        <v>24.57</v>
      </c>
      <c r="AE6" s="80">
        <f>('DJB Daily Readings'!CA14-'DJB Daily Readings'!CA13)*1.89</f>
        <v>30.24</v>
      </c>
      <c r="AF6" s="80">
        <f>('DJB Daily Readings'!CC14-'DJB Daily Readings'!CC13)*1.89</f>
        <v>11.34</v>
      </c>
      <c r="AG6" s="80">
        <f>('DJB Daily Readings'!CE14-'DJB Daily Readings'!CE13)*1.89</f>
        <v>13.229999999999999</v>
      </c>
      <c r="AH6" s="80">
        <f>('DJB Daily Readings'!CG14-'DJB Daily Readings'!CG13)*1.89</f>
        <v>18.899999999999999</v>
      </c>
      <c r="AI6" s="80">
        <f>('DJB Daily Readings'!CI14-'DJB Daily Readings'!CI13)*1.89</f>
        <v>56.699999999999996</v>
      </c>
      <c r="AJ6" s="77">
        <f>'DJB Daily Readings'!CY14-'DJB Daily Readings'!CY13</f>
        <v>3</v>
      </c>
      <c r="AK6" s="77">
        <f>'DJB Daily Readings'!CW14-'DJB Daily Readings'!CW13</f>
        <v>3</v>
      </c>
      <c r="AL6" s="78">
        <f>'DJB Daily Readings'!DC14-'DJB Daily Readings'!DC13</f>
        <v>11</v>
      </c>
      <c r="AM6" s="78">
        <f>'DJB Daily Readings'!DA14-'DJB Daily Readings'!DA13</f>
        <v>13</v>
      </c>
      <c r="AN6" s="78">
        <f>'DJB Daily Readings'!DG14-'DJB Daily Readings'!DG13</f>
        <v>5</v>
      </c>
      <c r="AO6" s="78">
        <f>'DJB Daily Readings'!DE14-'DJB Daily Readings'!DE13</f>
        <v>7</v>
      </c>
      <c r="AP6" s="78">
        <f>'DJB Daily Readings'!DK14-'DJB Daily Readings'!DK13</f>
        <v>21</v>
      </c>
      <c r="AQ6" s="78">
        <f>'DJB Daily Readings'!DI14-'DJB Daily Readings'!DI13</f>
        <v>7</v>
      </c>
      <c r="AR6" s="78">
        <f>'DJB Daily Readings'!DO14-'DJB Daily Readings'!DO13</f>
        <v>6</v>
      </c>
      <c r="AS6" s="78">
        <f>'DJB Daily Readings'!DM14-'DJB Daily Readings'!DM13</f>
        <v>4</v>
      </c>
      <c r="AT6" s="78">
        <f>'DJB Daily Readings'!DQ14-'DJB Daily Readings'!DQ13</f>
        <v>6</v>
      </c>
      <c r="AU6" s="78">
        <f>('DJB Daily Readings'!DT14-'DJB Daily Readings'!DT13)*100</f>
        <v>829.99999999992724</v>
      </c>
      <c r="AV6" s="78">
        <f>('DJB Daily Readings'!DV14-'DJB Daily Readings'!DV13)*100</f>
        <v>660.00000000003638</v>
      </c>
      <c r="AW6" s="78">
        <f>('DJB Daily Readings'!DX14-'DJB Daily Readings'!DX13)*100</f>
        <v>490.00000000005457</v>
      </c>
      <c r="AX6" s="78">
        <f>('DJB Daily Readings'!DZ14-'DJB Daily Readings'!DZ13)*100</f>
        <v>619.99999999998181</v>
      </c>
      <c r="AY6" s="78">
        <f>'DJB Daily Readings'!EB14-'DJB Daily Readings'!EB13</f>
        <v>496</v>
      </c>
      <c r="AZ6" s="78">
        <f>'DJB Daily Readings'!ED14-'DJB Daily Readings'!ED13</f>
        <v>120.10000000000582</v>
      </c>
      <c r="BA6" s="78">
        <f>'DJB Daily Readings'!EG14-'DJB Daily Readings'!EG13</f>
        <v>2600</v>
      </c>
      <c r="BB6" s="78">
        <f>'DJB Daily Readings'!EI14-'DJB Daily Readings'!EI13</f>
        <v>200</v>
      </c>
      <c r="BC6" s="78">
        <f>'DJB Daily Readings'!EQ14-'DJB Daily Readings'!EQ13</f>
        <v>3000</v>
      </c>
      <c r="BD6" s="78">
        <f>'DJB Daily Readings'!EK14-'DJB Daily Readings'!EK13</f>
        <v>500</v>
      </c>
      <c r="BE6" s="78">
        <f>'DJB Daily Readings'!EM14-'DJB Daily Readings'!EM13</f>
        <v>500</v>
      </c>
      <c r="BF6" s="78">
        <f>'DJB Daily Readings'!EO14-'DJB Daily Readings'!EO13</f>
        <v>430</v>
      </c>
      <c r="BG6" s="78">
        <f>('DJB Daily Readings'!ET14-'DJB Daily Readings'!ET13)*1.89</f>
        <v>20.79</v>
      </c>
      <c r="BH6" s="78">
        <f>('DJB Daily Readings'!EV14-'DJB Daily Readings'!EV13)*1.89</f>
        <v>17.009999999999998</v>
      </c>
      <c r="BI6" s="78">
        <f>('DJB Daily Readings'!EZ14-'DJB Daily Readings'!EZ13)*1.89</f>
        <v>24.57</v>
      </c>
      <c r="BJ6" s="78">
        <f>('DJB Daily Readings'!EX14-'DJB Daily Readings'!EX13)*1.89</f>
        <v>15.12</v>
      </c>
      <c r="BK6" s="78">
        <f>('DJB Daily Readings'!FB14-'DJB Daily Readings'!FB13)*1.89</f>
        <v>39.69</v>
      </c>
      <c r="BL6" s="78">
        <f>'DJB Daily Readings'!J14</f>
        <v>182</v>
      </c>
      <c r="BM6" s="78">
        <f>'DJB Daily Readings'!FF14</f>
        <v>117.1820000000007</v>
      </c>
      <c r="BN6" s="78">
        <f>'DJB Daily Readings'!FH14</f>
        <v>0</v>
      </c>
      <c r="BO6" s="78">
        <f>'DJB Daily Readings'!FJ14</f>
        <v>8</v>
      </c>
      <c r="BP6" s="78">
        <f>'DJB Daily Readings'!FL14</f>
        <v>4</v>
      </c>
      <c r="BQ6" s="78">
        <f>'DJB Daily Readings'!FN14</f>
        <v>4</v>
      </c>
      <c r="BR6" s="276">
        <f>'DJB Daily Readings'!FP14</f>
        <v>3.0000000000001137E-2</v>
      </c>
      <c r="BS6" s="78">
        <f>'DJB Daily Readings'!FR14</f>
        <v>108.29999999998836</v>
      </c>
    </row>
    <row r="7" spans="1:72" x14ac:dyDescent="0.25">
      <c r="A7" t="s">
        <v>14</v>
      </c>
      <c r="B7">
        <f t="shared" si="0"/>
        <v>6</v>
      </c>
      <c r="C7">
        <v>3</v>
      </c>
      <c r="D7">
        <v>2023</v>
      </c>
      <c r="E7" s="74">
        <f>237*0.89</f>
        <v>210.93</v>
      </c>
      <c r="F7" s="75">
        <f>319+35</f>
        <v>354</v>
      </c>
      <c r="G7" s="3">
        <f>'DJB Daily Readings'!C15-'DJB Daily Readings'!C14</f>
        <v>608</v>
      </c>
      <c r="H7" s="3">
        <f>'DJB Daily Readings'!F15-'DJB Daily Readings'!F14</f>
        <v>504</v>
      </c>
      <c r="I7" s="3">
        <f>'DJB Daily Readings'!L14</f>
        <v>210</v>
      </c>
      <c r="J7" s="3">
        <f>'DJB Daily Readings'!N14</f>
        <v>0</v>
      </c>
      <c r="K7" s="3">
        <f>'DJB Daily Readings'!O15-'DJB Daily Readings'!O14</f>
        <v>103</v>
      </c>
      <c r="L7" s="3">
        <f>'DJB Daily Readings'!R15-'DJB Daily Readings'!R14</f>
        <v>13</v>
      </c>
      <c r="M7" s="3">
        <f>'DJB Daily Readings'!U15-'DJB Daily Readings'!U14</f>
        <v>2215.519999999553</v>
      </c>
      <c r="N7" s="3">
        <f>'DJB Daily Readings'!X15-'DJB Daily Readings'!X14</f>
        <v>4456.6399999987334</v>
      </c>
      <c r="O7" s="3">
        <f>'DJB Daily Readings'!AA15-'DJB Daily Readings'!AA14</f>
        <v>194.87999999895692</v>
      </c>
      <c r="P7" s="3">
        <f>'DJB Daily Readings'!AD15-'DJB Daily Readings'!AD14</f>
        <v>7792.7199999988079</v>
      </c>
      <c r="Q7" s="3">
        <f>'DJB Daily Readings'!AG15-'DJB Daily Readings'!AG14</f>
        <v>2143.6799999959767</v>
      </c>
      <c r="R7" s="3">
        <f>'DJB Daily Readings'!AJ15-'DJB Daily Readings'!AJ14</f>
        <v>6577.2000000029802</v>
      </c>
      <c r="S7" s="3">
        <f>'DJB Daily Readings'!AM15-'DJB Daily Readings'!AM14</f>
        <v>4628.4000000003725</v>
      </c>
      <c r="T7" s="3">
        <f>'DJB Daily Readings'!AP15-'DJB Daily Readings'!AP14</f>
        <v>4969.4399999994785</v>
      </c>
      <c r="U7" s="3">
        <f>'DJB Daily Readings'!AS15-'DJB Daily Readings'!AS14</f>
        <v>3605.2799999993294</v>
      </c>
      <c r="V7" s="3">
        <f>'DJB Daily Readings'!AV15-'DJB Daily Readings'!AV14</f>
        <v>6187.4400000013411</v>
      </c>
      <c r="W7" s="3">
        <f>'DJB Daily Readings'!AZ15-'DJB Daily Readings'!AZ14</f>
        <v>0</v>
      </c>
      <c r="X7" s="3">
        <f>'DJB Daily Readings'!BC15-'DJB Daily Readings'!BC14</f>
        <v>53200</v>
      </c>
      <c r="Y7" s="3">
        <f>'DJB Daily Readings'!BF15-'DJB Daily Readings'!BF14</f>
        <v>0</v>
      </c>
      <c r="Z7" s="3">
        <f>('DJB Daily Readings'!CK15-'DJB Daily Readings'!CK14)*1.89</f>
        <v>175.76999999999998</v>
      </c>
      <c r="AA7" s="3">
        <f>('DJB Daily Readings'!CN15-'DJB Daily Readings'!CN14)*1.89</f>
        <v>232.47</v>
      </c>
      <c r="AB7" s="3">
        <f>('DJB Daily Readings'!CQ15-'DJB Daily Readings'!CQ14)*1.89</f>
        <v>351.53999999999996</v>
      </c>
      <c r="AC7" s="3">
        <f>'DJB Daily Readings'!CT15-'DJB Daily Readings'!CT14</f>
        <v>207</v>
      </c>
      <c r="AD7" s="80">
        <f>('DJB Daily Readings'!BY15-'DJB Daily Readings'!BY14)*1.89</f>
        <v>39.69</v>
      </c>
      <c r="AE7" s="80">
        <f>('DJB Daily Readings'!CA15-'DJB Daily Readings'!CA14)*1.89</f>
        <v>43.47</v>
      </c>
      <c r="AF7" s="80">
        <f>('DJB Daily Readings'!CC15-'DJB Daily Readings'!CC14)*1.89</f>
        <v>18.899999999999999</v>
      </c>
      <c r="AG7" s="80">
        <f>('DJB Daily Readings'!CE15-'DJB Daily Readings'!CE14)*1.89</f>
        <v>18.899999999999999</v>
      </c>
      <c r="AH7" s="80">
        <f>('DJB Daily Readings'!CG15-'DJB Daily Readings'!CG14)*1.89</f>
        <v>37.799999999999997</v>
      </c>
      <c r="AI7" s="80">
        <f>('DJB Daily Readings'!CI15-'DJB Daily Readings'!CI14)*1.89</f>
        <v>79.38</v>
      </c>
      <c r="AJ7" s="77">
        <f>'DJB Daily Readings'!CY15-'DJB Daily Readings'!CY14</f>
        <v>5</v>
      </c>
      <c r="AK7" s="77">
        <f>'DJB Daily Readings'!CW15-'DJB Daily Readings'!CW14</f>
        <v>6</v>
      </c>
      <c r="AL7" s="78">
        <f>'DJB Daily Readings'!DC15-'DJB Daily Readings'!DC14</f>
        <v>16</v>
      </c>
      <c r="AM7" s="78">
        <f>'DJB Daily Readings'!DA15-'DJB Daily Readings'!DA14</f>
        <v>19</v>
      </c>
      <c r="AN7" s="78">
        <f>'DJB Daily Readings'!DG15-'DJB Daily Readings'!DG14</f>
        <v>5</v>
      </c>
      <c r="AO7" s="78">
        <f>'DJB Daily Readings'!DE15-'DJB Daily Readings'!DE14</f>
        <v>9</v>
      </c>
      <c r="AP7" s="78">
        <f>'DJB Daily Readings'!DK15-'DJB Daily Readings'!DK14</f>
        <v>5</v>
      </c>
      <c r="AQ7" s="78">
        <f>'DJB Daily Readings'!DI15-'DJB Daily Readings'!DI14</f>
        <v>9</v>
      </c>
      <c r="AR7" s="78">
        <f>'DJB Daily Readings'!DO15-'DJB Daily Readings'!DO14</f>
        <v>9</v>
      </c>
      <c r="AS7" s="78">
        <f>'DJB Daily Readings'!DM15-'DJB Daily Readings'!DM14</f>
        <v>4</v>
      </c>
      <c r="AT7" s="78">
        <f>'DJB Daily Readings'!DQ15-'DJB Daily Readings'!DQ14</f>
        <v>6</v>
      </c>
      <c r="AU7" s="78">
        <f>('DJB Daily Readings'!DT15-'DJB Daily Readings'!DT14)*100</f>
        <v>1190.0000000000546</v>
      </c>
      <c r="AV7" s="78">
        <f>('DJB Daily Readings'!DV15-'DJB Daily Readings'!DV14)*100</f>
        <v>810.00000000003638</v>
      </c>
      <c r="AW7" s="78">
        <f>('DJB Daily Readings'!DX15-'DJB Daily Readings'!DX14)*100</f>
        <v>719.99999999998181</v>
      </c>
      <c r="AX7" s="78">
        <f>('DJB Daily Readings'!DZ15-'DJB Daily Readings'!DZ14)*100</f>
        <v>689.99999999996362</v>
      </c>
      <c r="AY7" s="78">
        <f>'DJB Daily Readings'!EB15-'DJB Daily Readings'!EB14</f>
        <v>672</v>
      </c>
      <c r="AZ7" s="78">
        <f>'DJB Daily Readings'!ED15-'DJB Daily Readings'!ED14</f>
        <v>176.09999999997672</v>
      </c>
      <c r="BA7" s="78">
        <f>'DJB Daily Readings'!EG15-'DJB Daily Readings'!EG14</f>
        <v>4600</v>
      </c>
      <c r="BB7" s="78">
        <f>'DJB Daily Readings'!EI15-'DJB Daily Readings'!EI14</f>
        <v>310</v>
      </c>
      <c r="BC7" s="78">
        <f>'DJB Daily Readings'!EQ15-'DJB Daily Readings'!EQ14</f>
        <v>5400</v>
      </c>
      <c r="BD7" s="78">
        <f>'DJB Daily Readings'!EK15-'DJB Daily Readings'!EK14</f>
        <v>1200</v>
      </c>
      <c r="BE7" s="78">
        <f>'DJB Daily Readings'!EM15-'DJB Daily Readings'!EM14</f>
        <v>600</v>
      </c>
      <c r="BF7" s="78">
        <f>'DJB Daily Readings'!EO15-'DJB Daily Readings'!EO14</f>
        <v>720</v>
      </c>
      <c r="BG7" s="78">
        <f>('DJB Daily Readings'!ET15-'DJB Daily Readings'!ET14)*1.89</f>
        <v>39.69</v>
      </c>
      <c r="BH7" s="78">
        <f>('DJB Daily Readings'!EV15-'DJB Daily Readings'!EV14)*1.89</f>
        <v>24.57</v>
      </c>
      <c r="BI7" s="78">
        <f>('DJB Daily Readings'!EZ15-'DJB Daily Readings'!EZ14)*1.89</f>
        <v>24.57</v>
      </c>
      <c r="BJ7" s="78">
        <f>('DJB Daily Readings'!EX15-'DJB Daily Readings'!EX14)*1.89</f>
        <v>15.12</v>
      </c>
      <c r="BK7" s="78">
        <f>('DJB Daily Readings'!FB15-'DJB Daily Readings'!FB14)*1.89</f>
        <v>68.039999999999992</v>
      </c>
      <c r="BL7" s="78">
        <f>'DJB Daily Readings'!J15</f>
        <v>285</v>
      </c>
      <c r="BM7" s="78">
        <f>'DJB Daily Readings'!FF15</f>
        <v>162.1310999999987</v>
      </c>
      <c r="BN7" s="78">
        <f>'DJB Daily Readings'!FH15</f>
        <v>10</v>
      </c>
      <c r="BO7" s="78">
        <f>'DJB Daily Readings'!FJ15</f>
        <v>7</v>
      </c>
      <c r="BP7" s="78">
        <f>'DJB Daily Readings'!FL15</f>
        <v>4</v>
      </c>
      <c r="BQ7" s="78">
        <f>'DJB Daily Readings'!FN15</f>
        <v>3</v>
      </c>
      <c r="BR7" s="276">
        <f>'DJB Daily Readings'!FP15</f>
        <v>1.2319999999999993</v>
      </c>
      <c r="BS7" s="78">
        <f>'DJB Daily Readings'!FR15</f>
        <v>250</v>
      </c>
    </row>
    <row r="8" spans="1:72" x14ac:dyDescent="0.25">
      <c r="A8" t="s">
        <v>14</v>
      </c>
      <c r="B8">
        <f t="shared" si="0"/>
        <v>7</v>
      </c>
      <c r="C8">
        <v>3</v>
      </c>
      <c r="D8">
        <v>2023</v>
      </c>
      <c r="E8" s="74">
        <f>237*0.91</f>
        <v>215.67000000000002</v>
      </c>
      <c r="F8" s="75">
        <f>339+38</f>
        <v>377</v>
      </c>
      <c r="G8" s="3">
        <f>'DJB Daily Readings'!C16-'DJB Daily Readings'!C15</f>
        <v>618</v>
      </c>
      <c r="H8" s="3">
        <f>'DJB Daily Readings'!F16-'DJB Daily Readings'!F15</f>
        <v>390</v>
      </c>
      <c r="I8" s="3">
        <f>'DJB Daily Readings'!L15</f>
        <v>255</v>
      </c>
      <c r="J8" s="3">
        <f>'DJB Daily Readings'!N15</f>
        <v>0</v>
      </c>
      <c r="K8" s="3">
        <f>'DJB Daily Readings'!O16-'DJB Daily Readings'!O15</f>
        <v>103</v>
      </c>
      <c r="L8" s="3">
        <f>'DJB Daily Readings'!R16-'DJB Daily Readings'!R15</f>
        <v>16</v>
      </c>
      <c r="M8" s="3">
        <f>'DJB Daily Readings'!U16-'DJB Daily Readings'!U15</f>
        <v>2143.6800000006333</v>
      </c>
      <c r="N8" s="3">
        <f>'DJB Daily Readings'!X16-'DJB Daily Readings'!X15</f>
        <v>3800.160000000149</v>
      </c>
      <c r="O8" s="3">
        <f>'DJB Daily Readings'!AA16-'DJB Daily Readings'!AA15</f>
        <v>8574.7200000006706</v>
      </c>
      <c r="P8" s="3">
        <f>'DJB Daily Readings'!AD16-'DJB Daily Readings'!AD15</f>
        <v>48.719999998807907</v>
      </c>
      <c r="Q8" s="3">
        <f>'DJB Daily Readings'!AG16-'DJB Daily Readings'!AG15</f>
        <v>682.08000000193715</v>
      </c>
      <c r="R8" s="3">
        <f>'DJB Daily Readings'!AJ16-'DJB Daily Readings'!AJ15</f>
        <v>4384.7999999970198</v>
      </c>
      <c r="S8" s="3">
        <f>'DJB Daily Readings'!AM16-'DJB Daily Readings'!AM15</f>
        <v>3069.359999999404</v>
      </c>
      <c r="T8" s="3">
        <f>'DJB Daily Readings'!AP16-'DJB Daily Readings'!AP15</f>
        <v>3312.9600000008941</v>
      </c>
      <c r="U8" s="3">
        <f>'DJB Daily Readings'!AS16-'DJB Daily Readings'!AS15</f>
        <v>2387.2800000011921</v>
      </c>
      <c r="V8" s="3">
        <f>'DJB Daily Readings'!AV16-'DJB Daily Readings'!AV15</f>
        <v>4579.679999999702</v>
      </c>
      <c r="W8" s="3">
        <f>'DJB Daily Readings'!AZ16-'DJB Daily Readings'!AZ15</f>
        <v>46000</v>
      </c>
      <c r="X8" s="3">
        <f>'DJB Daily Readings'!BC16-'DJB Daily Readings'!BC15</f>
        <v>2300</v>
      </c>
      <c r="Y8" s="3">
        <f>'DJB Daily Readings'!BF16-'DJB Daily Readings'!BF15</f>
        <v>6300</v>
      </c>
      <c r="Z8" s="3">
        <f>('DJB Daily Readings'!CK16-'DJB Daily Readings'!CK15)*1.89</f>
        <v>124.74</v>
      </c>
      <c r="AA8" s="3">
        <f>('DJB Daily Readings'!CN16-'DJB Daily Readings'!CN15)*1.89</f>
        <v>168.20999999999998</v>
      </c>
      <c r="AB8" s="3">
        <f>('DJB Daily Readings'!CQ16-'DJB Daily Readings'!CQ15)*1.89</f>
        <v>211.67999999999998</v>
      </c>
      <c r="AC8" s="3">
        <f>'DJB Daily Readings'!CT16-'DJB Daily Readings'!CT15</f>
        <v>147</v>
      </c>
      <c r="AD8" s="80">
        <f>('DJB Daily Readings'!BY16-'DJB Daily Readings'!BY15)*1.89</f>
        <v>30.24</v>
      </c>
      <c r="AE8" s="80">
        <f>('DJB Daily Readings'!CA16-'DJB Daily Readings'!CA15)*1.89</f>
        <v>35.909999999999997</v>
      </c>
      <c r="AF8" s="80">
        <f>('DJB Daily Readings'!CC16-'DJB Daily Readings'!CC15)*1.89</f>
        <v>11.34</v>
      </c>
      <c r="AG8" s="80">
        <f>('DJB Daily Readings'!CE16-'DJB Daily Readings'!CE15)*1.89</f>
        <v>15.12</v>
      </c>
      <c r="AH8" s="80">
        <f>('DJB Daily Readings'!CG16-'DJB Daily Readings'!CG15)*1.89</f>
        <v>18.899999999999999</v>
      </c>
      <c r="AI8" s="80">
        <f>('DJB Daily Readings'!CI16-'DJB Daily Readings'!CI15)*1.89</f>
        <v>54.809999999999995</v>
      </c>
      <c r="AJ8" s="77">
        <f>'DJB Daily Readings'!CY16-'DJB Daily Readings'!CY15</f>
        <v>8</v>
      </c>
      <c r="AK8" s="77">
        <f>'DJB Daily Readings'!CW16-'DJB Daily Readings'!CW15</f>
        <v>8</v>
      </c>
      <c r="AL8" s="78">
        <f>'DJB Daily Readings'!DC16-'DJB Daily Readings'!DC15</f>
        <v>14</v>
      </c>
      <c r="AM8" s="78">
        <f>'DJB Daily Readings'!DA16-'DJB Daily Readings'!DA15</f>
        <v>16</v>
      </c>
      <c r="AN8" s="78">
        <f>'DJB Daily Readings'!DG16-'DJB Daily Readings'!DG15</f>
        <v>5</v>
      </c>
      <c r="AO8" s="78">
        <f>'DJB Daily Readings'!DE16-'DJB Daily Readings'!DE15</f>
        <v>6</v>
      </c>
      <c r="AP8" s="78">
        <f>'DJB Daily Readings'!DK16-'DJB Daily Readings'!DK15</f>
        <v>7</v>
      </c>
      <c r="AQ8" s="78">
        <f>'DJB Daily Readings'!DI16-'DJB Daily Readings'!DI15</f>
        <v>8</v>
      </c>
      <c r="AR8" s="78">
        <f>'DJB Daily Readings'!DO16-'DJB Daily Readings'!DO15</f>
        <v>7</v>
      </c>
      <c r="AS8" s="78">
        <f>'DJB Daily Readings'!DM16-'DJB Daily Readings'!DM15</f>
        <v>4</v>
      </c>
      <c r="AT8" s="78">
        <f>'DJB Daily Readings'!DQ16-'DJB Daily Readings'!DQ15</f>
        <v>7</v>
      </c>
      <c r="AU8" s="78">
        <f>('DJB Daily Readings'!DT16-'DJB Daily Readings'!DT15)*100</f>
        <v>839.99999999996362</v>
      </c>
      <c r="AV8" s="78">
        <f>('DJB Daily Readings'!DV16-'DJB Daily Readings'!DV15)*100</f>
        <v>800</v>
      </c>
      <c r="AW8" s="78">
        <f>('DJB Daily Readings'!DX16-'DJB Daily Readings'!DX15)*100</f>
        <v>500</v>
      </c>
      <c r="AX8" s="78">
        <f>('DJB Daily Readings'!DZ16-'DJB Daily Readings'!DZ15)*100</f>
        <v>590.00000000005457</v>
      </c>
      <c r="AY8" s="78">
        <f>'DJB Daily Readings'!EB16-'DJB Daily Readings'!EB15</f>
        <v>465</v>
      </c>
      <c r="AZ8" s="78">
        <f>'DJB Daily Readings'!ED16-'DJB Daily Readings'!ED15</f>
        <v>123</v>
      </c>
      <c r="BA8" s="78">
        <f>'DJB Daily Readings'!EG16-'DJB Daily Readings'!EG15</f>
        <v>3200</v>
      </c>
      <c r="BB8" s="78">
        <f>'DJB Daily Readings'!EI16-'DJB Daily Readings'!EI15</f>
        <v>240</v>
      </c>
      <c r="BC8" s="78">
        <f>'DJB Daily Readings'!EQ16-'DJB Daily Readings'!EQ15</f>
        <v>4100</v>
      </c>
      <c r="BD8" s="78">
        <f>'DJB Daily Readings'!EK16-'DJB Daily Readings'!EK15</f>
        <v>800</v>
      </c>
      <c r="BE8" s="78">
        <f>'DJB Daily Readings'!EM16-'DJB Daily Readings'!EM15</f>
        <v>600</v>
      </c>
      <c r="BF8" s="78">
        <f>'DJB Daily Readings'!EO16-'DJB Daily Readings'!EO15</f>
        <v>360</v>
      </c>
      <c r="BG8" s="78">
        <f>('DJB Daily Readings'!ET16-'DJB Daily Readings'!ET15)*1.89</f>
        <v>26.459999999999997</v>
      </c>
      <c r="BH8" s="78">
        <f>('DJB Daily Readings'!EV16-'DJB Daily Readings'!EV15)*1.89</f>
        <v>15.12</v>
      </c>
      <c r="BI8" s="78">
        <f>('DJB Daily Readings'!EZ16-'DJB Daily Readings'!EZ15)*1.89</f>
        <v>24.57</v>
      </c>
      <c r="BJ8" s="78">
        <f>('DJB Daily Readings'!EX16-'DJB Daily Readings'!EX15)*1.89</f>
        <v>17.009999999999998</v>
      </c>
      <c r="BK8" s="78">
        <f>('DJB Daily Readings'!FB16-'DJB Daily Readings'!FB15)*1.89</f>
        <v>41.58</v>
      </c>
      <c r="BL8" s="78">
        <f>'DJB Daily Readings'!J16</f>
        <v>198</v>
      </c>
      <c r="BM8" s="78">
        <f>'DJB Daily Readings'!FF16</f>
        <v>148.77390000000014</v>
      </c>
      <c r="BN8" s="78">
        <f>'DJB Daily Readings'!FH16</f>
        <v>4</v>
      </c>
      <c r="BO8" s="78">
        <f>'DJB Daily Readings'!FJ16</f>
        <v>4</v>
      </c>
      <c r="BP8" s="78">
        <f>'DJB Daily Readings'!FL16</f>
        <v>6</v>
      </c>
      <c r="BQ8" s="78">
        <f>'DJB Daily Readings'!FN16</f>
        <v>4</v>
      </c>
      <c r="BR8" s="276">
        <f>'DJB Daily Readings'!FP16</f>
        <v>1.2279999999999802</v>
      </c>
      <c r="BS8" s="78">
        <f>'DJB Daily Readings'!FR16</f>
        <v>240</v>
      </c>
    </row>
    <row r="9" spans="1:72" x14ac:dyDescent="0.25">
      <c r="A9" t="s">
        <v>14</v>
      </c>
      <c r="B9">
        <f t="shared" si="0"/>
        <v>8</v>
      </c>
      <c r="C9">
        <v>3</v>
      </c>
      <c r="D9">
        <v>2023</v>
      </c>
      <c r="E9" s="74">
        <f>237*0.76</f>
        <v>180.12</v>
      </c>
      <c r="F9" s="75">
        <f>307+43</f>
        <v>350</v>
      </c>
      <c r="G9" s="3">
        <f>'DJB Daily Readings'!C17-'DJB Daily Readings'!C16</f>
        <v>627</v>
      </c>
      <c r="H9" s="3">
        <f>'DJB Daily Readings'!F17-'DJB Daily Readings'!F16</f>
        <v>480</v>
      </c>
      <c r="I9" s="3">
        <f>'DJB Daily Readings'!L16</f>
        <v>237</v>
      </c>
      <c r="J9" s="3">
        <f>'DJB Daily Readings'!N16</f>
        <v>0</v>
      </c>
      <c r="K9" s="3">
        <f>'DJB Daily Readings'!O17-'DJB Daily Readings'!O16</f>
        <v>112</v>
      </c>
      <c r="L9" s="3">
        <f>'DJB Daily Readings'!R17-'DJB Daily Readings'!R16</f>
        <v>16</v>
      </c>
      <c r="M9" s="3">
        <f>'DJB Daily Readings'!U17-'DJB Daily Readings'!U16</f>
        <v>2777.0399999981746</v>
      </c>
      <c r="N9" s="3">
        <f>'DJB Daily Readings'!X17-'DJB Daily Readings'!X16</f>
        <v>4677.1200000010431</v>
      </c>
      <c r="O9" s="3">
        <f>'DJB Daily Readings'!AA17-'DJB Daily Readings'!AA16</f>
        <v>10523.520000001416</v>
      </c>
      <c r="P9" s="3">
        <f>'DJB Daily Readings'!AD17-'DJB Daily Readings'!AD16</f>
        <v>48.719999998807907</v>
      </c>
      <c r="Q9" s="3">
        <f>'DJB Daily Readings'!AG17-'DJB Daily Readings'!AG16</f>
        <v>925.67999999970198</v>
      </c>
      <c r="R9" s="3">
        <f>'DJB Daily Readings'!AJ17-'DJB Daily Readings'!AJ16</f>
        <v>5505.3600000031292</v>
      </c>
      <c r="S9" s="3">
        <f>'DJB Daily Readings'!AM17-'DJB Daily Readings'!AM16</f>
        <v>3897.5999999996275</v>
      </c>
      <c r="T9" s="3">
        <f>'DJB Daily Readings'!AP17-'DJB Daily Readings'!AP16</f>
        <v>4384.7999999988824</v>
      </c>
      <c r="U9" s="3">
        <f>'DJB Daily Readings'!AS17-'DJB Daily Readings'!AS16</f>
        <v>2971.9199999980628</v>
      </c>
      <c r="V9" s="3">
        <f>'DJB Daily Readings'!AV17-'DJB Daily Readings'!AV16</f>
        <v>5748.9600000008941</v>
      </c>
      <c r="W9" s="3">
        <f>'DJB Daily Readings'!AZ17-'DJB Daily Readings'!AZ16</f>
        <v>57400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151.19999999999999</v>
      </c>
      <c r="AA9" s="3">
        <f>('DJB Daily Readings'!CN17-'DJB Daily Readings'!CN16)*1.89</f>
        <v>185.22</v>
      </c>
      <c r="AB9" s="3">
        <f>('DJB Daily Readings'!CQ17-'DJB Daily Readings'!CQ16)*1.89</f>
        <v>247.58999999999997</v>
      </c>
      <c r="AC9" s="3">
        <f>'DJB Daily Readings'!CT17-'DJB Daily Readings'!CT16</f>
        <v>176</v>
      </c>
      <c r="AD9" s="80">
        <f>('DJB Daily Readings'!BY17-'DJB Daily Readings'!BY16)*1.89</f>
        <v>26.459999999999997</v>
      </c>
      <c r="AE9" s="80">
        <f>('DJB Daily Readings'!CA17-'DJB Daily Readings'!CA16)*1.89</f>
        <v>35.909999999999997</v>
      </c>
      <c r="AF9" s="80">
        <f>('DJB Daily Readings'!CC17-'DJB Daily Readings'!CC16)*1.89</f>
        <v>11.34</v>
      </c>
      <c r="AG9" s="80">
        <f>('DJB Daily Readings'!CE17-'DJB Daily Readings'!CE16)*1.89</f>
        <v>15.12</v>
      </c>
      <c r="AH9" s="80">
        <f>('DJB Daily Readings'!CG17-'DJB Daily Readings'!CG16)*1.89</f>
        <v>28.349999999999998</v>
      </c>
      <c r="AI9" s="80">
        <f>('DJB Daily Readings'!CI17-'DJB Daily Readings'!CI16)*1.89</f>
        <v>66.149999999999991</v>
      </c>
      <c r="AJ9" s="77">
        <f>'DJB Daily Readings'!CY17-'DJB Daily Readings'!CY16</f>
        <v>5</v>
      </c>
      <c r="AK9" s="77">
        <f>'DJB Daily Readings'!CW17-'DJB Daily Readings'!CW16</f>
        <v>3</v>
      </c>
      <c r="AL9" s="78">
        <f>'DJB Daily Readings'!DC17-'DJB Daily Readings'!DC16</f>
        <v>17</v>
      </c>
      <c r="AM9" s="78">
        <f>'DJB Daily Readings'!DA17-'DJB Daily Readings'!DA16</f>
        <v>19</v>
      </c>
      <c r="AN9" s="78">
        <f>'DJB Daily Readings'!DG17-'DJB Daily Readings'!DG16</f>
        <v>6</v>
      </c>
      <c r="AO9" s="78">
        <f>'DJB Daily Readings'!DE17-'DJB Daily Readings'!DE16</f>
        <v>7</v>
      </c>
      <c r="AP9" s="78">
        <f>'DJB Daily Readings'!DK17-'DJB Daily Readings'!DK16</f>
        <v>12</v>
      </c>
      <c r="AQ9" s="78">
        <f>'DJB Daily Readings'!DI17-'DJB Daily Readings'!DI16</f>
        <v>8</v>
      </c>
      <c r="AR9" s="78">
        <f>'DJB Daily Readings'!DO17-'DJB Daily Readings'!DO16</f>
        <v>9</v>
      </c>
      <c r="AS9" s="78">
        <f>'DJB Daily Readings'!DM17-'DJB Daily Readings'!DM16</f>
        <v>4</v>
      </c>
      <c r="AT9" s="78">
        <f>'DJB Daily Readings'!DQ17-'DJB Daily Readings'!DQ16</f>
        <v>3</v>
      </c>
      <c r="AU9" s="78">
        <f>('DJB Daily Readings'!DT17-'DJB Daily Readings'!DT16)*100</f>
        <v>1119.9999999999818</v>
      </c>
      <c r="AV9" s="78">
        <f>('DJB Daily Readings'!DV17-'DJB Daily Readings'!DV16)*100</f>
        <v>859.99999999985448</v>
      </c>
      <c r="AW9" s="78">
        <f>('DJB Daily Readings'!DX17-'DJB Daily Readings'!DX16)*100</f>
        <v>639.99999999996362</v>
      </c>
      <c r="AX9" s="78">
        <f>('DJB Daily Readings'!DZ17-'DJB Daily Readings'!DZ16)*100</f>
        <v>669.99999999998181</v>
      </c>
      <c r="AY9" s="78">
        <f>'DJB Daily Readings'!EB17-'DJB Daily Readings'!EB16</f>
        <v>593</v>
      </c>
      <c r="AZ9" s="78">
        <f>'DJB Daily Readings'!ED17-'DJB Daily Readings'!ED16</f>
        <v>154.40000000002328</v>
      </c>
      <c r="BA9" s="78">
        <f>'DJB Daily Readings'!EG17-'DJB Daily Readings'!EG16</f>
        <v>4300</v>
      </c>
      <c r="BB9" s="78">
        <f>'DJB Daily Readings'!EI17-'DJB Daily Readings'!EI16</f>
        <v>300</v>
      </c>
      <c r="BC9" s="78">
        <f>'DJB Daily Readings'!EQ17-'DJB Daily Readings'!EQ16</f>
        <v>5400</v>
      </c>
      <c r="BD9" s="78">
        <f>'DJB Daily Readings'!EK17-'DJB Daily Readings'!EK16</f>
        <v>1100</v>
      </c>
      <c r="BE9" s="78">
        <f>'DJB Daily Readings'!EM17-'DJB Daily Readings'!EM16</f>
        <v>700</v>
      </c>
      <c r="BF9" s="78">
        <f>'DJB Daily Readings'!EO17-'DJB Daily Readings'!EO16</f>
        <v>570</v>
      </c>
      <c r="BG9" s="78">
        <f>('DJB Daily Readings'!ET17-'DJB Daily Readings'!ET16)*1.89</f>
        <v>30.24</v>
      </c>
      <c r="BH9" s="78">
        <f>('DJB Daily Readings'!EV17-'DJB Daily Readings'!EV16)*1.89</f>
        <v>20.79</v>
      </c>
      <c r="BI9" s="78">
        <f>('DJB Daily Readings'!EZ17-'DJB Daily Readings'!EZ16)*1.89</f>
        <v>30.24</v>
      </c>
      <c r="BJ9" s="78">
        <f>('DJB Daily Readings'!EX17-'DJB Daily Readings'!EX16)*1.89</f>
        <v>18.899999999999999</v>
      </c>
      <c r="BK9" s="78">
        <f>('DJB Daily Readings'!FB17-'DJB Daily Readings'!FB16)*1.89</f>
        <v>64.259999999999991</v>
      </c>
      <c r="BL9" s="78">
        <f>'DJB Daily Readings'!J17</f>
        <v>152</v>
      </c>
      <c r="BM9" s="78">
        <f>'DJB Daily Readings'!FF17</f>
        <v>92.601999999998952</v>
      </c>
      <c r="BN9" s="78">
        <f>'DJB Daily Readings'!FH17</f>
        <v>2</v>
      </c>
      <c r="BO9" s="78">
        <f>'DJB Daily Readings'!FJ17</f>
        <v>5</v>
      </c>
      <c r="BP9" s="78">
        <f>'DJB Daily Readings'!FL17</f>
        <v>6</v>
      </c>
      <c r="BQ9" s="78">
        <f>'DJB Daily Readings'!FN17</f>
        <v>4</v>
      </c>
      <c r="BR9" s="276">
        <f>'DJB Daily Readings'!FP17</f>
        <v>2.2280000000000086</v>
      </c>
      <c r="BS9" s="78">
        <f>'DJB Daily Readings'!FR17</f>
        <v>277.10000000003492</v>
      </c>
    </row>
    <row r="10" spans="1:72" x14ac:dyDescent="0.25">
      <c r="A10" t="s">
        <v>14</v>
      </c>
      <c r="B10">
        <f t="shared" si="0"/>
        <v>9</v>
      </c>
      <c r="C10">
        <v>3</v>
      </c>
      <c r="D10">
        <v>2023</v>
      </c>
      <c r="E10" s="74">
        <f>237*0.86</f>
        <v>203.82</v>
      </c>
      <c r="F10" s="75">
        <f>309+35</f>
        <v>344</v>
      </c>
      <c r="G10" s="3">
        <f>'DJB Daily Readings'!C18-'DJB Daily Readings'!C17</f>
        <v>585</v>
      </c>
      <c r="H10" s="3">
        <f>'DJB Daily Readings'!F18-'DJB Daily Readings'!F17</f>
        <v>485</v>
      </c>
      <c r="I10" s="3">
        <f>'DJB Daily Readings'!L17</f>
        <v>148</v>
      </c>
      <c r="J10" s="3">
        <f>'DJB Daily Readings'!N17</f>
        <v>0</v>
      </c>
      <c r="K10" s="3">
        <f>'DJB Daily Readings'!O18-'DJB Daily Readings'!O17</f>
        <v>113</v>
      </c>
      <c r="L10" s="3">
        <f>'DJB Daily Readings'!R18-'DJB Daily Readings'!R17</f>
        <v>17</v>
      </c>
      <c r="M10" s="3">
        <f>'DJB Daily Readings'!U18-'DJB Daily Readings'!U17</f>
        <v>2728.3200000012293</v>
      </c>
      <c r="N10" s="3">
        <f>'DJB Daily Readings'!X18-'DJB Daily Readings'!X17</f>
        <v>4579.679999999702</v>
      </c>
      <c r="O10" s="3">
        <f>'DJB Daily Readings'!AA18-'DJB Daily Readings'!AA17</f>
        <v>9987.6000000014901</v>
      </c>
      <c r="P10" s="3">
        <f>'DJB Daily Readings'!AD18-'DJB Daily Readings'!AD17</f>
        <v>48.719999998807907</v>
      </c>
      <c r="Q10" s="3">
        <f>'DJB Daily Readings'!AG18-'DJB Daily Readings'!AG17</f>
        <v>828.23999999836087</v>
      </c>
      <c r="R10" s="3">
        <f>'DJB Daily Readings'!AJ18-'DJB Daily Readings'!AJ17</f>
        <v>5456.6399999968708</v>
      </c>
      <c r="S10" s="3">
        <f>'DJB Daily Readings'!AM18-'DJB Daily Readings'!AM17</f>
        <v>3946.3200000021607</v>
      </c>
      <c r="T10" s="3">
        <f>'DJB Daily Readings'!AP18-'DJB Daily Readings'!AP17</f>
        <v>4238.640000000596</v>
      </c>
      <c r="U10" s="3">
        <f>'DJB Daily Readings'!AS18-'DJB Daily Readings'!AS17</f>
        <v>2825.7599999997765</v>
      </c>
      <c r="V10" s="3">
        <f>'DJB Daily Readings'!AV18-'DJB Daily Readings'!AV17</f>
        <v>5407.9199999980628</v>
      </c>
      <c r="W10" s="3">
        <f>'DJB Daily Readings'!AZ18-'DJB Daily Readings'!AZ17</f>
        <v>56700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154.97999999999999</v>
      </c>
      <c r="AA10" s="3">
        <f>('DJB Daily Readings'!CN18-'DJB Daily Readings'!CN17)*1.89</f>
        <v>213.57</v>
      </c>
      <c r="AB10" s="3">
        <f>('DJB Daily Readings'!CQ18-'DJB Daily Readings'!CQ17)*1.89</f>
        <v>283.5</v>
      </c>
      <c r="AC10" s="3">
        <f>'DJB Daily Readings'!CT18-'DJB Daily Readings'!CT17</f>
        <v>183</v>
      </c>
      <c r="AD10" s="80">
        <f>('DJB Daily Readings'!BY18-'DJB Daily Readings'!BY17)*1.89</f>
        <v>26.459999999999997</v>
      </c>
      <c r="AE10" s="80">
        <f>('DJB Daily Readings'!CA18-'DJB Daily Readings'!CA17)*1.89</f>
        <v>35.909999999999997</v>
      </c>
      <c r="AF10" s="80">
        <f>('DJB Daily Readings'!CC18-'DJB Daily Readings'!CC17)*1.89</f>
        <v>11.34</v>
      </c>
      <c r="AG10" s="80">
        <f>('DJB Daily Readings'!CE18-'DJB Daily Readings'!CE17)*1.89</f>
        <v>15.12</v>
      </c>
      <c r="AH10" s="80">
        <f>('DJB Daily Readings'!CG18-'DJB Daily Readings'!CG17)*1.89</f>
        <v>30.24</v>
      </c>
      <c r="AI10" s="80">
        <f>('DJB Daily Readings'!CI18-'DJB Daily Readings'!CI17)*1.89</f>
        <v>64.259999999999991</v>
      </c>
      <c r="AJ10" s="77">
        <f>'DJB Daily Readings'!CY18-'DJB Daily Readings'!CY17</f>
        <v>6</v>
      </c>
      <c r="AK10" s="77">
        <f>'DJB Daily Readings'!CW18-'DJB Daily Readings'!CW17</f>
        <v>3</v>
      </c>
      <c r="AL10" s="78">
        <f>'DJB Daily Readings'!DC18-'DJB Daily Readings'!DC17</f>
        <v>12</v>
      </c>
      <c r="AM10" s="78">
        <f>'DJB Daily Readings'!DA18-'DJB Daily Readings'!DA17</f>
        <v>17</v>
      </c>
      <c r="AN10" s="78">
        <f>'DJB Daily Readings'!DG18-'DJB Daily Readings'!DG17</f>
        <v>6</v>
      </c>
      <c r="AO10" s="78">
        <f>'DJB Daily Readings'!DE18-'DJB Daily Readings'!DE17</f>
        <v>8</v>
      </c>
      <c r="AP10" s="78">
        <f>'DJB Daily Readings'!DK18-'DJB Daily Readings'!DK17</f>
        <v>7</v>
      </c>
      <c r="AQ10" s="78">
        <f>'DJB Daily Readings'!DI18-'DJB Daily Readings'!DI17</f>
        <v>10</v>
      </c>
      <c r="AR10" s="78">
        <f>'DJB Daily Readings'!DO18-'DJB Daily Readings'!DO17</f>
        <v>8</v>
      </c>
      <c r="AS10" s="78">
        <f>'DJB Daily Readings'!DM18-'DJB Daily Readings'!DM17</f>
        <v>4</v>
      </c>
      <c r="AT10" s="78">
        <f>'DJB Daily Readings'!DQ18-'DJB Daily Readings'!DQ17</f>
        <v>3</v>
      </c>
      <c r="AU10" s="78">
        <f>('DJB Daily Readings'!DT18-'DJB Daily Readings'!DT17)*100</f>
        <v>1020.0000000000728</v>
      </c>
      <c r="AV10" s="78">
        <f>('DJB Daily Readings'!DV18-'DJB Daily Readings'!DV17)*100</f>
        <v>890.00000000014552</v>
      </c>
      <c r="AW10" s="78">
        <f>('DJB Daily Readings'!DX18-'DJB Daily Readings'!DX17)*100</f>
        <v>619.99999999998181</v>
      </c>
      <c r="AX10" s="78">
        <f>('DJB Daily Readings'!DZ18-'DJB Daily Readings'!DZ17)*100</f>
        <v>639.99999999996362</v>
      </c>
      <c r="AY10" s="78">
        <f>'DJB Daily Readings'!EB18-'DJB Daily Readings'!EB17</f>
        <v>628</v>
      </c>
      <c r="AZ10" s="78">
        <f>'DJB Daily Readings'!ED18-'DJB Daily Readings'!ED17</f>
        <v>150.5</v>
      </c>
      <c r="BA10" s="78">
        <f>'DJB Daily Readings'!EG18-'DJB Daily Readings'!EG17</f>
        <v>4000</v>
      </c>
      <c r="BB10" s="78">
        <f>'DJB Daily Readings'!EI18-'DJB Daily Readings'!EI17</f>
        <v>260</v>
      </c>
      <c r="BC10" s="78">
        <f>'DJB Daily Readings'!EQ18-'DJB Daily Readings'!EQ17</f>
        <v>5100</v>
      </c>
      <c r="BD10" s="78">
        <f>'DJB Daily Readings'!EK18-'DJB Daily Readings'!EK17</f>
        <v>1200</v>
      </c>
      <c r="BE10" s="78">
        <f>'DJB Daily Readings'!EM18-'DJB Daily Readings'!EM17</f>
        <v>500</v>
      </c>
      <c r="BF10" s="78">
        <f>'DJB Daily Readings'!EO18-'DJB Daily Readings'!EO17</f>
        <v>670</v>
      </c>
      <c r="BG10" s="78">
        <f>('DJB Daily Readings'!ET18-'DJB Daily Readings'!ET17)*1.89</f>
        <v>22.68</v>
      </c>
      <c r="BH10" s="78">
        <f>('DJB Daily Readings'!EV18-'DJB Daily Readings'!EV17)*1.89</f>
        <v>22.68</v>
      </c>
      <c r="BI10" s="78">
        <f>('DJB Daily Readings'!EZ18-'DJB Daily Readings'!EZ17)*1.89</f>
        <v>30.24</v>
      </c>
      <c r="BJ10" s="78">
        <f>('DJB Daily Readings'!EX18-'DJB Daily Readings'!EX17)*1.89</f>
        <v>17.009999999999998</v>
      </c>
      <c r="BK10" s="78">
        <f>('DJB Daily Readings'!FB18-'DJB Daily Readings'!FB17)*1.89</f>
        <v>60.48</v>
      </c>
      <c r="BL10" s="78">
        <f>'DJB Daily Readings'!J18</f>
        <v>270</v>
      </c>
      <c r="BM10" s="78">
        <f>'DJB Daily Readings'!FF18</f>
        <v>120.85599999999977</v>
      </c>
      <c r="BN10" s="78">
        <f>'DJB Daily Readings'!FH18</f>
        <v>9</v>
      </c>
      <c r="BO10" s="78">
        <f>'DJB Daily Readings'!FJ18</f>
        <v>6</v>
      </c>
      <c r="BP10" s="78">
        <f>'DJB Daily Readings'!FL18</f>
        <v>6</v>
      </c>
      <c r="BQ10" s="78">
        <f>'DJB Daily Readings'!FN18</f>
        <v>4</v>
      </c>
      <c r="BR10" s="276">
        <f>'DJB Daily Readings'!FP18</f>
        <v>2.0219999999999914</v>
      </c>
      <c r="BS10" s="78">
        <f>'DJB Daily Readings'!FR18</f>
        <v>161.29999999998836</v>
      </c>
    </row>
    <row r="11" spans="1:72" x14ac:dyDescent="0.25">
      <c r="A11" t="s">
        <v>14</v>
      </c>
      <c r="B11">
        <f t="shared" si="0"/>
        <v>10</v>
      </c>
      <c r="C11">
        <v>3</v>
      </c>
      <c r="D11">
        <v>2023</v>
      </c>
      <c r="E11" s="74">
        <f>237*0.85</f>
        <v>201.45</v>
      </c>
      <c r="F11" s="75">
        <f>311+49</f>
        <v>360</v>
      </c>
      <c r="G11" s="3">
        <f>'DJB Daily Readings'!C19-'DJB Daily Readings'!C18</f>
        <v>681</v>
      </c>
      <c r="H11" s="3">
        <f>'DJB Daily Readings'!F19-'DJB Daily Readings'!F18</f>
        <v>523</v>
      </c>
      <c r="I11" s="3">
        <f>'DJB Daily Readings'!L18</f>
        <v>263</v>
      </c>
      <c r="J11" s="3">
        <f>'DJB Daily Readings'!N18</f>
        <v>0</v>
      </c>
      <c r="K11" s="3">
        <f>'DJB Daily Readings'!O19-'DJB Daily Readings'!O18</f>
        <v>103</v>
      </c>
      <c r="L11" s="3">
        <f>'DJB Daily Readings'!R19-'DJB Daily Readings'!R18</f>
        <v>10</v>
      </c>
      <c r="M11" s="3">
        <f>'DJB Daily Readings'!U19-'DJB Daily Readings'!U18</f>
        <v>2874.4799999995157</v>
      </c>
      <c r="N11" s="3">
        <f>'DJB Daily Readings'!X19-'DJB Daily Readings'!X18</f>
        <v>4628.4000000003725</v>
      </c>
      <c r="O11" s="3">
        <f>'DJB Daily Readings'!AA19-'DJB Daily Readings'!AA18</f>
        <v>7210.5599999967963</v>
      </c>
      <c r="P11" s="3">
        <f>'DJB Daily Readings'!AD19-'DJB Daily Readings'!AD18</f>
        <v>779.52000000327826</v>
      </c>
      <c r="Q11" s="3">
        <f>'DJB Daily Readings'!AG19-'DJB Daily Readings'!AG18</f>
        <v>2046.2400000020862</v>
      </c>
      <c r="R11" s="3">
        <f>'DJB Daily Readings'!AJ19-'DJB Daily Readings'!AJ18</f>
        <v>5602.8000000007451</v>
      </c>
      <c r="S11" s="3">
        <f>'DJB Daily Readings'!AM19-'DJB Daily Readings'!AM18</f>
        <v>4043.7599999997765</v>
      </c>
      <c r="T11" s="3">
        <f>'DJB Daily Readings'!AP19-'DJB Daily Readings'!AP18</f>
        <v>4530.9599999990314</v>
      </c>
      <c r="U11" s="3">
        <f>'DJB Daily Readings'!AS19-'DJB Daily Readings'!AS18</f>
        <v>2874.480000000447</v>
      </c>
      <c r="V11" s="3">
        <f>'DJB Daily Readings'!AV19-'DJB Daily Readings'!AV18</f>
        <v>5554.0800000019372</v>
      </c>
      <c r="W11" s="3">
        <f>'DJB Daily Readings'!AZ19-'DJB Daily Readings'!AZ18</f>
        <v>43000</v>
      </c>
      <c r="X11" s="3">
        <f>'DJB Daily Readings'!BC19-'DJB Daily Readings'!BC18</f>
        <v>4000</v>
      </c>
      <c r="Y11" s="3">
        <f>'DJB Daily Readings'!BF19-'DJB Daily Readings'!BF18</f>
        <v>5700</v>
      </c>
      <c r="Z11" s="3">
        <f>('DJB Daily Readings'!CK19-'DJB Daily Readings'!CK18)*1.89</f>
        <v>153.09</v>
      </c>
      <c r="AA11" s="3">
        <f>('DJB Daily Readings'!CN19-'DJB Daily Readings'!CN18)*1.89</f>
        <v>224.91</v>
      </c>
      <c r="AB11" s="3">
        <f>('DJB Daily Readings'!CQ19-'DJB Daily Readings'!CQ18)*1.89</f>
        <v>381.78</v>
      </c>
      <c r="AC11" s="3">
        <f>'DJB Daily Readings'!CT19-'DJB Daily Readings'!CT18</f>
        <v>180</v>
      </c>
      <c r="AD11" s="80">
        <f>('DJB Daily Readings'!BY19-'DJB Daily Readings'!BY18)*1.89</f>
        <v>34.019999999999996</v>
      </c>
      <c r="AE11" s="80">
        <f>('DJB Daily Readings'!CA19-'DJB Daily Readings'!CA18)*1.89</f>
        <v>30.24</v>
      </c>
      <c r="AF11" s="80">
        <f>('DJB Daily Readings'!CC19-'DJB Daily Readings'!CC18)*1.89</f>
        <v>11.34</v>
      </c>
      <c r="AG11" s="80">
        <f>('DJB Daily Readings'!CE19-'DJB Daily Readings'!CE18)*1.89</f>
        <v>17.009999999999998</v>
      </c>
      <c r="AH11" s="80">
        <f>('DJB Daily Readings'!CG19-'DJB Daily Readings'!CG18)*1.89</f>
        <v>28.349999999999998</v>
      </c>
      <c r="AI11" s="80">
        <f>('DJB Daily Readings'!CI19-'DJB Daily Readings'!CI18)*1.89</f>
        <v>73.709999999999994</v>
      </c>
      <c r="AJ11" s="77">
        <f>'DJB Daily Readings'!CY19-'DJB Daily Readings'!CY18</f>
        <v>5</v>
      </c>
      <c r="AK11" s="77">
        <f>'DJB Daily Readings'!CW19-'DJB Daily Readings'!CW18</f>
        <v>3</v>
      </c>
      <c r="AL11" s="78">
        <f>'DJB Daily Readings'!DC19-'DJB Daily Readings'!DC18</f>
        <v>15</v>
      </c>
      <c r="AM11" s="78">
        <f>'DJB Daily Readings'!DA19-'DJB Daily Readings'!DA18</f>
        <v>19</v>
      </c>
      <c r="AN11" s="78">
        <f>'DJB Daily Readings'!DG19-'DJB Daily Readings'!DG18</f>
        <v>7</v>
      </c>
      <c r="AO11" s="78">
        <f>'DJB Daily Readings'!DE19-'DJB Daily Readings'!DE18</f>
        <v>8</v>
      </c>
      <c r="AP11" s="78">
        <f>'DJB Daily Readings'!DK19-'DJB Daily Readings'!DK18</f>
        <v>11</v>
      </c>
      <c r="AQ11" s="78">
        <f>'DJB Daily Readings'!DI19-'DJB Daily Readings'!DI18</f>
        <v>10</v>
      </c>
      <c r="AR11" s="78">
        <f>'DJB Daily Readings'!DO19-'DJB Daily Readings'!DO18</f>
        <v>9</v>
      </c>
      <c r="AS11" s="78">
        <f>'DJB Daily Readings'!DM19-'DJB Daily Readings'!DM18</f>
        <v>4</v>
      </c>
      <c r="AT11" s="78">
        <f>'DJB Daily Readings'!DQ19-'DJB Daily Readings'!DQ18</f>
        <v>3</v>
      </c>
      <c r="AU11" s="78">
        <f>('DJB Daily Readings'!DT19-'DJB Daily Readings'!DT18)*100</f>
        <v>1039.9999999999636</v>
      </c>
      <c r="AV11" s="78">
        <f>('DJB Daily Readings'!DV19-'DJB Daily Readings'!DV18)*100</f>
        <v>879.99999999992724</v>
      </c>
      <c r="AW11" s="78">
        <f>('DJB Daily Readings'!DX19-'DJB Daily Readings'!DX18)*100</f>
        <v>570.00000000007276</v>
      </c>
      <c r="AX11" s="78">
        <f>('DJB Daily Readings'!DZ19-'DJB Daily Readings'!DZ18)*100</f>
        <v>750</v>
      </c>
      <c r="AY11" s="78">
        <f>'DJB Daily Readings'!EB19-'DJB Daily Readings'!EB18</f>
        <v>645</v>
      </c>
      <c r="AZ11" s="78">
        <f>'DJB Daily Readings'!ED19-'DJB Daily Readings'!ED18</f>
        <v>151.39999999999418</v>
      </c>
      <c r="BA11" s="78">
        <f>'DJB Daily Readings'!EG19-'DJB Daily Readings'!EG18</f>
        <v>3500</v>
      </c>
      <c r="BB11" s="78">
        <f>'DJB Daily Readings'!EI19-'DJB Daily Readings'!EI18</f>
        <v>260</v>
      </c>
      <c r="BC11" s="78">
        <f>'DJB Daily Readings'!EQ19-'DJB Daily Readings'!EQ18</f>
        <v>4300</v>
      </c>
      <c r="BD11" s="78">
        <f>'DJB Daily Readings'!EK19-'DJB Daily Readings'!EK18</f>
        <v>1200</v>
      </c>
      <c r="BE11" s="78">
        <f>'DJB Daily Readings'!EM19-'DJB Daily Readings'!EM18</f>
        <v>600</v>
      </c>
      <c r="BF11" s="78">
        <f>'DJB Daily Readings'!EO19-'DJB Daily Readings'!EO18</f>
        <v>690</v>
      </c>
      <c r="BG11" s="78">
        <f>('DJB Daily Readings'!ET19-'DJB Daily Readings'!ET18)*1.89</f>
        <v>26.459999999999997</v>
      </c>
      <c r="BH11" s="78">
        <f>('DJB Daily Readings'!EV19-'DJB Daily Readings'!EV18)*1.89</f>
        <v>22.68</v>
      </c>
      <c r="BI11" s="78">
        <f>('DJB Daily Readings'!EZ19-'DJB Daily Readings'!EZ18)*1.89</f>
        <v>30.24</v>
      </c>
      <c r="BJ11" s="78">
        <f>('DJB Daily Readings'!EX19-'DJB Daily Readings'!EX18)*1.89</f>
        <v>22.68</v>
      </c>
      <c r="BK11" s="78">
        <f>('DJB Daily Readings'!FB19-'DJB Daily Readings'!FB18)*1.89</f>
        <v>66.149999999999991</v>
      </c>
      <c r="BL11" s="78">
        <f>'DJB Daily Readings'!J19</f>
        <v>275</v>
      </c>
      <c r="BM11" s="78">
        <f>'DJB Daily Readings'!FF19</f>
        <v>138.6140000000014</v>
      </c>
      <c r="BN11" s="78">
        <f>'DJB Daily Readings'!FH19</f>
        <v>9</v>
      </c>
      <c r="BO11" s="78">
        <f>'DJB Daily Readings'!FJ19</f>
        <v>6</v>
      </c>
      <c r="BP11" s="78">
        <f>'DJB Daily Readings'!FL19</f>
        <v>6</v>
      </c>
      <c r="BQ11" s="78">
        <f>'DJB Daily Readings'!FN19</f>
        <v>5</v>
      </c>
      <c r="BR11" s="276">
        <f>'DJB Daily Readings'!FP19</f>
        <v>4.0000000000020464E-2</v>
      </c>
      <c r="BS11" s="78">
        <f>'DJB Daily Readings'!FR19</f>
        <v>161.20000000001164</v>
      </c>
    </row>
    <row r="12" spans="1:72" x14ac:dyDescent="0.25">
      <c r="A12" t="s">
        <v>14</v>
      </c>
      <c r="B12">
        <f t="shared" si="0"/>
        <v>11</v>
      </c>
      <c r="C12">
        <v>3</v>
      </c>
      <c r="D12">
        <v>2023</v>
      </c>
      <c r="E12" s="74">
        <f>237*0.82</f>
        <v>194.33999999999997</v>
      </c>
      <c r="F12" s="75">
        <f>321+52</f>
        <v>373</v>
      </c>
      <c r="G12" s="3">
        <f>'DJB Daily Readings'!C20-'DJB Daily Readings'!C19</f>
        <v>673</v>
      </c>
      <c r="H12" s="3">
        <f>'DJB Daily Readings'!F20-'DJB Daily Readings'!F19</f>
        <v>511</v>
      </c>
      <c r="I12" s="3">
        <f>'DJB Daily Readings'!L19</f>
        <v>266</v>
      </c>
      <c r="J12" s="3">
        <f>'DJB Daily Readings'!N19</f>
        <v>0</v>
      </c>
      <c r="K12" s="3">
        <f>'DJB Daily Readings'!O20-'DJB Daily Readings'!O19</f>
        <v>109</v>
      </c>
      <c r="L12" s="3">
        <f>'DJB Daily Readings'!R20-'DJB Daily Readings'!R19</f>
        <v>15</v>
      </c>
      <c r="M12" s="3">
        <f>'DJB Daily Readings'!U20-'DJB Daily Readings'!U19</f>
        <v>2923.1999999992549</v>
      </c>
      <c r="N12" s="3">
        <f>'DJB Daily Readings'!X20-'DJB Daily Readings'!X19</f>
        <v>4872</v>
      </c>
      <c r="O12" s="3">
        <f>'DJB Daily Readings'!AA20-'DJB Daily Readings'!AA19</f>
        <v>1656.480000000447</v>
      </c>
      <c r="P12" s="3">
        <f>'DJB Daily Readings'!AD20-'DJB Daily Readings'!AD19</f>
        <v>876.95999999716878</v>
      </c>
      <c r="Q12" s="3">
        <f>'DJB Daily Readings'!AG20-'DJB Daily Readings'!AG19</f>
        <v>9451.679999999702</v>
      </c>
      <c r="R12" s="3">
        <f>'DJB Daily Readings'!AJ20-'DJB Daily Readings'!AJ19</f>
        <v>5651.519999999553</v>
      </c>
      <c r="S12" s="3">
        <f>'DJB Daily Readings'!AM20-'DJB Daily Readings'!AM19</f>
        <v>4092.480000000447</v>
      </c>
      <c r="T12" s="3">
        <f>'DJB Daily Readings'!AP20-'DJB Daily Readings'!AP19</f>
        <v>4628.4000000003725</v>
      </c>
      <c r="U12" s="3">
        <f>'DJB Daily Readings'!AS20-'DJB Daily Readings'!AS19</f>
        <v>3069.359999999404</v>
      </c>
      <c r="V12" s="3">
        <f>'DJB Daily Readings'!AV20-'DJB Daily Readings'!AV19</f>
        <v>6041.2800000011921</v>
      </c>
      <c r="W12" s="3">
        <f>'DJB Daily Readings'!AZ20-'DJB Daily Readings'!AZ19</f>
        <v>5700</v>
      </c>
      <c r="X12" s="3">
        <f>'DJB Daily Readings'!BC20-'DJB Daily Readings'!BC19</f>
        <v>0</v>
      </c>
      <c r="Y12" s="3">
        <f>'DJB Daily Readings'!BF20-'DJB Daily Readings'!BF19</f>
        <v>50200</v>
      </c>
      <c r="Z12" s="3">
        <f>('DJB Daily Readings'!CK20-'DJB Daily Readings'!CK19)*1.89</f>
        <v>154.97999999999999</v>
      </c>
      <c r="AA12" s="3">
        <f>('DJB Daily Readings'!CN20-'DJB Daily Readings'!CN19)*1.89</f>
        <v>215.45999999999998</v>
      </c>
      <c r="AB12" s="3">
        <f>('DJB Daily Readings'!CQ20-'DJB Daily Readings'!CQ19)*1.89</f>
        <v>240.03</v>
      </c>
      <c r="AC12" s="3">
        <f>'DJB Daily Readings'!CT20-'DJB Daily Readings'!CT19</f>
        <v>182</v>
      </c>
      <c r="AD12" s="80">
        <f>('DJB Daily Readings'!BY20-'DJB Daily Readings'!BY19)*1.89</f>
        <v>34.019999999999996</v>
      </c>
      <c r="AE12" s="80">
        <f>('DJB Daily Readings'!CA20-'DJB Daily Readings'!CA19)*1.89</f>
        <v>39.69</v>
      </c>
      <c r="AF12" s="80">
        <f>('DJB Daily Readings'!CC20-'DJB Daily Readings'!CC19)*1.89</f>
        <v>13.229999999999999</v>
      </c>
      <c r="AG12" s="80">
        <f>('DJB Daily Readings'!CE20-'DJB Daily Readings'!CE19)*1.89</f>
        <v>18.899999999999999</v>
      </c>
      <c r="AH12" s="80">
        <f>('DJB Daily Readings'!CG20-'DJB Daily Readings'!CG19)*1.89</f>
        <v>30.24</v>
      </c>
      <c r="AI12" s="80">
        <f>('DJB Daily Readings'!CI20-'DJB Daily Readings'!CI19)*1.89</f>
        <v>66.149999999999991</v>
      </c>
      <c r="AJ12" s="77">
        <f>'DJB Daily Readings'!CY20-'DJB Daily Readings'!CY19</f>
        <v>3</v>
      </c>
      <c r="AK12" s="77">
        <f>'DJB Daily Readings'!CW20-'DJB Daily Readings'!CW19</f>
        <v>3</v>
      </c>
      <c r="AL12" s="78">
        <f>'DJB Daily Readings'!DC20-'DJB Daily Readings'!DC19</f>
        <v>13</v>
      </c>
      <c r="AM12" s="78">
        <f>'DJB Daily Readings'!DA20-'DJB Daily Readings'!DA19</f>
        <v>19</v>
      </c>
      <c r="AN12" s="78">
        <f>'DJB Daily Readings'!DG20-'DJB Daily Readings'!DG19</f>
        <v>5</v>
      </c>
      <c r="AO12" s="78">
        <f>'DJB Daily Readings'!DE20-'DJB Daily Readings'!DE19</f>
        <v>9</v>
      </c>
      <c r="AP12" s="78">
        <f>'DJB Daily Readings'!DK20-'DJB Daily Readings'!DK19</f>
        <v>9</v>
      </c>
      <c r="AQ12" s="78">
        <f>'DJB Daily Readings'!DI20-'DJB Daily Readings'!DI19</f>
        <v>9</v>
      </c>
      <c r="AR12" s="78">
        <f>'DJB Daily Readings'!DO20-'DJB Daily Readings'!DO19</f>
        <v>11</v>
      </c>
      <c r="AS12" s="78">
        <f>'DJB Daily Readings'!DM20-'DJB Daily Readings'!DM19</f>
        <v>5</v>
      </c>
      <c r="AT12" s="78">
        <f>'DJB Daily Readings'!DQ20-'DJB Daily Readings'!DQ19</f>
        <v>4</v>
      </c>
      <c r="AU12" s="78">
        <f>('DJB Daily Readings'!DT20-'DJB Daily Readings'!DT19)*100</f>
        <v>1089.9999999999636</v>
      </c>
      <c r="AV12" s="78">
        <f>('DJB Daily Readings'!DV20-'DJB Daily Readings'!DV19)*100</f>
        <v>889.99999999996362</v>
      </c>
      <c r="AW12" s="78">
        <f>('DJB Daily Readings'!DX20-'DJB Daily Readings'!DX19)*100</f>
        <v>600</v>
      </c>
      <c r="AX12" s="78">
        <f>('DJB Daily Readings'!DZ20-'DJB Daily Readings'!DZ19)*100</f>
        <v>740.00000000005457</v>
      </c>
      <c r="AY12" s="78">
        <f>'DJB Daily Readings'!EB20-'DJB Daily Readings'!EB19</f>
        <v>685</v>
      </c>
      <c r="AZ12" s="78">
        <f>'DJB Daily Readings'!ED20-'DJB Daily Readings'!ED19</f>
        <v>152.29999999998836</v>
      </c>
      <c r="BA12" s="78">
        <f>'DJB Daily Readings'!EG20-'DJB Daily Readings'!EG19</f>
        <v>4300</v>
      </c>
      <c r="BB12" s="78">
        <f>'DJB Daily Readings'!EI20-'DJB Daily Readings'!EI19</f>
        <v>300</v>
      </c>
      <c r="BC12" s="78">
        <f>'DJB Daily Readings'!EQ20-'DJB Daily Readings'!EQ19</f>
        <v>5000</v>
      </c>
      <c r="BD12" s="78">
        <f>'DJB Daily Readings'!EK20-'DJB Daily Readings'!EK19</f>
        <v>1300</v>
      </c>
      <c r="BE12" s="78">
        <f>'DJB Daily Readings'!EM20-'DJB Daily Readings'!EM19</f>
        <v>500</v>
      </c>
      <c r="BF12" s="78">
        <f>'DJB Daily Readings'!EO20-'DJB Daily Readings'!EO19</f>
        <v>790</v>
      </c>
      <c r="BG12" s="78">
        <f>('DJB Daily Readings'!ET20-'DJB Daily Readings'!ET19)*1.89</f>
        <v>30.24</v>
      </c>
      <c r="BH12" s="78">
        <f>('DJB Daily Readings'!EV20-'DJB Daily Readings'!EV19)*1.89</f>
        <v>22.68</v>
      </c>
      <c r="BI12" s="78">
        <f>('DJB Daily Readings'!EZ20-'DJB Daily Readings'!EZ19)*1.89</f>
        <v>32.129999999999995</v>
      </c>
      <c r="BJ12" s="78">
        <f>('DJB Daily Readings'!EX20-'DJB Daily Readings'!EX19)*1.89</f>
        <v>24.57</v>
      </c>
      <c r="BK12" s="78">
        <f>('DJB Daily Readings'!FB20-'DJB Daily Readings'!FB19)*1.89</f>
        <v>69.929999999999993</v>
      </c>
      <c r="BL12" s="78">
        <f>'DJB Daily Readings'!J20</f>
        <v>307</v>
      </c>
      <c r="BM12" s="78">
        <f>'DJB Daily Readings'!FF20</f>
        <v>142.08599999999569</v>
      </c>
      <c r="BN12" s="78">
        <f>'DJB Daily Readings'!FH20</f>
        <v>8</v>
      </c>
      <c r="BO12" s="78">
        <f>'DJB Daily Readings'!FJ20</f>
        <v>8</v>
      </c>
      <c r="BP12" s="78">
        <f>'DJB Daily Readings'!FL20</f>
        <v>6</v>
      </c>
      <c r="BQ12" s="78">
        <f>'DJB Daily Readings'!FN20</f>
        <v>4</v>
      </c>
      <c r="BR12" s="276">
        <f>'DJB Daily Readings'!FP20</f>
        <v>0.59999999999999432</v>
      </c>
      <c r="BS12" s="78">
        <f>'DJB Daily Readings'!FR20</f>
        <v>249.5</v>
      </c>
    </row>
    <row r="13" spans="1:72" x14ac:dyDescent="0.25">
      <c r="A13" t="s">
        <v>14</v>
      </c>
      <c r="B13">
        <f t="shared" si="0"/>
        <v>12</v>
      </c>
      <c r="C13">
        <v>3</v>
      </c>
      <c r="D13">
        <v>2023</v>
      </c>
      <c r="E13" s="74">
        <f>237*0.76</f>
        <v>180.12</v>
      </c>
      <c r="F13" s="75">
        <f>298+41</f>
        <v>339</v>
      </c>
      <c r="G13" s="3">
        <f>'DJB Daily Readings'!C21-'DJB Daily Readings'!C20</f>
        <v>684</v>
      </c>
      <c r="H13" s="3">
        <f>'DJB Daily Readings'!F21-'DJB Daily Readings'!F20</f>
        <v>506</v>
      </c>
      <c r="I13" s="3">
        <f>'DJB Daily Readings'!L20</f>
        <v>267</v>
      </c>
      <c r="J13" s="3">
        <f>'DJB Daily Readings'!N20</f>
        <v>0</v>
      </c>
      <c r="K13" s="3">
        <f>'DJB Daily Readings'!O21-'DJB Daily Readings'!O20</f>
        <v>119</v>
      </c>
      <c r="L13" s="3">
        <f>'DJB Daily Readings'!R21-'DJB Daily Readings'!R20</f>
        <v>15</v>
      </c>
      <c r="M13" s="3">
        <f>'DJB Daily Readings'!U21-'DJB Daily Readings'!U20</f>
        <v>2630.8800000008196</v>
      </c>
      <c r="N13" s="3">
        <f>'DJB Daily Readings'!X21-'DJB Daily Readings'!X20</f>
        <v>4530.9599999990314</v>
      </c>
      <c r="O13" s="3">
        <f>'DJB Daily Readings'!AA21-'DJB Daily Readings'!AA20</f>
        <v>9061.9199999999255</v>
      </c>
      <c r="P13" s="3">
        <f>'DJB Daily Readings'!AD21-'DJB Daily Readings'!AD20</f>
        <v>2094.9600000046194</v>
      </c>
      <c r="Q13" s="3">
        <f>'DJB Daily Readings'!AG21-'DJB Daily Readings'!AG20</f>
        <v>0</v>
      </c>
      <c r="R13" s="3">
        <f>'DJB Daily Readings'!AJ21-'DJB Daily Readings'!AJ20</f>
        <v>5261.7600000016391</v>
      </c>
      <c r="S13" s="3">
        <f>'DJB Daily Readings'!AM21-'DJB Daily Readings'!AM20</f>
        <v>3946.3199999984354</v>
      </c>
      <c r="T13" s="3">
        <f>'DJB Daily Readings'!AP21-'DJB Daily Readings'!AP20</f>
        <v>4433.519999999553</v>
      </c>
      <c r="U13" s="3">
        <f>'DJB Daily Readings'!AS21-'DJB Daily Readings'!AS20</f>
        <v>2971.9200000017881</v>
      </c>
      <c r="V13" s="3">
        <f>'DJB Daily Readings'!AV21-'DJB Daily Readings'!AV20</f>
        <v>5407.9199999980628</v>
      </c>
      <c r="W13" s="3">
        <f>'DJB Daily Readings'!AZ21-'DJB Daily Readings'!AZ20</f>
        <v>55400</v>
      </c>
      <c r="X13" s="3">
        <f>'DJB Daily Readings'!BC21-'DJB Daily Readings'!BC20</f>
        <v>5400</v>
      </c>
      <c r="Y13" s="3">
        <f>'DJB Daily Readings'!BF21-'DJB Daily Readings'!BF20</f>
        <v>0</v>
      </c>
      <c r="Z13" s="3">
        <f>('DJB Daily Readings'!CK21-'DJB Daily Readings'!CK20)*1.89</f>
        <v>153.09</v>
      </c>
      <c r="AA13" s="3">
        <f>('DJB Daily Readings'!CN21-'DJB Daily Readings'!CN20)*1.89</f>
        <v>221.13</v>
      </c>
      <c r="AB13" s="3">
        <f>('DJB Daily Readings'!CQ21-'DJB Daily Readings'!CQ20)*1.89</f>
        <v>221.13</v>
      </c>
      <c r="AC13" s="3">
        <f>'DJB Daily Readings'!CT21-'DJB Daily Readings'!CT20</f>
        <v>178</v>
      </c>
      <c r="AD13" s="80">
        <f>('DJB Daily Readings'!BY21-'DJB Daily Readings'!BY20)*1.89</f>
        <v>32.129999999999995</v>
      </c>
      <c r="AE13" s="80">
        <f>('DJB Daily Readings'!CA21-'DJB Daily Readings'!CA20)*1.89</f>
        <v>39.69</v>
      </c>
      <c r="AF13" s="80">
        <f>('DJB Daily Readings'!CC21-'DJB Daily Readings'!CC20)*1.89</f>
        <v>11.34</v>
      </c>
      <c r="AG13" s="80">
        <f>('DJB Daily Readings'!CE21-'DJB Daily Readings'!CE20)*1.89</f>
        <v>17.009999999999998</v>
      </c>
      <c r="AH13" s="80">
        <f>('DJB Daily Readings'!CG21-'DJB Daily Readings'!CG20)*1.89</f>
        <v>28.349999999999998</v>
      </c>
      <c r="AI13" s="80">
        <f>('DJB Daily Readings'!CI21-'DJB Daily Readings'!CI20)*1.89</f>
        <v>71.819999999999993</v>
      </c>
      <c r="AJ13" s="77">
        <f>'DJB Daily Readings'!CY21-'DJB Daily Readings'!CY20</f>
        <v>3</v>
      </c>
      <c r="AK13" s="77">
        <f>'DJB Daily Readings'!CW21-'DJB Daily Readings'!CW20</f>
        <v>3</v>
      </c>
      <c r="AL13" s="78">
        <f>'DJB Daily Readings'!DC21-'DJB Daily Readings'!DC20</f>
        <v>18</v>
      </c>
      <c r="AM13" s="78">
        <f>'DJB Daily Readings'!DA21-'DJB Daily Readings'!DA20</f>
        <v>21</v>
      </c>
      <c r="AN13" s="78">
        <f>'DJB Daily Readings'!DG21-'DJB Daily Readings'!DG20</f>
        <v>7</v>
      </c>
      <c r="AO13" s="78">
        <f>'DJB Daily Readings'!DE21-'DJB Daily Readings'!DE20</f>
        <v>8</v>
      </c>
      <c r="AP13" s="78">
        <f>'DJB Daily Readings'!DK21-'DJB Daily Readings'!DK20</f>
        <v>15</v>
      </c>
      <c r="AQ13" s="78">
        <f>'DJB Daily Readings'!DI21-'DJB Daily Readings'!DI20</f>
        <v>11</v>
      </c>
      <c r="AR13" s="78">
        <f>'DJB Daily Readings'!DO21-'DJB Daily Readings'!DO20</f>
        <v>10</v>
      </c>
      <c r="AS13" s="78">
        <f>'DJB Daily Readings'!DM21-'DJB Daily Readings'!DM20</f>
        <v>4</v>
      </c>
      <c r="AT13" s="78">
        <f>'DJB Daily Readings'!DQ21-'DJB Daily Readings'!DQ20</f>
        <v>9</v>
      </c>
      <c r="AU13" s="78">
        <f>('DJB Daily Readings'!DT21-'DJB Daily Readings'!DT20)*100</f>
        <v>1260.0000000000364</v>
      </c>
      <c r="AV13" s="78">
        <f>('DJB Daily Readings'!DV21-'DJB Daily Readings'!DV20)*100</f>
        <v>850</v>
      </c>
      <c r="AW13" s="78">
        <f>('DJB Daily Readings'!DX21-'DJB Daily Readings'!DX20)*100</f>
        <v>709.99999999994543</v>
      </c>
      <c r="AX13" s="78">
        <f>('DJB Daily Readings'!DZ21-'DJB Daily Readings'!DZ20)*100</f>
        <v>759.99999999994543</v>
      </c>
      <c r="AY13" s="78">
        <f>'DJB Daily Readings'!EB21-'DJB Daily Readings'!EB20</f>
        <v>635</v>
      </c>
      <c r="AZ13" s="78">
        <f>'DJB Daily Readings'!ED21-'DJB Daily Readings'!ED20</f>
        <v>175.5</v>
      </c>
      <c r="BA13" s="78">
        <f>'DJB Daily Readings'!EG21-'DJB Daily Readings'!EG20</f>
        <v>3700</v>
      </c>
      <c r="BB13" s="78">
        <f>'DJB Daily Readings'!EI21-'DJB Daily Readings'!EI20</f>
        <v>260</v>
      </c>
      <c r="BC13" s="78">
        <f>'DJB Daily Readings'!EQ21-'DJB Daily Readings'!EQ20</f>
        <v>4900</v>
      </c>
      <c r="BD13" s="78">
        <f>'DJB Daily Readings'!EK21-'DJB Daily Readings'!EK20</f>
        <v>1200</v>
      </c>
      <c r="BE13" s="78">
        <f>'DJB Daily Readings'!EM21-'DJB Daily Readings'!EM20</f>
        <v>500</v>
      </c>
      <c r="BF13" s="78">
        <f>'DJB Daily Readings'!EO21-'DJB Daily Readings'!EO20</f>
        <v>670</v>
      </c>
      <c r="BG13" s="78">
        <f>('DJB Daily Readings'!ET21-'DJB Daily Readings'!ET20)*1.89</f>
        <v>26.459999999999997</v>
      </c>
      <c r="BH13" s="78">
        <f>('DJB Daily Readings'!EV21-'DJB Daily Readings'!EV20)*1.89</f>
        <v>22.68</v>
      </c>
      <c r="BI13" s="78">
        <f>('DJB Daily Readings'!EZ21-'DJB Daily Readings'!EZ20)*1.89</f>
        <v>28.349999999999998</v>
      </c>
      <c r="BJ13" s="78">
        <f>('DJB Daily Readings'!EX21-'DJB Daily Readings'!EX20)*1.89</f>
        <v>22.68</v>
      </c>
      <c r="BK13" s="78">
        <f>('DJB Daily Readings'!FB21-'DJB Daily Readings'!FB20)*1.89</f>
        <v>60.48</v>
      </c>
      <c r="BL13" s="78">
        <f>'DJB Daily Readings'!J21</f>
        <v>255</v>
      </c>
      <c r="BM13" s="78">
        <f>'DJB Daily Readings'!FF21</f>
        <v>139.82499999999709</v>
      </c>
      <c r="BN13" s="78">
        <f>'DJB Daily Readings'!FH21</f>
        <v>7</v>
      </c>
      <c r="BO13" s="78">
        <f>'DJB Daily Readings'!FJ21</f>
        <v>4</v>
      </c>
      <c r="BP13" s="78">
        <f>'DJB Daily Readings'!FL21</f>
        <v>6</v>
      </c>
      <c r="BQ13" s="78">
        <f>'DJB Daily Readings'!FN21</f>
        <v>5</v>
      </c>
      <c r="BR13" s="276">
        <f>'DJB Daily Readings'!FP21</f>
        <v>4.9999999999982947E-2</v>
      </c>
      <c r="BS13" s="78">
        <f>'DJB Daily Readings'!FR21</f>
        <v>329.29999999998836</v>
      </c>
    </row>
    <row r="14" spans="1:72" x14ac:dyDescent="0.25">
      <c r="A14" t="s">
        <v>14</v>
      </c>
      <c r="B14">
        <f t="shared" si="0"/>
        <v>13</v>
      </c>
      <c r="C14">
        <v>3</v>
      </c>
      <c r="D14">
        <v>2023</v>
      </c>
      <c r="E14" s="74">
        <f>237*0.83</f>
        <v>196.70999999999998</v>
      </c>
      <c r="F14" s="75">
        <f>308+40</f>
        <v>348</v>
      </c>
      <c r="G14" s="3">
        <f>'DJB Daily Readings'!C22-'DJB Daily Readings'!C21</f>
        <v>624</v>
      </c>
      <c r="H14" s="3">
        <f>'DJB Daily Readings'!F22-'DJB Daily Readings'!F21</f>
        <v>467</v>
      </c>
      <c r="I14" s="3">
        <f>'DJB Daily Readings'!L21</f>
        <v>269</v>
      </c>
      <c r="J14" s="3">
        <f>'DJB Daily Readings'!N21</f>
        <v>0</v>
      </c>
      <c r="K14" s="3">
        <f>'DJB Daily Readings'!O22-'DJB Daily Readings'!O21</f>
        <v>116</v>
      </c>
      <c r="L14" s="3">
        <f>'DJB Daily Readings'!R22-'DJB Daily Readings'!R21</f>
        <v>9</v>
      </c>
      <c r="M14" s="3">
        <f>'DJB Daily Readings'!U22-'DJB Daily Readings'!U21</f>
        <v>2777.0400000009686</v>
      </c>
      <c r="N14" s="3">
        <f>'DJB Daily Readings'!X22-'DJB Daily Readings'!X21</f>
        <v>4579.679999999702</v>
      </c>
      <c r="O14" s="3">
        <f>'DJB Daily Readings'!AA22-'DJB Daily Readings'!AA21</f>
        <v>0</v>
      </c>
      <c r="P14" s="3">
        <f>'DJB Daily Readings'!AD22-'DJB Daily Readings'!AD21</f>
        <v>9500.3999999985099</v>
      </c>
      <c r="Q14" s="3">
        <f>'DJB Daily Readings'!AG22-'DJB Daily Readings'!AG21</f>
        <v>1412.8799999989569</v>
      </c>
      <c r="R14" s="3">
        <f>'DJB Daily Readings'!AJ22-'DJB Daily Readings'!AJ21</f>
        <v>5505.359999999404</v>
      </c>
      <c r="S14" s="3">
        <f>'DJB Daily Readings'!AM22-'DJB Daily Readings'!AM21</f>
        <v>3800.160000000149</v>
      </c>
      <c r="T14" s="3">
        <f>'DJB Daily Readings'!AP22-'DJB Daily Readings'!AP21</f>
        <v>4628.4000000003725</v>
      </c>
      <c r="U14" s="3">
        <f>'DJB Daily Readings'!AS22-'DJB Daily Readings'!AS21</f>
        <v>2728.3199999984354</v>
      </c>
      <c r="V14" s="3">
        <f>'DJB Daily Readings'!AV22-'DJB Daily Readings'!AV21</f>
        <v>5554.0800000019372</v>
      </c>
      <c r="W14" s="3">
        <f>'DJB Daily Readings'!AZ22-'DJB Daily Readings'!AZ21</f>
        <v>0</v>
      </c>
      <c r="X14" s="3">
        <f>'DJB Daily Readings'!BC22-'DJB Daily Readings'!BC21</f>
        <v>51900</v>
      </c>
      <c r="Y14" s="3">
        <f>'DJB Daily Readings'!BF22-'DJB Daily Readings'!BF21</f>
        <v>5900</v>
      </c>
      <c r="Z14" s="3">
        <f>('DJB Daily Readings'!CK22-'DJB Daily Readings'!CK21)*1.89</f>
        <v>153.09</v>
      </c>
      <c r="AA14" s="3">
        <f>('DJB Daily Readings'!CN22-'DJB Daily Readings'!CN21)*1.89</f>
        <v>181.44</v>
      </c>
      <c r="AB14" s="3">
        <f>('DJB Daily Readings'!CQ22-'DJB Daily Readings'!CQ21)*1.89</f>
        <v>308.07</v>
      </c>
      <c r="AC14" s="3">
        <f>'DJB Daily Readings'!CT22-'DJB Daily Readings'!CT21</f>
        <v>179</v>
      </c>
      <c r="AD14" s="80">
        <f>('DJB Daily Readings'!BY22-'DJB Daily Readings'!BY21)*1.89</f>
        <v>30.24</v>
      </c>
      <c r="AE14" s="80">
        <f>('DJB Daily Readings'!CA22-'DJB Daily Readings'!CA21)*1.89</f>
        <v>35.909999999999997</v>
      </c>
      <c r="AF14" s="80">
        <f>('DJB Daily Readings'!CC22-'DJB Daily Readings'!CC21)*1.89</f>
        <v>13.229999999999999</v>
      </c>
      <c r="AG14" s="80">
        <f>('DJB Daily Readings'!CE22-'DJB Daily Readings'!CE21)*1.89</f>
        <v>18.899999999999999</v>
      </c>
      <c r="AH14" s="80">
        <f>('DJB Daily Readings'!CG22-'DJB Daily Readings'!CG21)*1.89</f>
        <v>28.349999999999998</v>
      </c>
      <c r="AI14" s="80">
        <f>('DJB Daily Readings'!CI22-'DJB Daily Readings'!CI21)*1.89</f>
        <v>71.819999999999993</v>
      </c>
      <c r="AJ14" s="77">
        <f>'DJB Daily Readings'!CY22-'DJB Daily Readings'!CY21</f>
        <v>3</v>
      </c>
      <c r="AK14" s="77">
        <f>'DJB Daily Readings'!CW22-'DJB Daily Readings'!CW21</f>
        <v>3</v>
      </c>
      <c r="AL14" s="78">
        <f>'DJB Daily Readings'!DC22-'DJB Daily Readings'!DC21</f>
        <v>14</v>
      </c>
      <c r="AM14" s="78">
        <f>'DJB Daily Readings'!DA22-'DJB Daily Readings'!DA21</f>
        <v>17</v>
      </c>
      <c r="AN14" s="78">
        <f>'DJB Daily Readings'!DG22-'DJB Daily Readings'!DG21</f>
        <v>5</v>
      </c>
      <c r="AO14" s="78">
        <f>'DJB Daily Readings'!DE22-'DJB Daily Readings'!DE21</f>
        <v>7</v>
      </c>
      <c r="AP14" s="78">
        <f>'DJB Daily Readings'!DK22-'DJB Daily Readings'!DK21</f>
        <v>8</v>
      </c>
      <c r="AQ14" s="78">
        <f>'DJB Daily Readings'!DI22-'DJB Daily Readings'!DI21</f>
        <v>8</v>
      </c>
      <c r="AR14" s="78">
        <f>'DJB Daily Readings'!DO22-'DJB Daily Readings'!DO21</f>
        <v>8</v>
      </c>
      <c r="AS14" s="78">
        <f>'DJB Daily Readings'!DM22-'DJB Daily Readings'!DM21</f>
        <v>4</v>
      </c>
      <c r="AT14" s="78">
        <f>'DJB Daily Readings'!DQ22-'DJB Daily Readings'!DQ21</f>
        <v>6</v>
      </c>
      <c r="AU14" s="78">
        <f>('DJB Daily Readings'!DT22-'DJB Daily Readings'!DT21)*100</f>
        <v>869.99999999998181</v>
      </c>
      <c r="AV14" s="78">
        <f>('DJB Daily Readings'!DV22-'DJB Daily Readings'!DV21)*100</f>
        <v>839.99999999996362</v>
      </c>
      <c r="AW14" s="78">
        <f>('DJB Daily Readings'!DX22-'DJB Daily Readings'!DX21)*100</f>
        <v>450</v>
      </c>
      <c r="AX14" s="78">
        <f>('DJB Daily Readings'!DZ22-'DJB Daily Readings'!DZ21)*100</f>
        <v>650</v>
      </c>
      <c r="AY14" s="78">
        <f>'DJB Daily Readings'!EB22-'DJB Daily Readings'!EB21</f>
        <v>600</v>
      </c>
      <c r="AZ14" s="78">
        <f>'DJB Daily Readings'!ED22-'DJB Daily Readings'!ED21</f>
        <v>125.70000000001164</v>
      </c>
      <c r="BA14" s="78">
        <f>'DJB Daily Readings'!EG22-'DJB Daily Readings'!EG21</f>
        <v>4000</v>
      </c>
      <c r="BB14" s="78">
        <f>'DJB Daily Readings'!EI22-'DJB Daily Readings'!EI21</f>
        <v>280</v>
      </c>
      <c r="BC14" s="78">
        <f>'DJB Daily Readings'!EQ22-'DJB Daily Readings'!EQ21</f>
        <v>5600</v>
      </c>
      <c r="BD14" s="78">
        <f>'DJB Daily Readings'!EK22-'DJB Daily Readings'!EK21</f>
        <v>1300</v>
      </c>
      <c r="BE14" s="78">
        <f>'DJB Daily Readings'!EM22-'DJB Daily Readings'!EM21</f>
        <v>600</v>
      </c>
      <c r="BF14" s="78">
        <f>'DJB Daily Readings'!EO22-'DJB Daily Readings'!EO21</f>
        <v>680</v>
      </c>
      <c r="BG14" s="78">
        <f>('DJB Daily Readings'!ET22-'DJB Daily Readings'!ET21)*1.89</f>
        <v>28.349999999999998</v>
      </c>
      <c r="BH14" s="78">
        <f>('DJB Daily Readings'!EV22-'DJB Daily Readings'!EV21)*1.89</f>
        <v>20.79</v>
      </c>
      <c r="BI14" s="78">
        <f>('DJB Daily Readings'!EZ22-'DJB Daily Readings'!EZ21)*1.89</f>
        <v>26.459999999999997</v>
      </c>
      <c r="BJ14" s="78">
        <f>('DJB Daily Readings'!EX22-'DJB Daily Readings'!EX21)*1.89</f>
        <v>17.009999999999998</v>
      </c>
      <c r="BK14" s="78">
        <f>('DJB Daily Readings'!FB22-'DJB Daily Readings'!FB21)*1.89</f>
        <v>54.809999999999995</v>
      </c>
      <c r="BL14" s="78">
        <f>'DJB Daily Readings'!J22</f>
        <v>291</v>
      </c>
      <c r="BM14" s="78">
        <f>'DJB Daily Readings'!FF22</f>
        <v>116.8640000000014</v>
      </c>
      <c r="BN14" s="78">
        <f>'DJB Daily Readings'!FH22</f>
        <v>5</v>
      </c>
      <c r="BO14" s="78">
        <f>'DJB Daily Readings'!FJ22</f>
        <v>7</v>
      </c>
      <c r="BP14" s="78">
        <f>'DJB Daily Readings'!FL22</f>
        <v>6</v>
      </c>
      <c r="BQ14" s="78">
        <f>'DJB Daily Readings'!FN22</f>
        <v>4</v>
      </c>
      <c r="BR14" s="276">
        <f>'DJB Daily Readings'!FP22</f>
        <v>2.0000000000010232E-2</v>
      </c>
      <c r="BS14" s="78">
        <f>'DJB Daily Readings'!FR22</f>
        <v>211.20000000001164</v>
      </c>
    </row>
    <row r="15" spans="1:72" x14ac:dyDescent="0.25">
      <c r="A15" t="s">
        <v>14</v>
      </c>
      <c r="B15">
        <f t="shared" si="0"/>
        <v>14</v>
      </c>
      <c r="C15">
        <v>3</v>
      </c>
      <c r="D15">
        <v>2023</v>
      </c>
      <c r="E15" s="74">
        <f>237*0.78</f>
        <v>184.86</v>
      </c>
      <c r="F15" s="75">
        <f>296+28</f>
        <v>324</v>
      </c>
      <c r="G15" s="3">
        <f>'DJB Daily Readings'!C23-'DJB Daily Readings'!C22</f>
        <v>626</v>
      </c>
      <c r="H15" s="3">
        <f>'DJB Daily Readings'!F23-'DJB Daily Readings'!F22</f>
        <v>445</v>
      </c>
      <c r="I15" s="3">
        <f>'DJB Daily Readings'!L22</f>
        <v>269</v>
      </c>
      <c r="J15" s="3">
        <f>'DJB Daily Readings'!N22</f>
        <v>0</v>
      </c>
      <c r="K15" s="3">
        <f>'DJB Daily Readings'!O23-'DJB Daily Readings'!O22</f>
        <v>115</v>
      </c>
      <c r="L15" s="3">
        <f>'DJB Daily Readings'!R23-'DJB Daily Readings'!R22</f>
        <v>12</v>
      </c>
      <c r="M15" s="3">
        <f>'DJB Daily Readings'!U23-'DJB Daily Readings'!U22</f>
        <v>2728.3199999984354</v>
      </c>
      <c r="N15" s="3">
        <f>'DJB Daily Readings'!X23-'DJB Daily Readings'!X22</f>
        <v>4677.1199999991804</v>
      </c>
      <c r="O15" s="3">
        <f>'DJB Daily Readings'!AA23-'DJB Daily Readings'!AA22</f>
        <v>1412.8800000008196</v>
      </c>
      <c r="P15" s="3">
        <f>'DJB Daily Readings'!AD23-'DJB Daily Readings'!AD22</f>
        <v>682.08000000193715</v>
      </c>
      <c r="Q15" s="3">
        <f>'DJB Daily Readings'!AG23-'DJB Daily Readings'!AG22</f>
        <v>9354.2400000020862</v>
      </c>
      <c r="R15" s="3">
        <f>'DJB Daily Readings'!AJ23-'DJB Daily Readings'!AJ22</f>
        <v>5505.359999999404</v>
      </c>
      <c r="S15" s="3">
        <f>'DJB Daily Readings'!AM23-'DJB Daily Readings'!AM22</f>
        <v>3654</v>
      </c>
      <c r="T15" s="3">
        <f>'DJB Daily Readings'!AP23-'DJB Daily Readings'!AP22</f>
        <v>4287.3600000012666</v>
      </c>
      <c r="U15" s="3">
        <f>'DJB Daily Readings'!AS23-'DJB Daily Readings'!AS22</f>
        <v>3020.640000000596</v>
      </c>
      <c r="V15" s="3">
        <f>'DJB Daily Readings'!AV23-'DJB Daily Readings'!AV22</f>
        <v>5310.4799999967217</v>
      </c>
      <c r="W15" s="3">
        <f>'DJB Daily Readings'!AZ23-'DJB Daily Readings'!AZ22</f>
        <v>6000</v>
      </c>
      <c r="X15" s="3">
        <f>'DJB Daily Readings'!BC23-'DJB Daily Readings'!BC22</f>
        <v>0</v>
      </c>
      <c r="Y15" s="3">
        <f>'DJB Daily Readings'!BF23-'DJB Daily Readings'!BF22</f>
        <v>53200</v>
      </c>
      <c r="Z15" s="3">
        <f>('DJB Daily Readings'!CK23-'DJB Daily Readings'!CK22)*1.89</f>
        <v>151.19999999999999</v>
      </c>
      <c r="AA15" s="3">
        <f>('DJB Daily Readings'!CN23-'DJB Daily Readings'!CN22)*1.89</f>
        <v>217.35</v>
      </c>
      <c r="AB15" s="3">
        <f>('DJB Daily Readings'!CQ23-'DJB Daily Readings'!CQ22)*1.89</f>
        <v>181.44</v>
      </c>
      <c r="AC15" s="3">
        <f>'DJB Daily Readings'!CT23-'DJB Daily Readings'!CT22</f>
        <v>177</v>
      </c>
      <c r="AD15" s="80">
        <f>('DJB Daily Readings'!BY23-'DJB Daily Readings'!BY22)*1.89</f>
        <v>28.349999999999998</v>
      </c>
      <c r="AE15" s="80">
        <f>('DJB Daily Readings'!CA23-'DJB Daily Readings'!CA22)*1.89</f>
        <v>37.799999999999997</v>
      </c>
      <c r="AF15" s="80">
        <f>('DJB Daily Readings'!CC23-'DJB Daily Readings'!CC22)*1.89</f>
        <v>11.34</v>
      </c>
      <c r="AG15" s="80">
        <f>('DJB Daily Readings'!CE23-'DJB Daily Readings'!CE22)*1.89</f>
        <v>18.899999999999999</v>
      </c>
      <c r="AH15" s="80">
        <f>('DJB Daily Readings'!CG23-'DJB Daily Readings'!CG22)*1.89</f>
        <v>20.79</v>
      </c>
      <c r="AI15" s="80">
        <f>('DJB Daily Readings'!CI23-'DJB Daily Readings'!CI22)*1.89</f>
        <v>68.039999999999992</v>
      </c>
      <c r="AJ15" s="77">
        <f>'DJB Daily Readings'!CY23-'DJB Daily Readings'!CY22</f>
        <v>3</v>
      </c>
      <c r="AK15" s="77">
        <f>'DJB Daily Readings'!CW23-'DJB Daily Readings'!CW22</f>
        <v>3</v>
      </c>
      <c r="AL15" s="78">
        <f>'DJB Daily Readings'!DC23-'DJB Daily Readings'!DC22</f>
        <v>13</v>
      </c>
      <c r="AM15" s="78">
        <f>'DJB Daily Readings'!DA23-'DJB Daily Readings'!DA22</f>
        <v>17</v>
      </c>
      <c r="AN15" s="78">
        <f>'DJB Daily Readings'!DG23-'DJB Daily Readings'!DG22</f>
        <v>6</v>
      </c>
      <c r="AO15" s="78">
        <f>'DJB Daily Readings'!DE23-'DJB Daily Readings'!DE22</f>
        <v>8</v>
      </c>
      <c r="AP15" s="78">
        <f>'DJB Daily Readings'!DK23-'DJB Daily Readings'!DK22</f>
        <v>7</v>
      </c>
      <c r="AQ15" s="78">
        <f>'DJB Daily Readings'!DI23-'DJB Daily Readings'!DI22</f>
        <v>10</v>
      </c>
      <c r="AR15" s="78">
        <f>'DJB Daily Readings'!DO23-'DJB Daily Readings'!DO22</f>
        <v>8</v>
      </c>
      <c r="AS15" s="78">
        <f>'DJB Daily Readings'!DM23-'DJB Daily Readings'!DM22</f>
        <v>4</v>
      </c>
      <c r="AT15" s="78">
        <f>'DJB Daily Readings'!DQ23-'DJB Daily Readings'!DQ22</f>
        <v>7</v>
      </c>
      <c r="AU15" s="78">
        <f>('DJB Daily Readings'!DT23-'DJB Daily Readings'!DT22)*100</f>
        <v>990.00000000005457</v>
      </c>
      <c r="AV15" s="78">
        <f>('DJB Daily Readings'!DV23-'DJB Daily Readings'!DV22)*100</f>
        <v>820.00000000007276</v>
      </c>
      <c r="AW15" s="78">
        <f>('DJB Daily Readings'!DX23-'DJB Daily Readings'!DX22)*100</f>
        <v>530.00000000001819</v>
      </c>
      <c r="AX15" s="78">
        <f>('DJB Daily Readings'!DZ23-'DJB Daily Readings'!DZ22)*100</f>
        <v>680.00000000001819</v>
      </c>
      <c r="AY15" s="78">
        <f>'DJB Daily Readings'!EB23-'DJB Daily Readings'!EB22</f>
        <v>586</v>
      </c>
      <c r="AZ15" s="78">
        <f>'DJB Daily Readings'!ED23-'DJB Daily Readings'!ED22</f>
        <v>150.39999999999418</v>
      </c>
      <c r="BA15" s="78">
        <f>'DJB Daily Readings'!EG23-'DJB Daily Readings'!EG22</f>
        <v>3900</v>
      </c>
      <c r="BB15" s="78">
        <f>'DJB Daily Readings'!EI23-'DJB Daily Readings'!EI22</f>
        <v>280</v>
      </c>
      <c r="BC15" s="78">
        <f>'DJB Daily Readings'!EQ23-'DJB Daily Readings'!EQ22</f>
        <v>5700</v>
      </c>
      <c r="BD15" s="78">
        <f>'DJB Daily Readings'!EK23-'DJB Daily Readings'!EK22</f>
        <v>1200</v>
      </c>
      <c r="BE15" s="78">
        <f>'DJB Daily Readings'!EM23-'DJB Daily Readings'!EM22</f>
        <v>500</v>
      </c>
      <c r="BF15" s="78">
        <f>'DJB Daily Readings'!EO23-'DJB Daily Readings'!EO22</f>
        <v>640</v>
      </c>
      <c r="BG15" s="78">
        <f>('DJB Daily Readings'!ET23-'DJB Daily Readings'!ET22)*1.89</f>
        <v>28.349999999999998</v>
      </c>
      <c r="BH15" s="78">
        <f>('DJB Daily Readings'!EV23-'DJB Daily Readings'!EV22)*1.89</f>
        <v>20.79</v>
      </c>
      <c r="BI15" s="78">
        <f>('DJB Daily Readings'!EZ23-'DJB Daily Readings'!EZ22)*1.89</f>
        <v>30.24</v>
      </c>
      <c r="BJ15" s="78">
        <f>('DJB Daily Readings'!EX23-'DJB Daily Readings'!EX22)*1.89</f>
        <v>18.899999999999999</v>
      </c>
      <c r="BK15" s="78">
        <f>('DJB Daily Readings'!FB23-'DJB Daily Readings'!FB22)*1.89</f>
        <v>56.699999999999996</v>
      </c>
      <c r="BL15" s="78">
        <f>'DJB Daily Readings'!J23</f>
        <v>213</v>
      </c>
      <c r="BM15" s="78">
        <f>'DJB Daily Readings'!FF23</f>
        <v>132.22299999999814</v>
      </c>
      <c r="BN15" s="78">
        <f>'DJB Daily Readings'!FH23</f>
        <v>0</v>
      </c>
      <c r="BO15" s="78">
        <f>'DJB Daily Readings'!FJ23</f>
        <v>5</v>
      </c>
      <c r="BP15" s="78">
        <f>'DJB Daily Readings'!FL23</f>
        <v>6</v>
      </c>
      <c r="BQ15" s="78">
        <f>'DJB Daily Readings'!FN23</f>
        <v>4</v>
      </c>
      <c r="BR15" s="276">
        <f>'DJB Daily Readings'!FP23</f>
        <v>3.0000000000001137E-2</v>
      </c>
      <c r="BS15" s="78">
        <f>'DJB Daily Readings'!FR23</f>
        <v>238.09999999997672</v>
      </c>
    </row>
    <row r="16" spans="1:72" x14ac:dyDescent="0.25">
      <c r="A16" t="s">
        <v>14</v>
      </c>
      <c r="B16">
        <f t="shared" si="0"/>
        <v>15</v>
      </c>
      <c r="C16">
        <v>3</v>
      </c>
      <c r="D16">
        <v>2023</v>
      </c>
      <c r="E16" s="74">
        <f>237*0.93</f>
        <v>220.41000000000003</v>
      </c>
      <c r="F16" s="75">
        <f>342+31</f>
        <v>373</v>
      </c>
      <c r="G16" s="3">
        <f>'DJB Daily Readings'!C24-'DJB Daily Readings'!C23</f>
        <v>639</v>
      </c>
      <c r="H16" s="3">
        <f>'DJB Daily Readings'!F24-'DJB Daily Readings'!F23</f>
        <v>477</v>
      </c>
      <c r="I16" s="3">
        <f>'DJB Daily Readings'!L23</f>
        <v>259</v>
      </c>
      <c r="J16" s="3">
        <f>'DJB Daily Readings'!N23</f>
        <v>0</v>
      </c>
      <c r="K16" s="3">
        <f>'DJB Daily Readings'!O24-'DJB Daily Readings'!O23</f>
        <v>116</v>
      </c>
      <c r="L16" s="3">
        <f>'DJB Daily Readings'!R24-'DJB Daily Readings'!R23</f>
        <v>18</v>
      </c>
      <c r="M16" s="3">
        <f>'DJB Daily Readings'!U24-'DJB Daily Readings'!U23</f>
        <v>2777.0400000009686</v>
      </c>
      <c r="N16" s="3">
        <f>'DJB Daily Readings'!X24-'DJB Daily Readings'!X23</f>
        <v>4872</v>
      </c>
      <c r="O16" s="3">
        <f>'DJB Daily Readings'!AA24-'DJB Daily Readings'!AA23</f>
        <v>9451.6800000015646</v>
      </c>
      <c r="P16" s="3">
        <f>'DJB Daily Readings'!AD24-'DJB Daily Readings'!AD23</f>
        <v>2387.2799999974668</v>
      </c>
      <c r="Q16" s="3">
        <f>'DJB Daily Readings'!AG24-'DJB Daily Readings'!AG23</f>
        <v>292.31999999657273</v>
      </c>
      <c r="R16" s="3">
        <f>'DJB Daily Readings'!AJ24-'DJB Daily Readings'!AJ23</f>
        <v>5651.519999999553</v>
      </c>
      <c r="S16" s="3">
        <f>'DJB Daily Readings'!AM24-'DJB Daily Readings'!AM23</f>
        <v>3848.8800000008196</v>
      </c>
      <c r="T16" s="3">
        <f>'DJB Daily Readings'!AP24-'DJB Daily Readings'!AP23</f>
        <v>4530.9599999990314</v>
      </c>
      <c r="U16" s="3">
        <f>'DJB Daily Readings'!AS24-'DJB Daily Readings'!AS23</f>
        <v>2971.9199999999255</v>
      </c>
      <c r="V16" s="3">
        <f>'DJB Daily Readings'!AV24-'DJB Daily Readings'!AV23</f>
        <v>5651.5200000032783</v>
      </c>
      <c r="W16" s="3">
        <f>'DJB Daily Readings'!AZ24-'DJB Daily Readings'!AZ23</f>
        <v>57000</v>
      </c>
      <c r="X16" s="3">
        <f>'DJB Daily Readings'!BC24-'DJB Daily Readings'!BC23</f>
        <v>5500</v>
      </c>
      <c r="Y16" s="3">
        <f>'DJB Daily Readings'!BF24-'DJB Daily Readings'!BF23</f>
        <v>0</v>
      </c>
      <c r="Z16" s="3">
        <f>('DJB Daily Readings'!CK24-'DJB Daily Readings'!CK23)*1.89</f>
        <v>175.76999999999998</v>
      </c>
      <c r="AA16" s="3">
        <f>('DJB Daily Readings'!CN24-'DJB Daily Readings'!CN23)*1.89</f>
        <v>219.23999999999998</v>
      </c>
      <c r="AB16" s="3">
        <f>('DJB Daily Readings'!CQ24-'DJB Daily Readings'!CQ23)*1.89</f>
        <v>249.48</v>
      </c>
      <c r="AC16" s="3">
        <f>'DJB Daily Readings'!CT24-'DJB Daily Readings'!CT23</f>
        <v>194</v>
      </c>
      <c r="AD16" s="80">
        <f>('DJB Daily Readings'!BY24-'DJB Daily Readings'!BY23)*1.89</f>
        <v>28.349999999999998</v>
      </c>
      <c r="AE16" s="80">
        <f>('DJB Daily Readings'!CA24-'DJB Daily Readings'!CA23)*1.89</f>
        <v>39.69</v>
      </c>
      <c r="AF16" s="80">
        <f>('DJB Daily Readings'!CC24-'DJB Daily Readings'!CC23)*1.89</f>
        <v>15.12</v>
      </c>
      <c r="AG16" s="80">
        <f>('DJB Daily Readings'!CE24-'DJB Daily Readings'!CE23)*1.89</f>
        <v>17.009999999999998</v>
      </c>
      <c r="AH16" s="80">
        <f>('DJB Daily Readings'!CG24-'DJB Daily Readings'!CG23)*1.89</f>
        <v>20.79</v>
      </c>
      <c r="AI16" s="80">
        <f>('DJB Daily Readings'!CI24-'DJB Daily Readings'!CI23)*1.89</f>
        <v>69.929999999999993</v>
      </c>
      <c r="AJ16" s="77">
        <f>'DJB Daily Readings'!CY24-'DJB Daily Readings'!CY23</f>
        <v>5</v>
      </c>
      <c r="AK16" s="77">
        <f>'DJB Daily Readings'!CW24-'DJB Daily Readings'!CW23</f>
        <v>3</v>
      </c>
      <c r="AL16" s="78">
        <f>'DJB Daily Readings'!DC24-'DJB Daily Readings'!DC23</f>
        <v>12</v>
      </c>
      <c r="AM16" s="78">
        <f>'DJB Daily Readings'!DA24-'DJB Daily Readings'!DA23</f>
        <v>17</v>
      </c>
      <c r="AN16" s="78">
        <f>'DJB Daily Readings'!DG24-'DJB Daily Readings'!DG23</f>
        <v>6</v>
      </c>
      <c r="AO16" s="78">
        <f>'DJB Daily Readings'!DE24-'DJB Daily Readings'!DE23</f>
        <v>7</v>
      </c>
      <c r="AP16" s="78">
        <f>'DJB Daily Readings'!DK24-'DJB Daily Readings'!DK23</f>
        <v>15</v>
      </c>
      <c r="AQ16" s="78">
        <f>'DJB Daily Readings'!DI24-'DJB Daily Readings'!DI23</f>
        <v>7</v>
      </c>
      <c r="AR16" s="78">
        <f>'DJB Daily Readings'!DO24-'DJB Daily Readings'!DO23</f>
        <v>9</v>
      </c>
      <c r="AS16" s="78">
        <f>'DJB Daily Readings'!DM24-'DJB Daily Readings'!DM23</f>
        <v>4</v>
      </c>
      <c r="AT16" s="78">
        <f>'DJB Daily Readings'!DQ24-'DJB Daily Readings'!DQ23</f>
        <v>0</v>
      </c>
      <c r="AU16" s="78">
        <f>('DJB Daily Readings'!DT24-'DJB Daily Readings'!DT23)*100</f>
        <v>1029.9999999999272</v>
      </c>
      <c r="AV16" s="78">
        <f>('DJB Daily Readings'!DV24-'DJB Daily Readings'!DV23)*100</f>
        <v>910.00000000003638</v>
      </c>
      <c r="AW16" s="78">
        <f>('DJB Daily Readings'!DX24-'DJB Daily Readings'!DX23)*100</f>
        <v>580.00000000001819</v>
      </c>
      <c r="AX16" s="78">
        <f>('DJB Daily Readings'!DZ24-'DJB Daily Readings'!DZ23)*100</f>
        <v>700</v>
      </c>
      <c r="AY16" s="78">
        <f>'DJB Daily Readings'!EB24-'DJB Daily Readings'!EB23</f>
        <v>591</v>
      </c>
      <c r="AZ16" s="78">
        <f>'DJB Daily Readings'!ED24-'DJB Daily Readings'!ED23</f>
        <v>159.5</v>
      </c>
      <c r="BA16" s="78">
        <f>'DJB Daily Readings'!EG24-'DJB Daily Readings'!EG23</f>
        <v>3800</v>
      </c>
      <c r="BB16" s="78">
        <f>'DJB Daily Readings'!EI24-'DJB Daily Readings'!EI23</f>
        <v>300</v>
      </c>
      <c r="BC16" s="78">
        <f>'DJB Daily Readings'!EQ24-'DJB Daily Readings'!EQ23</f>
        <v>6100</v>
      </c>
      <c r="BD16" s="78">
        <f>'DJB Daily Readings'!EK24-'DJB Daily Readings'!EK23</f>
        <v>1400</v>
      </c>
      <c r="BE16" s="78">
        <f>'DJB Daily Readings'!EM24-'DJB Daily Readings'!EM23</f>
        <v>600</v>
      </c>
      <c r="BF16" s="78">
        <f>'DJB Daily Readings'!EO24-'DJB Daily Readings'!EO23</f>
        <v>670</v>
      </c>
      <c r="BG16" s="78">
        <f>('DJB Daily Readings'!ET24-'DJB Daily Readings'!ET23)*1.89</f>
        <v>30.24</v>
      </c>
      <c r="BH16" s="78">
        <f>('DJB Daily Readings'!EV24-'DJB Daily Readings'!EV23)*1.89</f>
        <v>22.68</v>
      </c>
      <c r="BI16" s="78">
        <f>('DJB Daily Readings'!EZ24-'DJB Daily Readings'!EZ23)*1.89</f>
        <v>28.349999999999998</v>
      </c>
      <c r="BJ16" s="78">
        <f>('DJB Daily Readings'!EX24-'DJB Daily Readings'!EX23)*1.89</f>
        <v>17.009999999999998</v>
      </c>
      <c r="BK16" s="78">
        <f>('DJB Daily Readings'!FB24-'DJB Daily Readings'!FB23)*1.89</f>
        <v>69.929999999999993</v>
      </c>
      <c r="BL16" s="78">
        <f>'DJB Daily Readings'!J24</f>
        <v>164</v>
      </c>
      <c r="BM16" s="78">
        <f>'DJB Daily Readings'!FF24</f>
        <v>135.26499999999942</v>
      </c>
      <c r="BN16" s="78">
        <f>'DJB Daily Readings'!FH24</f>
        <v>0</v>
      </c>
      <c r="BO16" s="78">
        <f>'DJB Daily Readings'!FJ24</f>
        <v>4</v>
      </c>
      <c r="BP16" s="78">
        <f>'DJB Daily Readings'!FL24</f>
        <v>3</v>
      </c>
      <c r="BQ16" s="78">
        <f>'DJB Daily Readings'!FN24</f>
        <v>3</v>
      </c>
      <c r="BR16" s="276">
        <f>'DJB Daily Readings'!FP24</f>
        <v>5.0000000000011369E-2</v>
      </c>
      <c r="BS16" s="78">
        <f>'DJB Daily Readings'!FR24</f>
        <v>287.20000000001164</v>
      </c>
    </row>
    <row r="17" spans="1:71" x14ac:dyDescent="0.25">
      <c r="A17" t="s">
        <v>14</v>
      </c>
      <c r="B17">
        <f t="shared" si="0"/>
        <v>16</v>
      </c>
      <c r="C17">
        <v>3</v>
      </c>
      <c r="D17">
        <v>2023</v>
      </c>
      <c r="E17" s="74">
        <f>237*0.94</f>
        <v>222.78</v>
      </c>
      <c r="F17" s="75">
        <f>364+34</f>
        <v>398</v>
      </c>
      <c r="G17" s="3">
        <f>'DJB Daily Readings'!C25-'DJB Daily Readings'!C24</f>
        <v>627</v>
      </c>
      <c r="H17" s="3">
        <f>'DJB Daily Readings'!F25-'DJB Daily Readings'!F24</f>
        <v>451</v>
      </c>
      <c r="I17" s="3">
        <f>'DJB Daily Readings'!L24</f>
        <v>114</v>
      </c>
      <c r="J17" s="3">
        <f>'DJB Daily Readings'!N24</f>
        <v>0</v>
      </c>
      <c r="K17" s="3">
        <f>'DJB Daily Readings'!O25-'DJB Daily Readings'!O24</f>
        <v>122</v>
      </c>
      <c r="L17" s="3">
        <f>'DJB Daily Readings'!R25-'DJB Daily Readings'!R24</f>
        <v>17</v>
      </c>
      <c r="M17" s="3">
        <f>'DJB Daily Readings'!U25-'DJB Daily Readings'!U24</f>
        <v>2679.5999999996275</v>
      </c>
      <c r="N17" s="3">
        <f>'DJB Daily Readings'!X25-'DJB Daily Readings'!X24</f>
        <v>4482.2400000020862</v>
      </c>
      <c r="O17" s="3">
        <f>'DJB Daily Readings'!AA25-'DJB Daily Readings'!AA24</f>
        <v>0</v>
      </c>
      <c r="P17" s="3">
        <f>'DJB Daily Readings'!AD25-'DJB Daily Readings'!AD24</f>
        <v>10377.359999999404</v>
      </c>
      <c r="Q17" s="3">
        <f>'DJB Daily Readings'!AG25-'DJB Daily Readings'!AG24</f>
        <v>1851.3600000031292</v>
      </c>
      <c r="R17" s="3">
        <f>'DJB Daily Readings'!AJ25-'DJB Daily Readings'!AJ24</f>
        <v>5164.320000000298</v>
      </c>
      <c r="S17" s="3">
        <f>'DJB Daily Readings'!AM25-'DJB Daily Readings'!AM24</f>
        <v>3848.8799999989569</v>
      </c>
      <c r="T17" s="3">
        <f>'DJB Daily Readings'!AP25-'DJB Daily Readings'!AP24</f>
        <v>4482.2400000002235</v>
      </c>
      <c r="U17" s="3">
        <f>'DJB Daily Readings'!AS25-'DJB Daily Readings'!AS24</f>
        <v>2971.9200000017881</v>
      </c>
      <c r="V17" s="3">
        <f>'DJB Daily Readings'!AV25-'DJB Daily Readings'!AV24</f>
        <v>5407.9199999980628</v>
      </c>
      <c r="W17" s="3">
        <f>'DJB Daily Readings'!AZ25-'DJB Daily Readings'!AZ24</f>
        <v>0</v>
      </c>
      <c r="X17" s="3">
        <f>'DJB Daily Readings'!BC25-'DJB Daily Readings'!BC24</f>
        <v>58600</v>
      </c>
      <c r="Y17" s="3">
        <f>'DJB Daily Readings'!BF25-'DJB Daily Readings'!BF24</f>
        <v>6600</v>
      </c>
      <c r="Z17" s="3">
        <f>('DJB Daily Readings'!CK25-'DJB Daily Readings'!CK24)*1.89</f>
        <v>143.63999999999999</v>
      </c>
      <c r="AA17" s="3">
        <f>('DJB Daily Readings'!CN25-'DJB Daily Readings'!CN24)*1.89</f>
        <v>228.69</v>
      </c>
      <c r="AB17" s="3">
        <f>('DJB Daily Readings'!CQ25-'DJB Daily Readings'!CQ24)*1.89</f>
        <v>190.89</v>
      </c>
      <c r="AC17" s="3">
        <f>'DJB Daily Readings'!CT25-'DJB Daily Readings'!CT24</f>
        <v>173</v>
      </c>
      <c r="AD17" s="80">
        <f>('DJB Daily Readings'!BY25-'DJB Daily Readings'!BY24)*1.89</f>
        <v>32.129999999999995</v>
      </c>
      <c r="AE17" s="80">
        <f>('DJB Daily Readings'!CA25-'DJB Daily Readings'!CA24)*1.89</f>
        <v>37.799999999999997</v>
      </c>
      <c r="AF17" s="80">
        <f>('DJB Daily Readings'!CC25-'DJB Daily Readings'!CC24)*1.89</f>
        <v>11.34</v>
      </c>
      <c r="AG17" s="80">
        <f>('DJB Daily Readings'!CE25-'DJB Daily Readings'!CE24)*1.89</f>
        <v>18.899999999999999</v>
      </c>
      <c r="AH17" s="80">
        <f>('DJB Daily Readings'!CG25-'DJB Daily Readings'!CG24)*1.89</f>
        <v>18.899999999999999</v>
      </c>
      <c r="AI17" s="80">
        <f>('DJB Daily Readings'!CI25-'DJB Daily Readings'!CI24)*1.89</f>
        <v>64.259999999999991</v>
      </c>
      <c r="AJ17" s="77">
        <f>'DJB Daily Readings'!CY25-'DJB Daily Readings'!CY24</f>
        <v>3</v>
      </c>
      <c r="AK17" s="77">
        <f>'DJB Daily Readings'!CW25-'DJB Daily Readings'!CW24</f>
        <v>3</v>
      </c>
      <c r="AL17" s="78">
        <f>'DJB Daily Readings'!DC25-'DJB Daily Readings'!DC24</f>
        <v>12</v>
      </c>
      <c r="AM17" s="78">
        <f>'DJB Daily Readings'!DA25-'DJB Daily Readings'!DA24</f>
        <v>16</v>
      </c>
      <c r="AN17" s="78">
        <f>'DJB Daily Readings'!DG25-'DJB Daily Readings'!DG24</f>
        <v>7</v>
      </c>
      <c r="AO17" s="78">
        <f>'DJB Daily Readings'!DE25-'DJB Daily Readings'!DE24</f>
        <v>7</v>
      </c>
      <c r="AP17" s="78">
        <f>'DJB Daily Readings'!DK25-'DJB Daily Readings'!DK24</f>
        <v>3</v>
      </c>
      <c r="AQ17" s="78">
        <f>'DJB Daily Readings'!DI25-'DJB Daily Readings'!DI24</f>
        <v>9</v>
      </c>
      <c r="AR17" s="78">
        <f>'DJB Daily Readings'!DO25-'DJB Daily Readings'!DO24</f>
        <v>9</v>
      </c>
      <c r="AS17" s="78">
        <f>'DJB Daily Readings'!DM25-'DJB Daily Readings'!DM24</f>
        <v>4</v>
      </c>
      <c r="AT17" s="78">
        <f>'DJB Daily Readings'!DQ25-'DJB Daily Readings'!DQ24</f>
        <v>6</v>
      </c>
      <c r="AU17" s="78">
        <f>('DJB Daily Readings'!DT25-'DJB Daily Readings'!DT24)*100</f>
        <v>990.00000000005457</v>
      </c>
      <c r="AV17" s="78">
        <f>('DJB Daily Readings'!DV25-'DJB Daily Readings'!DV24)*100</f>
        <v>789.99999999996362</v>
      </c>
      <c r="AW17" s="78">
        <f>('DJB Daily Readings'!DX25-'DJB Daily Readings'!DX24)*100</f>
        <v>519.99999999998181</v>
      </c>
      <c r="AX17" s="78">
        <f>('DJB Daily Readings'!DZ25-'DJB Daily Readings'!DZ24)*100</f>
        <v>660.00000000003638</v>
      </c>
      <c r="AY17" s="78">
        <f>'DJB Daily Readings'!EB25-'DJB Daily Readings'!EB24</f>
        <v>621</v>
      </c>
      <c r="AZ17" s="78">
        <f>'DJB Daily Readings'!ED25-'DJB Daily Readings'!ED24</f>
        <v>142.20000000001164</v>
      </c>
      <c r="BA17" s="78">
        <f>'DJB Daily Readings'!EG25-'DJB Daily Readings'!EG24</f>
        <v>3900</v>
      </c>
      <c r="BB17" s="78">
        <f>'DJB Daily Readings'!EI25-'DJB Daily Readings'!EI24</f>
        <v>300</v>
      </c>
      <c r="BC17" s="78">
        <f>'DJB Daily Readings'!EQ25-'DJB Daily Readings'!EQ24</f>
        <v>5600</v>
      </c>
      <c r="BD17" s="78">
        <f>'DJB Daily Readings'!EK25-'DJB Daily Readings'!EK24</f>
        <v>1300</v>
      </c>
      <c r="BE17" s="78">
        <f>'DJB Daily Readings'!EM25-'DJB Daily Readings'!EM24</f>
        <v>600</v>
      </c>
      <c r="BF17" s="78">
        <f>'DJB Daily Readings'!EO25-'DJB Daily Readings'!EO24</f>
        <v>670</v>
      </c>
      <c r="BG17" s="78">
        <f>('DJB Daily Readings'!ET25-'DJB Daily Readings'!ET24)*1.89</f>
        <v>26.459999999999997</v>
      </c>
      <c r="BH17" s="78">
        <f>('DJB Daily Readings'!EV25-'DJB Daily Readings'!EV24)*1.89</f>
        <v>20.79</v>
      </c>
      <c r="BI17" s="78">
        <f>('DJB Daily Readings'!EZ25-'DJB Daily Readings'!EZ24)*1.89</f>
        <v>32.129999999999995</v>
      </c>
      <c r="BJ17" s="78">
        <f>('DJB Daily Readings'!EX25-'DJB Daily Readings'!EX24)*1.89</f>
        <v>17.009999999999998</v>
      </c>
      <c r="BK17" s="78">
        <f>('DJB Daily Readings'!FB25-'DJB Daily Readings'!FB24)*1.89</f>
        <v>58.589999999999996</v>
      </c>
      <c r="BL17" s="78">
        <f>'DJB Daily Readings'!J25</f>
        <v>261</v>
      </c>
      <c r="BM17" s="78">
        <f>'DJB Daily Readings'!FF25</f>
        <v>127.27500000000873</v>
      </c>
      <c r="BN17" s="78">
        <f>'DJB Daily Readings'!FH25</f>
        <v>9</v>
      </c>
      <c r="BO17" s="78">
        <f>'DJB Daily Readings'!FJ25</f>
        <v>5</v>
      </c>
      <c r="BP17" s="78">
        <f>'DJB Daily Readings'!FL25</f>
        <v>5</v>
      </c>
      <c r="BQ17" s="78">
        <f>'DJB Daily Readings'!FN25</f>
        <v>4</v>
      </c>
      <c r="BR17" s="276">
        <f>'DJB Daily Readings'!FP25</f>
        <v>3.9999999999992042E-2</v>
      </c>
      <c r="BS17" s="78">
        <f>'DJB Daily Readings'!FR25</f>
        <v>247.59999999997672</v>
      </c>
    </row>
    <row r="18" spans="1:71" x14ac:dyDescent="0.25">
      <c r="A18" t="s">
        <v>14</v>
      </c>
      <c r="B18">
        <f t="shared" si="0"/>
        <v>17</v>
      </c>
      <c r="C18">
        <v>3</v>
      </c>
      <c r="D18">
        <v>2023</v>
      </c>
      <c r="E18" s="74">
        <f>237*0.96</f>
        <v>227.51999999999998</v>
      </c>
      <c r="F18" s="75">
        <f>381+46</f>
        <v>427</v>
      </c>
      <c r="G18" s="3">
        <f>'DJB Daily Readings'!C26-'DJB Daily Readings'!C25</f>
        <v>691</v>
      </c>
      <c r="H18" s="3">
        <f>'DJB Daily Readings'!F26-'DJB Daily Readings'!F25</f>
        <v>533</v>
      </c>
      <c r="I18" s="3">
        <f>'DJB Daily Readings'!L25</f>
        <v>267</v>
      </c>
      <c r="J18" s="3">
        <f>'DJB Daily Readings'!N25</f>
        <v>0</v>
      </c>
      <c r="K18" s="3">
        <f>'DJB Daily Readings'!O26-'DJB Daily Readings'!O25</f>
        <v>107</v>
      </c>
      <c r="L18" s="3">
        <f>'DJB Daily Readings'!R26-'DJB Daily Readings'!R25</f>
        <v>15</v>
      </c>
      <c r="M18" s="3">
        <f>'DJB Daily Readings'!U26-'DJB Daily Readings'!U25</f>
        <v>2728.320000000298</v>
      </c>
      <c r="N18" s="3">
        <f>'DJB Daily Readings'!X26-'DJB Daily Readings'!X25</f>
        <v>4872</v>
      </c>
      <c r="O18" s="3">
        <f>'DJB Daily Readings'!AA26-'DJB Daily Readings'!AA25</f>
        <v>1315.4399999976158</v>
      </c>
      <c r="P18" s="3">
        <f>'DJB Daily Readings'!AD26-'DJB Daily Readings'!AD25</f>
        <v>730.80000000074506</v>
      </c>
      <c r="Q18" s="3">
        <f>'DJB Daily Readings'!AG26-'DJB Daily Readings'!AG25</f>
        <v>9500.3999999985099</v>
      </c>
      <c r="R18" s="3">
        <f>'DJB Daily Readings'!AJ26-'DJB Daily Readings'!AJ25</f>
        <v>5554.0800000019372</v>
      </c>
      <c r="S18" s="3">
        <f>'DJB Daily Readings'!AM26-'DJB Daily Readings'!AM25</f>
        <v>4189.9199999999255</v>
      </c>
      <c r="T18" s="3">
        <f>'DJB Daily Readings'!AP26-'DJB Daily Readings'!AP25</f>
        <v>4725.839999999851</v>
      </c>
      <c r="U18" s="3">
        <f>'DJB Daily Readings'!AS26-'DJB Daily Readings'!AS25</f>
        <v>3264.2399999983609</v>
      </c>
      <c r="V18" s="3">
        <f>'DJB Daily Readings'!AV26-'DJB Daily Readings'!AV25</f>
        <v>5895.1200000010431</v>
      </c>
      <c r="W18" s="3">
        <f>'DJB Daily Readings'!AZ26-'DJB Daily Readings'!AZ25</f>
        <v>5400</v>
      </c>
      <c r="X18" s="3">
        <f>'DJB Daily Readings'!BC26-'DJB Daily Readings'!BC25</f>
        <v>0</v>
      </c>
      <c r="Y18" s="3">
        <f>'DJB Daily Readings'!BF26-'DJB Daily Readings'!BF25</f>
        <v>53300</v>
      </c>
      <c r="Z18" s="3">
        <f>('DJB Daily Readings'!CK26-'DJB Daily Readings'!CK25)*1.89</f>
        <v>154.97999999999999</v>
      </c>
      <c r="AA18" s="3">
        <f>('DJB Daily Readings'!CN26-'DJB Daily Readings'!CN25)*1.89</f>
        <v>260.82</v>
      </c>
      <c r="AB18" s="3">
        <f>('DJB Daily Readings'!CQ26-'DJB Daily Readings'!CQ25)*1.89</f>
        <v>385.56</v>
      </c>
      <c r="AC18" s="3">
        <f>'DJB Daily Readings'!CT26-'DJB Daily Readings'!CT25</f>
        <v>186</v>
      </c>
      <c r="AD18" s="80">
        <f>('DJB Daily Readings'!BY26-'DJB Daily Readings'!BY25)*1.89</f>
        <v>35.909999999999997</v>
      </c>
      <c r="AE18" s="80">
        <f>('DJB Daily Readings'!CA26-'DJB Daily Readings'!CA25)*1.89</f>
        <v>41.58</v>
      </c>
      <c r="AF18" s="80">
        <f>('DJB Daily Readings'!CC26-'DJB Daily Readings'!CC25)*1.89</f>
        <v>13.229999999999999</v>
      </c>
      <c r="AG18" s="80">
        <f>('DJB Daily Readings'!CE26-'DJB Daily Readings'!CE25)*1.89</f>
        <v>17.009999999999998</v>
      </c>
      <c r="AH18" s="80">
        <f>('DJB Daily Readings'!CG26-'DJB Daily Readings'!CG25)*1.89</f>
        <v>20.79</v>
      </c>
      <c r="AI18" s="80">
        <f>('DJB Daily Readings'!CI26-'DJB Daily Readings'!CI25)*1.89</f>
        <v>54.809999999999995</v>
      </c>
      <c r="AJ18" s="77">
        <f>'DJB Daily Readings'!CY26-'DJB Daily Readings'!CY25</f>
        <v>3</v>
      </c>
      <c r="AK18" s="77">
        <f>'DJB Daily Readings'!CW26-'DJB Daily Readings'!CW25</f>
        <v>4</v>
      </c>
      <c r="AL18" s="78">
        <f>'DJB Daily Readings'!DC26-'DJB Daily Readings'!DC25</f>
        <v>14</v>
      </c>
      <c r="AM18" s="78">
        <f>'DJB Daily Readings'!DA26-'DJB Daily Readings'!DA25</f>
        <v>19</v>
      </c>
      <c r="AN18" s="78">
        <f>'DJB Daily Readings'!DG26-'DJB Daily Readings'!DG25</f>
        <v>8</v>
      </c>
      <c r="AO18" s="78">
        <f>'DJB Daily Readings'!DE26-'DJB Daily Readings'!DE25</f>
        <v>8</v>
      </c>
      <c r="AP18" s="78">
        <f>'DJB Daily Readings'!DK26-'DJB Daily Readings'!DK25</f>
        <v>11</v>
      </c>
      <c r="AQ18" s="78">
        <f>'DJB Daily Readings'!DI26-'DJB Daily Readings'!DI25</f>
        <v>10</v>
      </c>
      <c r="AR18" s="78">
        <f>'DJB Daily Readings'!DO26-'DJB Daily Readings'!DO25</f>
        <v>9</v>
      </c>
      <c r="AS18" s="78">
        <f>'DJB Daily Readings'!DM26-'DJB Daily Readings'!DM25</f>
        <v>5</v>
      </c>
      <c r="AT18" s="78">
        <f>'DJB Daily Readings'!DQ26-'DJB Daily Readings'!DQ25</f>
        <v>0</v>
      </c>
      <c r="AU18" s="78">
        <f>('DJB Daily Readings'!DT26-'DJB Daily Readings'!DT25)*100</f>
        <v>1069.9999999999818</v>
      </c>
      <c r="AV18" s="78">
        <f>('DJB Daily Readings'!DV26-'DJB Daily Readings'!DV25)*100</f>
        <v>889.99999999996362</v>
      </c>
      <c r="AW18" s="78">
        <f>('DJB Daily Readings'!DX26-'DJB Daily Readings'!DX25)*100</f>
        <v>589.99999999996362</v>
      </c>
      <c r="AX18" s="78">
        <f>('DJB Daily Readings'!DZ26-'DJB Daily Readings'!DZ25)*100</f>
        <v>800</v>
      </c>
      <c r="AY18" s="78">
        <f>'DJB Daily Readings'!EB26-'DJB Daily Readings'!EB25</f>
        <v>653</v>
      </c>
      <c r="AZ18" s="78">
        <f>'DJB Daily Readings'!ED26-'DJB Daily Readings'!ED25</f>
        <v>156.29999999998836</v>
      </c>
      <c r="BA18" s="78">
        <f>'DJB Daily Readings'!EG26-'DJB Daily Readings'!EG25</f>
        <v>4400</v>
      </c>
      <c r="BB18" s="78">
        <f>'DJB Daily Readings'!EI26-'DJB Daily Readings'!EI25</f>
        <v>310</v>
      </c>
      <c r="BC18" s="78">
        <f>'DJB Daily Readings'!EQ26-'DJB Daily Readings'!EQ25</f>
        <v>6100</v>
      </c>
      <c r="BD18" s="78">
        <f>'DJB Daily Readings'!EK26-'DJB Daily Readings'!EK25</f>
        <v>1700</v>
      </c>
      <c r="BE18" s="78">
        <f>'DJB Daily Readings'!EM26-'DJB Daily Readings'!EM25</f>
        <v>500</v>
      </c>
      <c r="BF18" s="78">
        <f>'DJB Daily Readings'!EO26-'DJB Daily Readings'!EO25</f>
        <v>750</v>
      </c>
      <c r="BG18" s="78">
        <f>('DJB Daily Readings'!ET26-'DJB Daily Readings'!ET25)*1.89</f>
        <v>32.129999999999995</v>
      </c>
      <c r="BH18" s="78">
        <f>('DJB Daily Readings'!EV26-'DJB Daily Readings'!EV25)*1.89</f>
        <v>22.68</v>
      </c>
      <c r="BI18" s="78">
        <f>('DJB Daily Readings'!EZ26-'DJB Daily Readings'!EZ25)*1.89</f>
        <v>30.24</v>
      </c>
      <c r="BJ18" s="78">
        <f>('DJB Daily Readings'!EX26-'DJB Daily Readings'!EX25)*1.89</f>
        <v>24.57</v>
      </c>
      <c r="BK18" s="78">
        <f>('DJB Daily Readings'!FB26-'DJB Daily Readings'!FB25)*1.89</f>
        <v>68.039999999999992</v>
      </c>
      <c r="BL18" s="78">
        <f>'DJB Daily Readings'!J26</f>
        <v>151</v>
      </c>
      <c r="BM18" s="78">
        <f>'DJB Daily Readings'!FF26</f>
        <v>149.18600000000151</v>
      </c>
      <c r="BN18" s="78">
        <f>'DJB Daily Readings'!FH26</f>
        <v>0</v>
      </c>
      <c r="BO18" s="78">
        <f>'DJB Daily Readings'!FJ26</f>
        <v>10</v>
      </c>
      <c r="BP18" s="78">
        <f>'DJB Daily Readings'!FL26</f>
        <v>3</v>
      </c>
      <c r="BQ18" s="78">
        <f>'DJB Daily Readings'!FN26</f>
        <v>0</v>
      </c>
      <c r="BR18" s="276">
        <f>'DJB Daily Readings'!FP26</f>
        <v>0.50999999999999091</v>
      </c>
      <c r="BS18" s="78">
        <f>'DJB Daily Readings'!FR26</f>
        <v>160.40000000002328</v>
      </c>
    </row>
    <row r="19" spans="1:71" x14ac:dyDescent="0.25">
      <c r="A19" t="s">
        <v>14</v>
      </c>
      <c r="B19">
        <f t="shared" si="0"/>
        <v>18</v>
      </c>
      <c r="C19">
        <v>3</v>
      </c>
      <c r="D19">
        <v>2023</v>
      </c>
      <c r="E19" s="74">
        <f>237*0.91</f>
        <v>215.67000000000002</v>
      </c>
      <c r="F19" s="75">
        <f>357+57</f>
        <v>414</v>
      </c>
      <c r="G19" s="3">
        <f>'DJB Daily Readings'!C27-'DJB Daily Readings'!C26</f>
        <v>616</v>
      </c>
      <c r="H19" s="3">
        <f>'DJB Daily Readings'!F27-'DJB Daily Readings'!F26</f>
        <v>543</v>
      </c>
      <c r="I19" s="3">
        <f>'DJB Daily Readings'!L26</f>
        <v>130</v>
      </c>
      <c r="J19" s="3">
        <f>'DJB Daily Readings'!N26</f>
        <v>0</v>
      </c>
      <c r="K19" s="3">
        <f>'DJB Daily Readings'!O27-'DJB Daily Readings'!O26</f>
        <v>100</v>
      </c>
      <c r="L19" s="3">
        <f>'DJB Daily Readings'!R27-'DJB Daily Readings'!R26</f>
        <v>12</v>
      </c>
      <c r="M19" s="3">
        <f>'DJB Daily Readings'!U27-'DJB Daily Readings'!U26</f>
        <v>2289.839999999851</v>
      </c>
      <c r="N19" s="3">
        <f>'DJB Daily Readings'!X27-'DJB Daily Readings'!X26</f>
        <v>4920.7200000006706</v>
      </c>
      <c r="O19" s="3">
        <f>'DJB Daily Readings'!AA27-'DJB Daily Readings'!AA26</f>
        <v>9256.8000000007451</v>
      </c>
      <c r="P19" s="3">
        <f>'DJB Daily Readings'!AD27-'DJB Daily Readings'!AD26</f>
        <v>2338.5600000023842</v>
      </c>
      <c r="Q19" s="3">
        <f>'DJB Daily Readings'!AG27-'DJB Daily Readings'!AG26</f>
        <v>0</v>
      </c>
      <c r="R19" s="3">
        <f>'DJB Daily Readings'!AJ27-'DJB Daily Readings'!AJ26</f>
        <v>5700.2400000020862</v>
      </c>
      <c r="S19" s="3">
        <f>'DJB Daily Readings'!AM27-'DJB Daily Readings'!AM26</f>
        <v>4287.3600000012666</v>
      </c>
      <c r="T19" s="3">
        <f>'DJB Daily Readings'!AP27-'DJB Daily Readings'!AP26</f>
        <v>5115.5999999996275</v>
      </c>
      <c r="U19" s="3">
        <f>'DJB Daily Readings'!AS27-'DJB Daily Readings'!AS26</f>
        <v>3166.7999999988824</v>
      </c>
      <c r="V19" s="3">
        <f>'DJB Daily Readings'!AV27-'DJB Daily Readings'!AV26</f>
        <v>6382.3199999965727</v>
      </c>
      <c r="W19" s="3">
        <f>'DJB Daily Readings'!AZ27-'DJB Daily Readings'!AZ26</f>
        <v>51000</v>
      </c>
      <c r="X19" s="3">
        <f>'DJB Daily Readings'!BC27-'DJB Daily Readings'!BC26</f>
        <v>4800</v>
      </c>
      <c r="Y19" s="3">
        <f>'DJB Daily Readings'!BF27-'DJB Daily Readings'!BF26</f>
        <v>0</v>
      </c>
      <c r="Z19" s="3">
        <f>('DJB Daily Readings'!CK27-'DJB Daily Readings'!CK26)*1.89</f>
        <v>158.76</v>
      </c>
      <c r="AA19" s="3">
        <f>('DJB Daily Readings'!CN27-'DJB Daily Readings'!CN26)*1.89</f>
        <v>268.38</v>
      </c>
      <c r="AB19" s="3">
        <f>('DJB Daily Readings'!CQ27-'DJB Daily Readings'!CQ26)*1.89</f>
        <v>355.32</v>
      </c>
      <c r="AC19" s="3">
        <f>'DJB Daily Readings'!CT27-'DJB Daily Readings'!CT26</f>
        <v>191</v>
      </c>
      <c r="AD19" s="80">
        <f>('DJB Daily Readings'!BY27-'DJB Daily Readings'!BY26)*1.89</f>
        <v>37.799999999999997</v>
      </c>
      <c r="AE19" s="80">
        <f>('DJB Daily Readings'!CA27-'DJB Daily Readings'!CA26)*1.89</f>
        <v>41.58</v>
      </c>
      <c r="AF19" s="80">
        <f>('DJB Daily Readings'!CC27-'DJB Daily Readings'!CC26)*1.89</f>
        <v>13.229999999999999</v>
      </c>
      <c r="AG19" s="80">
        <f>('DJB Daily Readings'!CE27-'DJB Daily Readings'!CE26)*1.89</f>
        <v>20.79</v>
      </c>
      <c r="AH19" s="80">
        <f>('DJB Daily Readings'!CG27-'DJB Daily Readings'!CG26)*1.89</f>
        <v>26.459999999999997</v>
      </c>
      <c r="AI19" s="80">
        <f>('DJB Daily Readings'!CI27-'DJB Daily Readings'!CI26)*1.89</f>
        <v>75.599999999999994</v>
      </c>
      <c r="AJ19" s="77">
        <f>'DJB Daily Readings'!CY27-'DJB Daily Readings'!CY26</f>
        <v>6</v>
      </c>
      <c r="AK19" s="77">
        <f>'DJB Daily Readings'!CW27-'DJB Daily Readings'!CW26</f>
        <v>5</v>
      </c>
      <c r="AL19" s="78">
        <f>'DJB Daily Readings'!DC27-'DJB Daily Readings'!DC26</f>
        <v>16</v>
      </c>
      <c r="AM19" s="78">
        <f>'DJB Daily Readings'!DA27-'DJB Daily Readings'!DA26</f>
        <v>24</v>
      </c>
      <c r="AN19" s="78">
        <f>'DJB Daily Readings'!DG27-'DJB Daily Readings'!DG26</f>
        <v>5</v>
      </c>
      <c r="AO19" s="78">
        <f>'DJB Daily Readings'!DE27-'DJB Daily Readings'!DE26</f>
        <v>12</v>
      </c>
      <c r="AP19" s="78">
        <f>'DJB Daily Readings'!DK27-'DJB Daily Readings'!DK26</f>
        <v>13</v>
      </c>
      <c r="AQ19" s="78">
        <f>'DJB Daily Readings'!DI27-'DJB Daily Readings'!DI26</f>
        <v>13</v>
      </c>
      <c r="AR19" s="78">
        <f>'DJB Daily Readings'!DO27-'DJB Daily Readings'!DO26</f>
        <v>14</v>
      </c>
      <c r="AS19" s="78">
        <f>'DJB Daily Readings'!DM27-'DJB Daily Readings'!DM26</f>
        <v>7</v>
      </c>
      <c r="AT19" s="78">
        <f>'DJB Daily Readings'!DQ27-'DJB Daily Readings'!DQ26</f>
        <v>0</v>
      </c>
      <c r="AU19" s="78">
        <f>('DJB Daily Readings'!DT27-'DJB Daily Readings'!DT26)*100</f>
        <v>1219.9999999999818</v>
      </c>
      <c r="AV19" s="78">
        <f>('DJB Daily Readings'!DV27-'DJB Daily Readings'!DV26)*100</f>
        <v>920.00000000007276</v>
      </c>
      <c r="AW19" s="78">
        <f>('DJB Daily Readings'!DX27-'DJB Daily Readings'!DX26)*100</f>
        <v>700</v>
      </c>
      <c r="AX19" s="78">
        <f>('DJB Daily Readings'!DZ27-'DJB Daily Readings'!DZ26)*100</f>
        <v>889.99999999996362</v>
      </c>
      <c r="AY19" s="78">
        <f>'DJB Daily Readings'!EB27-'DJB Daily Readings'!EB26</f>
        <v>727</v>
      </c>
      <c r="AZ19" s="78">
        <f>'DJB Daily Readings'!ED27-'DJB Daily Readings'!ED26</f>
        <v>171.39999999999418</v>
      </c>
      <c r="BA19" s="78">
        <f>'DJB Daily Readings'!EG27-'DJB Daily Readings'!EG26</f>
        <v>2700</v>
      </c>
      <c r="BB19" s="78">
        <f>'DJB Daily Readings'!EI27-'DJB Daily Readings'!EI26</f>
        <v>280</v>
      </c>
      <c r="BC19" s="78">
        <f>'DJB Daily Readings'!EQ27-'DJB Daily Readings'!EQ26</f>
        <v>4600</v>
      </c>
      <c r="BD19" s="78">
        <f>'DJB Daily Readings'!EK27-'DJB Daily Readings'!EK26</f>
        <v>1600</v>
      </c>
      <c r="BE19" s="78">
        <f>'DJB Daily Readings'!EM27-'DJB Daily Readings'!EM26</f>
        <v>800</v>
      </c>
      <c r="BF19" s="78">
        <f>'DJB Daily Readings'!EO27-'DJB Daily Readings'!EO26</f>
        <v>690</v>
      </c>
      <c r="BG19" s="78">
        <f>('DJB Daily Readings'!ET27-'DJB Daily Readings'!ET26)*1.89</f>
        <v>32.129999999999995</v>
      </c>
      <c r="BH19" s="78">
        <f>('DJB Daily Readings'!EV27-'DJB Daily Readings'!EV26)*1.89</f>
        <v>26.459999999999997</v>
      </c>
      <c r="BI19" s="78">
        <f>('DJB Daily Readings'!EZ27-'DJB Daily Readings'!EZ26)*1.89</f>
        <v>41.58</v>
      </c>
      <c r="BJ19" s="78">
        <f>('DJB Daily Readings'!EX27-'DJB Daily Readings'!EX26)*1.89</f>
        <v>30.24</v>
      </c>
      <c r="BK19" s="78">
        <f>('DJB Daily Readings'!FB27-'DJB Daily Readings'!FB26)*1.89</f>
        <v>81.27</v>
      </c>
      <c r="BL19" s="78">
        <f>'DJB Daily Readings'!J27</f>
        <v>357</v>
      </c>
      <c r="BM19" s="78">
        <f>'DJB Daily Readings'!FF27</f>
        <v>143.625</v>
      </c>
      <c r="BN19" s="78">
        <f>'DJB Daily Readings'!FH27</f>
        <v>1</v>
      </c>
      <c r="BO19" s="78">
        <f>'DJB Daily Readings'!FJ27</f>
        <v>6</v>
      </c>
      <c r="BP19" s="78">
        <f>'DJB Daily Readings'!FL27</f>
        <v>6</v>
      </c>
      <c r="BQ19" s="78">
        <f>'DJB Daily Readings'!FN27</f>
        <v>2</v>
      </c>
      <c r="BR19" s="276">
        <f>'DJB Daily Readings'!FP27</f>
        <v>0.14000000000001478</v>
      </c>
      <c r="BS19" s="78">
        <f>'DJB Daily Readings'!FR27</f>
        <v>243.90000000002328</v>
      </c>
    </row>
    <row r="20" spans="1:71" x14ac:dyDescent="0.25">
      <c r="A20" t="s">
        <v>14</v>
      </c>
      <c r="B20">
        <f t="shared" si="0"/>
        <v>19</v>
      </c>
      <c r="C20">
        <v>3</v>
      </c>
      <c r="D20">
        <v>2023</v>
      </c>
      <c r="E20" s="74">
        <f>237*0.74</f>
        <v>175.38</v>
      </c>
      <c r="F20" s="75">
        <f>277+48</f>
        <v>325</v>
      </c>
      <c r="G20" s="3">
        <f>'DJB Daily Readings'!C28-'DJB Daily Readings'!C27</f>
        <v>695</v>
      </c>
      <c r="H20" s="3">
        <f>'DJB Daily Readings'!F28-'DJB Daily Readings'!F27</f>
        <v>463</v>
      </c>
      <c r="I20" s="3">
        <f>'DJB Daily Readings'!L27</f>
        <v>259</v>
      </c>
      <c r="J20" s="3">
        <f>'DJB Daily Readings'!N27</f>
        <v>0</v>
      </c>
      <c r="K20" s="3">
        <f>'DJB Daily Readings'!O28-'DJB Daily Readings'!O27</f>
        <v>93</v>
      </c>
      <c r="L20" s="3">
        <f>'DJB Daily Readings'!R28-'DJB Daily Readings'!R27</f>
        <v>14</v>
      </c>
      <c r="M20" s="3">
        <f>'DJB Daily Readings'!U28-'DJB Daily Readings'!U27</f>
        <v>1948.7999999988824</v>
      </c>
      <c r="N20" s="3">
        <f>'DJB Daily Readings'!X28-'DJB Daily Readings'!X27</f>
        <v>4287.359999999404</v>
      </c>
      <c r="O20" s="3">
        <f>'DJB Daily Readings'!AA28-'DJB Daily Readings'!AA27</f>
        <v>730.79999999888241</v>
      </c>
      <c r="P20" s="3">
        <f>'DJB Daily Readings'!AD28-'DJB Daily Readings'!AD27</f>
        <v>8087.519999999553</v>
      </c>
      <c r="Q20" s="3">
        <f>'DJB Daily Readings'!AG28-'DJB Daily Readings'!AG27</f>
        <v>1266.7200000025332</v>
      </c>
      <c r="R20" s="3">
        <f>'DJB Daily Readings'!AJ28-'DJB Daily Readings'!AJ27</f>
        <v>4920.7199999988079</v>
      </c>
      <c r="S20" s="3">
        <f>'DJB Daily Readings'!AM28-'DJB Daily Readings'!AM27</f>
        <v>3605.2799999993294</v>
      </c>
      <c r="T20" s="3">
        <f>'DJB Daily Readings'!AP28-'DJB Daily Readings'!AP27</f>
        <v>3946.320000000298</v>
      </c>
      <c r="U20" s="3">
        <f>'DJB Daily Readings'!AS28-'DJB Daily Readings'!AS27</f>
        <v>2728.3200000021607</v>
      </c>
      <c r="V20" s="3">
        <f>'DJB Daily Readings'!AV28-'DJB Daily Readings'!AV27</f>
        <v>5261.7600000016391</v>
      </c>
      <c r="W20" s="3">
        <f>'DJB Daily Readings'!AZ28-'DJB Daily Readings'!AZ27</f>
        <v>0</v>
      </c>
      <c r="X20" s="3">
        <f>'DJB Daily Readings'!BC28-'DJB Daily Readings'!BC27</f>
        <v>47300</v>
      </c>
      <c r="Y20" s="3">
        <f>'DJB Daily Readings'!BF28-'DJB Daily Readings'!BF27</f>
        <v>4700</v>
      </c>
      <c r="Z20" s="3">
        <f>('DJB Daily Readings'!CK28-'DJB Daily Readings'!CK27)*1.89</f>
        <v>145.53</v>
      </c>
      <c r="AA20" s="3">
        <f>('DJB Daily Readings'!CN28-'DJB Daily Readings'!CN27)*1.89</f>
        <v>243.80999999999997</v>
      </c>
      <c r="AB20" s="3">
        <f>('DJB Daily Readings'!CQ28-'DJB Daily Readings'!CQ27)*1.89</f>
        <v>309.95999999999998</v>
      </c>
      <c r="AC20" s="3">
        <f>'DJB Daily Readings'!CT28-'DJB Daily Readings'!CT27</f>
        <v>175</v>
      </c>
      <c r="AD20" s="80">
        <f>('DJB Daily Readings'!BY28-'DJB Daily Readings'!BY27)*1.89</f>
        <v>28.349999999999998</v>
      </c>
      <c r="AE20" s="80">
        <f>('DJB Daily Readings'!CA28-'DJB Daily Readings'!CA27)*1.89</f>
        <v>32.129999999999995</v>
      </c>
      <c r="AF20" s="80">
        <f>('DJB Daily Readings'!CC28-'DJB Daily Readings'!CC27)*1.89</f>
        <v>11.34</v>
      </c>
      <c r="AG20" s="80">
        <f>('DJB Daily Readings'!CE28-'DJB Daily Readings'!CE27)*1.89</f>
        <v>15.12</v>
      </c>
      <c r="AH20" s="80">
        <f>('DJB Daily Readings'!CG28-'DJB Daily Readings'!CG27)*1.89</f>
        <v>17.009999999999998</v>
      </c>
      <c r="AI20" s="80">
        <f>('DJB Daily Readings'!CI28-'DJB Daily Readings'!CI27)*1.89</f>
        <v>60.48</v>
      </c>
      <c r="AJ20" s="77">
        <f>'DJB Daily Readings'!CY28-'DJB Daily Readings'!CY27</f>
        <v>6</v>
      </c>
      <c r="AK20" s="77">
        <f>'DJB Daily Readings'!CW28-'DJB Daily Readings'!CW27</f>
        <v>3</v>
      </c>
      <c r="AL20" s="78">
        <f>'DJB Daily Readings'!DC28-'DJB Daily Readings'!DC27</f>
        <v>13</v>
      </c>
      <c r="AM20" s="78">
        <f>'DJB Daily Readings'!DA28-'DJB Daily Readings'!DA27</f>
        <v>14</v>
      </c>
      <c r="AN20" s="78">
        <f>'DJB Daily Readings'!DG28-'DJB Daily Readings'!DG27</f>
        <v>5</v>
      </c>
      <c r="AO20" s="78">
        <f>'DJB Daily Readings'!DE28-'DJB Daily Readings'!DE27</f>
        <v>4</v>
      </c>
      <c r="AP20" s="78">
        <f>'DJB Daily Readings'!DK28-'DJB Daily Readings'!DK27</f>
        <v>12</v>
      </c>
      <c r="AQ20" s="78">
        <f>'DJB Daily Readings'!DI28-'DJB Daily Readings'!DI27</f>
        <v>8</v>
      </c>
      <c r="AR20" s="78">
        <f>'DJB Daily Readings'!DO28-'DJB Daily Readings'!DO27</f>
        <v>5</v>
      </c>
      <c r="AS20" s="78">
        <f>'DJB Daily Readings'!DM28-'DJB Daily Readings'!DM27</f>
        <v>2</v>
      </c>
      <c r="AT20" s="78">
        <f>'DJB Daily Readings'!DQ28-'DJB Daily Readings'!DQ27</f>
        <v>6</v>
      </c>
      <c r="AU20" s="78">
        <f>('DJB Daily Readings'!DT28-'DJB Daily Readings'!DT27)*100</f>
        <v>860.00000000003638</v>
      </c>
      <c r="AV20" s="78">
        <f>('DJB Daily Readings'!DV28-'DJB Daily Readings'!DV27)*100</f>
        <v>769.99999999989086</v>
      </c>
      <c r="AW20" s="78">
        <f>('DJB Daily Readings'!DX28-'DJB Daily Readings'!DX27)*100</f>
        <v>520.00000000007276</v>
      </c>
      <c r="AX20" s="78">
        <f>('DJB Daily Readings'!DZ28-'DJB Daily Readings'!DZ27)*100</f>
        <v>669.99999999998181</v>
      </c>
      <c r="AY20" s="78">
        <f>'DJB Daily Readings'!EB28-'DJB Daily Readings'!EB27</f>
        <v>518</v>
      </c>
      <c r="AZ20" s="78">
        <f>'DJB Daily Readings'!ED28-'DJB Daily Readings'!ED27</f>
        <v>130.5</v>
      </c>
      <c r="BA20" s="78">
        <f>'DJB Daily Readings'!EG28-'DJB Daily Readings'!EG27</f>
        <v>4100</v>
      </c>
      <c r="BB20" s="78">
        <f>'DJB Daily Readings'!EI28-'DJB Daily Readings'!EI27</f>
        <v>170</v>
      </c>
      <c r="BC20" s="78">
        <f>'DJB Daily Readings'!EQ28-'DJB Daily Readings'!EQ27</f>
        <v>3500</v>
      </c>
      <c r="BD20" s="78">
        <f>'DJB Daily Readings'!EK28-'DJB Daily Readings'!EK27</f>
        <v>1200</v>
      </c>
      <c r="BE20" s="78">
        <f>'DJB Daily Readings'!EM28-'DJB Daily Readings'!EM27</f>
        <v>500</v>
      </c>
      <c r="BF20" s="78">
        <f>'DJB Daily Readings'!EO28-'DJB Daily Readings'!EO27</f>
        <v>560</v>
      </c>
      <c r="BG20" s="78">
        <f>('DJB Daily Readings'!ET28-'DJB Daily Readings'!ET27)*1.89</f>
        <v>20.79</v>
      </c>
      <c r="BH20" s="78">
        <f>('DJB Daily Readings'!EV28-'DJB Daily Readings'!EV27)*1.89</f>
        <v>17.009999999999998</v>
      </c>
      <c r="BI20" s="78">
        <f>('DJB Daily Readings'!EZ28-'DJB Daily Readings'!EZ27)*1.89</f>
        <v>15.12</v>
      </c>
      <c r="BJ20" s="78">
        <f>('DJB Daily Readings'!EX28-'DJB Daily Readings'!EX27)*1.89</f>
        <v>20.79</v>
      </c>
      <c r="BK20" s="78">
        <f>('DJB Daily Readings'!FB28-'DJB Daily Readings'!FB27)*1.89</f>
        <v>47.25</v>
      </c>
      <c r="BL20" s="78">
        <f>'DJB Daily Readings'!J28</f>
        <v>166</v>
      </c>
      <c r="BM20" s="78">
        <f>'DJB Daily Readings'!FF28</f>
        <v>134.50199999999313</v>
      </c>
      <c r="BN20" s="78">
        <f>'DJB Daily Readings'!FH28</f>
        <v>3</v>
      </c>
      <c r="BO20" s="78">
        <f>'DJB Daily Readings'!FJ28</f>
        <v>8</v>
      </c>
      <c r="BP20" s="78">
        <f>'DJB Daily Readings'!FL28</f>
        <v>6</v>
      </c>
      <c r="BQ20" s="78">
        <f>'DJB Daily Readings'!FN28</f>
        <v>3</v>
      </c>
      <c r="BR20" s="276">
        <f>'DJB Daily Readings'!FP28</f>
        <v>1.0600000000000023</v>
      </c>
      <c r="BS20" s="78">
        <f>'DJB Daily Readings'!FR28</f>
        <v>193.19999999995343</v>
      </c>
    </row>
    <row r="21" spans="1:71" x14ac:dyDescent="0.25">
      <c r="A21" t="s">
        <v>14</v>
      </c>
      <c r="B21">
        <f t="shared" si="0"/>
        <v>20</v>
      </c>
      <c r="C21">
        <v>3</v>
      </c>
      <c r="D21">
        <v>2023</v>
      </c>
      <c r="E21" s="74">
        <f>237*0.73</f>
        <v>173.01</v>
      </c>
      <c r="F21" s="75">
        <f>267+37</f>
        <v>304</v>
      </c>
      <c r="G21" s="3">
        <f>'DJB Daily Readings'!C29-'DJB Daily Readings'!C28</f>
        <v>571</v>
      </c>
      <c r="H21" s="3">
        <f>'DJB Daily Readings'!F29-'DJB Daily Readings'!F28</f>
        <v>416</v>
      </c>
      <c r="I21" s="3">
        <f>'DJB Daily Readings'!L28</f>
        <v>262</v>
      </c>
      <c r="J21" s="3">
        <f>'DJB Daily Readings'!N28</f>
        <v>0</v>
      </c>
      <c r="K21" s="3">
        <f>'DJB Daily Readings'!O29-'DJB Daily Readings'!O28</f>
        <v>94</v>
      </c>
      <c r="L21" s="3">
        <f>'DJB Daily Readings'!R29-'DJB Daily Readings'!R28</f>
        <v>12</v>
      </c>
      <c r="M21" s="3">
        <f>'DJB Daily Readings'!U29-'DJB Daily Readings'!U28</f>
        <v>2046.2400000002235</v>
      </c>
      <c r="N21" s="3">
        <f>'DJB Daily Readings'!X29-'DJB Daily Readings'!X28</f>
        <v>4579.6799999978393</v>
      </c>
      <c r="O21" s="3">
        <f>'DJB Daily Readings'!AA29-'DJB Daily Readings'!AA28</f>
        <v>1948.8000000007451</v>
      </c>
      <c r="P21" s="3">
        <f>'DJB Daily Readings'!AD29-'DJB Daily Readings'!AD28</f>
        <v>633.35999999567866</v>
      </c>
      <c r="Q21" s="3">
        <f>'DJB Daily Readings'!AG29-'DJB Daily Readings'!AG28</f>
        <v>7746.480000000447</v>
      </c>
      <c r="R21" s="3">
        <f>'DJB Daily Readings'!AJ29-'DJB Daily Readings'!AJ28</f>
        <v>5359.1999999992549</v>
      </c>
      <c r="S21" s="3">
        <f>'DJB Daily Readings'!AM29-'DJB Daily Readings'!AM28</f>
        <v>3702.7200000006706</v>
      </c>
      <c r="T21" s="3">
        <f>'DJB Daily Readings'!AP29-'DJB Daily Readings'!AP28</f>
        <v>4336.0800000000745</v>
      </c>
      <c r="U21" s="3">
        <f>'DJB Daily Readings'!AS29-'DJB Daily Readings'!AS28</f>
        <v>2923.1999999992549</v>
      </c>
      <c r="V21" s="3">
        <f>'DJB Daily Readings'!AV29-'DJB Daily Readings'!AV28</f>
        <v>5310.480000000447</v>
      </c>
      <c r="W21" s="3">
        <f>'DJB Daily Readings'!AZ29-'DJB Daily Readings'!AZ28</f>
        <v>4600</v>
      </c>
      <c r="X21" s="3">
        <f>'DJB Daily Readings'!BC29-'DJB Daily Readings'!BC28</f>
        <v>0</v>
      </c>
      <c r="Y21" s="3">
        <f>'DJB Daily Readings'!BF29-'DJB Daily Readings'!BF28</f>
        <v>43500</v>
      </c>
      <c r="Z21" s="3">
        <f>('DJB Daily Readings'!CK29-'DJB Daily Readings'!CK28)*1.89</f>
        <v>154.97999999999999</v>
      </c>
      <c r="AA21" s="3">
        <f>('DJB Daily Readings'!CN29-'DJB Daily Readings'!CN28)*1.89</f>
        <v>243.80999999999997</v>
      </c>
      <c r="AB21" s="3">
        <f>('DJB Daily Readings'!CQ29-'DJB Daily Readings'!CQ28)*1.89</f>
        <v>274.05</v>
      </c>
      <c r="AC21" s="3">
        <f>'DJB Daily Readings'!CT29-'DJB Daily Readings'!CT28</f>
        <v>183</v>
      </c>
      <c r="AD21" s="80">
        <f>('DJB Daily Readings'!BY29-'DJB Daily Readings'!BY28)*1.89</f>
        <v>30.24</v>
      </c>
      <c r="AE21" s="80">
        <f>('DJB Daily Readings'!CA29-'DJB Daily Readings'!CA28)*1.89</f>
        <v>35.909999999999997</v>
      </c>
      <c r="AF21" s="80">
        <f>('DJB Daily Readings'!CC29-'DJB Daily Readings'!CC28)*1.89</f>
        <v>13.229999999999999</v>
      </c>
      <c r="AG21" s="80">
        <f>('DJB Daily Readings'!CE29-'DJB Daily Readings'!CE28)*1.89</f>
        <v>18.899999999999999</v>
      </c>
      <c r="AH21" s="80">
        <f>('DJB Daily Readings'!CG29-'DJB Daily Readings'!CG28)*1.89</f>
        <v>18.899999999999999</v>
      </c>
      <c r="AI21" s="80">
        <f>('DJB Daily Readings'!CI29-'DJB Daily Readings'!CI28)*1.89</f>
        <v>66.149999999999991</v>
      </c>
      <c r="AJ21" s="77">
        <f>'DJB Daily Readings'!CY29-'DJB Daily Readings'!CY28</f>
        <v>3</v>
      </c>
      <c r="AK21" s="77">
        <f>'DJB Daily Readings'!CW29-'DJB Daily Readings'!CW28</f>
        <v>3</v>
      </c>
      <c r="AL21" s="78">
        <f>'DJB Daily Readings'!DC29-'DJB Daily Readings'!DC28</f>
        <v>19</v>
      </c>
      <c r="AM21" s="78">
        <f>'DJB Daily Readings'!DA29-'DJB Daily Readings'!DA28</f>
        <v>12</v>
      </c>
      <c r="AN21" s="78">
        <f>'DJB Daily Readings'!DG29-'DJB Daily Readings'!DG28</f>
        <v>7</v>
      </c>
      <c r="AO21" s="78">
        <f>'DJB Daily Readings'!DE29-'DJB Daily Readings'!DE28</f>
        <v>7</v>
      </c>
      <c r="AP21" s="78">
        <f>'DJB Daily Readings'!DK29-'DJB Daily Readings'!DK28</f>
        <v>7</v>
      </c>
      <c r="AQ21" s="78">
        <f>'DJB Daily Readings'!DI29-'DJB Daily Readings'!DI28</f>
        <v>6</v>
      </c>
      <c r="AR21" s="78">
        <f>'DJB Daily Readings'!DO29-'DJB Daily Readings'!DO28</f>
        <v>7</v>
      </c>
      <c r="AS21" s="78">
        <f>'DJB Daily Readings'!DM29-'DJB Daily Readings'!DM28</f>
        <v>4</v>
      </c>
      <c r="AT21" s="78">
        <f>'DJB Daily Readings'!DQ29-'DJB Daily Readings'!DQ28</f>
        <v>7</v>
      </c>
      <c r="AU21" s="78">
        <f>('DJB Daily Readings'!DT29-'DJB Daily Readings'!DT28)*100</f>
        <v>980.00000000001819</v>
      </c>
      <c r="AV21" s="78">
        <f>('DJB Daily Readings'!DV29-'DJB Daily Readings'!DV28)*100</f>
        <v>780.00000000010914</v>
      </c>
      <c r="AW21" s="78">
        <f>('DJB Daily Readings'!DX29-'DJB Daily Readings'!DX28)*100</f>
        <v>600</v>
      </c>
      <c r="AX21" s="78">
        <f>('DJB Daily Readings'!DZ29-'DJB Daily Readings'!DZ28)*100</f>
        <v>610.00000000003638</v>
      </c>
      <c r="AY21" s="78">
        <f>'DJB Daily Readings'!EB29-'DJB Daily Readings'!EB28</f>
        <v>573</v>
      </c>
      <c r="AZ21" s="78">
        <f>'DJB Daily Readings'!ED29-'DJB Daily Readings'!ED28</f>
        <v>151.10000000000582</v>
      </c>
      <c r="BA21" s="78">
        <f>'DJB Daily Readings'!EG29-'DJB Daily Readings'!EG28</f>
        <v>3100</v>
      </c>
      <c r="BB21" s="78">
        <f>'DJB Daily Readings'!EI29-'DJB Daily Readings'!EI28</f>
        <v>240</v>
      </c>
      <c r="BC21" s="78">
        <f>'DJB Daily Readings'!EQ29-'DJB Daily Readings'!EQ28</f>
        <v>3900</v>
      </c>
      <c r="BD21" s="78">
        <f>'DJB Daily Readings'!EK29-'DJB Daily Readings'!EK28</f>
        <v>1500</v>
      </c>
      <c r="BE21" s="78">
        <f>'DJB Daily Readings'!EM29-'DJB Daily Readings'!EM28</f>
        <v>500</v>
      </c>
      <c r="BF21" s="78">
        <f>'DJB Daily Readings'!EO29-'DJB Daily Readings'!EO28</f>
        <v>670</v>
      </c>
      <c r="BG21" s="78">
        <f>('DJB Daily Readings'!ET29-'DJB Daily Readings'!ET28)*1.89</f>
        <v>26.459999999999997</v>
      </c>
      <c r="BH21" s="78">
        <f>('DJB Daily Readings'!EV29-'DJB Daily Readings'!EV28)*1.89</f>
        <v>20.79</v>
      </c>
      <c r="BI21" s="78">
        <f>('DJB Daily Readings'!EZ29-'DJB Daily Readings'!EZ28)*1.89</f>
        <v>20.79</v>
      </c>
      <c r="BJ21" s="78">
        <f>('DJB Daily Readings'!EX29-'DJB Daily Readings'!EX28)*1.89</f>
        <v>17.009999999999998</v>
      </c>
      <c r="BK21" s="78">
        <f>('DJB Daily Readings'!FB29-'DJB Daily Readings'!FB28)*1.89</f>
        <v>58.589999999999996</v>
      </c>
      <c r="BL21" s="78">
        <f>'DJB Daily Readings'!J29</f>
        <v>275</v>
      </c>
      <c r="BM21" s="78">
        <f>'DJB Daily Readings'!FF29</f>
        <v>120.25299999999697</v>
      </c>
      <c r="BN21" s="78">
        <f>'DJB Daily Readings'!FH29</f>
        <v>12</v>
      </c>
      <c r="BO21" s="78">
        <f>'DJB Daily Readings'!FJ29</f>
        <v>6</v>
      </c>
      <c r="BP21" s="78">
        <f>'DJB Daily Readings'!FL29</f>
        <v>6</v>
      </c>
      <c r="BQ21" s="78">
        <f>'DJB Daily Readings'!FN29</f>
        <v>5</v>
      </c>
      <c r="BR21" s="276">
        <f>'DJB Daily Readings'!FP29</f>
        <v>4.9999999999982947E-2</v>
      </c>
      <c r="BS21" s="78">
        <f>'DJB Daily Readings'!FR29</f>
        <v>190.5</v>
      </c>
    </row>
    <row r="22" spans="1:71" x14ac:dyDescent="0.25">
      <c r="A22" t="s">
        <v>14</v>
      </c>
      <c r="B22">
        <f t="shared" si="0"/>
        <v>21</v>
      </c>
      <c r="C22">
        <v>3</v>
      </c>
      <c r="D22">
        <v>2023</v>
      </c>
      <c r="E22" s="74">
        <f>237*0.8</f>
        <v>189.60000000000002</v>
      </c>
      <c r="F22" s="75">
        <f>279+26</f>
        <v>305</v>
      </c>
      <c r="G22" s="3">
        <f>'DJB Daily Readings'!C30-'DJB Daily Readings'!C29</f>
        <v>551</v>
      </c>
      <c r="H22" s="3">
        <f>'DJB Daily Readings'!F30-'DJB Daily Readings'!F29</f>
        <v>412</v>
      </c>
      <c r="I22" s="3">
        <f>'DJB Daily Readings'!L29</f>
        <v>268</v>
      </c>
      <c r="J22" s="3">
        <f>'DJB Daily Readings'!N29</f>
        <v>0</v>
      </c>
      <c r="K22" s="3">
        <f>'DJB Daily Readings'!O30-'DJB Daily Readings'!O29</f>
        <v>98</v>
      </c>
      <c r="L22" s="3">
        <f>'DJB Daily Readings'!R30-'DJB Daily Readings'!R29</f>
        <v>13</v>
      </c>
      <c r="M22" s="3">
        <f>'DJB Daily Readings'!U30-'DJB Daily Readings'!U29</f>
        <v>1948.8000000007451</v>
      </c>
      <c r="N22" s="3">
        <f>'DJB Daily Readings'!X30-'DJB Daily Readings'!X29</f>
        <v>4530.9600000027567</v>
      </c>
      <c r="O22" s="3">
        <f>'DJB Daily Readings'!AA30-'DJB Daily Readings'!AA29</f>
        <v>8623.4400000013411</v>
      </c>
      <c r="P22" s="3">
        <f>'DJB Daily Readings'!AD30-'DJB Daily Readings'!AD29</f>
        <v>1753.9200000017881</v>
      </c>
      <c r="Q22" s="3">
        <f>'DJB Daily Readings'!AG30-'DJB Daily Readings'!AG29</f>
        <v>48.719999998807907</v>
      </c>
      <c r="R22" s="3">
        <f>'DJB Daily Readings'!AJ30-'DJB Daily Readings'!AJ29</f>
        <v>5359.1999999992549</v>
      </c>
      <c r="S22" s="3">
        <f>'DJB Daily Readings'!AM30-'DJB Daily Readings'!AM29</f>
        <v>3556.5599999986589</v>
      </c>
      <c r="T22" s="3">
        <f>'DJB Daily Readings'!AP30-'DJB Daily Readings'!AP29</f>
        <v>4238.640000000596</v>
      </c>
      <c r="U22" s="3">
        <f>'DJB Daily Readings'!AS30-'DJB Daily Readings'!AS29</f>
        <v>2825.7599999997765</v>
      </c>
      <c r="V22" s="3">
        <f>'DJB Daily Readings'!AV30-'DJB Daily Readings'!AV29</f>
        <v>5164.320000000298</v>
      </c>
      <c r="W22" s="3">
        <f>'DJB Daily Readings'!AZ30-'DJB Daily Readings'!AZ29</f>
        <v>47900</v>
      </c>
      <c r="X22" s="3">
        <f>'DJB Daily Readings'!BC30-'DJB Daily Readings'!BC29</f>
        <v>4800</v>
      </c>
      <c r="Y22" s="3">
        <f>'DJB Daily Readings'!BF30-'DJB Daily Readings'!BF29</f>
        <v>0</v>
      </c>
      <c r="Z22" s="3">
        <f>('DJB Daily Readings'!CK30-'DJB Daily Readings'!CK29)*1.89</f>
        <v>153.09</v>
      </c>
      <c r="AA22" s="3">
        <f>('DJB Daily Readings'!CN30-'DJB Daily Readings'!CN29)*1.89</f>
        <v>253.26</v>
      </c>
      <c r="AB22" s="3">
        <f>('DJB Daily Readings'!CQ30-'DJB Daily Readings'!CQ29)*1.89</f>
        <v>351.53999999999996</v>
      </c>
      <c r="AC22" s="3">
        <f>'DJB Daily Readings'!CT30-'DJB Daily Readings'!CT29</f>
        <v>183</v>
      </c>
      <c r="AD22" s="80">
        <f>('DJB Daily Readings'!BY30-'DJB Daily Readings'!BY29)*1.89</f>
        <v>32.129999999999995</v>
      </c>
      <c r="AE22" s="80">
        <f>('DJB Daily Readings'!CA30-'DJB Daily Readings'!CA29)*1.89</f>
        <v>37.799999999999997</v>
      </c>
      <c r="AF22" s="80">
        <f>('DJB Daily Readings'!CC30-'DJB Daily Readings'!CC29)*1.89</f>
        <v>13.229999999999999</v>
      </c>
      <c r="AG22" s="80">
        <f>('DJB Daily Readings'!CE30-'DJB Daily Readings'!CE29)*1.89</f>
        <v>18.899999999999999</v>
      </c>
      <c r="AH22" s="80">
        <f>('DJB Daily Readings'!CG30-'DJB Daily Readings'!CG29)*1.89</f>
        <v>18.899999999999999</v>
      </c>
      <c r="AI22" s="80">
        <f>('DJB Daily Readings'!CI30-'DJB Daily Readings'!CI29)*1.89</f>
        <v>64.259999999999991</v>
      </c>
      <c r="AJ22" s="77">
        <f>'DJB Daily Readings'!CY30-'DJB Daily Readings'!CY29</f>
        <v>5</v>
      </c>
      <c r="AK22" s="77">
        <f>'DJB Daily Readings'!CW30-'DJB Daily Readings'!CW29</f>
        <v>3</v>
      </c>
      <c r="AL22" s="78">
        <f>'DJB Daily Readings'!DC30-'DJB Daily Readings'!DC29</f>
        <v>7</v>
      </c>
      <c r="AM22" s="78">
        <f>'DJB Daily Readings'!DA30-'DJB Daily Readings'!DA29</f>
        <v>16</v>
      </c>
      <c r="AN22" s="78">
        <f>'DJB Daily Readings'!DG30-'DJB Daily Readings'!DG29</f>
        <v>6</v>
      </c>
      <c r="AO22" s="78">
        <f>'DJB Daily Readings'!DE30-'DJB Daily Readings'!DE29</f>
        <v>8</v>
      </c>
      <c r="AP22" s="78">
        <f>'DJB Daily Readings'!DK30-'DJB Daily Readings'!DK29</f>
        <v>9</v>
      </c>
      <c r="AQ22" s="78">
        <f>'DJB Daily Readings'!DI30-'DJB Daily Readings'!DI29</f>
        <v>8</v>
      </c>
      <c r="AR22" s="78">
        <f>'DJB Daily Readings'!DO30-'DJB Daily Readings'!DO29</f>
        <v>9</v>
      </c>
      <c r="AS22" s="78">
        <f>'DJB Daily Readings'!DM30-'DJB Daily Readings'!DM29</f>
        <v>4</v>
      </c>
      <c r="AT22" s="78">
        <f>'DJB Daily Readings'!DQ30-'DJB Daily Readings'!DQ29</f>
        <v>6</v>
      </c>
      <c r="AU22" s="78">
        <f>('DJB Daily Readings'!DT30-'DJB Daily Readings'!DT29)*100</f>
        <v>959.99999999994543</v>
      </c>
      <c r="AV22" s="78">
        <f>('DJB Daily Readings'!DV30-'DJB Daily Readings'!DV29)*100</f>
        <v>789.99999999996362</v>
      </c>
      <c r="AW22" s="78">
        <f>('DJB Daily Readings'!DX30-'DJB Daily Readings'!DX29)*100</f>
        <v>589.99999999996362</v>
      </c>
      <c r="AX22" s="78">
        <f>('DJB Daily Readings'!DZ30-'DJB Daily Readings'!DZ29)*100</f>
        <v>609.99999999994543</v>
      </c>
      <c r="AY22" s="78">
        <f>'DJB Daily Readings'!EB30-'DJB Daily Readings'!EB29</f>
        <v>601</v>
      </c>
      <c r="AZ22" s="78">
        <f>'DJB Daily Readings'!ED30-'DJB Daily Readings'!ED29</f>
        <v>146.89999999999418</v>
      </c>
      <c r="BA22" s="78">
        <f>'DJB Daily Readings'!EG30-'DJB Daily Readings'!EG29</f>
        <v>3200</v>
      </c>
      <c r="BB22" s="78">
        <f>'DJB Daily Readings'!EI30-'DJB Daily Readings'!EI29</f>
        <v>250</v>
      </c>
      <c r="BC22" s="78">
        <f>'DJB Daily Readings'!EQ30-'DJB Daily Readings'!EQ29</f>
        <v>4400</v>
      </c>
      <c r="BD22" s="78">
        <f>'DJB Daily Readings'!EK30-'DJB Daily Readings'!EK29</f>
        <v>1500</v>
      </c>
      <c r="BE22" s="78">
        <f>'DJB Daily Readings'!EM30-'DJB Daily Readings'!EM29</f>
        <v>400</v>
      </c>
      <c r="BF22" s="78">
        <f>'DJB Daily Readings'!EO30-'DJB Daily Readings'!EO29</f>
        <v>640</v>
      </c>
      <c r="BG22" s="78">
        <f>('DJB Daily Readings'!ET30-'DJB Daily Readings'!ET29)*1.89</f>
        <v>28.349999999999998</v>
      </c>
      <c r="BH22" s="78">
        <f>('DJB Daily Readings'!EV30-'DJB Daily Readings'!EV29)*1.89</f>
        <v>20.79</v>
      </c>
      <c r="BI22" s="78">
        <f>('DJB Daily Readings'!EZ30-'DJB Daily Readings'!EZ29)*1.89</f>
        <v>18.899999999999999</v>
      </c>
      <c r="BJ22" s="78">
        <f>('DJB Daily Readings'!EX30-'DJB Daily Readings'!EX29)*1.89</f>
        <v>18.899999999999999</v>
      </c>
      <c r="BK22" s="78">
        <f>('DJB Daily Readings'!FB30-'DJB Daily Readings'!FB29)*1.89</f>
        <v>56.699999999999996</v>
      </c>
      <c r="BL22" s="78">
        <f>'DJB Daily Readings'!J30</f>
        <v>285</v>
      </c>
      <c r="BM22" s="78">
        <f>'DJB Daily Readings'!FF30</f>
        <v>127.03500000000349</v>
      </c>
      <c r="BN22" s="78">
        <f>'DJB Daily Readings'!FH30</f>
        <v>8</v>
      </c>
      <c r="BO22" s="78">
        <f>'DJB Daily Readings'!FJ30</f>
        <v>5</v>
      </c>
      <c r="BP22" s="78">
        <f>'DJB Daily Readings'!FL30</f>
        <v>5</v>
      </c>
      <c r="BQ22" s="78">
        <f>'DJB Daily Readings'!FN30</f>
        <v>4</v>
      </c>
      <c r="BR22" s="276">
        <f>'DJB Daily Readings'!FP30</f>
        <v>3.0000000000001137E-2</v>
      </c>
      <c r="BS22" s="78">
        <f>'DJB Daily Readings'!FR30</f>
        <v>215.70000000001164</v>
      </c>
    </row>
    <row r="23" spans="1:71" x14ac:dyDescent="0.25">
      <c r="A23" t="s">
        <v>14</v>
      </c>
      <c r="B23">
        <f t="shared" si="0"/>
        <v>22</v>
      </c>
      <c r="C23">
        <v>3</v>
      </c>
      <c r="D23">
        <v>2023</v>
      </c>
      <c r="E23" s="74"/>
      <c r="F23" s="75">
        <f>310+51</f>
        <v>361</v>
      </c>
      <c r="AJ23" s="77"/>
      <c r="AK23" s="77"/>
      <c r="BL23" s="78"/>
      <c r="BM23" s="78"/>
      <c r="BN23" s="78"/>
      <c r="BO23" s="78"/>
      <c r="BP23" s="78"/>
      <c r="BQ23" s="78"/>
      <c r="BR23" s="78"/>
      <c r="BS23" s="78"/>
    </row>
    <row r="24" spans="1:71" x14ac:dyDescent="0.25">
      <c r="A24" t="s">
        <v>14</v>
      </c>
      <c r="B24">
        <f t="shared" si="0"/>
        <v>23</v>
      </c>
      <c r="C24">
        <v>3</v>
      </c>
      <c r="D24">
        <v>2023</v>
      </c>
      <c r="E24" s="74"/>
      <c r="AJ24" s="77"/>
      <c r="AK24" s="77"/>
      <c r="BL24" s="78"/>
      <c r="BM24" s="78"/>
      <c r="BN24" s="78"/>
      <c r="BO24" s="78"/>
      <c r="BP24" s="78"/>
      <c r="BQ24" s="78"/>
      <c r="BR24" s="78"/>
      <c r="BS24" s="78"/>
    </row>
    <row r="25" spans="1:71" x14ac:dyDescent="0.25">
      <c r="A25" t="s">
        <v>14</v>
      </c>
      <c r="B25">
        <f t="shared" si="0"/>
        <v>24</v>
      </c>
      <c r="C25">
        <v>3</v>
      </c>
      <c r="D25">
        <v>2023</v>
      </c>
      <c r="E25" s="74"/>
      <c r="AJ25" s="77"/>
      <c r="AK25" s="77"/>
      <c r="BL25" s="78"/>
      <c r="BM25" s="78"/>
      <c r="BN25" s="78"/>
      <c r="BO25" s="78"/>
      <c r="BP25" s="78"/>
      <c r="BQ25" s="78"/>
      <c r="BR25" s="78"/>
      <c r="BS25" s="78"/>
    </row>
    <row r="26" spans="1:71" x14ac:dyDescent="0.25">
      <c r="A26" t="s">
        <v>14</v>
      </c>
      <c r="B26">
        <f>B25+1</f>
        <v>25</v>
      </c>
      <c r="C26">
        <v>3</v>
      </c>
      <c r="D26">
        <v>2023</v>
      </c>
      <c r="E26" s="74"/>
      <c r="AJ26" s="77"/>
      <c r="AK26" s="77"/>
      <c r="BL26" s="78"/>
      <c r="BM26" s="78"/>
      <c r="BN26" s="78"/>
      <c r="BO26" s="78"/>
      <c r="BP26" s="78"/>
      <c r="BQ26" s="78"/>
      <c r="BR26" s="78"/>
      <c r="BS26" s="78"/>
    </row>
    <row r="27" spans="1:71" x14ac:dyDescent="0.25">
      <c r="A27" t="s">
        <v>14</v>
      </c>
      <c r="B27">
        <f t="shared" si="0"/>
        <v>26</v>
      </c>
      <c r="C27">
        <v>3</v>
      </c>
      <c r="D27">
        <v>2023</v>
      </c>
      <c r="E27" s="74"/>
      <c r="AJ27" s="77"/>
      <c r="AK27" s="77"/>
      <c r="BL27" s="78"/>
      <c r="BM27" s="78"/>
      <c r="BN27" s="78"/>
      <c r="BO27" s="78"/>
      <c r="BP27" s="78"/>
      <c r="BQ27" s="78"/>
      <c r="BR27" s="78"/>
      <c r="BS27" s="78"/>
    </row>
    <row r="28" spans="1:71" x14ac:dyDescent="0.25">
      <c r="A28" t="s">
        <v>14</v>
      </c>
      <c r="B28">
        <f t="shared" si="0"/>
        <v>27</v>
      </c>
      <c r="C28">
        <v>3</v>
      </c>
      <c r="D28">
        <v>2023</v>
      </c>
      <c r="E28" s="74"/>
      <c r="AJ28" s="77"/>
      <c r="AK28" s="77"/>
      <c r="BL28" s="78"/>
      <c r="BM28" s="78"/>
      <c r="BN28" s="78"/>
      <c r="BO28" s="78"/>
      <c r="BP28" s="78"/>
      <c r="BQ28" s="78"/>
      <c r="BR28" s="78"/>
      <c r="BS28" s="78"/>
    </row>
    <row r="29" spans="1:71" x14ac:dyDescent="0.25">
      <c r="A29" t="s">
        <v>14</v>
      </c>
      <c r="B29">
        <f t="shared" si="0"/>
        <v>28</v>
      </c>
      <c r="C29">
        <v>3</v>
      </c>
      <c r="D29">
        <v>2023</v>
      </c>
      <c r="E29" s="74"/>
      <c r="AJ29" s="77"/>
      <c r="AK29" s="77"/>
      <c r="BL29" s="78"/>
      <c r="BM29" s="78"/>
      <c r="BN29" s="78"/>
      <c r="BO29" s="78"/>
      <c r="BP29" s="78"/>
      <c r="BQ29" s="78"/>
      <c r="BR29" s="78"/>
      <c r="BS29" s="78"/>
    </row>
    <row r="30" spans="1:71" x14ac:dyDescent="0.25">
      <c r="A30" t="s">
        <v>14</v>
      </c>
      <c r="B30">
        <f t="shared" si="0"/>
        <v>29</v>
      </c>
      <c r="C30">
        <v>3</v>
      </c>
      <c r="D30">
        <v>2023</v>
      </c>
      <c r="E30" s="74"/>
      <c r="AJ30" s="77"/>
      <c r="AK30" s="77"/>
      <c r="BL30" s="78"/>
      <c r="BM30" s="78"/>
      <c r="BN30" s="78"/>
      <c r="BO30" s="78"/>
      <c r="BP30" s="78"/>
      <c r="BQ30" s="78"/>
      <c r="BR30" s="78"/>
      <c r="BS30" s="78"/>
    </row>
    <row r="31" spans="1:71" x14ac:dyDescent="0.25">
      <c r="A31" t="s">
        <v>14</v>
      </c>
      <c r="B31">
        <f t="shared" si="0"/>
        <v>30</v>
      </c>
      <c r="C31">
        <v>3</v>
      </c>
      <c r="D31">
        <v>2023</v>
      </c>
      <c r="E31" s="74"/>
      <c r="AJ31" s="77"/>
      <c r="AK31" s="77"/>
      <c r="BL31" s="78"/>
      <c r="BM31" s="78"/>
      <c r="BN31" s="78"/>
      <c r="BO31" s="78"/>
      <c r="BP31" s="78"/>
      <c r="BQ31" s="78"/>
      <c r="BR31" s="78"/>
      <c r="BS31" s="78"/>
    </row>
    <row r="32" spans="1:71" x14ac:dyDescent="0.25">
      <c r="A32" t="s">
        <v>14</v>
      </c>
      <c r="B32">
        <f t="shared" si="0"/>
        <v>31</v>
      </c>
      <c r="C32">
        <v>3</v>
      </c>
      <c r="D32">
        <v>2023</v>
      </c>
      <c r="E32" s="74"/>
      <c r="AJ32" s="77"/>
      <c r="AK32" s="77"/>
      <c r="BL32" s="78"/>
      <c r="BM32" s="78"/>
      <c r="BN32" s="78"/>
      <c r="BO32" s="78"/>
      <c r="BP32" s="78"/>
      <c r="BQ32" s="78"/>
      <c r="BR32" s="78"/>
      <c r="BS32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S94"/>
  <sheetViews>
    <sheetView zoomScale="85" zoomScaleNormal="85" workbookViewId="0">
      <pane xSplit="1" ySplit="8" topLeftCell="DR9" activePane="bottomRight" state="frozen"/>
      <selection pane="topRight" activeCell="B1" sqref="B1"/>
      <selection pane="bottomLeft" activeCell="A9" sqref="A9"/>
      <selection pane="bottomRight" activeCell="DT20" sqref="DT20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2" customWidth="1"/>
    <col min="54" max="54" width="13.7109375" customWidth="1"/>
    <col min="55" max="55" width="14.42578125" bestFit="1" customWidth="1"/>
    <col min="56" max="56" width="13.7109375" style="162" customWidth="1"/>
    <col min="57" max="57" width="13.7109375" customWidth="1"/>
    <col min="58" max="58" width="16.7109375" bestFit="1" customWidth="1"/>
    <col min="59" max="59" width="12.85546875" style="162" customWidth="1"/>
    <col min="60" max="70" width="12.85546875" customWidth="1"/>
    <col min="71" max="71" width="11.7109375" customWidth="1"/>
    <col min="72" max="72" width="12.5703125" style="169" customWidth="1"/>
    <col min="73" max="73" width="2" customWidth="1"/>
    <col min="74" max="74" width="8.85546875" style="223" customWidth="1"/>
    <col min="75" max="77" width="12.85546875" customWidth="1"/>
    <col min="78" max="78" width="12.85546875" style="169" customWidth="1"/>
    <col min="79" max="79" width="12.85546875" customWidth="1"/>
    <col min="80" max="80" width="12.85546875" style="169" customWidth="1"/>
    <col min="81" max="81" width="12.85546875" customWidth="1"/>
    <col min="82" max="82" width="12.85546875" style="169" customWidth="1"/>
    <col min="83" max="83" width="12.85546875" customWidth="1"/>
    <col min="84" max="84" width="12.85546875" style="169" customWidth="1"/>
    <col min="85" max="85" width="12.85546875" customWidth="1"/>
    <col min="86" max="86" width="12.85546875" style="169" customWidth="1"/>
    <col min="87" max="87" width="12.85546875" customWidth="1"/>
    <col min="88" max="88" width="12.85546875" style="169" customWidth="1"/>
    <col min="89" max="89" width="10.85546875" customWidth="1"/>
    <col min="90" max="90" width="16" style="169" bestFit="1" customWidth="1"/>
    <col min="91" max="91" width="16" customWidth="1"/>
    <col min="92" max="92" width="10.42578125" customWidth="1"/>
    <col min="93" max="93" width="12.5703125" style="169" customWidth="1"/>
    <col min="94" max="94" width="12.5703125" customWidth="1"/>
    <col min="95" max="95" width="13" customWidth="1"/>
    <col min="96" max="96" width="13.7109375" style="169" customWidth="1"/>
    <col min="97" max="98" width="13.7109375" customWidth="1"/>
    <col min="99" max="99" width="13" style="171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2" customWidth="1"/>
    <col min="126" max="126" width="10.42578125" customWidth="1"/>
    <col min="127" max="127" width="11.42578125" style="198" customWidth="1"/>
    <col min="128" max="128" width="12.28515625" customWidth="1"/>
    <col min="129" max="129" width="12.42578125" style="162" customWidth="1"/>
    <col min="130" max="130" width="11.42578125" customWidth="1"/>
    <col min="131" max="131" width="12" style="162" customWidth="1"/>
    <col min="132" max="132" width="9.28515625" bestFit="1" customWidth="1"/>
    <col min="133" max="133" width="11.7109375" style="162" customWidth="1"/>
    <col min="134" max="134" width="9.28515625" bestFit="1" customWidth="1"/>
    <col min="135" max="135" width="12.7109375" style="162" customWidth="1"/>
    <col min="136" max="136" width="2.5703125" customWidth="1"/>
    <col min="137" max="137" width="11.28515625" customWidth="1"/>
    <col min="138" max="138" width="11.7109375" style="169" customWidth="1"/>
    <col min="139" max="139" width="11.7109375" bestFit="1" customWidth="1"/>
    <col min="140" max="140" width="13.28515625" style="169" customWidth="1"/>
    <col min="141" max="141" width="11" customWidth="1"/>
    <col min="142" max="142" width="11.5703125" style="169" customWidth="1"/>
    <col min="143" max="143" width="11.85546875" customWidth="1"/>
    <col min="144" max="144" width="11.5703125" style="169" customWidth="1"/>
    <col min="145" max="145" width="10.42578125" customWidth="1"/>
    <col min="146" max="146" width="12.28515625" style="169" customWidth="1"/>
    <col min="147" max="147" width="10.140625" bestFit="1" customWidth="1"/>
    <col min="148" max="148" width="16.5703125" style="169" bestFit="1" customWidth="1"/>
    <col min="149" max="149" width="3.42578125" customWidth="1"/>
    <col min="150" max="150" width="10.42578125" customWidth="1"/>
    <col min="151" max="151" width="12.5703125" style="169" customWidth="1"/>
    <col min="152" max="152" width="10.28515625" customWidth="1"/>
    <col min="153" max="153" width="12.85546875" style="169" customWidth="1"/>
    <col min="154" max="154" width="10.7109375" customWidth="1"/>
    <col min="155" max="155" width="12.7109375" style="169" customWidth="1"/>
    <col min="156" max="156" width="10.85546875" customWidth="1"/>
    <col min="157" max="157" width="12.85546875" style="169" customWidth="1"/>
    <col min="159" max="159" width="12.85546875" style="169" customWidth="1"/>
    <col min="160" max="160" width="3.42578125" customWidth="1"/>
    <col min="161" max="161" width="10.42578125" customWidth="1"/>
    <col min="162" max="170" width="12.5703125" style="169" customWidth="1"/>
    <col min="171" max="171" width="10.28515625" customWidth="1"/>
    <col min="172" max="172" width="12.85546875" style="169" customWidth="1"/>
    <col min="173" max="173" width="10.28515625" customWidth="1"/>
    <col min="174" max="174" width="12.85546875" style="169" customWidth="1"/>
  </cols>
  <sheetData>
    <row r="1" spans="1:174" ht="15" x14ac:dyDescent="0.25">
      <c r="A1" s="452" t="s">
        <v>80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  <c r="O1" s="452"/>
      <c r="P1" s="452"/>
      <c r="Q1" s="452"/>
      <c r="R1" s="452"/>
      <c r="S1" s="452"/>
      <c r="T1" s="452"/>
      <c r="U1" s="452"/>
      <c r="V1" s="452"/>
      <c r="W1" s="452"/>
      <c r="X1" s="452"/>
      <c r="Y1" s="452"/>
      <c r="Z1" s="452"/>
      <c r="AA1" s="452"/>
      <c r="AB1" s="452"/>
      <c r="AC1" s="452"/>
      <c r="AD1" s="452"/>
      <c r="AE1" s="452"/>
      <c r="AF1" s="452"/>
      <c r="AG1" s="452"/>
      <c r="AH1" s="452"/>
      <c r="AI1" s="452"/>
      <c r="AJ1" s="452"/>
      <c r="AK1" s="452"/>
      <c r="AL1" s="452"/>
      <c r="AM1" s="452"/>
      <c r="AN1" s="452"/>
      <c r="AO1" s="452"/>
      <c r="AP1" s="452"/>
      <c r="AQ1" s="452"/>
      <c r="AR1" s="452"/>
      <c r="AS1" s="452"/>
      <c r="AT1" s="452"/>
      <c r="AU1" s="452"/>
      <c r="AV1" s="452"/>
      <c r="AW1" s="452"/>
      <c r="AX1" s="452"/>
      <c r="AY1" s="452"/>
      <c r="AZ1" s="452"/>
      <c r="BA1" s="452"/>
      <c r="BB1" s="452"/>
      <c r="BC1" s="452"/>
      <c r="BD1" s="452"/>
      <c r="BE1" s="452"/>
      <c r="BF1" s="452"/>
      <c r="BG1" s="452"/>
      <c r="BH1" s="452"/>
      <c r="BI1" s="452"/>
      <c r="BJ1" s="452"/>
      <c r="BK1" s="452"/>
      <c r="BL1" s="452"/>
      <c r="BM1" s="452"/>
      <c r="BN1" s="452"/>
      <c r="BO1" s="452"/>
      <c r="BP1" s="452"/>
      <c r="BQ1" s="452"/>
      <c r="BR1" s="452"/>
      <c r="BS1" s="452"/>
      <c r="BT1" s="452"/>
      <c r="BU1" s="452"/>
      <c r="BV1" s="452"/>
      <c r="BW1" s="452"/>
      <c r="BX1" s="452"/>
      <c r="BY1" s="452"/>
      <c r="BZ1" s="452"/>
      <c r="CA1" s="452"/>
      <c r="CB1" s="452"/>
      <c r="CC1" s="452"/>
      <c r="CD1" s="452"/>
      <c r="CE1" s="452"/>
      <c r="CF1" s="452"/>
      <c r="CG1" s="452"/>
      <c r="CH1" s="452"/>
      <c r="CI1" s="452"/>
      <c r="CJ1" s="452"/>
      <c r="CK1" s="452"/>
      <c r="CL1" s="452"/>
      <c r="CM1" s="452"/>
      <c r="CN1" s="452"/>
      <c r="CO1" s="452"/>
      <c r="CP1" s="452"/>
      <c r="CQ1" s="452"/>
      <c r="CR1" s="452"/>
      <c r="CS1" s="452"/>
      <c r="CT1" s="452"/>
      <c r="CU1" s="452"/>
      <c r="CV1" s="452"/>
      <c r="CW1" s="452"/>
      <c r="CX1" s="452"/>
      <c r="CY1" s="452"/>
      <c r="CZ1" s="452"/>
      <c r="DA1" s="452"/>
      <c r="DB1" s="452"/>
      <c r="DC1" s="452"/>
      <c r="DD1" s="452"/>
      <c r="DE1" s="452"/>
      <c r="DF1" s="452"/>
      <c r="DG1" s="452"/>
      <c r="DH1" s="452"/>
      <c r="DI1" s="452"/>
      <c r="DJ1" s="452"/>
      <c r="DK1" s="452"/>
      <c r="DL1" s="452"/>
      <c r="DM1" s="452"/>
      <c r="DN1" s="452"/>
      <c r="DO1" s="452"/>
      <c r="DP1" s="452"/>
      <c r="DQ1" s="452"/>
      <c r="DR1" s="452"/>
      <c r="DS1" s="452"/>
      <c r="DT1" s="452"/>
      <c r="DU1" s="452"/>
      <c r="DV1" s="452"/>
      <c r="DW1" s="452"/>
      <c r="DX1" s="452"/>
      <c r="DY1" s="452"/>
      <c r="DZ1" s="452"/>
      <c r="EA1" s="452"/>
      <c r="EB1" s="452"/>
      <c r="EC1" s="452"/>
      <c r="ED1" s="452"/>
      <c r="EE1" s="452"/>
      <c r="EF1" s="452"/>
      <c r="EG1" s="452"/>
      <c r="EH1" s="452"/>
      <c r="EI1" s="452"/>
      <c r="EJ1" s="452"/>
      <c r="EK1" s="452"/>
      <c r="EL1" s="452"/>
      <c r="EM1" s="452"/>
      <c r="EN1" s="452"/>
      <c r="EO1" s="452"/>
      <c r="EP1" s="452"/>
      <c r="EQ1" s="452"/>
      <c r="ER1" s="452"/>
      <c r="ES1" s="452"/>
      <c r="ET1" s="452"/>
      <c r="EU1" s="452"/>
      <c r="EV1" s="452"/>
      <c r="EW1" s="452"/>
      <c r="EX1" s="452"/>
      <c r="EY1" s="452"/>
      <c r="EZ1" s="452"/>
      <c r="FA1" s="452"/>
      <c r="FB1" s="452"/>
      <c r="FC1" s="452"/>
      <c r="FD1" s="269"/>
      <c r="FE1" s="269"/>
      <c r="FF1" s="269"/>
      <c r="FG1" s="269"/>
      <c r="FH1" s="269"/>
      <c r="FI1" s="269"/>
      <c r="FJ1" s="269"/>
      <c r="FK1" s="269"/>
      <c r="FL1" s="269"/>
      <c r="FM1" s="269"/>
      <c r="FN1" s="269"/>
      <c r="FO1" s="269"/>
      <c r="FP1" s="269"/>
      <c r="FQ1" s="269"/>
      <c r="FR1" s="269"/>
    </row>
    <row r="2" spans="1:174" ht="16.5" customHeight="1" x14ac:dyDescent="0.25">
      <c r="A2" s="452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52"/>
      <c r="V2" s="452"/>
      <c r="W2" s="452"/>
      <c r="X2" s="452"/>
      <c r="Y2" s="452"/>
      <c r="Z2" s="452"/>
      <c r="AA2" s="452"/>
      <c r="AB2" s="452"/>
      <c r="AC2" s="452"/>
      <c r="AD2" s="452"/>
      <c r="AE2" s="452"/>
      <c r="AF2" s="452"/>
      <c r="AG2" s="452"/>
      <c r="AH2" s="452"/>
      <c r="AI2" s="452"/>
      <c r="AJ2" s="452"/>
      <c r="AK2" s="452"/>
      <c r="AL2" s="452"/>
      <c r="AM2" s="452"/>
      <c r="AN2" s="452"/>
      <c r="AO2" s="452"/>
      <c r="AP2" s="452"/>
      <c r="AQ2" s="452"/>
      <c r="AR2" s="452"/>
      <c r="AS2" s="452"/>
      <c r="AT2" s="452"/>
      <c r="AU2" s="452"/>
      <c r="AV2" s="452"/>
      <c r="AW2" s="452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2"/>
      <c r="BI2" s="452"/>
      <c r="BJ2" s="452"/>
      <c r="BK2" s="452"/>
      <c r="BL2" s="452"/>
      <c r="BM2" s="452"/>
      <c r="BN2" s="452"/>
      <c r="BO2" s="452"/>
      <c r="BP2" s="452"/>
      <c r="BQ2" s="452"/>
      <c r="BR2" s="452"/>
      <c r="BS2" s="452"/>
      <c r="BT2" s="452"/>
      <c r="BU2" s="452"/>
      <c r="BV2" s="452"/>
      <c r="BW2" s="452"/>
      <c r="BX2" s="452"/>
      <c r="BY2" s="452"/>
      <c r="BZ2" s="452"/>
      <c r="CA2" s="452"/>
      <c r="CB2" s="452"/>
      <c r="CC2" s="452"/>
      <c r="CD2" s="452"/>
      <c r="CE2" s="452"/>
      <c r="CF2" s="452"/>
      <c r="CG2" s="452"/>
      <c r="CH2" s="452"/>
      <c r="CI2" s="452"/>
      <c r="CJ2" s="452"/>
      <c r="CK2" s="452"/>
      <c r="CL2" s="452"/>
      <c r="CM2" s="452"/>
      <c r="CN2" s="452"/>
      <c r="CO2" s="452"/>
      <c r="CP2" s="452"/>
      <c r="CQ2" s="452"/>
      <c r="CR2" s="452"/>
      <c r="CS2" s="452"/>
      <c r="CT2" s="452"/>
      <c r="CU2" s="452"/>
      <c r="CV2" s="452"/>
      <c r="CW2" s="452"/>
      <c r="CX2" s="452"/>
      <c r="CY2" s="452"/>
      <c r="CZ2" s="452"/>
      <c r="DA2" s="452"/>
      <c r="DB2" s="452"/>
      <c r="DC2" s="452"/>
      <c r="DD2" s="452"/>
      <c r="DE2" s="452"/>
      <c r="DF2" s="452"/>
      <c r="DG2" s="452"/>
      <c r="DH2" s="452"/>
      <c r="DI2" s="452"/>
      <c r="DJ2" s="452"/>
      <c r="DK2" s="452"/>
      <c r="DL2" s="452"/>
      <c r="DM2" s="452"/>
      <c r="DN2" s="452"/>
      <c r="DO2" s="452"/>
      <c r="DP2" s="452"/>
      <c r="DQ2" s="452"/>
      <c r="DR2" s="452"/>
      <c r="DS2" s="452"/>
      <c r="DT2" s="452"/>
      <c r="DU2" s="452"/>
      <c r="DV2" s="452"/>
      <c r="DW2" s="452"/>
      <c r="DX2" s="452"/>
      <c r="DY2" s="452"/>
      <c r="DZ2" s="452"/>
      <c r="EA2" s="452"/>
      <c r="EB2" s="452"/>
      <c r="EC2" s="452"/>
      <c r="ED2" s="452"/>
      <c r="EE2" s="452"/>
      <c r="EF2" s="452"/>
      <c r="EG2" s="452"/>
      <c r="EH2" s="452"/>
      <c r="EI2" s="452"/>
      <c r="EJ2" s="452"/>
      <c r="EK2" s="452"/>
      <c r="EL2" s="452"/>
      <c r="EM2" s="452"/>
      <c r="EN2" s="452"/>
      <c r="EO2" s="452"/>
      <c r="EP2" s="452"/>
      <c r="EQ2" s="452"/>
      <c r="ER2" s="452"/>
      <c r="ES2" s="452"/>
      <c r="ET2" s="452"/>
      <c r="EU2" s="452"/>
      <c r="EV2" s="452"/>
      <c r="EW2" s="452"/>
      <c r="EX2" s="452"/>
      <c r="EY2" s="452"/>
      <c r="EZ2" s="452"/>
      <c r="FA2" s="452"/>
      <c r="FB2" s="452"/>
      <c r="FC2" s="452"/>
      <c r="FD2" s="269"/>
      <c r="FE2" s="269"/>
      <c r="FF2" s="269"/>
      <c r="FG2" s="269"/>
      <c r="FH2" s="269"/>
      <c r="FI2" s="269"/>
      <c r="FJ2" s="269"/>
      <c r="FK2" s="269"/>
      <c r="FL2" s="269"/>
      <c r="FM2" s="269"/>
      <c r="FN2" s="269"/>
      <c r="FO2" s="269"/>
      <c r="FP2" s="269"/>
      <c r="FQ2" s="269"/>
      <c r="FR2" s="269"/>
    </row>
    <row r="3" spans="1:174" ht="45" customHeight="1" x14ac:dyDescent="0.25">
      <c r="A3" s="452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452"/>
      <c r="V3" s="452"/>
      <c r="W3" s="452"/>
      <c r="X3" s="452"/>
      <c r="Y3" s="452"/>
      <c r="Z3" s="452"/>
      <c r="AA3" s="452"/>
      <c r="AB3" s="452"/>
      <c r="AC3" s="452"/>
      <c r="AD3" s="452"/>
      <c r="AE3" s="452"/>
      <c r="AF3" s="452"/>
      <c r="AG3" s="452"/>
      <c r="AH3" s="452"/>
      <c r="AI3" s="452"/>
      <c r="AJ3" s="452"/>
      <c r="AK3" s="452"/>
      <c r="AL3" s="452"/>
      <c r="AM3" s="452"/>
      <c r="AN3" s="452"/>
      <c r="AO3" s="452"/>
      <c r="AP3" s="452"/>
      <c r="AQ3" s="452"/>
      <c r="AR3" s="452"/>
      <c r="AS3" s="452"/>
      <c r="AT3" s="452"/>
      <c r="AU3" s="452"/>
      <c r="AV3" s="452"/>
      <c r="AW3" s="452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2"/>
      <c r="BI3" s="452"/>
      <c r="BJ3" s="452"/>
      <c r="BK3" s="452"/>
      <c r="BL3" s="452"/>
      <c r="BM3" s="452"/>
      <c r="BN3" s="452"/>
      <c r="BO3" s="452"/>
      <c r="BP3" s="452"/>
      <c r="BQ3" s="452"/>
      <c r="BR3" s="452"/>
      <c r="BS3" s="452"/>
      <c r="BT3" s="452"/>
      <c r="BU3" s="452"/>
      <c r="BV3" s="452"/>
      <c r="BW3" s="452"/>
      <c r="BX3" s="452"/>
      <c r="BY3" s="452"/>
      <c r="BZ3" s="452"/>
      <c r="CA3" s="452"/>
      <c r="CB3" s="452"/>
      <c r="CC3" s="452"/>
      <c r="CD3" s="452"/>
      <c r="CE3" s="452"/>
      <c r="CF3" s="452"/>
      <c r="CG3" s="452"/>
      <c r="CH3" s="452"/>
      <c r="CI3" s="452"/>
      <c r="CJ3" s="452"/>
      <c r="CK3" s="452"/>
      <c r="CL3" s="452"/>
      <c r="CM3" s="452"/>
      <c r="CN3" s="452"/>
      <c r="CO3" s="452"/>
      <c r="CP3" s="452"/>
      <c r="CQ3" s="452"/>
      <c r="CR3" s="452"/>
      <c r="CS3" s="452"/>
      <c r="CT3" s="452"/>
      <c r="CU3" s="452"/>
      <c r="CV3" s="452"/>
      <c r="CW3" s="452"/>
      <c r="CX3" s="452"/>
      <c r="CY3" s="452"/>
      <c r="CZ3" s="452"/>
      <c r="DA3" s="452"/>
      <c r="DB3" s="452"/>
      <c r="DC3" s="452"/>
      <c r="DD3" s="452"/>
      <c r="DE3" s="452"/>
      <c r="DF3" s="452"/>
      <c r="DG3" s="452"/>
      <c r="DH3" s="452"/>
      <c r="DI3" s="452"/>
      <c r="DJ3" s="452"/>
      <c r="DK3" s="452"/>
      <c r="DL3" s="452"/>
      <c r="DM3" s="452"/>
      <c r="DN3" s="452"/>
      <c r="DO3" s="452"/>
      <c r="DP3" s="452"/>
      <c r="DQ3" s="452"/>
      <c r="DR3" s="452"/>
      <c r="DS3" s="452"/>
      <c r="DT3" s="452"/>
      <c r="DU3" s="452"/>
      <c r="DV3" s="452"/>
      <c r="DW3" s="452"/>
      <c r="DX3" s="452"/>
      <c r="DY3" s="452"/>
      <c r="DZ3" s="452"/>
      <c r="EA3" s="452"/>
      <c r="EB3" s="452"/>
      <c r="EC3" s="452"/>
      <c r="ED3" s="452"/>
      <c r="EE3" s="452"/>
      <c r="EF3" s="452"/>
      <c r="EG3" s="452"/>
      <c r="EH3" s="452"/>
      <c r="EI3" s="452"/>
      <c r="EJ3" s="452"/>
      <c r="EK3" s="452"/>
      <c r="EL3" s="452"/>
      <c r="EM3" s="452"/>
      <c r="EN3" s="452"/>
      <c r="EO3" s="452"/>
      <c r="EP3" s="452"/>
      <c r="EQ3" s="452"/>
      <c r="ER3" s="452"/>
      <c r="ES3" s="452"/>
      <c r="ET3" s="452"/>
      <c r="EU3" s="452"/>
      <c r="EV3" s="452"/>
      <c r="EW3" s="452"/>
      <c r="EX3" s="452"/>
      <c r="EY3" s="452"/>
      <c r="EZ3" s="452"/>
      <c r="FA3" s="452"/>
      <c r="FB3" s="452"/>
      <c r="FC3" s="452"/>
      <c r="FD3" s="269"/>
      <c r="FE3" s="269"/>
      <c r="FF3" s="269"/>
      <c r="FG3" s="269"/>
      <c r="FH3" s="269"/>
      <c r="FI3" s="269"/>
      <c r="FJ3" s="269"/>
      <c r="FK3" s="269"/>
      <c r="FL3" s="269"/>
      <c r="FM3" s="269"/>
      <c r="FN3" s="269"/>
      <c r="FO3" s="269"/>
      <c r="FP3" s="269"/>
      <c r="FQ3" s="269"/>
      <c r="FR3" s="269"/>
    </row>
    <row r="4" spans="1:174" ht="16.5" customHeight="1" x14ac:dyDescent="0.25">
      <c r="A4" s="452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452"/>
      <c r="N4" s="452"/>
      <c r="O4" s="452"/>
      <c r="P4" s="452"/>
      <c r="Q4" s="452"/>
      <c r="R4" s="452"/>
      <c r="S4" s="452"/>
      <c r="T4" s="452"/>
      <c r="U4" s="452"/>
      <c r="V4" s="452"/>
      <c r="W4" s="452"/>
      <c r="X4" s="452"/>
      <c r="Y4" s="452"/>
      <c r="Z4" s="452"/>
      <c r="AA4" s="452"/>
      <c r="AB4" s="452"/>
      <c r="AC4" s="452"/>
      <c r="AD4" s="452"/>
      <c r="AE4" s="452"/>
      <c r="AF4" s="452"/>
      <c r="AG4" s="452"/>
      <c r="AH4" s="452"/>
      <c r="AI4" s="452"/>
      <c r="AJ4" s="452"/>
      <c r="AK4" s="452"/>
      <c r="AL4" s="452"/>
      <c r="AM4" s="452"/>
      <c r="AN4" s="452"/>
      <c r="AO4" s="452"/>
      <c r="AP4" s="452"/>
      <c r="AQ4" s="452"/>
      <c r="AR4" s="452"/>
      <c r="AS4" s="452"/>
      <c r="AT4" s="452"/>
      <c r="AU4" s="452"/>
      <c r="AV4" s="452"/>
      <c r="AW4" s="452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2"/>
      <c r="BI4" s="452"/>
      <c r="BJ4" s="452"/>
      <c r="BK4" s="452"/>
      <c r="BL4" s="452"/>
      <c r="BM4" s="452"/>
      <c r="BN4" s="452"/>
      <c r="BO4" s="452"/>
      <c r="BP4" s="452"/>
      <c r="BQ4" s="452"/>
      <c r="BR4" s="452"/>
      <c r="BS4" s="452"/>
      <c r="BT4" s="452"/>
      <c r="BU4" s="452"/>
      <c r="BV4" s="452"/>
      <c r="BW4" s="452"/>
      <c r="BX4" s="452"/>
      <c r="BY4" s="452"/>
      <c r="BZ4" s="452"/>
      <c r="CA4" s="452"/>
      <c r="CB4" s="452"/>
      <c r="CC4" s="452"/>
      <c r="CD4" s="452"/>
      <c r="CE4" s="452"/>
      <c r="CF4" s="452"/>
      <c r="CG4" s="452"/>
      <c r="CH4" s="452"/>
      <c r="CI4" s="452"/>
      <c r="CJ4" s="452"/>
      <c r="CK4" s="452"/>
      <c r="CL4" s="452"/>
      <c r="CM4" s="452"/>
      <c r="CN4" s="452"/>
      <c r="CO4" s="452"/>
      <c r="CP4" s="452"/>
      <c r="CQ4" s="452"/>
      <c r="CR4" s="452"/>
      <c r="CS4" s="452"/>
      <c r="CT4" s="452"/>
      <c r="CU4" s="452"/>
      <c r="CV4" s="452"/>
      <c r="CW4" s="452"/>
      <c r="CX4" s="452"/>
      <c r="CY4" s="452"/>
      <c r="CZ4" s="452"/>
      <c r="DA4" s="452"/>
      <c r="DB4" s="452"/>
      <c r="DC4" s="452"/>
      <c r="DD4" s="452"/>
      <c r="DE4" s="452"/>
      <c r="DF4" s="452"/>
      <c r="DG4" s="452"/>
      <c r="DH4" s="452"/>
      <c r="DI4" s="452"/>
      <c r="DJ4" s="452"/>
      <c r="DK4" s="452"/>
      <c r="DL4" s="452"/>
      <c r="DM4" s="452"/>
      <c r="DN4" s="452"/>
      <c r="DO4" s="452"/>
      <c r="DP4" s="452"/>
      <c r="DQ4" s="452"/>
      <c r="DR4" s="452"/>
      <c r="DS4" s="452"/>
      <c r="DT4" s="452"/>
      <c r="DU4" s="452"/>
      <c r="DV4" s="452"/>
      <c r="DW4" s="452"/>
      <c r="DX4" s="452"/>
      <c r="DY4" s="452"/>
      <c r="DZ4" s="452"/>
      <c r="EA4" s="452"/>
      <c r="EB4" s="452"/>
      <c r="EC4" s="452"/>
      <c r="ED4" s="452"/>
      <c r="EE4" s="452"/>
      <c r="EF4" s="452"/>
      <c r="EG4" s="452"/>
      <c r="EH4" s="452"/>
      <c r="EI4" s="452"/>
      <c r="EJ4" s="452"/>
      <c r="EK4" s="452"/>
      <c r="EL4" s="452"/>
      <c r="EM4" s="452"/>
      <c r="EN4" s="452"/>
      <c r="EO4" s="452"/>
      <c r="EP4" s="452"/>
      <c r="EQ4" s="452"/>
      <c r="ER4" s="452"/>
      <c r="ES4" s="452"/>
      <c r="ET4" s="452"/>
      <c r="EU4" s="452"/>
      <c r="EV4" s="452"/>
      <c r="EW4" s="452"/>
      <c r="EX4" s="452"/>
      <c r="EY4" s="452"/>
      <c r="EZ4" s="452"/>
      <c r="FA4" s="452"/>
      <c r="FB4" s="452"/>
      <c r="FC4" s="452"/>
      <c r="FD4" s="269"/>
      <c r="FE4" s="269"/>
      <c r="FF4" s="269"/>
      <c r="FG4" s="269"/>
      <c r="FH4" s="269"/>
      <c r="FI4" s="269"/>
      <c r="FJ4" s="269"/>
      <c r="FK4" s="269"/>
      <c r="FL4" s="269"/>
      <c r="FM4" s="269"/>
      <c r="FN4" s="269"/>
      <c r="FO4" s="269"/>
      <c r="FP4" s="269"/>
      <c r="FQ4" s="269"/>
      <c r="FR4" s="269"/>
    </row>
    <row r="5" spans="1:174" ht="10.5" customHeight="1" thickBot="1" x14ac:dyDescent="0.3">
      <c r="A5" s="453"/>
      <c r="B5" s="453"/>
      <c r="C5" s="453"/>
      <c r="D5" s="453"/>
      <c r="E5" s="453"/>
      <c r="F5" s="453"/>
      <c r="G5" s="453"/>
      <c r="H5" s="453"/>
      <c r="I5" s="453"/>
      <c r="J5" s="453"/>
      <c r="K5" s="453"/>
      <c r="L5" s="453"/>
      <c r="M5" s="453"/>
      <c r="N5" s="453"/>
      <c r="O5" s="453"/>
      <c r="P5" s="453"/>
      <c r="Q5" s="453"/>
      <c r="R5" s="453"/>
      <c r="S5" s="453"/>
      <c r="T5" s="452"/>
      <c r="U5" s="453"/>
      <c r="V5" s="453"/>
      <c r="W5" s="453"/>
      <c r="X5" s="453"/>
      <c r="Y5" s="453"/>
      <c r="Z5" s="453"/>
      <c r="AA5" s="453"/>
      <c r="AB5" s="453"/>
      <c r="AC5" s="453"/>
      <c r="AD5" s="453"/>
      <c r="AE5" s="453"/>
      <c r="AF5" s="453"/>
      <c r="AG5" s="453"/>
      <c r="AH5" s="453"/>
      <c r="AI5" s="453"/>
      <c r="AJ5" s="453"/>
      <c r="AK5" s="453"/>
      <c r="AL5" s="453"/>
      <c r="AM5" s="453"/>
      <c r="AN5" s="453"/>
      <c r="AO5" s="453"/>
      <c r="AP5" s="453"/>
      <c r="AQ5" s="453"/>
      <c r="AR5" s="453"/>
      <c r="AS5" s="453"/>
      <c r="AT5" s="453"/>
      <c r="AU5" s="453"/>
      <c r="AV5" s="453"/>
      <c r="AW5" s="453"/>
      <c r="AX5" s="453"/>
      <c r="AY5" s="452"/>
      <c r="AZ5" s="453"/>
      <c r="BA5" s="453"/>
      <c r="BB5" s="453"/>
      <c r="BC5" s="453"/>
      <c r="BD5" s="453"/>
      <c r="BE5" s="453"/>
      <c r="BF5" s="453"/>
      <c r="BG5" s="453"/>
      <c r="BH5" s="453"/>
      <c r="BI5" s="453"/>
      <c r="BJ5" s="453"/>
      <c r="BK5" s="453"/>
      <c r="BL5" s="453"/>
      <c r="BM5" s="453"/>
      <c r="BN5" s="453"/>
      <c r="BO5" s="453"/>
      <c r="BP5" s="453"/>
      <c r="BQ5" s="453"/>
      <c r="BR5" s="453"/>
      <c r="BS5" s="453"/>
      <c r="BT5" s="453"/>
      <c r="BU5" s="452"/>
      <c r="BV5" s="453"/>
      <c r="BW5" s="453"/>
      <c r="BX5" s="453"/>
      <c r="BY5" s="453"/>
      <c r="BZ5" s="453"/>
      <c r="CA5" s="453"/>
      <c r="CB5" s="453"/>
      <c r="CC5" s="453"/>
      <c r="CD5" s="453"/>
      <c r="CE5" s="453"/>
      <c r="CF5" s="453"/>
      <c r="CG5" s="453"/>
      <c r="CH5" s="453"/>
      <c r="CI5" s="453"/>
      <c r="CJ5" s="453"/>
      <c r="CK5" s="453"/>
      <c r="CL5" s="453"/>
      <c r="CM5" s="453"/>
      <c r="CN5" s="453"/>
      <c r="CO5" s="453"/>
      <c r="CP5" s="453"/>
      <c r="CQ5" s="453"/>
      <c r="CR5" s="453"/>
      <c r="CS5" s="453"/>
      <c r="CT5" s="453"/>
      <c r="CU5" s="453"/>
      <c r="CV5" s="453"/>
      <c r="CW5" s="453"/>
      <c r="CX5" s="453"/>
      <c r="CY5" s="453"/>
      <c r="CZ5" s="453"/>
      <c r="DA5" s="453"/>
      <c r="DB5" s="453"/>
      <c r="DC5" s="453"/>
      <c r="DD5" s="453"/>
      <c r="DE5" s="453"/>
      <c r="DF5" s="453"/>
      <c r="DG5" s="453"/>
      <c r="DH5" s="453"/>
      <c r="DI5" s="453"/>
      <c r="DJ5" s="453"/>
      <c r="DK5" s="453"/>
      <c r="DL5" s="453"/>
      <c r="DM5" s="453"/>
      <c r="DN5" s="453"/>
      <c r="DO5" s="453"/>
      <c r="DP5" s="453"/>
      <c r="DQ5" s="453"/>
      <c r="DR5" s="453"/>
      <c r="DS5" s="452"/>
      <c r="DT5" s="453"/>
      <c r="DU5" s="453"/>
      <c r="DV5" s="453"/>
      <c r="DW5" s="453"/>
      <c r="DX5" s="453"/>
      <c r="DY5" s="453"/>
      <c r="DZ5" s="453"/>
      <c r="EA5" s="453"/>
      <c r="EB5" s="453"/>
      <c r="EC5" s="453"/>
      <c r="ED5" s="453"/>
      <c r="EE5" s="453"/>
      <c r="EF5" s="452"/>
      <c r="EG5" s="453"/>
      <c r="EH5" s="453"/>
      <c r="EI5" s="453"/>
      <c r="EJ5" s="453"/>
      <c r="EK5" s="453"/>
      <c r="EL5" s="453"/>
      <c r="EM5" s="453"/>
      <c r="EN5" s="453"/>
      <c r="EO5" s="453"/>
      <c r="EP5" s="453"/>
      <c r="EQ5" s="453"/>
      <c r="ER5" s="453"/>
      <c r="ES5" s="452"/>
      <c r="ET5" s="453"/>
      <c r="EU5" s="453"/>
      <c r="EV5" s="453"/>
      <c r="EW5" s="453"/>
      <c r="EX5" s="453"/>
      <c r="EY5" s="453"/>
      <c r="EZ5" s="453"/>
      <c r="FA5" s="453"/>
      <c r="FB5" s="453"/>
      <c r="FC5" s="453"/>
      <c r="FD5" s="269"/>
      <c r="FE5" s="269"/>
      <c r="FF5" s="269"/>
      <c r="FG5" s="269"/>
      <c r="FH5" s="269"/>
      <c r="FI5" s="269"/>
      <c r="FJ5" s="269"/>
      <c r="FK5" s="269"/>
      <c r="FL5" s="269"/>
      <c r="FM5" s="269"/>
      <c r="FN5" s="269"/>
      <c r="FO5" s="269"/>
      <c r="FP5" s="269"/>
      <c r="FQ5" s="269"/>
      <c r="FR5" s="269"/>
    </row>
    <row r="6" spans="1:174" ht="24.75" customHeight="1" thickBot="1" x14ac:dyDescent="0.3">
      <c r="A6" s="454" t="s">
        <v>81</v>
      </c>
      <c r="B6" s="455"/>
      <c r="C6" s="455"/>
      <c r="D6" s="455"/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5"/>
      <c r="P6" s="455"/>
      <c r="Q6" s="455"/>
      <c r="R6" s="455"/>
      <c r="S6" s="456"/>
      <c r="T6" s="483"/>
      <c r="U6" s="457" t="s">
        <v>82</v>
      </c>
      <c r="V6" s="458"/>
      <c r="W6" s="458"/>
      <c r="X6" s="458"/>
      <c r="Y6" s="458"/>
      <c r="Z6" s="458"/>
      <c r="AA6" s="458"/>
      <c r="AB6" s="458"/>
      <c r="AC6" s="458"/>
      <c r="AD6" s="458"/>
      <c r="AE6" s="458"/>
      <c r="AF6" s="458"/>
      <c r="AG6" s="458"/>
      <c r="AH6" s="458"/>
      <c r="AI6" s="458"/>
      <c r="AJ6" s="458"/>
      <c r="AK6" s="458"/>
      <c r="AL6" s="458"/>
      <c r="AM6" s="458"/>
      <c r="AN6" s="458"/>
      <c r="AO6" s="458"/>
      <c r="AP6" s="458"/>
      <c r="AQ6" s="458"/>
      <c r="AR6" s="458"/>
      <c r="AS6" s="458"/>
      <c r="AT6" s="458"/>
      <c r="AU6" s="458"/>
      <c r="AV6" s="458"/>
      <c r="AW6" s="458"/>
      <c r="AX6" s="459"/>
      <c r="AY6" s="500"/>
      <c r="AZ6" s="457" t="s">
        <v>83</v>
      </c>
      <c r="BA6" s="458"/>
      <c r="BB6" s="458"/>
      <c r="BC6" s="458"/>
      <c r="BD6" s="458"/>
      <c r="BE6" s="458"/>
      <c r="BF6" s="458"/>
      <c r="BG6" s="458"/>
      <c r="BH6" s="458"/>
      <c r="BI6" s="458"/>
      <c r="BJ6" s="458"/>
      <c r="BK6" s="458"/>
      <c r="BL6" s="458"/>
      <c r="BM6" s="458"/>
      <c r="BN6" s="458"/>
      <c r="BO6" s="458"/>
      <c r="BP6" s="458"/>
      <c r="BQ6" s="458"/>
      <c r="BR6" s="458"/>
      <c r="BS6" s="458"/>
      <c r="BT6" s="459"/>
      <c r="BU6" s="592"/>
      <c r="BV6" s="460" t="s">
        <v>84</v>
      </c>
      <c r="BW6" s="461"/>
      <c r="BX6" s="461"/>
      <c r="BY6" s="461"/>
      <c r="BZ6" s="461"/>
      <c r="CA6" s="461"/>
      <c r="CB6" s="461"/>
      <c r="CC6" s="461"/>
      <c r="CD6" s="461"/>
      <c r="CE6" s="461"/>
      <c r="CF6" s="461"/>
      <c r="CG6" s="461"/>
      <c r="CH6" s="461"/>
      <c r="CI6" s="461"/>
      <c r="CJ6" s="461"/>
      <c r="CK6" s="461"/>
      <c r="CL6" s="461"/>
      <c r="CM6" s="461"/>
      <c r="CN6" s="461"/>
      <c r="CO6" s="461"/>
      <c r="CP6" s="461"/>
      <c r="CQ6" s="461"/>
      <c r="CR6" s="461"/>
      <c r="CS6" s="461"/>
      <c r="CT6" s="461"/>
      <c r="CU6" s="462"/>
      <c r="CV6" s="518"/>
      <c r="CW6" s="473" t="s">
        <v>85</v>
      </c>
      <c r="CX6" s="473"/>
      <c r="CY6" s="473"/>
      <c r="CZ6" s="473"/>
      <c r="DA6" s="473"/>
      <c r="DB6" s="473"/>
      <c r="DC6" s="473"/>
      <c r="DD6" s="473"/>
      <c r="DE6" s="473"/>
      <c r="DF6" s="473"/>
      <c r="DG6" s="473"/>
      <c r="DH6" s="473"/>
      <c r="DI6" s="473"/>
      <c r="DJ6" s="473"/>
      <c r="DK6" s="473"/>
      <c r="DL6" s="473"/>
      <c r="DM6" s="473"/>
      <c r="DN6" s="473"/>
      <c r="DO6" s="473"/>
      <c r="DP6" s="473"/>
      <c r="DQ6" s="473"/>
      <c r="DR6" s="474"/>
      <c r="DS6" s="534"/>
      <c r="DT6" s="542" t="s">
        <v>86</v>
      </c>
      <c r="DU6" s="543"/>
      <c r="DV6" s="543"/>
      <c r="DW6" s="543"/>
      <c r="DX6" s="543"/>
      <c r="DY6" s="543"/>
      <c r="DZ6" s="543"/>
      <c r="EA6" s="543"/>
      <c r="EB6" s="543"/>
      <c r="EC6" s="543"/>
      <c r="ED6" s="543"/>
      <c r="EE6" s="544"/>
      <c r="EF6" s="583"/>
      <c r="EG6" s="542" t="s">
        <v>87</v>
      </c>
      <c r="EH6" s="543"/>
      <c r="EI6" s="543"/>
      <c r="EJ6" s="543"/>
      <c r="EK6" s="543"/>
      <c r="EL6" s="543"/>
      <c r="EM6" s="543"/>
      <c r="EN6" s="543"/>
      <c r="EO6" s="543"/>
      <c r="EP6" s="543"/>
      <c r="EQ6" s="543"/>
      <c r="ER6" s="544"/>
      <c r="ES6" s="562"/>
      <c r="ET6" s="559" t="s">
        <v>88</v>
      </c>
      <c r="EU6" s="560"/>
      <c r="EV6" s="560"/>
      <c r="EW6" s="560"/>
      <c r="EX6" s="560"/>
      <c r="EY6" s="560"/>
      <c r="EZ6" s="560"/>
      <c r="FA6" s="560"/>
      <c r="FB6" s="560"/>
      <c r="FC6" s="561"/>
      <c r="FD6" s="562"/>
      <c r="FE6" s="277" t="s">
        <v>89</v>
      </c>
      <c r="FF6" s="278"/>
      <c r="FG6" s="278"/>
      <c r="FH6" s="278"/>
      <c r="FI6" s="278"/>
      <c r="FJ6" s="278"/>
      <c r="FK6" s="278"/>
      <c r="FL6" s="278"/>
      <c r="FM6" s="278"/>
      <c r="FN6" s="279"/>
      <c r="FO6" s="272"/>
      <c r="FP6" s="272"/>
      <c r="FQ6" s="1"/>
      <c r="FR6" s="1"/>
    </row>
    <row r="7" spans="1:174" ht="45" customHeight="1" thickBot="1" x14ac:dyDescent="0.3">
      <c r="A7" s="463" t="s">
        <v>90</v>
      </c>
      <c r="B7" s="465" t="s">
        <v>91</v>
      </c>
      <c r="C7" s="467" t="s">
        <v>92</v>
      </c>
      <c r="D7" s="468"/>
      <c r="E7" s="469"/>
      <c r="F7" s="470" t="s">
        <v>93</v>
      </c>
      <c r="G7" s="471"/>
      <c r="H7" s="472"/>
      <c r="I7" s="475" t="s">
        <v>94</v>
      </c>
      <c r="J7" s="475"/>
      <c r="K7" s="476" t="s">
        <v>95</v>
      </c>
      <c r="L7" s="477"/>
      <c r="M7" s="478" t="s">
        <v>96</v>
      </c>
      <c r="N7" s="472"/>
      <c r="O7" s="478" t="s">
        <v>97</v>
      </c>
      <c r="P7" s="471"/>
      <c r="Q7" s="472"/>
      <c r="R7" s="476" t="s">
        <v>98</v>
      </c>
      <c r="S7" s="479"/>
      <c r="T7" s="483"/>
      <c r="U7" s="480" t="s">
        <v>99</v>
      </c>
      <c r="V7" s="481"/>
      <c r="W7" s="482"/>
      <c r="X7" s="490" t="s">
        <v>100</v>
      </c>
      <c r="Y7" s="481"/>
      <c r="Z7" s="482"/>
      <c r="AA7" s="490" t="s">
        <v>101</v>
      </c>
      <c r="AB7" s="481"/>
      <c r="AC7" s="482"/>
      <c r="AD7" s="490" t="s">
        <v>102</v>
      </c>
      <c r="AE7" s="481"/>
      <c r="AF7" s="482"/>
      <c r="AG7" s="490" t="s">
        <v>103</v>
      </c>
      <c r="AH7" s="481"/>
      <c r="AI7" s="482"/>
      <c r="AJ7" s="491" t="s">
        <v>104</v>
      </c>
      <c r="AK7" s="492"/>
      <c r="AL7" s="493"/>
      <c r="AM7" s="491" t="s">
        <v>105</v>
      </c>
      <c r="AN7" s="492"/>
      <c r="AO7" s="493"/>
      <c r="AP7" s="490" t="s">
        <v>106</v>
      </c>
      <c r="AQ7" s="481"/>
      <c r="AR7" s="482"/>
      <c r="AS7" s="491" t="s">
        <v>107</v>
      </c>
      <c r="AT7" s="492"/>
      <c r="AU7" s="493"/>
      <c r="AV7" s="494" t="s">
        <v>108</v>
      </c>
      <c r="AW7" s="495"/>
      <c r="AX7" s="496"/>
      <c r="AY7" s="500"/>
      <c r="AZ7" s="497" t="s">
        <v>109</v>
      </c>
      <c r="BA7" s="495"/>
      <c r="BB7" s="498"/>
      <c r="BC7" s="499" t="s">
        <v>110</v>
      </c>
      <c r="BD7" s="499"/>
      <c r="BE7" s="499"/>
      <c r="BF7" s="499" t="s">
        <v>111</v>
      </c>
      <c r="BG7" s="499"/>
      <c r="BH7" s="499"/>
      <c r="BI7" s="291" t="s">
        <v>112</v>
      </c>
      <c r="BJ7" s="291"/>
      <c r="BK7" s="291" t="s">
        <v>113</v>
      </c>
      <c r="BL7" s="291"/>
      <c r="BM7" s="291" t="s">
        <v>114</v>
      </c>
      <c r="BN7" s="291"/>
      <c r="BO7" s="291" t="s">
        <v>115</v>
      </c>
      <c r="BP7" s="291"/>
      <c r="BQ7" s="296" t="s">
        <v>116</v>
      </c>
      <c r="BR7" s="297"/>
      <c r="BS7" s="510" t="s">
        <v>117</v>
      </c>
      <c r="BT7" s="511"/>
      <c r="BU7" s="593"/>
      <c r="BV7" s="595" t="s">
        <v>118</v>
      </c>
      <c r="BW7" s="513"/>
      <c r="BX7" s="514"/>
      <c r="BY7" s="596" t="s">
        <v>119</v>
      </c>
      <c r="BZ7" s="596"/>
      <c r="CA7" s="289" t="s">
        <v>120</v>
      </c>
      <c r="CB7" s="290"/>
      <c r="CC7" s="289" t="s">
        <v>121</v>
      </c>
      <c r="CD7" s="290"/>
      <c r="CE7" s="289" t="s">
        <v>122</v>
      </c>
      <c r="CF7" s="290"/>
      <c r="CG7" s="289" t="s">
        <v>123</v>
      </c>
      <c r="CH7" s="290"/>
      <c r="CI7" s="289" t="s">
        <v>124</v>
      </c>
      <c r="CJ7" s="290"/>
      <c r="CK7" s="512" t="s">
        <v>125</v>
      </c>
      <c r="CL7" s="513"/>
      <c r="CM7" s="514"/>
      <c r="CN7" s="512" t="s">
        <v>126</v>
      </c>
      <c r="CO7" s="513"/>
      <c r="CP7" s="514"/>
      <c r="CQ7" s="512" t="s">
        <v>127</v>
      </c>
      <c r="CR7" s="513"/>
      <c r="CS7" s="514"/>
      <c r="CT7" s="515" t="s">
        <v>128</v>
      </c>
      <c r="CU7" s="516"/>
      <c r="CV7" s="519"/>
      <c r="CW7" s="517" t="s">
        <v>129</v>
      </c>
      <c r="CX7" s="318"/>
      <c r="CY7" s="318"/>
      <c r="CZ7" s="318"/>
      <c r="DA7" s="523" t="s">
        <v>130</v>
      </c>
      <c r="DB7" s="468"/>
      <c r="DC7" s="468"/>
      <c r="DD7" s="524"/>
      <c r="DE7" s="523" t="s">
        <v>131</v>
      </c>
      <c r="DF7" s="468"/>
      <c r="DG7" s="468"/>
      <c r="DH7" s="468"/>
      <c r="DI7" s="517" t="s">
        <v>132</v>
      </c>
      <c r="DJ7" s="523"/>
      <c r="DK7" s="523"/>
      <c r="DL7" s="525"/>
      <c r="DM7" s="467" t="s">
        <v>133</v>
      </c>
      <c r="DN7" s="468"/>
      <c r="DO7" s="468"/>
      <c r="DP7" s="469"/>
      <c r="DQ7" s="467" t="s">
        <v>134</v>
      </c>
      <c r="DR7" s="469"/>
      <c r="DS7" s="535"/>
      <c r="DT7" s="532" t="s">
        <v>135</v>
      </c>
      <c r="DU7" s="533"/>
      <c r="DV7" s="540" t="s">
        <v>136</v>
      </c>
      <c r="DW7" s="533"/>
      <c r="DX7" s="541" t="s">
        <v>137</v>
      </c>
      <c r="DY7" s="540"/>
      <c r="DZ7" s="540" t="s">
        <v>138</v>
      </c>
      <c r="EA7" s="533"/>
      <c r="EB7" s="540" t="s">
        <v>139</v>
      </c>
      <c r="EC7" s="533"/>
      <c r="ED7" s="540" t="s">
        <v>140</v>
      </c>
      <c r="EE7" s="545"/>
      <c r="EF7" s="584"/>
      <c r="EG7" s="555" t="s">
        <v>141</v>
      </c>
      <c r="EH7" s="541"/>
      <c r="EI7" s="541" t="s">
        <v>142</v>
      </c>
      <c r="EJ7" s="541"/>
      <c r="EK7" s="541" t="s">
        <v>143</v>
      </c>
      <c r="EL7" s="541"/>
      <c r="EM7" s="541" t="s">
        <v>144</v>
      </c>
      <c r="EN7" s="541"/>
      <c r="EO7" s="541" t="s">
        <v>145</v>
      </c>
      <c r="EP7" s="541"/>
      <c r="EQ7" s="541" t="s">
        <v>146</v>
      </c>
      <c r="ER7" s="558"/>
      <c r="ES7" s="562"/>
      <c r="ET7" s="517" t="s">
        <v>147</v>
      </c>
      <c r="EU7" s="318"/>
      <c r="EV7" s="318" t="s">
        <v>148</v>
      </c>
      <c r="EW7" s="318"/>
      <c r="EX7" s="318" t="s">
        <v>149</v>
      </c>
      <c r="EY7" s="318"/>
      <c r="EZ7" s="318" t="s">
        <v>150</v>
      </c>
      <c r="FA7" s="318"/>
      <c r="FB7" s="318" t="s">
        <v>151</v>
      </c>
      <c r="FC7" s="525"/>
      <c r="FD7" s="562"/>
      <c r="FE7" s="517" t="s">
        <v>152</v>
      </c>
      <c r="FF7" s="318"/>
      <c r="FG7" s="280" t="s">
        <v>153</v>
      </c>
      <c r="FH7" s="281"/>
      <c r="FI7" s="280" t="s">
        <v>154</v>
      </c>
      <c r="FJ7" s="281"/>
      <c r="FK7" s="280" t="s">
        <v>155</v>
      </c>
      <c r="FL7" s="281"/>
      <c r="FM7" s="280" t="s">
        <v>156</v>
      </c>
      <c r="FN7" s="281"/>
      <c r="FO7" s="318" t="s">
        <v>157</v>
      </c>
      <c r="FP7" s="318"/>
      <c r="FQ7" s="318" t="s">
        <v>158</v>
      </c>
      <c r="FR7" s="318"/>
    </row>
    <row r="8" spans="1:174" s="4" customFormat="1" ht="44.25" customHeight="1" thickBot="1" x14ac:dyDescent="0.3">
      <c r="A8" s="464"/>
      <c r="B8" s="466"/>
      <c r="C8" s="243" t="s">
        <v>159</v>
      </c>
      <c r="D8" s="244" t="s">
        <v>160</v>
      </c>
      <c r="E8" s="81" t="s">
        <v>161</v>
      </c>
      <c r="F8" s="232" t="s">
        <v>162</v>
      </c>
      <c r="G8" s="21" t="s">
        <v>163</v>
      </c>
      <c r="H8" s="81" t="s">
        <v>161</v>
      </c>
      <c r="I8" s="22" t="s">
        <v>162</v>
      </c>
      <c r="J8" s="21" t="s">
        <v>164</v>
      </c>
      <c r="K8" s="245" t="s">
        <v>162</v>
      </c>
      <c r="L8" s="21" t="s">
        <v>164</v>
      </c>
      <c r="M8" s="22" t="s">
        <v>162</v>
      </c>
      <c r="N8" s="21" t="s">
        <v>164</v>
      </c>
      <c r="O8" s="22" t="s">
        <v>162</v>
      </c>
      <c r="P8" s="21" t="s">
        <v>163</v>
      </c>
      <c r="Q8" s="81" t="s">
        <v>161</v>
      </c>
      <c r="R8" s="22" t="s">
        <v>162</v>
      </c>
      <c r="S8" s="246" t="s">
        <v>163</v>
      </c>
      <c r="T8" s="483"/>
      <c r="U8" s="248" t="s">
        <v>165</v>
      </c>
      <c r="V8" s="21" t="s">
        <v>166</v>
      </c>
      <c r="W8" s="82" t="s">
        <v>167</v>
      </c>
      <c r="X8" s="22" t="s">
        <v>168</v>
      </c>
      <c r="Y8" s="21" t="s">
        <v>166</v>
      </c>
      <c r="Z8" s="82" t="s">
        <v>167</v>
      </c>
      <c r="AA8" s="22" t="s">
        <v>168</v>
      </c>
      <c r="AB8" s="21" t="s">
        <v>166</v>
      </c>
      <c r="AC8" s="82" t="s">
        <v>167</v>
      </c>
      <c r="AD8" s="22" t="s">
        <v>168</v>
      </c>
      <c r="AE8" s="21" t="s">
        <v>166</v>
      </c>
      <c r="AF8" s="82" t="s">
        <v>167</v>
      </c>
      <c r="AG8" s="22" t="s">
        <v>165</v>
      </c>
      <c r="AH8" s="21" t="s">
        <v>166</v>
      </c>
      <c r="AI8" s="82" t="s">
        <v>167</v>
      </c>
      <c r="AJ8" s="22" t="s">
        <v>168</v>
      </c>
      <c r="AK8" s="21" t="s">
        <v>166</v>
      </c>
      <c r="AL8" s="82" t="s">
        <v>167</v>
      </c>
      <c r="AM8" s="22" t="s">
        <v>168</v>
      </c>
      <c r="AN8" s="21" t="s">
        <v>166</v>
      </c>
      <c r="AO8" s="82" t="s">
        <v>167</v>
      </c>
      <c r="AP8" s="22" t="s">
        <v>168</v>
      </c>
      <c r="AQ8" s="21" t="s">
        <v>166</v>
      </c>
      <c r="AR8" s="82" t="s">
        <v>167</v>
      </c>
      <c r="AS8" s="22" t="s">
        <v>168</v>
      </c>
      <c r="AT8" s="21" t="s">
        <v>166</v>
      </c>
      <c r="AU8" s="82" t="s">
        <v>167</v>
      </c>
      <c r="AV8" s="22" t="s">
        <v>168</v>
      </c>
      <c r="AW8" s="21" t="s">
        <v>166</v>
      </c>
      <c r="AX8" s="249" t="s">
        <v>167</v>
      </c>
      <c r="AY8" s="500"/>
      <c r="AZ8" s="248" t="s">
        <v>169</v>
      </c>
      <c r="BA8" s="156" t="s">
        <v>170</v>
      </c>
      <c r="BB8" s="82" t="s">
        <v>167</v>
      </c>
      <c r="BC8" s="22" t="s">
        <v>169</v>
      </c>
      <c r="BD8" s="156" t="s">
        <v>170</v>
      </c>
      <c r="BE8" s="82" t="s">
        <v>167</v>
      </c>
      <c r="BF8" s="22" t="s">
        <v>169</v>
      </c>
      <c r="BG8" s="156" t="s">
        <v>170</v>
      </c>
      <c r="BH8" s="82" t="s">
        <v>167</v>
      </c>
      <c r="BI8" s="22" t="s">
        <v>169</v>
      </c>
      <c r="BJ8" s="21" t="s">
        <v>170</v>
      </c>
      <c r="BK8" s="22" t="s">
        <v>169</v>
      </c>
      <c r="BL8" s="21" t="s">
        <v>170</v>
      </c>
      <c r="BM8" s="22" t="s">
        <v>169</v>
      </c>
      <c r="BN8" s="21" t="s">
        <v>170</v>
      </c>
      <c r="BO8" s="22" t="s">
        <v>169</v>
      </c>
      <c r="BP8" s="21" t="s">
        <v>170</v>
      </c>
      <c r="BQ8" s="232" t="s">
        <v>169</v>
      </c>
      <c r="BR8" s="21" t="s">
        <v>170</v>
      </c>
      <c r="BS8" s="232" t="s">
        <v>169</v>
      </c>
      <c r="BT8" s="252" t="s">
        <v>170</v>
      </c>
      <c r="BU8" s="593"/>
      <c r="BV8" s="219" t="s">
        <v>171</v>
      </c>
      <c r="BW8" s="22" t="s">
        <v>172</v>
      </c>
      <c r="BX8" s="81" t="s">
        <v>161</v>
      </c>
      <c r="BY8" s="22" t="s">
        <v>172</v>
      </c>
      <c r="BZ8" s="165" t="s">
        <v>163</v>
      </c>
      <c r="CA8" s="22" t="s">
        <v>172</v>
      </c>
      <c r="CB8" s="165" t="s">
        <v>163</v>
      </c>
      <c r="CC8" s="22" t="s">
        <v>172</v>
      </c>
      <c r="CD8" s="165" t="s">
        <v>163</v>
      </c>
      <c r="CE8" s="22" t="s">
        <v>172</v>
      </c>
      <c r="CF8" s="165" t="s">
        <v>163</v>
      </c>
      <c r="CG8" s="22" t="s">
        <v>172</v>
      </c>
      <c r="CH8" s="165" t="s">
        <v>163</v>
      </c>
      <c r="CI8" s="22" t="s">
        <v>172</v>
      </c>
      <c r="CJ8" s="165" t="s">
        <v>163</v>
      </c>
      <c r="CK8" s="22" t="s">
        <v>172</v>
      </c>
      <c r="CL8" s="165" t="s">
        <v>163</v>
      </c>
      <c r="CM8" s="81" t="s">
        <v>161</v>
      </c>
      <c r="CN8" s="22" t="s">
        <v>172</v>
      </c>
      <c r="CO8" s="165" t="s">
        <v>163</v>
      </c>
      <c r="CP8" s="81" t="s">
        <v>161</v>
      </c>
      <c r="CQ8" s="24" t="s">
        <v>172</v>
      </c>
      <c r="CR8" s="165" t="s">
        <v>163</v>
      </c>
      <c r="CS8" s="81" t="s">
        <v>161</v>
      </c>
      <c r="CT8" s="22" t="s">
        <v>173</v>
      </c>
      <c r="CU8" s="176" t="s">
        <v>174</v>
      </c>
      <c r="CV8" s="519"/>
      <c r="CW8" s="236" t="s">
        <v>175</v>
      </c>
      <c r="CX8" s="237" t="s">
        <v>164</v>
      </c>
      <c r="CY8" s="24" t="s">
        <v>176</v>
      </c>
      <c r="CZ8" s="237" t="s">
        <v>164</v>
      </c>
      <c r="DA8" s="24" t="s">
        <v>175</v>
      </c>
      <c r="DB8" s="237" t="s">
        <v>163</v>
      </c>
      <c r="DC8" s="24" t="s">
        <v>176</v>
      </c>
      <c r="DD8" s="237" t="s">
        <v>163</v>
      </c>
      <c r="DE8" s="24" t="s">
        <v>175</v>
      </c>
      <c r="DF8" s="237" t="s">
        <v>164</v>
      </c>
      <c r="DG8" s="24" t="s">
        <v>176</v>
      </c>
      <c r="DH8" s="237" t="s">
        <v>164</v>
      </c>
      <c r="DI8" s="24" t="s">
        <v>175</v>
      </c>
      <c r="DJ8" s="238" t="s">
        <v>163</v>
      </c>
      <c r="DK8" s="24" t="s">
        <v>176</v>
      </c>
      <c r="DL8" s="238" t="s">
        <v>163</v>
      </c>
      <c r="DM8" s="24" t="s">
        <v>175</v>
      </c>
      <c r="DN8" s="238" t="s">
        <v>163</v>
      </c>
      <c r="DO8" s="24" t="s">
        <v>176</v>
      </c>
      <c r="DP8" s="238" t="s">
        <v>163</v>
      </c>
      <c r="DQ8" s="239" t="s">
        <v>177</v>
      </c>
      <c r="DR8" s="240" t="s">
        <v>163</v>
      </c>
      <c r="DS8" s="535"/>
      <c r="DT8" s="191" t="s">
        <v>165</v>
      </c>
      <c r="DU8" s="200" t="s">
        <v>178</v>
      </c>
      <c r="DV8" s="193" t="s">
        <v>165</v>
      </c>
      <c r="DW8" s="194" t="s">
        <v>178</v>
      </c>
      <c r="DX8" s="192" t="s">
        <v>168</v>
      </c>
      <c r="DY8" s="204" t="s">
        <v>178</v>
      </c>
      <c r="DZ8" s="192" t="s">
        <v>168</v>
      </c>
      <c r="EA8" s="204" t="s">
        <v>178</v>
      </c>
      <c r="EB8" s="192" t="s">
        <v>168</v>
      </c>
      <c r="EC8" s="204" t="s">
        <v>178</v>
      </c>
      <c r="ED8" s="192" t="s">
        <v>168</v>
      </c>
      <c r="EE8" s="207" t="s">
        <v>178</v>
      </c>
      <c r="EF8" s="584"/>
      <c r="EG8" s="191" t="s">
        <v>168</v>
      </c>
      <c r="EH8" s="215" t="s">
        <v>178</v>
      </c>
      <c r="EI8" s="192" t="s">
        <v>168</v>
      </c>
      <c r="EJ8" s="215" t="s">
        <v>178</v>
      </c>
      <c r="EK8" s="192" t="s">
        <v>165</v>
      </c>
      <c r="EL8" s="215" t="s">
        <v>178</v>
      </c>
      <c r="EM8" s="192" t="s">
        <v>168</v>
      </c>
      <c r="EN8" s="215" t="s">
        <v>178</v>
      </c>
      <c r="EO8" s="192" t="s">
        <v>168</v>
      </c>
      <c r="EP8" s="215" t="s">
        <v>178</v>
      </c>
      <c r="EQ8" s="192" t="s">
        <v>168</v>
      </c>
      <c r="ER8" s="216" t="s">
        <v>178</v>
      </c>
      <c r="ES8" s="500"/>
      <c r="ET8" s="226" t="s">
        <v>172</v>
      </c>
      <c r="EU8" s="227" t="s">
        <v>163</v>
      </c>
      <c r="EV8" s="23" t="s">
        <v>172</v>
      </c>
      <c r="EW8" s="227" t="s">
        <v>163</v>
      </c>
      <c r="EX8" s="23" t="s">
        <v>172</v>
      </c>
      <c r="EY8" s="227" t="s">
        <v>163</v>
      </c>
      <c r="EZ8" s="23" t="s">
        <v>172</v>
      </c>
      <c r="FA8" s="227" t="s">
        <v>163</v>
      </c>
      <c r="FB8" s="23" t="s">
        <v>172</v>
      </c>
      <c r="FC8" s="228" t="s">
        <v>163</v>
      </c>
      <c r="FD8" s="500"/>
      <c r="FE8" s="226" t="s">
        <v>172</v>
      </c>
      <c r="FF8" s="227" t="s">
        <v>163</v>
      </c>
      <c r="FG8" s="273" t="s">
        <v>172</v>
      </c>
      <c r="FH8" s="274" t="s">
        <v>163</v>
      </c>
      <c r="FI8" s="273" t="s">
        <v>172</v>
      </c>
      <c r="FJ8" s="274" t="s">
        <v>163</v>
      </c>
      <c r="FK8" s="273" t="s">
        <v>172</v>
      </c>
      <c r="FL8" s="274" t="s">
        <v>163</v>
      </c>
      <c r="FM8" s="273" t="s">
        <v>172</v>
      </c>
      <c r="FN8" s="274" t="s">
        <v>163</v>
      </c>
      <c r="FO8" s="23" t="s">
        <v>172</v>
      </c>
      <c r="FP8" s="227" t="s">
        <v>163</v>
      </c>
      <c r="FQ8" s="23" t="s">
        <v>179</v>
      </c>
      <c r="FR8" s="227" t="s">
        <v>180</v>
      </c>
    </row>
    <row r="9" spans="1:174" ht="30" customHeight="1" x14ac:dyDescent="0.25">
      <c r="A9" s="187">
        <v>44620</v>
      </c>
      <c r="B9" s="266">
        <f>'[1]March - 2023'!$B$9</f>
        <v>0.74</v>
      </c>
      <c r="C9" s="241">
        <f>'[1]March - 2023'!E9</f>
        <v>259612</v>
      </c>
      <c r="D9" s="570">
        <f>C10-C9</f>
        <v>606</v>
      </c>
      <c r="E9" s="488">
        <f>'[1]March - 2023'!G9</f>
        <v>550</v>
      </c>
      <c r="F9" s="150">
        <f>'[1]March - 2023'!H9</f>
        <v>277903</v>
      </c>
      <c r="G9" s="486">
        <f>F10-F9</f>
        <v>453</v>
      </c>
      <c r="H9" s="488">
        <f>'[1]March - 2023'!J9</f>
        <v>416</v>
      </c>
      <c r="I9" s="242">
        <f>'[1]March - 2023'!K9</f>
        <v>22339</v>
      </c>
      <c r="J9" s="486">
        <f>I10-I9</f>
        <v>4</v>
      </c>
      <c r="K9" s="242">
        <f>'[1]March - 2023'!N9</f>
        <v>936132</v>
      </c>
      <c r="L9" s="485">
        <f>K10-K9</f>
        <v>116</v>
      </c>
      <c r="M9" s="242">
        <f>'[1]March - 2023'!Q9</f>
        <v>246269</v>
      </c>
      <c r="N9" s="485">
        <f>M10-M9</f>
        <v>0</v>
      </c>
      <c r="O9" s="242">
        <f>'[1]March - 2023'!U9</f>
        <v>122539</v>
      </c>
      <c r="P9" s="486">
        <f>O10-O9</f>
        <v>99</v>
      </c>
      <c r="Q9" s="488">
        <f>'[1]March - 2023'!W9</f>
        <v>3.0350000000000001</v>
      </c>
      <c r="R9" s="242">
        <f>'[1]March - 2023'!X9</f>
        <v>6958</v>
      </c>
      <c r="S9" s="572">
        <f>R10-R9</f>
        <v>17</v>
      </c>
      <c r="T9" s="484"/>
      <c r="U9" s="247">
        <f>'[1]March - 2023'!AE9</f>
        <v>8344420.5599999996</v>
      </c>
      <c r="V9" s="574">
        <f>U10-U9</f>
        <v>1997.5200000004843</v>
      </c>
      <c r="W9" s="504">
        <f>'[1]March - 2023'!AF9</f>
        <v>1997.5200000004843</v>
      </c>
      <c r="X9" s="233">
        <f>'[1]March - 2023'!AH9</f>
        <v>15846667.199999999</v>
      </c>
      <c r="Y9" s="486">
        <f>X10-X9</f>
        <v>4774.5600000005215</v>
      </c>
      <c r="Z9" s="504">
        <f>'[1]March - 2023'!AI9</f>
        <v>4774.5600000005215</v>
      </c>
      <c r="AA9" s="233">
        <f>'[1]March - 2023'!AK9</f>
        <v>15989319.360000001</v>
      </c>
      <c r="AB9" s="486">
        <f>AA10-AA9</f>
        <v>8233.6799999978393</v>
      </c>
      <c r="AC9" s="504">
        <f>'[1]March - 2023'!AL9</f>
        <v>8233.6799999978393</v>
      </c>
      <c r="AD9" s="233">
        <f>'[1]March - 2023'!AN9</f>
        <v>19147447.199999999</v>
      </c>
      <c r="AE9" s="486">
        <f>AD10-AD9</f>
        <v>2630.8800000026822</v>
      </c>
      <c r="AF9" s="504">
        <f>'[1]March - 2023'!AO9</f>
        <v>2630.8800000026822</v>
      </c>
      <c r="AG9" s="233">
        <f>'[1]March - 2023'!AQ9</f>
        <v>19399914.239999998</v>
      </c>
      <c r="AH9" s="486">
        <f>AG10-AG9</f>
        <v>633.35999999940395</v>
      </c>
      <c r="AI9" s="504">
        <f>'[1]March - 2023'!AR9</f>
        <v>633.35999999940395</v>
      </c>
      <c r="AJ9" s="233">
        <f>'[1]March - 2023'!AT9</f>
        <v>18005304.239999998</v>
      </c>
      <c r="AK9" s="486">
        <f>AJ10-AJ9</f>
        <v>5748.9600000008941</v>
      </c>
      <c r="AL9" s="504">
        <f>'[1]March - 2023'!AU9</f>
        <v>5748.9600000008941</v>
      </c>
      <c r="AM9" s="233">
        <f>'[1]March - 2023'!AW9</f>
        <v>15118010.880000001</v>
      </c>
      <c r="AN9" s="486">
        <f>AM10-AM9</f>
        <v>3897.5999999996275</v>
      </c>
      <c r="AO9" s="504">
        <f>'[1]March - 2023'!AX9</f>
        <v>3897.5999999996275</v>
      </c>
      <c r="AP9" s="233">
        <f>'[1]March - 2023'!AZ9</f>
        <v>14675535.84</v>
      </c>
      <c r="AQ9" s="486">
        <f>AP10-AP9</f>
        <v>4482.2400000002235</v>
      </c>
      <c r="AR9" s="504">
        <f>'[1]March - 2023'!BA9</f>
        <v>4482.2400000002235</v>
      </c>
      <c r="AS9" s="233">
        <f>'[1]March - 2023'!BC9</f>
        <v>11425570.799999999</v>
      </c>
      <c r="AT9" s="486">
        <f>AS10-AS9</f>
        <v>3118.0800000019372</v>
      </c>
      <c r="AU9" s="504">
        <f>'[1]March - 2023'!BD9</f>
        <v>3118.0800000019372</v>
      </c>
      <c r="AV9" s="233">
        <f>'[1]March - 2023'!BF9</f>
        <v>18159649.199999999</v>
      </c>
      <c r="AW9" s="486">
        <f>AV10-AV9</f>
        <v>5797.679999999702</v>
      </c>
      <c r="AX9" s="506">
        <f>'[1]March - 2023'!BG9</f>
        <v>5797.679999999702</v>
      </c>
      <c r="AY9" s="501"/>
      <c r="AZ9" s="250">
        <f>'[1]March - 2023'!BM9</f>
        <v>78980400</v>
      </c>
      <c r="BA9" s="508">
        <f>AZ10-AZ9</f>
        <v>49400</v>
      </c>
      <c r="BB9" s="502">
        <f>'[1]March - 2023'!BN9</f>
        <v>49400</v>
      </c>
      <c r="BC9" s="250">
        <f>'[1]March - 2023'!BP9</f>
        <v>81987800</v>
      </c>
      <c r="BD9" s="508">
        <f>BC10-BC9</f>
        <v>5900</v>
      </c>
      <c r="BE9" s="502">
        <f>'[1]March - 2023'!BQ9</f>
        <v>5900</v>
      </c>
      <c r="BF9" s="250">
        <f>'[1]March - 2023'!BS9</f>
        <v>75851600</v>
      </c>
      <c r="BG9" s="508">
        <f>BF10-BF9</f>
        <v>0</v>
      </c>
      <c r="BH9" s="502">
        <f>'[1]March - 2023'!BT9</f>
        <v>0</v>
      </c>
      <c r="BI9" s="26"/>
      <c r="BJ9" s="485"/>
      <c r="BK9" s="26"/>
      <c r="BL9" s="26"/>
      <c r="BM9" s="26"/>
      <c r="BN9" s="26"/>
      <c r="BO9" s="26"/>
      <c r="BP9" s="26"/>
      <c r="BQ9" s="26"/>
      <c r="BR9" s="26"/>
      <c r="BS9" s="251">
        <f>'[1]March - 2023'!BV9</f>
        <v>10777520</v>
      </c>
      <c r="BT9" s="577">
        <f>BS10-BS9</f>
        <v>7350</v>
      </c>
      <c r="BU9" s="593"/>
      <c r="BV9" s="84">
        <f>'[1]March - 2023'!BY9</f>
        <v>0.7</v>
      </c>
      <c r="BW9" s="588">
        <f>BV10-BV9</f>
        <v>0.15000000000000002</v>
      </c>
      <c r="BX9" s="590">
        <f>'[1]March - 2023'!$BZ$9:$BZ$10</f>
        <v>-0.15000000000000002</v>
      </c>
      <c r="BY9" s="85">
        <f>'[1]March - 2023'!CB9</f>
        <v>65793</v>
      </c>
      <c r="BZ9" s="576">
        <f>BY10-BY9</f>
        <v>18</v>
      </c>
      <c r="CA9" s="85">
        <f>'[1]March - 2023'!CD9</f>
        <v>57015</v>
      </c>
      <c r="CB9" s="576">
        <f>CA10-CA9</f>
        <v>21</v>
      </c>
      <c r="CC9" s="85">
        <f>'[1]March - 2023'!CF9</f>
        <v>19252</v>
      </c>
      <c r="CD9" s="576">
        <f>CC10-CC9</f>
        <v>6</v>
      </c>
      <c r="CE9" s="85">
        <f>'[1]March - 2023'!CH9</f>
        <v>26376</v>
      </c>
      <c r="CF9" s="576">
        <f>CE10-CE9</f>
        <v>9</v>
      </c>
      <c r="CG9" s="85">
        <f>'[1]March - 2023'!CJ9</f>
        <v>29678</v>
      </c>
      <c r="CH9" s="576">
        <f>CG10-CG9</f>
        <v>15</v>
      </c>
      <c r="CI9" s="85">
        <f>'[1]March - 2023'!CL9</f>
        <v>65373</v>
      </c>
      <c r="CJ9" s="576">
        <f>CI10-CI9</f>
        <v>34</v>
      </c>
      <c r="CK9" s="85">
        <f>'[1]March - 2023'!CN9</f>
        <v>274245</v>
      </c>
      <c r="CL9" s="576">
        <f>CK10-CK9</f>
        <v>83</v>
      </c>
      <c r="CM9" s="526">
        <f>'[1]March - 2023'!CO9</f>
        <v>83</v>
      </c>
      <c r="CN9" s="85">
        <f>'[1]March - 2023'!CQ9</f>
        <v>224360</v>
      </c>
      <c r="CO9" s="576">
        <f>CN10-CN9</f>
        <v>119</v>
      </c>
      <c r="CP9" s="526">
        <f>'[1]March - 2023'!CR9</f>
        <v>119</v>
      </c>
      <c r="CQ9" s="85">
        <f>'[1]March - 2023'!CT9</f>
        <v>376314</v>
      </c>
      <c r="CR9" s="576">
        <f>CQ10-CQ9</f>
        <v>186</v>
      </c>
      <c r="CS9" s="526">
        <f>'[1]March - 2023'!CU9</f>
        <v>186</v>
      </c>
      <c r="CT9" s="85">
        <f>'[1]March - 2023'!CW9</f>
        <v>708909</v>
      </c>
      <c r="CU9" s="528">
        <f>CT10-CT9</f>
        <v>184</v>
      </c>
      <c r="CV9" s="519"/>
      <c r="CW9" s="267">
        <f>'[1]March - 2023'!CZ9</f>
        <v>9548</v>
      </c>
      <c r="CX9" s="530">
        <f>CW10-CW9</f>
        <v>10</v>
      </c>
      <c r="CY9" s="268">
        <f>'[1]March - 2023'!DB9</f>
        <v>6443</v>
      </c>
      <c r="CZ9" s="530">
        <f>CY10-CY9</f>
        <v>8</v>
      </c>
      <c r="DA9" s="268">
        <f>'[1]March - 2023'!DD9</f>
        <v>33423</v>
      </c>
      <c r="DB9" s="530">
        <f>DA10-DA9</f>
        <v>19</v>
      </c>
      <c r="DC9" s="268">
        <f>'[1]March - 2023'!DF9</f>
        <v>33545</v>
      </c>
      <c r="DD9" s="530">
        <f>DC10-DC9</f>
        <v>14</v>
      </c>
      <c r="DE9" s="268">
        <f>'[1]March - 2023'!DH9</f>
        <v>22668</v>
      </c>
      <c r="DF9" s="530">
        <f>DE10-DE9</f>
        <v>10</v>
      </c>
      <c r="DG9" s="268">
        <f>'[1]March - 2023'!DJ9</f>
        <v>24484</v>
      </c>
      <c r="DH9" s="530">
        <f>DG10-DG9</f>
        <v>5</v>
      </c>
      <c r="DI9" s="268">
        <f>'[1]March - 2023'!DL9</f>
        <v>7989</v>
      </c>
      <c r="DJ9" s="530">
        <f>DI10-DI9</f>
        <v>11</v>
      </c>
      <c r="DK9" s="268">
        <f>'[1]March - 2023'!DN9</f>
        <v>10418</v>
      </c>
      <c r="DL9" s="530">
        <f>DK10-DK9</f>
        <v>7</v>
      </c>
      <c r="DM9" s="268">
        <f>'[1]March - 2023'!DP9</f>
        <v>3637</v>
      </c>
      <c r="DN9" s="530">
        <f>DM10-DM9</f>
        <v>4</v>
      </c>
      <c r="DO9" s="268">
        <f>'[1]March - 2023'!DR9</f>
        <v>7113</v>
      </c>
      <c r="DP9" s="530">
        <f>DO10-DO9</f>
        <v>9</v>
      </c>
      <c r="DQ9" s="268">
        <f>'[1]March - 2023'!DT9</f>
        <v>30623</v>
      </c>
      <c r="DR9" s="586">
        <f>DQ10-DQ9</f>
        <v>3</v>
      </c>
      <c r="DS9" s="535"/>
      <c r="DT9" s="190">
        <f>'[1]March - 2023'!DW9</f>
        <v>7224.3</v>
      </c>
      <c r="DU9" s="548">
        <f>(DT10-DT9)</f>
        <v>11.399999999999636</v>
      </c>
      <c r="DV9" s="87">
        <f>'[1]March - 2023'!DY9</f>
        <v>11927.6</v>
      </c>
      <c r="DW9" s="546">
        <f>(DV10-DV9)</f>
        <v>9.1999999999989086</v>
      </c>
      <c r="DX9" s="87">
        <f>'[1]March - 2023'!EA9</f>
        <v>5311</v>
      </c>
      <c r="DY9" s="548">
        <f>(DX10-DX9)</f>
        <v>6.6000000000003638</v>
      </c>
      <c r="DZ9" s="87">
        <f>'[1]March - 2023'!EC9</f>
        <v>5926</v>
      </c>
      <c r="EA9" s="548">
        <f>(DZ10-DZ9)</f>
        <v>6.5</v>
      </c>
      <c r="EB9" s="87">
        <f>'[1]March - 2023'!EE9</f>
        <v>1172656</v>
      </c>
      <c r="EC9" s="548">
        <f>EB10-EB9</f>
        <v>619</v>
      </c>
      <c r="ED9" s="87">
        <f>'[1]March - 2023'!EI9</f>
        <v>243423.5</v>
      </c>
      <c r="EE9" s="550">
        <f>ED10-ED9</f>
        <v>159.10000000000582</v>
      </c>
      <c r="EF9" s="584"/>
      <c r="EG9" s="214">
        <f>'[1]March - 2023'!EL9</f>
        <v>12370700</v>
      </c>
      <c r="EH9" s="556">
        <f>EG10-EG9</f>
        <v>4600</v>
      </c>
      <c r="EI9" s="86">
        <f>'[1]March - 2023'!EN9</f>
        <v>953090</v>
      </c>
      <c r="EJ9" s="556">
        <f>EI10-EI9</f>
        <v>290</v>
      </c>
      <c r="EK9" s="86">
        <f>'[1]March - 2023'!EP9</f>
        <v>7321800</v>
      </c>
      <c r="EL9" s="556">
        <f>EK10-EK9</f>
        <v>1100</v>
      </c>
      <c r="EM9" s="86">
        <f>'[1]March - 2023'!ER9</f>
        <v>2521500</v>
      </c>
      <c r="EN9" s="556">
        <f>EM10-EM9</f>
        <v>500</v>
      </c>
      <c r="EO9" s="86">
        <f>'[1]March - 2023'!ET9</f>
        <v>1325980</v>
      </c>
      <c r="EP9" s="556">
        <f>EO10-EO9</f>
        <v>720</v>
      </c>
      <c r="EQ9" s="86">
        <f>'[1]March - 2023'!EV9</f>
        <v>16802500</v>
      </c>
      <c r="ER9" s="568">
        <f>EQ10-EQ9</f>
        <v>3700</v>
      </c>
      <c r="ES9" s="562"/>
      <c r="ET9" s="256">
        <f>'[1]March - 2023'!EY9</f>
        <v>43395</v>
      </c>
      <c r="EU9" s="282">
        <f>ET10-ET9</f>
        <v>14</v>
      </c>
      <c r="EV9" s="257">
        <f>'[1]March - 2023'!FA9</f>
        <v>37805</v>
      </c>
      <c r="EW9" s="282">
        <f>EV10-EV9</f>
        <v>12</v>
      </c>
      <c r="EX9" s="257">
        <f>'[1]March - 2023'!FC9</f>
        <v>8358</v>
      </c>
      <c r="EY9" s="282">
        <v>0</v>
      </c>
      <c r="EZ9" s="257">
        <f>'[1]March - 2023'!FE9</f>
        <v>60441</v>
      </c>
      <c r="FA9" s="282">
        <f>EZ10-EZ9</f>
        <v>10</v>
      </c>
      <c r="FB9" s="257">
        <f>'[1]March - 2023'!FG9</f>
        <v>52292</v>
      </c>
      <c r="FC9" s="564">
        <f>FB10-FB9</f>
        <v>37</v>
      </c>
      <c r="FD9" s="562"/>
      <c r="FE9" s="256">
        <f>'[1]March - 2023'!$FN$9</f>
        <v>90044.888000000006</v>
      </c>
      <c r="FF9" s="282">
        <f>FE10-FE9</f>
        <v>107.11199999999371</v>
      </c>
      <c r="FG9" s="275">
        <f>'[1]March - 2023'!$FP$9</f>
        <v>12381</v>
      </c>
      <c r="FH9" s="282">
        <f>FG10-FG9</f>
        <v>0</v>
      </c>
      <c r="FI9" s="275">
        <f>'[1]March - 2023'!$FR9</f>
        <v>11035</v>
      </c>
      <c r="FJ9" s="282">
        <f>FI10-FI9</f>
        <v>7</v>
      </c>
      <c r="FK9" s="275">
        <f>'[1]March - 2023'!$FT9</f>
        <v>8730</v>
      </c>
      <c r="FL9" s="282">
        <f>FK10-FK9</f>
        <v>5</v>
      </c>
      <c r="FM9" s="275">
        <f>'[1]March - 2023'!$FV9</f>
        <v>9107</v>
      </c>
      <c r="FN9" s="282">
        <f>FM10-FM9</f>
        <v>3</v>
      </c>
      <c r="FO9" s="257">
        <f>'[1]March - 2023'!$FJ$9</f>
        <v>181.52</v>
      </c>
      <c r="FP9" s="282">
        <f>FO10-FO9</f>
        <v>3.0000000000001137E-2</v>
      </c>
      <c r="FQ9" s="257">
        <f>'[1]March - 2023'!$FL$9</f>
        <v>262080.3</v>
      </c>
      <c r="FR9" s="282">
        <f>FQ10-FQ9</f>
        <v>249.70000000001164</v>
      </c>
    </row>
    <row r="10" spans="1:174" ht="30" customHeight="1" x14ac:dyDescent="0.25">
      <c r="A10" s="187">
        <v>44621</v>
      </c>
      <c r="B10" s="189">
        <f>'[1]March - 2023'!B10</f>
        <v>0.78</v>
      </c>
      <c r="C10" s="229">
        <f>'[1]March - 2023'!E10</f>
        <v>260218</v>
      </c>
      <c r="D10" s="571"/>
      <c r="E10" s="489"/>
      <c r="F10" s="150">
        <f>'[1]March - 2023'!H10</f>
        <v>278356</v>
      </c>
      <c r="G10" s="487"/>
      <c r="H10" s="489"/>
      <c r="I10" s="150">
        <f>'[1]March - 2023'!K10</f>
        <v>22343</v>
      </c>
      <c r="J10" s="487"/>
      <c r="K10" s="150">
        <f>'[1]March - 2023'!N10</f>
        <v>936248</v>
      </c>
      <c r="L10" s="486"/>
      <c r="M10" s="150">
        <f>'[1]March - 2023'!Q10</f>
        <v>246269</v>
      </c>
      <c r="N10" s="486"/>
      <c r="O10" s="150">
        <f>'[1]March - 2023'!U10</f>
        <v>122638</v>
      </c>
      <c r="P10" s="487"/>
      <c r="Q10" s="489"/>
      <c r="R10" s="150">
        <f>'[1]March - 2023'!X10</f>
        <v>6975</v>
      </c>
      <c r="S10" s="573"/>
      <c r="T10" s="484"/>
      <c r="U10" s="247">
        <f>'[1]March - 2023'!AE10</f>
        <v>8346418.0800000001</v>
      </c>
      <c r="V10" s="575"/>
      <c r="W10" s="505"/>
      <c r="X10" s="233">
        <f>'[1]March - 2023'!AH10</f>
        <v>15851441.76</v>
      </c>
      <c r="Y10" s="487"/>
      <c r="Z10" s="505"/>
      <c r="AA10" s="233">
        <f>'[1]March - 2023'!AK10</f>
        <v>15997553.039999999</v>
      </c>
      <c r="AB10" s="487"/>
      <c r="AC10" s="505"/>
      <c r="AD10" s="233">
        <f>'[1]March - 2023'!AN10</f>
        <v>19150078.080000002</v>
      </c>
      <c r="AE10" s="487"/>
      <c r="AF10" s="505"/>
      <c r="AG10" s="233">
        <f>'[1]March - 2023'!AQ10</f>
        <v>19400547.599999998</v>
      </c>
      <c r="AH10" s="487"/>
      <c r="AI10" s="505"/>
      <c r="AJ10" s="233">
        <f>'[1]March - 2023'!AT10</f>
        <v>18011053.199999999</v>
      </c>
      <c r="AK10" s="487"/>
      <c r="AL10" s="505"/>
      <c r="AM10" s="233">
        <f>'[1]March - 2023'!AW10</f>
        <v>15121908.48</v>
      </c>
      <c r="AN10" s="487"/>
      <c r="AO10" s="505"/>
      <c r="AP10" s="233">
        <f>'[1]March - 2023'!AZ10</f>
        <v>14680018.08</v>
      </c>
      <c r="AQ10" s="487"/>
      <c r="AR10" s="505"/>
      <c r="AS10" s="233">
        <f>'[1]March - 2023'!BC10</f>
        <v>11428688.880000001</v>
      </c>
      <c r="AT10" s="487"/>
      <c r="AU10" s="505"/>
      <c r="AV10" s="233">
        <f>'[1]March - 2023'!BF10</f>
        <v>18165446.879999999</v>
      </c>
      <c r="AW10" s="487"/>
      <c r="AX10" s="507"/>
      <c r="AY10" s="501"/>
      <c r="AZ10" s="250">
        <f>'[1]March - 2023'!BM10</f>
        <v>79029800</v>
      </c>
      <c r="BA10" s="509"/>
      <c r="BB10" s="503"/>
      <c r="BC10" s="250">
        <f>'[1]March - 2023'!BP10</f>
        <v>81993700</v>
      </c>
      <c r="BD10" s="509"/>
      <c r="BE10" s="503"/>
      <c r="BF10" s="250">
        <f>'[1]March - 2023'!BS10</f>
        <v>75851600</v>
      </c>
      <c r="BG10" s="509"/>
      <c r="BH10" s="503"/>
      <c r="BI10" s="25"/>
      <c r="BJ10" s="486"/>
      <c r="BK10" s="25"/>
      <c r="BL10" s="25"/>
      <c r="BM10" s="25"/>
      <c r="BN10" s="25"/>
      <c r="BO10" s="25"/>
      <c r="BP10" s="25"/>
      <c r="BQ10" s="25"/>
      <c r="BR10" s="25"/>
      <c r="BS10" s="251">
        <f>'[1]March - 2023'!BV10</f>
        <v>10784870</v>
      </c>
      <c r="BT10" s="587"/>
      <c r="BU10" s="593"/>
      <c r="BV10" s="84">
        <f>'[1]March - 2023'!BY10</f>
        <v>0.85</v>
      </c>
      <c r="BW10" s="589"/>
      <c r="BX10" s="591"/>
      <c r="BY10" s="85">
        <f>'[1]March - 2023'!CB10</f>
        <v>65811</v>
      </c>
      <c r="BZ10" s="577"/>
      <c r="CA10" s="85">
        <f>'[1]March - 2023'!CD10</f>
        <v>57036</v>
      </c>
      <c r="CB10" s="577"/>
      <c r="CC10" s="85">
        <f>'[1]March - 2023'!CF10</f>
        <v>19258</v>
      </c>
      <c r="CD10" s="577"/>
      <c r="CE10" s="85">
        <f>'[1]March - 2023'!CH10</f>
        <v>26385</v>
      </c>
      <c r="CF10" s="577"/>
      <c r="CG10" s="85">
        <f>'[1]March - 2023'!CJ10</f>
        <v>29693</v>
      </c>
      <c r="CH10" s="577"/>
      <c r="CI10" s="85">
        <f>'[1]March - 2023'!CL10</f>
        <v>65407</v>
      </c>
      <c r="CJ10" s="577"/>
      <c r="CK10" s="85">
        <f>'[1]March - 2023'!CN10</f>
        <v>274328</v>
      </c>
      <c r="CL10" s="577"/>
      <c r="CM10" s="527"/>
      <c r="CN10" s="85">
        <f>'[1]March - 2023'!CQ10</f>
        <v>224479</v>
      </c>
      <c r="CO10" s="577"/>
      <c r="CP10" s="527"/>
      <c r="CQ10" s="85">
        <f>'[1]March - 2023'!CT10</f>
        <v>376500</v>
      </c>
      <c r="CR10" s="577"/>
      <c r="CS10" s="527"/>
      <c r="CT10" s="85">
        <f>'[1]March - 2023'!CW10</f>
        <v>709093</v>
      </c>
      <c r="CU10" s="529"/>
      <c r="CV10" s="519"/>
      <c r="CW10" s="234">
        <f>'[1]March - 2023'!CZ10</f>
        <v>9558</v>
      </c>
      <c r="CX10" s="282"/>
      <c r="CY10" s="235">
        <f>'[1]March - 2023'!DB10</f>
        <v>6451</v>
      </c>
      <c r="CZ10" s="282"/>
      <c r="DA10" s="235">
        <f>'[1]March - 2023'!DD10</f>
        <v>33442</v>
      </c>
      <c r="DB10" s="282"/>
      <c r="DC10" s="235">
        <f>'[1]March - 2023'!DF10</f>
        <v>33559</v>
      </c>
      <c r="DD10" s="282"/>
      <c r="DE10" s="235">
        <f>'[1]March - 2023'!DH10</f>
        <v>22678</v>
      </c>
      <c r="DF10" s="282"/>
      <c r="DG10" s="235">
        <f>'[1]March - 2023'!DJ10</f>
        <v>24489</v>
      </c>
      <c r="DH10" s="282"/>
      <c r="DI10" s="235">
        <f>'[1]March - 2023'!DL10</f>
        <v>8000</v>
      </c>
      <c r="DJ10" s="282"/>
      <c r="DK10" s="235">
        <f>'[1]March - 2023'!DN10</f>
        <v>10425</v>
      </c>
      <c r="DL10" s="282"/>
      <c r="DM10" s="235">
        <f>'[1]March - 2023'!DP10</f>
        <v>3641</v>
      </c>
      <c r="DN10" s="282"/>
      <c r="DO10" s="235">
        <f>'[1]March - 2023'!DR10</f>
        <v>7122</v>
      </c>
      <c r="DP10" s="282"/>
      <c r="DQ10" s="268">
        <f>'[1]March - 2023'!DT10</f>
        <v>30626</v>
      </c>
      <c r="DR10" s="564"/>
      <c r="DS10" s="535"/>
      <c r="DT10" s="190">
        <f>'[1]March - 2023'!DW10</f>
        <v>7235.7</v>
      </c>
      <c r="DU10" s="549"/>
      <c r="DV10" s="87">
        <f>'[1]March - 2023'!DY10</f>
        <v>11936.8</v>
      </c>
      <c r="DW10" s="547"/>
      <c r="DX10" s="87">
        <f>'[1]March - 2023'!EA10</f>
        <v>5317.6</v>
      </c>
      <c r="DY10" s="549"/>
      <c r="DZ10" s="87">
        <f>'[1]March - 2023'!EC10</f>
        <v>5932.5</v>
      </c>
      <c r="EA10" s="549"/>
      <c r="EB10" s="87">
        <f>'[1]March - 2023'!EE10</f>
        <v>1173275</v>
      </c>
      <c r="EC10" s="549"/>
      <c r="ED10" s="87">
        <f>'[1]March - 2023'!EI10</f>
        <v>243582.6</v>
      </c>
      <c r="EE10" s="551"/>
      <c r="EF10" s="584"/>
      <c r="EG10" s="214">
        <f>'[1]March - 2023'!EL10</f>
        <v>12375300</v>
      </c>
      <c r="EH10" s="557"/>
      <c r="EI10" s="86">
        <f>'[1]March - 2023'!EN10</f>
        <v>953380</v>
      </c>
      <c r="EJ10" s="557"/>
      <c r="EK10" s="86">
        <f>'[1]March - 2023'!EP10</f>
        <v>7322900</v>
      </c>
      <c r="EL10" s="557"/>
      <c r="EM10" s="86">
        <f>'[1]March - 2023'!ER10</f>
        <v>2522000</v>
      </c>
      <c r="EN10" s="557"/>
      <c r="EO10" s="86">
        <f>'[1]March - 2023'!ET10</f>
        <v>1326700</v>
      </c>
      <c r="EP10" s="557"/>
      <c r="EQ10" s="86">
        <f>'[1]March - 2023'!EV10</f>
        <v>16806200</v>
      </c>
      <c r="ER10" s="569"/>
      <c r="ES10" s="562"/>
      <c r="ET10" s="256">
        <f>'[1]March - 2023'!EY10</f>
        <v>43409</v>
      </c>
      <c r="EU10" s="283"/>
      <c r="EV10" s="257">
        <f>'[1]March - 2023'!FA10</f>
        <v>37817</v>
      </c>
      <c r="EW10" s="283"/>
      <c r="EX10" s="257">
        <f>'[1]March - 2023'!FC10</f>
        <v>8366</v>
      </c>
      <c r="EY10" s="283"/>
      <c r="EZ10" s="257">
        <f>'[1]March - 2023'!FE10</f>
        <v>60451</v>
      </c>
      <c r="FA10" s="283"/>
      <c r="FB10" s="257">
        <f>'[1]March - 2023'!FG10</f>
        <v>52329</v>
      </c>
      <c r="FC10" s="565"/>
      <c r="FD10" s="562"/>
      <c r="FE10" s="256">
        <f>'[1]March - 2023'!$FN10</f>
        <v>90152</v>
      </c>
      <c r="FF10" s="283"/>
      <c r="FG10" s="270">
        <f>'[1]March - 2023'!$FP10</f>
        <v>12381</v>
      </c>
      <c r="FH10" s="283"/>
      <c r="FI10" s="275">
        <f>'[1]March - 2023'!$FR10</f>
        <v>11042</v>
      </c>
      <c r="FJ10" s="283"/>
      <c r="FK10" s="275">
        <f>'[1]March - 2023'!$FT10</f>
        <v>8735</v>
      </c>
      <c r="FL10" s="283"/>
      <c r="FM10" s="275">
        <f>'[1]March - 2023'!$FV10</f>
        <v>9110</v>
      </c>
      <c r="FN10" s="283"/>
      <c r="FO10" s="257">
        <f>'[1]March - 2023'!$FJ10</f>
        <v>181.55</v>
      </c>
      <c r="FP10" s="283"/>
      <c r="FQ10" s="257">
        <f>'[1]March - 2023'!$FL10</f>
        <v>262330</v>
      </c>
      <c r="FR10" s="283"/>
    </row>
    <row r="11" spans="1:174" ht="30" customHeight="1" x14ac:dyDescent="0.25">
      <c r="A11" s="187">
        <v>44622</v>
      </c>
      <c r="B11" s="189">
        <f>'[1]March - 2023'!B11</f>
        <v>0.92</v>
      </c>
      <c r="C11" s="229">
        <f>'[1]March - 2023'!E11</f>
        <v>260859</v>
      </c>
      <c r="D11" s="152">
        <f>'[1]March - 2023'!F11</f>
        <v>641</v>
      </c>
      <c r="E11" s="150">
        <f>'[1]March - 2023'!G11</f>
        <v>564</v>
      </c>
      <c r="F11" s="150">
        <f>'[1]March - 2023'!H11</f>
        <v>278799</v>
      </c>
      <c r="G11" s="152">
        <f>'[1]March - 2023'!I11</f>
        <v>443</v>
      </c>
      <c r="H11" s="150">
        <f>'[1]March - 2023'!J11</f>
        <v>429</v>
      </c>
      <c r="I11" s="150">
        <f>'[1]March - 2023'!K11</f>
        <v>22553</v>
      </c>
      <c r="J11" s="152">
        <f>'[1]March - 2023'!L11</f>
        <v>210</v>
      </c>
      <c r="K11" s="150">
        <f>'[1]March - 2023'!N11</f>
        <v>936458</v>
      </c>
      <c r="L11" s="152">
        <f>'[1]March - 2023'!O11</f>
        <v>210</v>
      </c>
      <c r="M11" s="150">
        <f>'[1]March - 2023'!Q11</f>
        <v>246269</v>
      </c>
      <c r="N11" s="152">
        <f>'[1]March - 2023'!R11</f>
        <v>0</v>
      </c>
      <c r="O11" s="150">
        <f>'[1]March - 2023'!U11</f>
        <v>122744</v>
      </c>
      <c r="P11" s="152">
        <f>'[1]March - 2023'!V11</f>
        <v>106</v>
      </c>
      <c r="Q11" s="150">
        <f>'[1]March - 2023'!W11</f>
        <v>3.262</v>
      </c>
      <c r="R11" s="150">
        <f>'[1]March - 2023'!X11</f>
        <v>6991</v>
      </c>
      <c r="S11" s="188">
        <f>'[1]March - 2023'!Y11</f>
        <v>16</v>
      </c>
      <c r="T11" s="484"/>
      <c r="U11" s="247">
        <f>'[1]March - 2023'!AE11</f>
        <v>8348415.5999999996</v>
      </c>
      <c r="V11" s="218">
        <f>'[1]March - 2023'!AF11</f>
        <v>1997.519999999553</v>
      </c>
      <c r="W11" s="88">
        <f>'[1]March - 2023'!AF11</f>
        <v>1997.519999999553</v>
      </c>
      <c r="X11" s="233">
        <f>'[1]March - 2023'!AH11</f>
        <v>15855729.119999999</v>
      </c>
      <c r="Y11" s="218">
        <f>'[1]March - 2023'!AI11</f>
        <v>4287.359999999404</v>
      </c>
      <c r="Z11" s="88">
        <f>'[1]March - 2023'!AI11</f>
        <v>4287.359999999404</v>
      </c>
      <c r="AA11" s="233">
        <f>'[1]March - 2023'!AK11</f>
        <v>15997553.039999999</v>
      </c>
      <c r="AB11" s="218">
        <f>'[1]March - 2023'!AL11</f>
        <v>0</v>
      </c>
      <c r="AC11" s="88">
        <f>'[1]March - 2023'!AL11</f>
        <v>0</v>
      </c>
      <c r="AD11" s="233">
        <f>'[1]March - 2023'!AN11</f>
        <v>19158750.239999998</v>
      </c>
      <c r="AE11" s="218">
        <f>'[1]March - 2023'!AO11</f>
        <v>8672.1599999964237</v>
      </c>
      <c r="AF11" s="88">
        <f>'[1]March - 2023'!AO11</f>
        <v>8672.1599999964237</v>
      </c>
      <c r="AG11" s="233">
        <f>'[1]March - 2023'!AQ11</f>
        <v>19402447.68</v>
      </c>
      <c r="AH11" s="218">
        <f>'[1]March - 2023'!AR11</f>
        <v>1900.0800000019372</v>
      </c>
      <c r="AI11" s="88">
        <f>'[1]March - 2023'!AR11</f>
        <v>1900.0800000019372</v>
      </c>
      <c r="AJ11" s="233">
        <f>'[1]March - 2023'!AT11</f>
        <v>18016217.52</v>
      </c>
      <c r="AK11" s="218">
        <f>'[1]March - 2023'!AU11</f>
        <v>5164.320000000298</v>
      </c>
      <c r="AL11" s="88">
        <f>'[1]March - 2023'!AU11</f>
        <v>5164.320000000298</v>
      </c>
      <c r="AM11" s="233">
        <f>'[1]March - 2023'!AW11</f>
        <v>15125757.359999999</v>
      </c>
      <c r="AN11" s="218">
        <f>'[1]March - 2023'!AX11</f>
        <v>3848.8799999989569</v>
      </c>
      <c r="AO11" s="88">
        <f>'[1]March - 2023'!AX11</f>
        <v>3848.8799999989569</v>
      </c>
      <c r="AP11" s="233">
        <f>'[1]March - 2023'!AZ11</f>
        <v>14684110.559999999</v>
      </c>
      <c r="AQ11" s="218">
        <f>'[1]March - 2023'!BA11</f>
        <v>4092.4799999985844</v>
      </c>
      <c r="AR11" s="88">
        <f>'[1]March - 2023'!BA11</f>
        <v>4092.4799999985844</v>
      </c>
      <c r="AS11" s="233">
        <f>'[1]March - 2023'!BC11</f>
        <v>11431709.52</v>
      </c>
      <c r="AT11" s="218">
        <f>'[1]March - 2023'!BD11</f>
        <v>3020.6399999987334</v>
      </c>
      <c r="AU11" s="88">
        <f>'[1]March - 2023'!BD11</f>
        <v>3020.6399999987334</v>
      </c>
      <c r="AV11" s="233">
        <f>'[1]March - 2023'!BF11</f>
        <v>18170806.080000002</v>
      </c>
      <c r="AW11" s="230">
        <f>'[1]March - 2023'!BG11</f>
        <v>5359.2000000029802</v>
      </c>
      <c r="AX11" s="231">
        <f>'[1]March - 2023'!BG11</f>
        <v>5359.2000000029802</v>
      </c>
      <c r="AY11" s="501"/>
      <c r="AZ11" s="250">
        <f>'[1]March - 2023'!BM11</f>
        <v>79029800</v>
      </c>
      <c r="BA11" s="161">
        <f>'[1]March - 2023'!BN11</f>
        <v>0</v>
      </c>
      <c r="BB11" s="89">
        <f>'[1]March - 2023'!BN11</f>
        <v>0</v>
      </c>
      <c r="BC11" s="250">
        <f>'[1]March - 2023'!BP11</f>
        <v>82043400</v>
      </c>
      <c r="BD11" s="224">
        <f>'[1]March - 2023'!BQ11</f>
        <v>49700</v>
      </c>
      <c r="BE11" s="89">
        <f>'[1]March - 2023'!BQ11</f>
        <v>49700</v>
      </c>
      <c r="BF11" s="250">
        <f>'[1]March - 2023'!BS11</f>
        <v>75857600</v>
      </c>
      <c r="BG11" s="224">
        <f>'[1]March - 2023'!BT11</f>
        <v>6000</v>
      </c>
      <c r="BH11" s="89">
        <f>'[1]March - 2023'!BT11</f>
        <v>6000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51">
        <f>'[1]March - 2023'!BV11</f>
        <v>10791670</v>
      </c>
      <c r="BT11" s="166">
        <f>'[1]March - 2023'!BW11</f>
        <v>6800</v>
      </c>
      <c r="BU11" s="593"/>
      <c r="BV11" s="84">
        <f>'[1]March - 2023'!BY11</f>
        <v>0.78</v>
      </c>
      <c r="BW11" s="220">
        <f>'[1]March - 2023'!BZ11</f>
        <v>6.9999999999999951E-2</v>
      </c>
      <c r="BX11" s="84">
        <f>'[1]March - 2023'!BZ11</f>
        <v>6.9999999999999951E-2</v>
      </c>
      <c r="BY11" s="85">
        <f>'[1]March - 2023'!CB11</f>
        <v>65826</v>
      </c>
      <c r="BZ11" s="172">
        <f>'[1]March - 2023'!CC11</f>
        <v>15</v>
      </c>
      <c r="CA11" s="85">
        <f>'[1]March - 2023'!CD11</f>
        <v>57053</v>
      </c>
      <c r="CB11" s="172">
        <f>'[1]March - 2023'!CE11</f>
        <v>17</v>
      </c>
      <c r="CC11" s="85">
        <f>'[1]March - 2023'!CF11</f>
        <v>19265</v>
      </c>
      <c r="CD11" s="172">
        <f>'[1]March - 2023'!CG11</f>
        <v>7</v>
      </c>
      <c r="CE11" s="85">
        <f>'[1]March - 2023'!CH11</f>
        <v>26395</v>
      </c>
      <c r="CF11" s="172">
        <f>'[1]March - 2023'!CI11</f>
        <v>10</v>
      </c>
      <c r="CG11" s="85">
        <f>'[1]March - 2023'!CJ11</f>
        <v>29699</v>
      </c>
      <c r="CH11" s="172">
        <f>'[1]March - 2023'!CK11</f>
        <v>6</v>
      </c>
      <c r="CI11" s="85">
        <f>'[1]March - 2023'!CL11</f>
        <v>65441</v>
      </c>
      <c r="CJ11" s="172">
        <f>'[1]March - 2023'!CM11</f>
        <v>34</v>
      </c>
      <c r="CK11" s="85">
        <f>'[1]March - 2023'!CN11</f>
        <v>274399</v>
      </c>
      <c r="CL11" s="225">
        <f>'[1]March - 2023'!CO11</f>
        <v>71</v>
      </c>
      <c r="CM11" s="85">
        <f>'[1]March - 2023'!CO11</f>
        <v>71</v>
      </c>
      <c r="CN11" s="85">
        <f>'[1]March - 2023'!CQ11</f>
        <v>224589</v>
      </c>
      <c r="CO11" s="225">
        <f>'[1]March - 2023'!CR11</f>
        <v>110</v>
      </c>
      <c r="CP11" s="85">
        <f>'[1]March - 2023'!CR11</f>
        <v>110</v>
      </c>
      <c r="CQ11" s="85">
        <f>'[1]March - 2023'!CT11</f>
        <v>376666</v>
      </c>
      <c r="CR11" s="225">
        <f>'[1]March - 2023'!CU11</f>
        <v>166</v>
      </c>
      <c r="CS11" s="85">
        <f>'[1]March - 2023'!CU11</f>
        <v>166</v>
      </c>
      <c r="CT11" s="85">
        <f>'[1]March - 2023'!CW11</f>
        <v>709251</v>
      </c>
      <c r="CU11" s="172">
        <f>'[1]March - 2023'!CX11</f>
        <v>158</v>
      </c>
      <c r="CV11" s="519"/>
      <c r="CW11" s="234">
        <f>'[1]March - 2023'!CZ11</f>
        <v>9567</v>
      </c>
      <c r="CX11" s="179">
        <f>'[1]March - 2023'!DA11</f>
        <v>9</v>
      </c>
      <c r="CY11" s="235">
        <f>'[1]March - 2023'!DB11</f>
        <v>6459</v>
      </c>
      <c r="CZ11" s="179">
        <f>'[1]March - 2023'!DC11</f>
        <v>8</v>
      </c>
      <c r="DA11" s="235">
        <f>'[1]March - 2023'!DD11</f>
        <v>33462</v>
      </c>
      <c r="DB11" s="179">
        <f>'[1]March - 2023'!DE11</f>
        <v>20</v>
      </c>
      <c r="DC11" s="235">
        <f>'[1]March - 2023'!DF11</f>
        <v>33572</v>
      </c>
      <c r="DD11" s="179">
        <f>'[1]March - 2023'!DG11</f>
        <v>13</v>
      </c>
      <c r="DE11" s="235">
        <f>'[1]March - 2023'!DH11</f>
        <v>22687</v>
      </c>
      <c r="DF11" s="179">
        <f>'[1]March - 2023'!DI11</f>
        <v>9</v>
      </c>
      <c r="DG11" s="235">
        <f>'[1]March - 2023'!DJ11</f>
        <v>24493</v>
      </c>
      <c r="DH11" s="179">
        <f>'[1]March - 2023'!DK11</f>
        <v>4</v>
      </c>
      <c r="DI11" s="235">
        <f>'[1]March - 2023'!DL11</f>
        <v>8011</v>
      </c>
      <c r="DJ11" s="179">
        <f>'[1]March - 2023'!DM11</f>
        <v>11</v>
      </c>
      <c r="DK11" s="235">
        <f>'[1]March - 2023'!DN11</f>
        <v>10431</v>
      </c>
      <c r="DL11" s="179">
        <f>'[1]March - 2023'!DO11</f>
        <v>6</v>
      </c>
      <c r="DM11" s="235">
        <f>'[1]March - 2023'!DP11</f>
        <v>3645</v>
      </c>
      <c r="DN11" s="179">
        <f>'[1]March - 2023'!DQ11</f>
        <v>4</v>
      </c>
      <c r="DO11" s="235">
        <f>'[1]March - 2023'!DR11</f>
        <v>7130</v>
      </c>
      <c r="DP11" s="179">
        <f>'[1]March - 2023'!DS11</f>
        <v>8</v>
      </c>
      <c r="DQ11" s="235">
        <f>'[1]March - 2023'!DT11</f>
        <v>30633</v>
      </c>
      <c r="DR11" s="186">
        <f>'[1]March - 2023'!DU11</f>
        <v>7</v>
      </c>
      <c r="DS11" s="535"/>
      <c r="DT11" s="190">
        <f>'[1]March - 2023'!DW11</f>
        <v>7245.9</v>
      </c>
      <c r="DU11" s="201">
        <f>'[1]March - 2023'!DX11</f>
        <v>10.199999999999818</v>
      </c>
      <c r="DV11" s="87">
        <f>'[1]March - 2023'!DY11</f>
        <v>11944.9</v>
      </c>
      <c r="DW11" s="195">
        <f>'[1]March - 2023'!DZ11</f>
        <v>8.1000000000003638</v>
      </c>
      <c r="DX11" s="87">
        <f>'[1]March - 2023'!EA11</f>
        <v>5323.6</v>
      </c>
      <c r="DY11" s="195">
        <f>'[1]March - 2023'!EB11</f>
        <v>6</v>
      </c>
      <c r="DZ11" s="87">
        <f>'[1]March - 2023'!EC11</f>
        <v>5938.6</v>
      </c>
      <c r="EA11" s="195">
        <f>'[1]March - 2023'!ED11</f>
        <v>6.1000000000003638</v>
      </c>
      <c r="EB11" s="87">
        <f>'[1]March - 2023'!EE11</f>
        <v>1173869</v>
      </c>
      <c r="EC11" s="195">
        <f>'[1]March - 2023'!EF11</f>
        <v>594</v>
      </c>
      <c r="ED11" s="87">
        <f>'[1]March - 2023'!EI11</f>
        <v>243722.5</v>
      </c>
      <c r="EE11" s="208">
        <f>'[1]March - 2023'!EJ11</f>
        <v>139.89999999999418</v>
      </c>
      <c r="EF11" s="584"/>
      <c r="EG11" s="214">
        <f>'[1]March - 2023'!EL11</f>
        <v>12379400</v>
      </c>
      <c r="EH11" s="209">
        <f>'[1]March - 2023'!EM11</f>
        <v>4100</v>
      </c>
      <c r="EI11" s="86">
        <f>'[1]March - 2023'!EN11</f>
        <v>953610</v>
      </c>
      <c r="EJ11" s="209">
        <f>'[1]March - 2023'!EO11</f>
        <v>230</v>
      </c>
      <c r="EK11" s="86">
        <f>'[1]March - 2023'!EP11</f>
        <v>7324100</v>
      </c>
      <c r="EL11" s="209">
        <f>'[1]March - 2023'!EQ11</f>
        <v>1200</v>
      </c>
      <c r="EM11" s="86">
        <f>'[1]March - 2023'!ER11</f>
        <v>2522700</v>
      </c>
      <c r="EN11" s="209">
        <f>'[1]March - 2023'!ES11</f>
        <v>700</v>
      </c>
      <c r="EO11" s="86">
        <f>'[1]March - 2023'!ET11</f>
        <v>1327370</v>
      </c>
      <c r="EP11" s="209">
        <f>'[1]March - 2023'!EU11</f>
        <v>670</v>
      </c>
      <c r="EQ11" s="86">
        <f>'[1]March - 2023'!EV11</f>
        <v>16809100</v>
      </c>
      <c r="ER11" s="209">
        <f>'[1]March - 2023'!EW11</f>
        <v>2900</v>
      </c>
      <c r="ES11" s="562"/>
      <c r="ET11" s="256">
        <f>'[1]March - 2023'!EY11</f>
        <v>43423</v>
      </c>
      <c r="EU11" s="253">
        <f>'[1]March - 2023'!EZ11</f>
        <v>14</v>
      </c>
      <c r="EV11" s="257">
        <f>'[1]March - 2023'!FA11</f>
        <v>37827</v>
      </c>
      <c r="EW11" s="253">
        <f>'[1]March - 2023'!FB11</f>
        <v>10</v>
      </c>
      <c r="EX11" s="257">
        <f>'[1]March - 2023'!FC11</f>
        <v>8375</v>
      </c>
      <c r="EY11" s="253">
        <f>'[1]March - 2023'!FD11</f>
        <v>9</v>
      </c>
      <c r="EZ11" s="257">
        <f>'[1]March - 2023'!FE11</f>
        <v>60473</v>
      </c>
      <c r="FA11" s="253">
        <f>'[1]March - 2023'!FF11</f>
        <v>22</v>
      </c>
      <c r="FB11" s="257">
        <f>'[1]March - 2023'!FG11</f>
        <v>52362</v>
      </c>
      <c r="FC11" s="254">
        <f>'[1]March - 2023'!FH11</f>
        <v>33</v>
      </c>
      <c r="FD11" s="562"/>
      <c r="FE11" s="256">
        <f>'[1]March - 2023'!$FN11</f>
        <v>90300.854999999996</v>
      </c>
      <c r="FF11" s="271">
        <f>FE11-FE10</f>
        <v>148.85499999999593</v>
      </c>
      <c r="FG11" s="270">
        <f>'[1]March - 2023'!$FP11</f>
        <v>12381</v>
      </c>
      <c r="FH11" s="271">
        <f>FG11-FG10</f>
        <v>0</v>
      </c>
      <c r="FI11" s="275">
        <f>'[1]March - 2023'!$FR11</f>
        <v>11047</v>
      </c>
      <c r="FJ11" s="271">
        <f>FI11-FI10</f>
        <v>5</v>
      </c>
      <c r="FK11" s="275">
        <f>'[1]March - 2023'!$FT11</f>
        <v>8739</v>
      </c>
      <c r="FL11" s="271">
        <f>FK11-FK10</f>
        <v>4</v>
      </c>
      <c r="FM11" s="275">
        <f>'[1]March - 2023'!$FV11</f>
        <v>9115</v>
      </c>
      <c r="FN11" s="271">
        <f>FM11-FM10</f>
        <v>5</v>
      </c>
      <c r="FO11" s="257">
        <f>'[1]March - 2023'!$FJ11</f>
        <v>181.58</v>
      </c>
      <c r="FP11" s="271">
        <f>FO11-FO10</f>
        <v>3.0000000000001137E-2</v>
      </c>
      <c r="FQ11" s="257">
        <f>'[1]March - 2023'!$FL11</f>
        <v>262564.59999999998</v>
      </c>
      <c r="FR11" s="253">
        <f>FQ11-FQ10</f>
        <v>234.59999999997672</v>
      </c>
    </row>
    <row r="12" spans="1:174" ht="30" customHeight="1" x14ac:dyDescent="0.25">
      <c r="A12" s="187">
        <v>44623</v>
      </c>
      <c r="B12" s="189">
        <f>'[1]March - 2023'!B12</f>
        <v>0.87</v>
      </c>
      <c r="C12" s="229">
        <f>'[1]March - 2023'!E12</f>
        <v>261580</v>
      </c>
      <c r="D12" s="152">
        <f>'[1]March - 2023'!F12</f>
        <v>721</v>
      </c>
      <c r="E12" s="150">
        <f>'[1]March - 2023'!G12</f>
        <v>682</v>
      </c>
      <c r="F12" s="150">
        <f>'[1]March - 2023'!H12</f>
        <v>279331</v>
      </c>
      <c r="G12" s="152">
        <f>'[1]March - 2023'!I12</f>
        <v>532</v>
      </c>
      <c r="H12" s="150">
        <f>'[1]March - 2023'!J12</f>
        <v>463</v>
      </c>
      <c r="I12" s="150">
        <f>'[1]March - 2023'!K12</f>
        <v>22909</v>
      </c>
      <c r="J12" s="152">
        <f>'[1]March - 2023'!L12</f>
        <v>356</v>
      </c>
      <c r="K12" s="150">
        <f>'[1]March - 2023'!N12</f>
        <v>936734</v>
      </c>
      <c r="L12" s="152">
        <f>'[1]March - 2023'!O12</f>
        <v>276</v>
      </c>
      <c r="M12" s="150">
        <f>'[1]March - 2023'!Q12</f>
        <v>246269</v>
      </c>
      <c r="N12" s="152">
        <f>'[1]March - 2023'!R12</f>
        <v>0</v>
      </c>
      <c r="O12" s="150">
        <f>'[1]March - 2023'!U12</f>
        <v>122859</v>
      </c>
      <c r="P12" s="152">
        <f>'[1]March - 2023'!V12</f>
        <v>115</v>
      </c>
      <c r="Q12" s="150">
        <f>'[1]March - 2023'!W12</f>
        <v>2.0859999999999999</v>
      </c>
      <c r="R12" s="150">
        <f>'[1]March - 2023'!X12</f>
        <v>7008</v>
      </c>
      <c r="S12" s="188">
        <f>'[1]March - 2023'!Y12</f>
        <v>17</v>
      </c>
      <c r="T12" s="484"/>
      <c r="U12" s="247">
        <f>'[1]March - 2023'!AE12</f>
        <v>8350461.8399999999</v>
      </c>
      <c r="V12" s="218">
        <f>'[1]March - 2023'!AF12</f>
        <v>2046.2400000002235</v>
      </c>
      <c r="W12" s="88">
        <f>'[1]March - 2023'!AF12</f>
        <v>2046.2400000002235</v>
      </c>
      <c r="X12" s="233">
        <f>'[1]March - 2023'!AH12</f>
        <v>15862406.24</v>
      </c>
      <c r="Y12" s="218">
        <f>'[1]March - 2023'!AI12</f>
        <v>6677.1200000010431</v>
      </c>
      <c r="Z12" s="88">
        <f>'[1]March - 2023'!AI12</f>
        <v>6677.1200000010431</v>
      </c>
      <c r="AA12" s="233">
        <f>'[1]March - 2023'!AK12</f>
        <v>15997553.039999999</v>
      </c>
      <c r="AB12" s="218">
        <f>'[1]March - 2023'!AL12</f>
        <v>0</v>
      </c>
      <c r="AC12" s="88">
        <f>'[1]March - 2023'!AL12</f>
        <v>0</v>
      </c>
      <c r="AD12" s="233">
        <f>'[1]March - 2023'!AN12</f>
        <v>19163040.079999998</v>
      </c>
      <c r="AE12" s="218">
        <f>'[1]March - 2023'!AO12</f>
        <v>4289.839999999851</v>
      </c>
      <c r="AF12" s="88">
        <f>'[1]March - 2023'!AO12</f>
        <v>4289.839999999851</v>
      </c>
      <c r="AG12" s="233">
        <f>'[1]March - 2023'!AQ12</f>
        <v>19412971.199999999</v>
      </c>
      <c r="AH12" s="218">
        <f>'[1]March - 2023'!AR12</f>
        <v>10523.519999999553</v>
      </c>
      <c r="AI12" s="88">
        <f>'[1]March - 2023'!AR12</f>
        <v>10523.519999999553</v>
      </c>
      <c r="AJ12" s="233">
        <f>'[1]March - 2023'!AT12</f>
        <v>18021771.599999998</v>
      </c>
      <c r="AK12" s="218">
        <f>'[1]March - 2023'!AU12</f>
        <v>5554.0799999982119</v>
      </c>
      <c r="AL12" s="88">
        <f>'[1]March - 2023'!AU12</f>
        <v>5554.0799999982119</v>
      </c>
      <c r="AM12" s="233">
        <f>'[1]March - 2023'!AW12</f>
        <v>15130093.439999999</v>
      </c>
      <c r="AN12" s="218">
        <f>'[1]March - 2023'!AX12</f>
        <v>4336.0800000000745</v>
      </c>
      <c r="AO12" s="88">
        <f>'[1]March - 2023'!AX12</f>
        <v>4336.0800000000745</v>
      </c>
      <c r="AP12" s="233">
        <f>'[1]March - 2023'!AZ12</f>
        <v>14688592.799999999</v>
      </c>
      <c r="AQ12" s="218">
        <f>'[1]March - 2023'!BA12</f>
        <v>4482.2400000002235</v>
      </c>
      <c r="AR12" s="88">
        <f>'[1]March - 2023'!BA12</f>
        <v>4482.2400000002235</v>
      </c>
      <c r="AS12" s="233">
        <f>'[1]March - 2023'!BC12</f>
        <v>11434925.040000001</v>
      </c>
      <c r="AT12" s="218">
        <f>'[1]March - 2023'!BD12</f>
        <v>3215.5200000014156</v>
      </c>
      <c r="AU12" s="88">
        <f>'[1]March - 2023'!BD12</f>
        <v>3215.5200000014156</v>
      </c>
      <c r="AV12" s="233">
        <f>'[1]March - 2023'!BF12</f>
        <v>18176603.760000002</v>
      </c>
      <c r="AW12" s="230">
        <f>'[1]March - 2023'!BG12</f>
        <v>5797.679999999702</v>
      </c>
      <c r="AX12" s="231">
        <f>'[1]March - 2023'!BG12</f>
        <v>5797.679999999702</v>
      </c>
      <c r="AY12" s="501"/>
      <c r="AZ12" s="250">
        <f>'[1]March - 2023'!BM12</f>
        <v>79029800</v>
      </c>
      <c r="BA12" s="161">
        <f>'[1]March - 2023'!BN12</f>
        <v>0</v>
      </c>
      <c r="BB12" s="89">
        <f>'[1]March - 2023'!BN12</f>
        <v>0</v>
      </c>
      <c r="BC12" s="250">
        <f>'[1]March - 2023'!BP12</f>
        <v>82049800</v>
      </c>
      <c r="BD12" s="224">
        <f>'[1]March - 2023'!BQ12</f>
        <v>6400</v>
      </c>
      <c r="BE12" s="89">
        <f>'[1]March - 2023'!BQ12</f>
        <v>6400</v>
      </c>
      <c r="BF12" s="250">
        <f>'[1]March - 2023'!BS12</f>
        <v>75913700</v>
      </c>
      <c r="BG12" s="224">
        <f>'[1]March - 2023'!BT12</f>
        <v>56100</v>
      </c>
      <c r="BH12" s="89">
        <f>'[1]March - 2023'!BT12</f>
        <v>56100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51">
        <f>'[1]March - 2023'!BV12</f>
        <v>10799680</v>
      </c>
      <c r="BT12" s="166">
        <f>'[1]March - 2023'!BW12</f>
        <v>8010</v>
      </c>
      <c r="BU12" s="593"/>
      <c r="BV12" s="84">
        <f>'[1]March - 2023'!BY12</f>
        <v>0.7</v>
      </c>
      <c r="BW12" s="220">
        <f>'[1]March - 2023'!BZ12</f>
        <v>8.0000000000000071E-2</v>
      </c>
      <c r="BX12" s="84">
        <f>'[1]March - 2023'!BZ12</f>
        <v>8.0000000000000071E-2</v>
      </c>
      <c r="BY12" s="85">
        <f>'[1]March - 2023'!CB12</f>
        <v>65844</v>
      </c>
      <c r="BZ12" s="172">
        <f>'[1]March - 2023'!CC12</f>
        <v>18</v>
      </c>
      <c r="CA12" s="85">
        <f>'[1]March - 2023'!CD12</f>
        <v>57073</v>
      </c>
      <c r="CB12" s="172">
        <f>'[1]March - 2023'!CE12</f>
        <v>20</v>
      </c>
      <c r="CC12" s="85">
        <f>'[1]March - 2023'!CF12</f>
        <v>19273</v>
      </c>
      <c r="CD12" s="172">
        <f>'[1]March - 2023'!CG12</f>
        <v>8</v>
      </c>
      <c r="CE12" s="85">
        <f>'[1]March - 2023'!CH12</f>
        <v>26404</v>
      </c>
      <c r="CF12" s="172">
        <f>'[1]March - 2023'!CI12</f>
        <v>9</v>
      </c>
      <c r="CG12" s="85">
        <f>'[1]March - 2023'!CJ12</f>
        <v>29712</v>
      </c>
      <c r="CH12" s="172">
        <f>'[1]March - 2023'!CK12</f>
        <v>13</v>
      </c>
      <c r="CI12" s="85">
        <f>'[1]March - 2023'!CL12</f>
        <v>65477</v>
      </c>
      <c r="CJ12" s="172">
        <f>'[1]March - 2023'!CM12</f>
        <v>36</v>
      </c>
      <c r="CK12" s="85">
        <f>'[1]March - 2023'!CN12</f>
        <v>274479</v>
      </c>
      <c r="CL12" s="225">
        <f>'[1]March - 2023'!CO12</f>
        <v>80</v>
      </c>
      <c r="CM12" s="85">
        <f>'[1]March - 2023'!CO12</f>
        <v>80</v>
      </c>
      <c r="CN12" s="85">
        <f>'[1]March - 2023'!CQ12</f>
        <v>224705</v>
      </c>
      <c r="CO12" s="225">
        <f>'[1]March - 2023'!CR12</f>
        <v>116</v>
      </c>
      <c r="CP12" s="85">
        <f>'[1]March - 2023'!CR12</f>
        <v>116</v>
      </c>
      <c r="CQ12" s="85">
        <f>'[1]March - 2023'!CT12</f>
        <v>376814</v>
      </c>
      <c r="CR12" s="225">
        <f>'[1]March - 2023'!CU12</f>
        <v>148</v>
      </c>
      <c r="CS12" s="85">
        <f>'[1]March - 2023'!CU12</f>
        <v>148</v>
      </c>
      <c r="CT12" s="85">
        <f>'[1]March - 2023'!CW12</f>
        <v>709427</v>
      </c>
      <c r="CU12" s="172">
        <f>'[1]March - 2023'!CX12</f>
        <v>176</v>
      </c>
      <c r="CV12" s="519"/>
      <c r="CW12" s="234">
        <f>'[1]March - 2023'!CZ12</f>
        <v>9576</v>
      </c>
      <c r="CX12" s="179">
        <f>'[1]March - 2023'!DA12</f>
        <v>9</v>
      </c>
      <c r="CY12" s="235">
        <f>'[1]March - 2023'!DB12</f>
        <v>6467</v>
      </c>
      <c r="CZ12" s="179">
        <f>'[1]March - 2023'!DC12</f>
        <v>8</v>
      </c>
      <c r="DA12" s="235">
        <f>'[1]March - 2023'!DD12</f>
        <v>33483</v>
      </c>
      <c r="DB12" s="179">
        <f>'[1]March - 2023'!DE12</f>
        <v>21</v>
      </c>
      <c r="DC12" s="235">
        <f>'[1]March - 2023'!DF12</f>
        <v>33586</v>
      </c>
      <c r="DD12" s="179">
        <f>'[1]March - 2023'!DG12</f>
        <v>14</v>
      </c>
      <c r="DE12" s="235">
        <f>'[1]March - 2023'!DH12</f>
        <v>22697</v>
      </c>
      <c r="DF12" s="179">
        <f>'[1]March - 2023'!DI12</f>
        <v>10</v>
      </c>
      <c r="DG12" s="235">
        <f>'[1]March - 2023'!DJ12</f>
        <v>24499</v>
      </c>
      <c r="DH12" s="179">
        <f>'[1]March - 2023'!DK12</f>
        <v>6</v>
      </c>
      <c r="DI12" s="235">
        <f>'[1]March - 2023'!DL12</f>
        <v>8025</v>
      </c>
      <c r="DJ12" s="179">
        <f>'[1]March - 2023'!DM12</f>
        <v>14</v>
      </c>
      <c r="DK12" s="235">
        <f>'[1]March - 2023'!DN12</f>
        <v>10442</v>
      </c>
      <c r="DL12" s="179">
        <f>'[1]March - 2023'!DO12</f>
        <v>11</v>
      </c>
      <c r="DM12" s="235">
        <f>'[1]March - 2023'!DP12</f>
        <v>3649</v>
      </c>
      <c r="DN12" s="179">
        <f>'[1]March - 2023'!DQ12</f>
        <v>4</v>
      </c>
      <c r="DO12" s="235">
        <f>'[1]March - 2023'!DR12</f>
        <v>7138</v>
      </c>
      <c r="DP12" s="179">
        <f>'[1]March - 2023'!DS12</f>
        <v>8</v>
      </c>
      <c r="DQ12" s="235">
        <f>'[1]March - 2023'!DT12</f>
        <v>30639</v>
      </c>
      <c r="DR12" s="186">
        <f>'[1]March - 2023'!DU12</f>
        <v>6</v>
      </c>
      <c r="DS12" s="535"/>
      <c r="DT12" s="190">
        <f>'[1]March - 2023'!DW12</f>
        <v>7256.9</v>
      </c>
      <c r="DU12" s="201">
        <f>'[1]March - 2023'!DX12</f>
        <v>11</v>
      </c>
      <c r="DV12" s="87">
        <f>'[1]March - 2023'!DY12</f>
        <v>11953.9</v>
      </c>
      <c r="DW12" s="195">
        <f>'[1]March - 2023'!DZ12</f>
        <v>9</v>
      </c>
      <c r="DX12" s="87">
        <f>'[1]March - 2023'!EA12</f>
        <v>5330.3</v>
      </c>
      <c r="DY12" s="195">
        <f>'[1]March - 2023'!EB12</f>
        <v>6.6999999999998181</v>
      </c>
      <c r="DZ12" s="87">
        <f>'[1]March - 2023'!EC12</f>
        <v>5945.8</v>
      </c>
      <c r="EA12" s="195">
        <f>'[1]March - 2023'!ED12</f>
        <v>7.1999999999998181</v>
      </c>
      <c r="EB12" s="87">
        <f>'[1]March - 2023'!EE12</f>
        <v>1174527</v>
      </c>
      <c r="EC12" s="195">
        <f>'[1]March - 2023'!EF12</f>
        <v>658</v>
      </c>
      <c r="ED12" s="87">
        <f>'[1]March - 2023'!EI12</f>
        <v>243874.5</v>
      </c>
      <c r="EE12" s="208">
        <f>'[1]March - 2023'!EJ12</f>
        <v>152</v>
      </c>
      <c r="EF12" s="584"/>
      <c r="EG12" s="214">
        <f>'[1]March - 2023'!EL12</f>
        <v>12384200</v>
      </c>
      <c r="EH12" s="209">
        <f>'[1]March - 2023'!EM12</f>
        <v>4800</v>
      </c>
      <c r="EI12" s="86">
        <f>'[1]March - 2023'!EN12</f>
        <v>953940</v>
      </c>
      <c r="EJ12" s="209">
        <f>'[1]March - 2023'!EO12</f>
        <v>330</v>
      </c>
      <c r="EK12" s="86">
        <f>'[1]March - 2023'!EP12</f>
        <v>7325600</v>
      </c>
      <c r="EL12" s="209">
        <f>'[1]March - 2023'!EQ12</f>
        <v>1500</v>
      </c>
      <c r="EM12" s="86">
        <f>'[1]March - 2023'!ER12</f>
        <v>2523400</v>
      </c>
      <c r="EN12" s="209">
        <f>'[1]March - 2023'!ES12</f>
        <v>700</v>
      </c>
      <c r="EO12" s="86">
        <f>'[1]March - 2023'!ET12</f>
        <v>1328180</v>
      </c>
      <c r="EP12" s="209">
        <f>'[1]March - 2023'!EU12</f>
        <v>810</v>
      </c>
      <c r="EQ12" s="86">
        <f>'[1]March - 2023'!EV12</f>
        <v>16813900</v>
      </c>
      <c r="ER12" s="209">
        <f>'[1]March - 2023'!EW12</f>
        <v>4800</v>
      </c>
      <c r="ES12" s="562"/>
      <c r="ET12" s="256">
        <f>'[1]March - 2023'!EY12</f>
        <v>43440</v>
      </c>
      <c r="EU12" s="253">
        <f>'[1]March - 2023'!EZ12</f>
        <v>17</v>
      </c>
      <c r="EV12" s="257">
        <f>'[1]March - 2023'!FA12</f>
        <v>37840</v>
      </c>
      <c r="EW12" s="253">
        <f>'[1]March - 2023'!FB12</f>
        <v>13</v>
      </c>
      <c r="EX12" s="257">
        <f>'[1]March - 2023'!FC12</f>
        <v>8388</v>
      </c>
      <c r="EY12" s="253">
        <f>'[1]March - 2023'!FD12</f>
        <v>13</v>
      </c>
      <c r="EZ12" s="257">
        <f>'[1]March - 2023'!FE12</f>
        <v>60489</v>
      </c>
      <c r="FA12" s="253">
        <f>'[1]March - 2023'!FF12</f>
        <v>16</v>
      </c>
      <c r="FB12" s="257">
        <f>'[1]March - 2023'!FG12</f>
        <v>52394</v>
      </c>
      <c r="FC12" s="254">
        <f>'[1]March - 2023'!FH12</f>
        <v>32</v>
      </c>
      <c r="FD12" s="562"/>
      <c r="FE12" s="256">
        <f>'[1]March - 2023'!$FN12</f>
        <v>90453.15</v>
      </c>
      <c r="FF12" s="271">
        <f t="shared" ref="FF12:FN40" si="0">FE12-FE11</f>
        <v>152.29499999999825</v>
      </c>
      <c r="FG12" s="270">
        <f>'[1]March - 2023'!$FP12</f>
        <v>12381</v>
      </c>
      <c r="FH12" s="271">
        <f t="shared" si="0"/>
        <v>0</v>
      </c>
      <c r="FI12" s="275">
        <f>'[1]March - 2023'!$FR12</f>
        <v>11053</v>
      </c>
      <c r="FJ12" s="271">
        <f t="shared" si="0"/>
        <v>6</v>
      </c>
      <c r="FK12" s="275">
        <f>'[1]March - 2023'!$FT12</f>
        <v>8744</v>
      </c>
      <c r="FL12" s="271">
        <f t="shared" si="0"/>
        <v>5</v>
      </c>
      <c r="FM12" s="275">
        <f>'[1]March - 2023'!$FV12</f>
        <v>9118</v>
      </c>
      <c r="FN12" s="271">
        <f t="shared" si="0"/>
        <v>3</v>
      </c>
      <c r="FO12" s="257">
        <f>'[1]March - 2023'!$FJ12</f>
        <v>181.63</v>
      </c>
      <c r="FP12" s="271">
        <f>FO12-FO11</f>
        <v>4.9999999999982947E-2</v>
      </c>
      <c r="FQ12" s="257">
        <f>'[1]March - 2023'!$FL12</f>
        <v>262725.7</v>
      </c>
      <c r="FR12" s="253">
        <f t="shared" ref="FR12:FR40" si="1">FQ12-FQ11</f>
        <v>161.10000000003492</v>
      </c>
    </row>
    <row r="13" spans="1:174" ht="30" customHeight="1" x14ac:dyDescent="0.25">
      <c r="A13" s="187">
        <v>44624</v>
      </c>
      <c r="B13" s="189">
        <f>'[1]March - 2023'!B13</f>
        <v>0.91</v>
      </c>
      <c r="C13" s="229">
        <f>'[1]March - 2023'!E13</f>
        <v>262319</v>
      </c>
      <c r="D13" s="152">
        <f>'[1]March - 2023'!F13</f>
        <v>739</v>
      </c>
      <c r="E13" s="150">
        <f>'[1]March - 2023'!G13</f>
        <v>680</v>
      </c>
      <c r="F13" s="150">
        <f>'[1]March - 2023'!H13</f>
        <v>279949</v>
      </c>
      <c r="G13" s="152">
        <f>'[1]March - 2023'!I13</f>
        <v>618</v>
      </c>
      <c r="H13" s="150">
        <f>'[1]March - 2023'!J13</f>
        <v>508</v>
      </c>
      <c r="I13" s="150">
        <f>'[1]March - 2023'!K13</f>
        <v>23237</v>
      </c>
      <c r="J13" s="152">
        <f>'[1]March - 2023'!L13</f>
        <v>328</v>
      </c>
      <c r="K13" s="150">
        <f>'[1]March - 2023'!N13</f>
        <v>936999</v>
      </c>
      <c r="L13" s="152">
        <f>'[1]March - 2023'!O13</f>
        <v>265</v>
      </c>
      <c r="M13" s="150">
        <f>'[1]March - 2023'!Q13</f>
        <v>246269</v>
      </c>
      <c r="N13" s="152">
        <f>'[1]March - 2023'!R13</f>
        <v>0</v>
      </c>
      <c r="O13" s="150">
        <f>'[1]March - 2023'!U13</f>
        <v>122979</v>
      </c>
      <c r="P13" s="152">
        <f>'[1]March - 2023'!V13</f>
        <v>120</v>
      </c>
      <c r="Q13" s="150">
        <f>'[1]March - 2023'!W13</f>
        <v>2.0870000000000002</v>
      </c>
      <c r="R13" s="150">
        <f>'[1]March - 2023'!X13</f>
        <v>7031</v>
      </c>
      <c r="S13" s="188">
        <f>'[1]March - 2023'!Y13</f>
        <v>23</v>
      </c>
      <c r="T13" s="484"/>
      <c r="U13" s="247">
        <f>'[1]March - 2023'!AE13</f>
        <v>8353872.2400000002</v>
      </c>
      <c r="V13" s="218">
        <f>'[1]March - 2023'!AF13</f>
        <v>3410.4000000003725</v>
      </c>
      <c r="W13" s="88">
        <f>'[1]March - 2023'!AF13</f>
        <v>3410.4000000003725</v>
      </c>
      <c r="X13" s="233">
        <f>'[1]March - 2023'!AH13</f>
        <v>15865960.319999998</v>
      </c>
      <c r="Y13" s="218">
        <f>'[1]March - 2023'!AI13</f>
        <v>3554.0799999982119</v>
      </c>
      <c r="Z13" s="88">
        <f>'[1]March - 2023'!AI13</f>
        <v>3554.0799999982119</v>
      </c>
      <c r="AA13" s="233">
        <f>'[1]March - 2023'!AK13</f>
        <v>15997553.039999999</v>
      </c>
      <c r="AB13" s="218">
        <f>'[1]March - 2023'!AL13</f>
        <v>0</v>
      </c>
      <c r="AC13" s="88">
        <f>'[1]March - 2023'!AL13</f>
        <v>0</v>
      </c>
      <c r="AD13" s="233">
        <f>'[1]March - 2023'!AN13</f>
        <v>19169853.440000001</v>
      </c>
      <c r="AE13" s="218">
        <f>'[1]March - 2023'!AO13</f>
        <v>6813.3600000031292</v>
      </c>
      <c r="AF13" s="88">
        <f>'[1]March - 2023'!AO13</f>
        <v>6813.3600000031292</v>
      </c>
      <c r="AG13" s="233">
        <f>'[1]March - 2023'!AQ13</f>
        <v>19414286.639999997</v>
      </c>
      <c r="AH13" s="218">
        <f>'[1]March - 2023'!AR13</f>
        <v>1315.4399999976158</v>
      </c>
      <c r="AI13" s="88">
        <f>'[1]March - 2023'!AR13</f>
        <v>1315.4399999976158</v>
      </c>
      <c r="AJ13" s="233">
        <f>'[1]March - 2023'!AT13</f>
        <v>18028494.960000001</v>
      </c>
      <c r="AK13" s="218">
        <f>'[1]March - 2023'!AU13</f>
        <v>6723.3600000031292</v>
      </c>
      <c r="AL13" s="88">
        <f>'[1]March - 2023'!AU13</f>
        <v>6723.3600000031292</v>
      </c>
      <c r="AM13" s="233">
        <f>'[1]March - 2023'!AW13</f>
        <v>15135111.6</v>
      </c>
      <c r="AN13" s="218">
        <f>'[1]March - 2023'!AX13</f>
        <v>5018.160000000149</v>
      </c>
      <c r="AO13" s="88">
        <f>'[1]March - 2023'!AX13</f>
        <v>5018.160000000149</v>
      </c>
      <c r="AP13" s="233">
        <f>'[1]March - 2023'!AZ13</f>
        <v>14694341.76</v>
      </c>
      <c r="AQ13" s="218">
        <f>'[1]March - 2023'!BA13</f>
        <v>5748.9600000008941</v>
      </c>
      <c r="AR13" s="88">
        <f>'[1]March - 2023'!BA13</f>
        <v>5748.9600000008941</v>
      </c>
      <c r="AS13" s="233">
        <f>'[1]March - 2023'!BC13</f>
        <v>11438773.92</v>
      </c>
      <c r="AT13" s="218">
        <f>'[1]March - 2023'!BD13</f>
        <v>3848.8799999989569</v>
      </c>
      <c r="AU13" s="88">
        <f>'[1]March - 2023'!BD13</f>
        <v>3848.8799999989569</v>
      </c>
      <c r="AV13" s="233">
        <f>'[1]March - 2023'!BF13</f>
        <v>18183814.32</v>
      </c>
      <c r="AW13" s="230">
        <f>'[1]March - 2023'!BG13</f>
        <v>7210.5599999986589</v>
      </c>
      <c r="AX13" s="231">
        <f>'[1]March - 2023'!BG13</f>
        <v>7210.5599999986589</v>
      </c>
      <c r="AY13" s="501"/>
      <c r="AZ13" s="250">
        <f>'[1]March - 2023'!BM13</f>
        <v>79029800</v>
      </c>
      <c r="BA13" s="161">
        <f>'[1]March - 2023'!BN13</f>
        <v>0</v>
      </c>
      <c r="BB13" s="89">
        <f>'[1]March - 2023'!BN13</f>
        <v>0</v>
      </c>
      <c r="BC13" s="250">
        <f>'[1]March - 2023'!BP13</f>
        <v>82109500</v>
      </c>
      <c r="BD13" s="224">
        <f>'[1]March - 2023'!BQ13</f>
        <v>59700</v>
      </c>
      <c r="BE13" s="89">
        <f>'[1]March - 2023'!BQ13</f>
        <v>59700</v>
      </c>
      <c r="BF13" s="250">
        <f>'[1]March - 2023'!BS13</f>
        <v>75913700</v>
      </c>
      <c r="BG13" s="224">
        <f>'[1]March - 2023'!BT13</f>
        <v>0</v>
      </c>
      <c r="BH13" s="89">
        <f>'[1]March - 2023'!BT13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51">
        <f>'[1]March - 2023'!BV13</f>
        <v>10808810</v>
      </c>
      <c r="BT13" s="166">
        <f>'[1]March - 2023'!BW13</f>
        <v>9130</v>
      </c>
      <c r="BU13" s="593"/>
      <c r="BV13" s="84">
        <f>'[1]March - 2023'!BY13</f>
        <v>0.79</v>
      </c>
      <c r="BW13" s="220">
        <f>'[1]March - 2023'!BZ13</f>
        <v>-9.000000000000008E-2</v>
      </c>
      <c r="BX13" s="84">
        <f>'[1]March - 2023'!BZ13</f>
        <v>-9.000000000000008E-2</v>
      </c>
      <c r="BY13" s="85">
        <f>'[1]March - 2023'!CB13</f>
        <v>65865</v>
      </c>
      <c r="BZ13" s="172">
        <f>'[1]March - 2023'!CC13</f>
        <v>21</v>
      </c>
      <c r="CA13" s="85">
        <f>'[1]March - 2023'!CD13</f>
        <v>57096</v>
      </c>
      <c r="CB13" s="172">
        <f>'[1]March - 2023'!CE13</f>
        <v>23</v>
      </c>
      <c r="CC13" s="85">
        <f>'[1]March - 2023'!CF13</f>
        <v>19283</v>
      </c>
      <c r="CD13" s="172">
        <f>'[1]March - 2023'!CG13</f>
        <v>10</v>
      </c>
      <c r="CE13" s="85">
        <f>'[1]March - 2023'!CH13</f>
        <v>26417</v>
      </c>
      <c r="CF13" s="172">
        <f>'[1]March - 2023'!CI13</f>
        <v>13</v>
      </c>
      <c r="CG13" s="85">
        <f>'[1]March - 2023'!CJ13</f>
        <v>29732</v>
      </c>
      <c r="CH13" s="172">
        <f>'[1]March - 2023'!CK13</f>
        <v>20</v>
      </c>
      <c r="CI13" s="85">
        <f>'[1]March - 2023'!CL13</f>
        <v>65524</v>
      </c>
      <c r="CJ13" s="172">
        <f>'[1]March - 2023'!CM13</f>
        <v>47</v>
      </c>
      <c r="CK13" s="85">
        <f>'[1]March - 2023'!CN13</f>
        <v>274574</v>
      </c>
      <c r="CL13" s="225">
        <f>'[1]March - 2023'!CO13</f>
        <v>95</v>
      </c>
      <c r="CM13" s="85">
        <f>'[1]March - 2023'!CO13</f>
        <v>95</v>
      </c>
      <c r="CN13" s="85">
        <f>'[1]March - 2023'!CQ13</f>
        <v>224843</v>
      </c>
      <c r="CO13" s="225">
        <f>'[1]March - 2023'!CR13</f>
        <v>138</v>
      </c>
      <c r="CP13" s="85">
        <f>'[1]March - 2023'!CR13</f>
        <v>138</v>
      </c>
      <c r="CQ13" s="85">
        <f>'[1]March - 2023'!CT13</f>
        <v>377040</v>
      </c>
      <c r="CR13" s="225">
        <f>'[1]March - 2023'!CU13</f>
        <v>226</v>
      </c>
      <c r="CS13" s="85">
        <f>'[1]March - 2023'!CU13</f>
        <v>226</v>
      </c>
      <c r="CT13" s="85">
        <f>'[1]March - 2023'!CW13</f>
        <v>709640</v>
      </c>
      <c r="CU13" s="172">
        <f>'[1]March - 2023'!CX13</f>
        <v>213</v>
      </c>
      <c r="CV13" s="519"/>
      <c r="CW13" s="234">
        <f>'[1]March - 2023'!CZ13</f>
        <v>9586</v>
      </c>
      <c r="CX13" s="179">
        <f>'[1]March - 2023'!DA13</f>
        <v>10</v>
      </c>
      <c r="CY13" s="235">
        <f>'[1]March - 2023'!DB13</f>
        <v>6476</v>
      </c>
      <c r="CZ13" s="179">
        <f>'[1]March - 2023'!DC13</f>
        <v>9</v>
      </c>
      <c r="DA13" s="235">
        <f>'[1]March - 2023'!DD13</f>
        <v>33510</v>
      </c>
      <c r="DB13" s="179">
        <f>'[1]March - 2023'!DE13</f>
        <v>27</v>
      </c>
      <c r="DC13" s="235">
        <f>'[1]March - 2023'!DF13</f>
        <v>33600</v>
      </c>
      <c r="DD13" s="179">
        <f>'[1]March - 2023'!DG13</f>
        <v>14</v>
      </c>
      <c r="DE13" s="235">
        <f>'[1]March - 2023'!DH13</f>
        <v>22708</v>
      </c>
      <c r="DF13" s="179">
        <f>'[1]March - 2023'!DI13</f>
        <v>11</v>
      </c>
      <c r="DG13" s="235">
        <f>'[1]March - 2023'!DJ13</f>
        <v>24504</v>
      </c>
      <c r="DH13" s="179">
        <f>'[1]March - 2023'!DK13</f>
        <v>5</v>
      </c>
      <c r="DI13" s="235">
        <f>'[1]March - 2023'!DL13</f>
        <v>8036</v>
      </c>
      <c r="DJ13" s="179">
        <f>'[1]March - 2023'!DM13</f>
        <v>11</v>
      </c>
      <c r="DK13" s="235">
        <f>'[1]March - 2023'!DN13</f>
        <v>10450</v>
      </c>
      <c r="DL13" s="179">
        <f>'[1]March - 2023'!DO13</f>
        <v>8</v>
      </c>
      <c r="DM13" s="235">
        <f>'[1]March - 2023'!DP13</f>
        <v>3655</v>
      </c>
      <c r="DN13" s="179">
        <f>'[1]March - 2023'!DQ13</f>
        <v>6</v>
      </c>
      <c r="DO13" s="235">
        <f>'[1]March - 2023'!DR13</f>
        <v>7151</v>
      </c>
      <c r="DP13" s="179">
        <f>'[1]March - 2023'!DS13</f>
        <v>13</v>
      </c>
      <c r="DQ13" s="235">
        <f>'[1]March - 2023'!DT13</f>
        <v>30646</v>
      </c>
      <c r="DR13" s="186">
        <f>'[1]March - 2023'!DU13</f>
        <v>7</v>
      </c>
      <c r="DS13" s="535"/>
      <c r="DT13" s="190">
        <f>'[1]March - 2023'!DW13</f>
        <v>7270.1</v>
      </c>
      <c r="DU13" s="201">
        <f>'[1]March - 2023'!DX13</f>
        <v>13.200000000000728</v>
      </c>
      <c r="DV13" s="87">
        <f>'[1]March - 2023'!DY13</f>
        <v>11964.5</v>
      </c>
      <c r="DW13" s="195">
        <f>'[1]March - 2023'!DZ13</f>
        <v>10.600000000000364</v>
      </c>
      <c r="DX13" s="87">
        <f>'[1]March - 2023'!EA13</f>
        <v>5338.2</v>
      </c>
      <c r="DY13" s="195">
        <f>'[1]March - 2023'!EB13</f>
        <v>7.8999999999996362</v>
      </c>
      <c r="DZ13" s="87">
        <f>'[1]March - 2023'!EC13</f>
        <v>5955.6</v>
      </c>
      <c r="EA13" s="195">
        <f>'[1]March - 2023'!ED13</f>
        <v>9.8000000000001819</v>
      </c>
      <c r="EB13" s="87">
        <f>'[1]March - 2023'!EE13</f>
        <v>1175292</v>
      </c>
      <c r="EC13" s="195">
        <f>'[1]March - 2023'!EF13</f>
        <v>765</v>
      </c>
      <c r="ED13" s="87">
        <f>'[1]March - 2023'!EI13</f>
        <v>244056.1</v>
      </c>
      <c r="EE13" s="208">
        <f>'[1]March - 2023'!EJ13</f>
        <v>181.60000000000582</v>
      </c>
      <c r="EF13" s="584"/>
      <c r="EG13" s="214">
        <f>'[1]March - 2023'!EL13</f>
        <v>12390100</v>
      </c>
      <c r="EH13" s="209">
        <f>'[1]March - 2023'!EM13</f>
        <v>5900</v>
      </c>
      <c r="EI13" s="86">
        <f>'[1]March - 2023'!EN13</f>
        <v>954320</v>
      </c>
      <c r="EJ13" s="209">
        <f>'[1]March - 2023'!EO13</f>
        <v>380</v>
      </c>
      <c r="EK13" s="86">
        <f>'[1]March - 2023'!EP13</f>
        <v>7327300</v>
      </c>
      <c r="EL13" s="209">
        <f>'[1]March - 2023'!EQ13</f>
        <v>1700</v>
      </c>
      <c r="EM13" s="86">
        <f>'[1]March - 2023'!ER13</f>
        <v>2524200</v>
      </c>
      <c r="EN13" s="209">
        <f>'[1]March - 2023'!ES13</f>
        <v>800</v>
      </c>
      <c r="EO13" s="86">
        <f>'[1]March - 2023'!ET13</f>
        <v>1329050</v>
      </c>
      <c r="EP13" s="209">
        <f>'[1]March - 2023'!EU13</f>
        <v>870</v>
      </c>
      <c r="EQ13" s="86">
        <f>'[1]March - 2023'!EV13</f>
        <v>16820900</v>
      </c>
      <c r="ER13" s="209">
        <f>'[1]March - 2023'!EW13</f>
        <v>7000</v>
      </c>
      <c r="ES13" s="562"/>
      <c r="ET13" s="256">
        <f>'[1]March - 2023'!EY13</f>
        <v>43460</v>
      </c>
      <c r="EU13" s="253">
        <f>'[1]March - 2023'!EZ13</f>
        <v>20</v>
      </c>
      <c r="EV13" s="257">
        <f>'[1]March - 2023'!FA13</f>
        <v>37855</v>
      </c>
      <c r="EW13" s="253">
        <f>'[1]March - 2023'!FB13</f>
        <v>15</v>
      </c>
      <c r="EX13" s="257">
        <f>'[1]March - 2023'!FC13</f>
        <v>8405</v>
      </c>
      <c r="EY13" s="253">
        <f>'[1]March - 2023'!FD13</f>
        <v>17</v>
      </c>
      <c r="EZ13" s="257">
        <f>'[1]March - 2023'!FE13</f>
        <v>60505</v>
      </c>
      <c r="FA13" s="253">
        <f>'[1]March - 2023'!FF13</f>
        <v>16</v>
      </c>
      <c r="FB13" s="257">
        <f>'[1]March - 2023'!FG13</f>
        <v>52439</v>
      </c>
      <c r="FC13" s="254">
        <f>'[1]March - 2023'!FH13</f>
        <v>45</v>
      </c>
      <c r="FD13" s="562"/>
      <c r="FE13" s="256">
        <f>'[1]March - 2023'!$FN13</f>
        <v>90619.41</v>
      </c>
      <c r="FF13" s="271">
        <f t="shared" si="0"/>
        <v>166.26000000000931</v>
      </c>
      <c r="FG13" s="270">
        <f>'[1]March - 2023'!$FP13</f>
        <v>12381</v>
      </c>
      <c r="FH13" s="271">
        <f t="shared" si="0"/>
        <v>0</v>
      </c>
      <c r="FI13" s="275">
        <f>'[1]March - 2023'!$FR13</f>
        <v>11058</v>
      </c>
      <c r="FJ13" s="271">
        <f t="shared" si="0"/>
        <v>5</v>
      </c>
      <c r="FK13" s="275">
        <f>'[1]March - 2023'!$FT13</f>
        <v>8752</v>
      </c>
      <c r="FL13" s="271">
        <f t="shared" si="0"/>
        <v>8</v>
      </c>
      <c r="FM13" s="275">
        <f>'[1]March - 2023'!$FV13</f>
        <v>9122</v>
      </c>
      <c r="FN13" s="271">
        <f t="shared" si="0"/>
        <v>4</v>
      </c>
      <c r="FO13" s="257">
        <f>'[1]March - 2023'!$FJ13</f>
        <v>182.3</v>
      </c>
      <c r="FP13" s="271">
        <f t="shared" ref="FP13:FP40" si="2">FO13-FO12</f>
        <v>0.67000000000001592</v>
      </c>
      <c r="FQ13" s="257">
        <f>'[1]March - 2023'!$FL13</f>
        <v>262982.8</v>
      </c>
      <c r="FR13" s="253">
        <f t="shared" si="1"/>
        <v>257.09999999997672</v>
      </c>
    </row>
    <row r="14" spans="1:174" ht="30" customHeight="1" x14ac:dyDescent="0.25">
      <c r="A14" s="187">
        <v>44625</v>
      </c>
      <c r="B14" s="189">
        <f>'[1]March - 2023'!B14</f>
        <v>0.85</v>
      </c>
      <c r="C14" s="229">
        <f>'[1]March - 2023'!E14</f>
        <v>262926</v>
      </c>
      <c r="D14" s="152">
        <f>'[1]March - 2023'!F14</f>
        <v>607</v>
      </c>
      <c r="E14" s="150">
        <f>'[1]March - 2023'!G14</f>
        <v>675</v>
      </c>
      <c r="F14" s="150">
        <f>'[1]March - 2023'!H14</f>
        <v>280336</v>
      </c>
      <c r="G14" s="152">
        <f>'[1]March - 2023'!I14</f>
        <v>387</v>
      </c>
      <c r="H14" s="150">
        <f>'[1]March - 2023'!J14</f>
        <v>486</v>
      </c>
      <c r="I14" s="150">
        <f>'[1]March - 2023'!K14</f>
        <v>23419</v>
      </c>
      <c r="J14" s="152">
        <f>'[1]March - 2023'!L14</f>
        <v>182</v>
      </c>
      <c r="K14" s="150">
        <f>'[1]March - 2023'!N14</f>
        <v>937209</v>
      </c>
      <c r="L14" s="152">
        <f>'[1]March - 2023'!O14</f>
        <v>210</v>
      </c>
      <c r="M14" s="150">
        <f>'[1]March - 2023'!Q14</f>
        <v>246269</v>
      </c>
      <c r="N14" s="152">
        <f>'[1]March - 2023'!R14</f>
        <v>0</v>
      </c>
      <c r="O14" s="150">
        <f>'[1]March - 2023'!U14</f>
        <v>123083</v>
      </c>
      <c r="P14" s="152">
        <f>'[1]March - 2023'!V14</f>
        <v>104</v>
      </c>
      <c r="Q14" s="150">
        <f>'[1]March - 2023'!W14</f>
        <v>2.0950000000000002</v>
      </c>
      <c r="R14" s="150">
        <f>'[1]March - 2023'!X14</f>
        <v>7046</v>
      </c>
      <c r="S14" s="188">
        <f>'[1]March - 2023'!Y14</f>
        <v>15</v>
      </c>
      <c r="T14" s="484"/>
      <c r="U14" s="247">
        <f>'[1]March - 2023'!AE14</f>
        <v>8356918.4800000004</v>
      </c>
      <c r="V14" s="218">
        <f>'[1]March - 2023'!AF14</f>
        <v>3046.2400000002235</v>
      </c>
      <c r="W14" s="88">
        <f>'[1]March - 2023'!AF14</f>
        <v>3046.2400000002235</v>
      </c>
      <c r="X14" s="233">
        <f>'[1]March - 2023'!AH14</f>
        <v>15870468.16</v>
      </c>
      <c r="Y14" s="218">
        <f>'[1]March - 2023'!AI14</f>
        <v>4507.8400000017136</v>
      </c>
      <c r="Z14" s="88">
        <f>'[1]March - 2023'!AI14</f>
        <v>4507.8400000017136</v>
      </c>
      <c r="AA14" s="233">
        <f>'[1]March - 2023'!AK14</f>
        <v>15997553.039999999</v>
      </c>
      <c r="AB14" s="218">
        <f>'[1]March - 2023'!AL14</f>
        <v>0</v>
      </c>
      <c r="AC14" s="88">
        <f>'[1]March - 2023'!AL14</f>
        <v>0</v>
      </c>
      <c r="AD14" s="233">
        <f>'[1]March - 2023'!AN14</f>
        <v>19183453.760000002</v>
      </c>
      <c r="AE14" s="218">
        <f>'[1]March - 2023'!AO14</f>
        <v>13600.320000000298</v>
      </c>
      <c r="AF14" s="88">
        <f>'[1]March - 2023'!AO14</f>
        <v>13600.320000000298</v>
      </c>
      <c r="AG14" s="233">
        <f>'[1]March - 2023'!AQ14</f>
        <v>19414822.560000002</v>
      </c>
      <c r="AH14" s="218">
        <f>'[1]March - 2023'!AR14</f>
        <v>535.92000000551343</v>
      </c>
      <c r="AI14" s="88">
        <f>'[1]March - 2023'!AR14</f>
        <v>535.92000000551343</v>
      </c>
      <c r="AJ14" s="233">
        <f>'[1]March - 2023'!AT14</f>
        <v>18032733.599999998</v>
      </c>
      <c r="AK14" s="218">
        <f>'[1]March - 2023'!AU14</f>
        <v>4238.6399999968708</v>
      </c>
      <c r="AL14" s="88">
        <f>'[1]March - 2023'!AU14</f>
        <v>4238.6399999968708</v>
      </c>
      <c r="AM14" s="233">
        <f>'[1]March - 2023'!AW14</f>
        <v>15138180.959999999</v>
      </c>
      <c r="AN14" s="218">
        <f>'[1]March - 2023'!AX14</f>
        <v>3069.359999999404</v>
      </c>
      <c r="AO14" s="88">
        <f>'[1]March - 2023'!AX14</f>
        <v>3069.359999999404</v>
      </c>
      <c r="AP14" s="233">
        <f>'[1]March - 2023'!AZ14</f>
        <v>14697606</v>
      </c>
      <c r="AQ14" s="218">
        <f>'[1]March - 2023'!BA14</f>
        <v>3264.2400000002235</v>
      </c>
      <c r="AR14" s="88">
        <f>'[1]March - 2023'!BA14</f>
        <v>3264.2400000002235</v>
      </c>
      <c r="AS14" s="233">
        <f>'[1]March - 2023'!BC14</f>
        <v>11441112.48</v>
      </c>
      <c r="AT14" s="218">
        <f>'[1]March - 2023'!BD14</f>
        <v>2338.5600000005215</v>
      </c>
      <c r="AU14" s="88">
        <f>'[1]March - 2023'!BD14</f>
        <v>2338.5600000005215</v>
      </c>
      <c r="AV14" s="233">
        <f>'[1]March - 2023'!BF14</f>
        <v>18188150.399999999</v>
      </c>
      <c r="AW14" s="230">
        <f>'[1]March - 2023'!BG14</f>
        <v>4336.0799999982119</v>
      </c>
      <c r="AX14" s="231">
        <f>'[1]March - 2023'!BG14</f>
        <v>4336.0799999982119</v>
      </c>
      <c r="AY14" s="501"/>
      <c r="AZ14" s="250">
        <f>'[1]March - 2023'!BM14</f>
        <v>79029800</v>
      </c>
      <c r="BA14" s="161">
        <f>'[1]March - 2023'!BN14</f>
        <v>0</v>
      </c>
      <c r="BB14" s="89">
        <f>'[1]March - 2023'!BN14</f>
        <v>0</v>
      </c>
      <c r="BC14" s="250">
        <f>'[1]March - 2023'!BP14</f>
        <v>82165000</v>
      </c>
      <c r="BD14" s="224">
        <f>'[1]March - 2023'!BQ14</f>
        <v>55500</v>
      </c>
      <c r="BE14" s="89">
        <f>'[1]March - 2023'!BQ14</f>
        <v>55500</v>
      </c>
      <c r="BF14" s="250">
        <f>'[1]March - 2023'!BS14</f>
        <v>75913700</v>
      </c>
      <c r="BG14" s="224">
        <f>'[1]March - 2023'!BT14</f>
        <v>0</v>
      </c>
      <c r="BH14" s="89">
        <f>'[1]March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51">
        <f>'[1]March - 2023'!BV14</f>
        <v>10815120</v>
      </c>
      <c r="BT14" s="166">
        <f>'[1]March - 2023'!BW14</f>
        <v>6310</v>
      </c>
      <c r="BU14" s="593"/>
      <c r="BV14" s="84">
        <f>'[1]March - 2023'!BY14</f>
        <v>0.71</v>
      </c>
      <c r="BW14" s="220">
        <f>'[1]March - 2023'!BZ14</f>
        <v>8.0000000000000071E-2</v>
      </c>
      <c r="BX14" s="84">
        <f>'[1]March - 2023'!BZ14</f>
        <v>8.0000000000000071E-2</v>
      </c>
      <c r="BY14" s="85">
        <f>'[1]March - 2023'!CB14</f>
        <v>65878</v>
      </c>
      <c r="BZ14" s="172">
        <f>'[1]March - 2023'!CC14</f>
        <v>13</v>
      </c>
      <c r="CA14" s="85">
        <f>'[1]March - 2023'!CD14</f>
        <v>57112</v>
      </c>
      <c r="CB14" s="172">
        <f>'[1]March - 2023'!CE14</f>
        <v>16</v>
      </c>
      <c r="CC14" s="85">
        <f>'[1]March - 2023'!CF14</f>
        <v>19289</v>
      </c>
      <c r="CD14" s="172">
        <f>'[1]March - 2023'!CG14</f>
        <v>6</v>
      </c>
      <c r="CE14" s="85">
        <f>'[1]March - 2023'!CH14</f>
        <v>26424</v>
      </c>
      <c r="CF14" s="172">
        <f>'[1]March - 2023'!CI14</f>
        <v>7</v>
      </c>
      <c r="CG14" s="85">
        <f>'[1]March - 2023'!CJ14</f>
        <v>29742</v>
      </c>
      <c r="CH14" s="172">
        <f>'[1]March - 2023'!CK14</f>
        <v>10</v>
      </c>
      <c r="CI14" s="85">
        <f>'[1]March - 2023'!CL14</f>
        <v>65554</v>
      </c>
      <c r="CJ14" s="172">
        <f>'[1]March - 2023'!CM14</f>
        <v>30</v>
      </c>
      <c r="CK14" s="85">
        <f>'[1]March - 2023'!CN14</f>
        <v>274639</v>
      </c>
      <c r="CL14" s="225">
        <f>'[1]March - 2023'!CO14</f>
        <v>65</v>
      </c>
      <c r="CM14" s="85">
        <f>'[1]March - 2023'!CO14</f>
        <v>65</v>
      </c>
      <c r="CN14" s="85">
        <f>'[1]March - 2023'!CQ14</f>
        <v>224933</v>
      </c>
      <c r="CO14" s="225">
        <f>'[1]March - 2023'!CR14</f>
        <v>90</v>
      </c>
      <c r="CP14" s="85">
        <f>'[1]March - 2023'!CR14</f>
        <v>90</v>
      </c>
      <c r="CQ14" s="85">
        <f>'[1]March - 2023'!CT14</f>
        <v>377173</v>
      </c>
      <c r="CR14" s="225">
        <f>'[1]March - 2023'!CU14</f>
        <v>133</v>
      </c>
      <c r="CS14" s="85">
        <f>'[1]March - 2023'!CU14</f>
        <v>133</v>
      </c>
      <c r="CT14" s="85">
        <f>'[1]March - 2023'!CW14</f>
        <v>709784</v>
      </c>
      <c r="CU14" s="172">
        <f>'[1]March - 2023'!CX14</f>
        <v>144</v>
      </c>
      <c r="CV14" s="519"/>
      <c r="CW14" s="234">
        <f>'[1]March - 2023'!CZ14</f>
        <v>9589</v>
      </c>
      <c r="CX14" s="179">
        <f>'[1]March - 2023'!DA14</f>
        <v>3</v>
      </c>
      <c r="CY14" s="235">
        <f>'[1]March - 2023'!DB14</f>
        <v>6479</v>
      </c>
      <c r="CZ14" s="179">
        <f>'[1]March - 2023'!DC14</f>
        <v>3</v>
      </c>
      <c r="DA14" s="235">
        <f>'[1]March - 2023'!DD14</f>
        <v>33523</v>
      </c>
      <c r="DB14" s="179">
        <f>'[1]March - 2023'!DE14</f>
        <v>13</v>
      </c>
      <c r="DC14" s="235">
        <f>'[1]March - 2023'!DF14</f>
        <v>33611</v>
      </c>
      <c r="DD14" s="179">
        <f>'[1]March - 2023'!DG14</f>
        <v>11</v>
      </c>
      <c r="DE14" s="235">
        <f>'[1]March - 2023'!DH14</f>
        <v>22715</v>
      </c>
      <c r="DF14" s="179">
        <f>'[1]March - 2023'!DI14</f>
        <v>7</v>
      </c>
      <c r="DG14" s="235">
        <f>'[1]March - 2023'!DJ14</f>
        <v>24509</v>
      </c>
      <c r="DH14" s="179">
        <f>'[1]March - 2023'!DK14</f>
        <v>5</v>
      </c>
      <c r="DI14" s="235">
        <f>'[1]March - 2023'!DL14</f>
        <v>8043</v>
      </c>
      <c r="DJ14" s="179">
        <f>'[1]March - 2023'!DM14</f>
        <v>7</v>
      </c>
      <c r="DK14" s="235">
        <f>'[1]March - 2023'!DN14</f>
        <v>10471</v>
      </c>
      <c r="DL14" s="179">
        <f>'[1]March - 2023'!DO14</f>
        <v>21</v>
      </c>
      <c r="DM14" s="235">
        <f>'[1]March - 2023'!DP14</f>
        <v>3659</v>
      </c>
      <c r="DN14" s="179">
        <f>'[1]March - 2023'!DQ14</f>
        <v>4</v>
      </c>
      <c r="DO14" s="235">
        <f>'[1]March - 2023'!DR14</f>
        <v>7157</v>
      </c>
      <c r="DP14" s="179">
        <f>'[1]March - 2023'!DS14</f>
        <v>6</v>
      </c>
      <c r="DQ14" s="235">
        <f>'[1]March - 2023'!DT14</f>
        <v>30652</v>
      </c>
      <c r="DR14" s="186">
        <f>'[1]March - 2023'!DU14</f>
        <v>6</v>
      </c>
      <c r="DS14" s="535"/>
      <c r="DT14" s="190">
        <f>'[1]March - 2023'!DW14</f>
        <v>7278.4</v>
      </c>
      <c r="DU14" s="201">
        <f>'[1]March - 2023'!DX14</f>
        <v>8.2999999999992724</v>
      </c>
      <c r="DV14" s="87">
        <f>'[1]March - 2023'!DY14</f>
        <v>11971.1</v>
      </c>
      <c r="DW14" s="195">
        <f>'[1]March - 2023'!DZ14</f>
        <v>6.6000000000003638</v>
      </c>
      <c r="DX14" s="87">
        <f>'[1]March - 2023'!EA14</f>
        <v>5343.1</v>
      </c>
      <c r="DY14" s="195">
        <f>'[1]March - 2023'!EB14</f>
        <v>4.9000000000005457</v>
      </c>
      <c r="DZ14" s="87">
        <f>'[1]March - 2023'!EC14</f>
        <v>5961.8</v>
      </c>
      <c r="EA14" s="195">
        <f>'[1]March - 2023'!ED14</f>
        <v>6.1999999999998181</v>
      </c>
      <c r="EB14" s="87">
        <f>'[1]March - 2023'!EE14</f>
        <v>1175788</v>
      </c>
      <c r="EC14" s="195">
        <f>'[1]March - 2023'!EF14</f>
        <v>496</v>
      </c>
      <c r="ED14" s="87">
        <f>'[1]March - 2023'!EI14</f>
        <v>244176.2</v>
      </c>
      <c r="EE14" s="208">
        <f>'[1]March - 2023'!EJ14</f>
        <v>120.10000000000582</v>
      </c>
      <c r="EF14" s="584"/>
      <c r="EG14" s="214">
        <f>'[1]March - 2023'!EL14</f>
        <v>12392700</v>
      </c>
      <c r="EH14" s="209">
        <f>'[1]March - 2023'!EM14</f>
        <v>2600</v>
      </c>
      <c r="EI14" s="86">
        <f>'[1]March - 2023'!EN14</f>
        <v>954520</v>
      </c>
      <c r="EJ14" s="209">
        <f>'[1]March - 2023'!EO14</f>
        <v>200</v>
      </c>
      <c r="EK14" s="86">
        <f>'[1]March - 2023'!EP14</f>
        <v>7327800</v>
      </c>
      <c r="EL14" s="209">
        <f>'[1]March - 2023'!EQ14</f>
        <v>500</v>
      </c>
      <c r="EM14" s="86">
        <f>'[1]March - 2023'!ER14</f>
        <v>2524700</v>
      </c>
      <c r="EN14" s="209">
        <f>'[1]March - 2023'!ES14</f>
        <v>500</v>
      </c>
      <c r="EO14" s="86">
        <f>'[1]March - 2023'!ET14</f>
        <v>1329480</v>
      </c>
      <c r="EP14" s="209">
        <f>'[1]March - 2023'!EU14</f>
        <v>430</v>
      </c>
      <c r="EQ14" s="86">
        <f>'[1]March - 2023'!EV14</f>
        <v>16823900</v>
      </c>
      <c r="ER14" s="209">
        <f>'[1]March - 2023'!EW14</f>
        <v>3000</v>
      </c>
      <c r="ES14" s="562"/>
      <c r="ET14" s="256">
        <f>'[1]March - 2023'!EY14</f>
        <v>43471</v>
      </c>
      <c r="EU14" s="253">
        <f>'[1]March - 2023'!EZ14</f>
        <v>11</v>
      </c>
      <c r="EV14" s="257">
        <f>'[1]March - 2023'!FA14</f>
        <v>37864</v>
      </c>
      <c r="EW14" s="253">
        <f>'[1]March - 2023'!FB14</f>
        <v>9</v>
      </c>
      <c r="EX14" s="257">
        <f>'[1]March - 2023'!FC14</f>
        <v>8413</v>
      </c>
      <c r="EY14" s="253">
        <f>'[1]March - 2023'!FD14</f>
        <v>8</v>
      </c>
      <c r="EZ14" s="257">
        <f>'[1]March - 2023'!FE14</f>
        <v>60518</v>
      </c>
      <c r="FA14" s="253">
        <f>'[1]March - 2023'!FF14</f>
        <v>13</v>
      </c>
      <c r="FB14" s="257">
        <f>'[1]March - 2023'!FG14</f>
        <v>52460</v>
      </c>
      <c r="FC14" s="254">
        <f>'[1]March - 2023'!FH14</f>
        <v>21</v>
      </c>
      <c r="FD14" s="562"/>
      <c r="FE14" s="256">
        <f>'[1]March - 2023'!$FN14</f>
        <v>90736.592000000004</v>
      </c>
      <c r="FF14" s="271">
        <f t="shared" si="0"/>
        <v>117.1820000000007</v>
      </c>
      <c r="FG14" s="270">
        <f>'[1]March - 2023'!$FP14</f>
        <v>12381</v>
      </c>
      <c r="FH14" s="271">
        <f t="shared" si="0"/>
        <v>0</v>
      </c>
      <c r="FI14" s="275">
        <f>'[1]March - 2023'!$FR14</f>
        <v>11066</v>
      </c>
      <c r="FJ14" s="271">
        <f t="shared" si="0"/>
        <v>8</v>
      </c>
      <c r="FK14" s="275">
        <f>'[1]March - 2023'!$FT14</f>
        <v>8756</v>
      </c>
      <c r="FL14" s="271">
        <f t="shared" si="0"/>
        <v>4</v>
      </c>
      <c r="FM14" s="275">
        <f>'[1]March - 2023'!$FV14</f>
        <v>9126</v>
      </c>
      <c r="FN14" s="271">
        <f t="shared" si="0"/>
        <v>4</v>
      </c>
      <c r="FO14" s="257">
        <f>'[1]March - 2023'!$FJ14</f>
        <v>182.33</v>
      </c>
      <c r="FP14" s="271">
        <f t="shared" si="2"/>
        <v>3.0000000000001137E-2</v>
      </c>
      <c r="FQ14" s="257">
        <f>'[1]March - 2023'!$FL14</f>
        <v>263091.09999999998</v>
      </c>
      <c r="FR14" s="253">
        <f t="shared" si="1"/>
        <v>108.29999999998836</v>
      </c>
    </row>
    <row r="15" spans="1:174" ht="30" customHeight="1" x14ac:dyDescent="0.25">
      <c r="A15" s="187">
        <v>44626</v>
      </c>
      <c r="B15" s="189">
        <f>'[1]March - 2023'!B15</f>
        <v>0.89</v>
      </c>
      <c r="C15" s="229">
        <f>'[1]March - 2023'!E15</f>
        <v>263534</v>
      </c>
      <c r="D15" s="152">
        <f>'[1]March - 2023'!F15</f>
        <v>608</v>
      </c>
      <c r="E15" s="150">
        <f>'[1]March - 2023'!G15</f>
        <v>644</v>
      </c>
      <c r="F15" s="150">
        <f>'[1]March - 2023'!H15</f>
        <v>280840</v>
      </c>
      <c r="G15" s="152">
        <f>'[1]March - 2023'!I15</f>
        <v>504</v>
      </c>
      <c r="H15" s="150">
        <f>'[1]March - 2023'!J15</f>
        <v>438</v>
      </c>
      <c r="I15" s="150">
        <f>'[1]March - 2023'!K15</f>
        <v>23704</v>
      </c>
      <c r="J15" s="152">
        <f>'[1]March - 2023'!L15</f>
        <v>285</v>
      </c>
      <c r="K15" s="150">
        <f>'[1]March - 2023'!N15</f>
        <v>937464</v>
      </c>
      <c r="L15" s="152">
        <f>'[1]March - 2023'!O15</f>
        <v>255</v>
      </c>
      <c r="M15" s="150">
        <f>'[1]March - 2023'!Q15</f>
        <v>246269</v>
      </c>
      <c r="N15" s="152">
        <f>'[1]March - 2023'!R15</f>
        <v>0</v>
      </c>
      <c r="O15" s="150">
        <f>'[1]March - 2023'!U15</f>
        <v>123186</v>
      </c>
      <c r="P15" s="152">
        <f>'[1]March - 2023'!V15</f>
        <v>103</v>
      </c>
      <c r="Q15" s="150">
        <f>'[1]March - 2023'!W15</f>
        <v>9.2360000000000007</v>
      </c>
      <c r="R15" s="150">
        <f>'[1]March - 2023'!X15</f>
        <v>7059</v>
      </c>
      <c r="S15" s="188">
        <f>'[1]March - 2023'!Y15</f>
        <v>13</v>
      </c>
      <c r="T15" s="484"/>
      <c r="U15" s="247">
        <f>'[1]March - 2023'!AE15</f>
        <v>8359134</v>
      </c>
      <c r="V15" s="218">
        <f>'[1]March - 2023'!AF15</f>
        <v>2215.519999999553</v>
      </c>
      <c r="W15" s="88">
        <f>'[1]March - 2023'!AF15</f>
        <v>2215.519999999553</v>
      </c>
      <c r="X15" s="233">
        <f>'[1]March - 2023'!AH15</f>
        <v>15874924.799999999</v>
      </c>
      <c r="Y15" s="218">
        <f>'[1]March - 2023'!AI15</f>
        <v>4456.6399999987334</v>
      </c>
      <c r="Z15" s="88">
        <f>'[1]March - 2023'!AI15</f>
        <v>4456.6399999987334</v>
      </c>
      <c r="AA15" s="233">
        <f>'[1]March - 2023'!AK15</f>
        <v>15997747.919999998</v>
      </c>
      <c r="AB15" s="218">
        <f>'[1]March - 2023'!AL15</f>
        <v>194.87999999895692</v>
      </c>
      <c r="AC15" s="88">
        <f>'[1]March - 2023'!AL15</f>
        <v>194.87999999895692</v>
      </c>
      <c r="AD15" s="233">
        <f>'[1]March - 2023'!AN15</f>
        <v>19191246.48</v>
      </c>
      <c r="AE15" s="218">
        <f>'[1]March - 2023'!AO15</f>
        <v>7792.7199999988079</v>
      </c>
      <c r="AF15" s="88">
        <f>'[1]March - 2023'!AO15</f>
        <v>7792.7199999988079</v>
      </c>
      <c r="AG15" s="233">
        <f>'[1]March - 2023'!AQ15</f>
        <v>19416966.239999998</v>
      </c>
      <c r="AH15" s="218">
        <f>'[1]March - 2023'!AR15</f>
        <v>2143.6799999959767</v>
      </c>
      <c r="AI15" s="88">
        <f>'[1]March - 2023'!AR15</f>
        <v>2143.6799999959767</v>
      </c>
      <c r="AJ15" s="233">
        <f>'[1]March - 2023'!AT15</f>
        <v>18039310.800000001</v>
      </c>
      <c r="AK15" s="218">
        <f>'[1]March - 2023'!AU15</f>
        <v>6577.2000000029802</v>
      </c>
      <c r="AL15" s="88">
        <f>'[1]March - 2023'!AU15</f>
        <v>6577.2000000029802</v>
      </c>
      <c r="AM15" s="233">
        <f>'[1]March - 2023'!AW15</f>
        <v>15142809.359999999</v>
      </c>
      <c r="AN15" s="218">
        <f>'[1]March - 2023'!AX15</f>
        <v>4628.4000000003725</v>
      </c>
      <c r="AO15" s="88">
        <f>'[1]March - 2023'!AX15</f>
        <v>4628.4000000003725</v>
      </c>
      <c r="AP15" s="233">
        <f>'[1]March - 2023'!AZ15</f>
        <v>14702575.439999999</v>
      </c>
      <c r="AQ15" s="218">
        <f>'[1]March - 2023'!BA15</f>
        <v>4969.4399999994785</v>
      </c>
      <c r="AR15" s="88">
        <f>'[1]March - 2023'!BA15</f>
        <v>4969.4399999994785</v>
      </c>
      <c r="AS15" s="233">
        <f>'[1]March - 2023'!BC15</f>
        <v>11444717.76</v>
      </c>
      <c r="AT15" s="218">
        <f>'[1]March - 2023'!BD15</f>
        <v>3605.2799999993294</v>
      </c>
      <c r="AU15" s="88">
        <f>'[1]March - 2023'!BD15</f>
        <v>3605.2799999993294</v>
      </c>
      <c r="AV15" s="233">
        <f>'[1]March - 2023'!BF15</f>
        <v>18194337.84</v>
      </c>
      <c r="AW15" s="230">
        <f>'[1]March - 2023'!BG15</f>
        <v>6187.4400000013411</v>
      </c>
      <c r="AX15" s="231">
        <f>'[1]March - 2023'!BG15</f>
        <v>6187.4400000013411</v>
      </c>
      <c r="AY15" s="501"/>
      <c r="AZ15" s="250">
        <f>'[1]March - 2023'!BM15</f>
        <v>79029800</v>
      </c>
      <c r="BA15" s="161">
        <f>'[1]March - 2023'!BN15</f>
        <v>0</v>
      </c>
      <c r="BB15" s="89">
        <f>'[1]March - 2023'!BN15</f>
        <v>0</v>
      </c>
      <c r="BC15" s="250">
        <f>'[1]March - 2023'!BP15</f>
        <v>82218200</v>
      </c>
      <c r="BD15" s="224">
        <f>'[1]March - 2023'!BQ15</f>
        <v>53200</v>
      </c>
      <c r="BE15" s="89">
        <f>'[1]March - 2023'!BQ15</f>
        <v>53200</v>
      </c>
      <c r="BF15" s="250">
        <f>'[1]March - 2023'!BS15</f>
        <v>75913700</v>
      </c>
      <c r="BG15" s="224">
        <f>'[1]March - 2023'!BT15</f>
        <v>0</v>
      </c>
      <c r="BH15" s="89">
        <f>'[1]March - 2023'!BT15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51">
        <f>'[1]March - 2023'!BV15</f>
        <v>10823360</v>
      </c>
      <c r="BT15" s="166">
        <f>'[1]March - 2023'!BW15</f>
        <v>8240</v>
      </c>
      <c r="BU15" s="593"/>
      <c r="BV15" s="84">
        <f>'[1]March - 2023'!BY15</f>
        <v>0.74</v>
      </c>
      <c r="BW15" s="220">
        <f>'[1]March - 2023'!BZ15</f>
        <v>-3.0000000000000027E-2</v>
      </c>
      <c r="BX15" s="84">
        <f>'[1]March - 2023'!BZ15</f>
        <v>-3.0000000000000027E-2</v>
      </c>
      <c r="BY15" s="85">
        <f>'[1]March - 2023'!CB15</f>
        <v>65899</v>
      </c>
      <c r="BZ15" s="172">
        <f>'[1]March - 2023'!CC15</f>
        <v>21</v>
      </c>
      <c r="CA15" s="85">
        <f>'[1]March - 2023'!CD15</f>
        <v>57135</v>
      </c>
      <c r="CB15" s="172">
        <f>'[1]March - 2023'!CE15</f>
        <v>23</v>
      </c>
      <c r="CC15" s="85">
        <f>'[1]March - 2023'!CF15</f>
        <v>19299</v>
      </c>
      <c r="CD15" s="172">
        <f>'[1]March - 2023'!CG15</f>
        <v>10</v>
      </c>
      <c r="CE15" s="85">
        <f>'[1]March - 2023'!CH15</f>
        <v>26434</v>
      </c>
      <c r="CF15" s="172">
        <f>'[1]March - 2023'!CI15</f>
        <v>10</v>
      </c>
      <c r="CG15" s="85">
        <f>'[1]March - 2023'!CJ15</f>
        <v>29762</v>
      </c>
      <c r="CH15" s="172">
        <f>'[1]March - 2023'!CK15</f>
        <v>20</v>
      </c>
      <c r="CI15" s="85">
        <f>'[1]March - 2023'!CL15</f>
        <v>65596</v>
      </c>
      <c r="CJ15" s="172">
        <f>'[1]March - 2023'!CM15</f>
        <v>42</v>
      </c>
      <c r="CK15" s="85">
        <f>'[1]March - 2023'!CN15</f>
        <v>274732</v>
      </c>
      <c r="CL15" s="225">
        <f>'[1]March - 2023'!CO15</f>
        <v>93</v>
      </c>
      <c r="CM15" s="85">
        <f>'[1]March - 2023'!CO15</f>
        <v>93</v>
      </c>
      <c r="CN15" s="85">
        <f>'[1]March - 2023'!CQ15</f>
        <v>225056</v>
      </c>
      <c r="CO15" s="225">
        <f>'[1]March - 2023'!CR15</f>
        <v>123</v>
      </c>
      <c r="CP15" s="85">
        <f>'[1]March - 2023'!CR15</f>
        <v>123</v>
      </c>
      <c r="CQ15" s="85">
        <f>'[1]March - 2023'!CT15</f>
        <v>377359</v>
      </c>
      <c r="CR15" s="225">
        <f>'[1]March - 2023'!CU15</f>
        <v>186</v>
      </c>
      <c r="CS15" s="85">
        <f>'[1]March - 2023'!CU15</f>
        <v>186</v>
      </c>
      <c r="CT15" s="85">
        <f>'[1]March - 2023'!CW15</f>
        <v>709991</v>
      </c>
      <c r="CU15" s="172">
        <f>'[1]March - 2023'!CX15</f>
        <v>207</v>
      </c>
      <c r="CV15" s="519"/>
      <c r="CW15" s="234">
        <f>'[1]March - 2023'!CZ15</f>
        <v>9595</v>
      </c>
      <c r="CX15" s="179">
        <f>'[1]March - 2023'!DA15</f>
        <v>6</v>
      </c>
      <c r="CY15" s="235">
        <f>'[1]March - 2023'!DB15</f>
        <v>6484</v>
      </c>
      <c r="CZ15" s="179">
        <f>'[1]March - 2023'!DC15</f>
        <v>5</v>
      </c>
      <c r="DA15" s="235">
        <f>'[1]March - 2023'!DD15</f>
        <v>33542</v>
      </c>
      <c r="DB15" s="179">
        <f>'[1]March - 2023'!DE15</f>
        <v>19</v>
      </c>
      <c r="DC15" s="235">
        <f>'[1]March - 2023'!DF15</f>
        <v>33627</v>
      </c>
      <c r="DD15" s="179">
        <f>'[1]March - 2023'!DG15</f>
        <v>16</v>
      </c>
      <c r="DE15" s="235">
        <f>'[1]March - 2023'!DH15</f>
        <v>22724</v>
      </c>
      <c r="DF15" s="179">
        <f>'[1]March - 2023'!DI15</f>
        <v>9</v>
      </c>
      <c r="DG15" s="235">
        <f>'[1]March - 2023'!DJ15</f>
        <v>24514</v>
      </c>
      <c r="DH15" s="179">
        <f>'[1]March - 2023'!DK15</f>
        <v>5</v>
      </c>
      <c r="DI15" s="235">
        <f>'[1]March - 2023'!DL15</f>
        <v>8052</v>
      </c>
      <c r="DJ15" s="179">
        <f>'[1]March - 2023'!DM15</f>
        <v>9</v>
      </c>
      <c r="DK15" s="235">
        <f>'[1]March - 2023'!DN15</f>
        <v>10476</v>
      </c>
      <c r="DL15" s="179">
        <f>'[1]March - 2023'!DO15</f>
        <v>5</v>
      </c>
      <c r="DM15" s="235">
        <f>'[1]March - 2023'!DP15</f>
        <v>3663</v>
      </c>
      <c r="DN15" s="179">
        <f>'[1]March - 2023'!DQ15</f>
        <v>4</v>
      </c>
      <c r="DO15" s="235">
        <f>'[1]March - 2023'!DR15</f>
        <v>7166</v>
      </c>
      <c r="DP15" s="179">
        <f>'[1]March - 2023'!DS15</f>
        <v>9</v>
      </c>
      <c r="DQ15" s="235">
        <f>'[1]March - 2023'!DT15</f>
        <v>30658</v>
      </c>
      <c r="DR15" s="186">
        <f>'[1]March - 2023'!DU15</f>
        <v>6</v>
      </c>
      <c r="DS15" s="535"/>
      <c r="DT15" s="190">
        <f>'[1]March - 2023'!DW15</f>
        <v>7290.3</v>
      </c>
      <c r="DU15" s="201">
        <f>'[1]March - 2023'!DX15</f>
        <v>11.900000000000546</v>
      </c>
      <c r="DV15" s="87">
        <f>'[1]March - 2023'!DY15</f>
        <v>11979.2</v>
      </c>
      <c r="DW15" s="195">
        <f>'[1]March - 2023'!DZ15</f>
        <v>8.1000000000003638</v>
      </c>
      <c r="DX15" s="87">
        <f>'[1]March - 2023'!EA15</f>
        <v>5350.3</v>
      </c>
      <c r="DY15" s="195">
        <f>'[1]March - 2023'!EB15</f>
        <v>7.1999999999998181</v>
      </c>
      <c r="DZ15" s="87">
        <f>'[1]March - 2023'!EC15</f>
        <v>5968.7</v>
      </c>
      <c r="EA15" s="195">
        <f>'[1]March - 2023'!ED15</f>
        <v>6.8999999999996362</v>
      </c>
      <c r="EB15" s="87">
        <f>'[1]March - 2023'!EE15</f>
        <v>1176460</v>
      </c>
      <c r="EC15" s="195">
        <f>'[1]March - 2023'!EF15</f>
        <v>672</v>
      </c>
      <c r="ED15" s="87">
        <f>'[1]March - 2023'!EI15</f>
        <v>244352.3</v>
      </c>
      <c r="EE15" s="208">
        <f>'[1]March - 2023'!EJ15</f>
        <v>176.09999999997672</v>
      </c>
      <c r="EF15" s="584"/>
      <c r="EG15" s="214">
        <f>'[1]March - 2023'!EL15</f>
        <v>12397300</v>
      </c>
      <c r="EH15" s="209">
        <f>'[1]March - 2023'!EM15</f>
        <v>4600</v>
      </c>
      <c r="EI15" s="86">
        <f>'[1]March - 2023'!EN15</f>
        <v>954830</v>
      </c>
      <c r="EJ15" s="209">
        <f>'[1]March - 2023'!EO15</f>
        <v>310</v>
      </c>
      <c r="EK15" s="86">
        <f>'[1]March - 2023'!EP15</f>
        <v>7329000</v>
      </c>
      <c r="EL15" s="209">
        <f>'[1]March - 2023'!EQ15</f>
        <v>1200</v>
      </c>
      <c r="EM15" s="86">
        <f>'[1]March - 2023'!ER15</f>
        <v>2525300</v>
      </c>
      <c r="EN15" s="209">
        <f>'[1]March - 2023'!ES15</f>
        <v>600</v>
      </c>
      <c r="EO15" s="86">
        <f>'[1]March - 2023'!ET15</f>
        <v>1330200</v>
      </c>
      <c r="EP15" s="209">
        <f>'[1]March - 2023'!EU15</f>
        <v>720</v>
      </c>
      <c r="EQ15" s="86">
        <f>'[1]March - 2023'!EV15</f>
        <v>16829300</v>
      </c>
      <c r="ER15" s="209">
        <f>'[1]March - 2023'!EW15</f>
        <v>5400</v>
      </c>
      <c r="ES15" s="562"/>
      <c r="ET15" s="256">
        <f>'[1]March - 2023'!EY15</f>
        <v>43492</v>
      </c>
      <c r="EU15" s="253">
        <f>'[1]March - 2023'!EZ15</f>
        <v>21</v>
      </c>
      <c r="EV15" s="257">
        <f>'[1]March - 2023'!FA15</f>
        <v>37877</v>
      </c>
      <c r="EW15" s="253">
        <f>'[1]March - 2023'!FB15</f>
        <v>13</v>
      </c>
      <c r="EX15" s="257">
        <f>'[1]March - 2023'!FC15</f>
        <v>8421</v>
      </c>
      <c r="EY15" s="253">
        <f>'[1]March - 2023'!FD15</f>
        <v>8</v>
      </c>
      <c r="EZ15" s="257">
        <f>'[1]March - 2023'!FE15</f>
        <v>60531</v>
      </c>
      <c r="FA15" s="253">
        <f>'[1]March - 2023'!FF15</f>
        <v>13</v>
      </c>
      <c r="FB15" s="257">
        <f>'[1]March - 2023'!FG15</f>
        <v>52496</v>
      </c>
      <c r="FC15" s="254">
        <f>'[1]March - 2023'!FH15</f>
        <v>36</v>
      </c>
      <c r="FD15" s="562"/>
      <c r="FE15" s="256">
        <f>'[1]March - 2023'!$FN15</f>
        <v>90898.723100000003</v>
      </c>
      <c r="FF15" s="271">
        <f t="shared" si="0"/>
        <v>162.1310999999987</v>
      </c>
      <c r="FG15" s="270">
        <f>'[1]March - 2023'!$FP15</f>
        <v>12391</v>
      </c>
      <c r="FH15" s="271">
        <f t="shared" si="0"/>
        <v>10</v>
      </c>
      <c r="FI15" s="275">
        <f>'[1]March - 2023'!$FR15</f>
        <v>11073</v>
      </c>
      <c r="FJ15" s="271">
        <f t="shared" si="0"/>
        <v>7</v>
      </c>
      <c r="FK15" s="275">
        <f>'[1]March - 2023'!$FT15</f>
        <v>8760</v>
      </c>
      <c r="FL15" s="271">
        <f t="shared" si="0"/>
        <v>4</v>
      </c>
      <c r="FM15" s="275">
        <f>'[1]March - 2023'!$FV15</f>
        <v>9129</v>
      </c>
      <c r="FN15" s="271">
        <f t="shared" si="0"/>
        <v>3</v>
      </c>
      <c r="FO15" s="257">
        <f>'[1]March - 2023'!$FJ15</f>
        <v>183.56200000000001</v>
      </c>
      <c r="FP15" s="271">
        <f t="shared" si="2"/>
        <v>1.2319999999999993</v>
      </c>
      <c r="FQ15" s="257">
        <f>'[1]March - 2023'!$FL15</f>
        <v>263341.09999999998</v>
      </c>
      <c r="FR15" s="253">
        <f t="shared" si="1"/>
        <v>250</v>
      </c>
    </row>
    <row r="16" spans="1:174" ht="30" customHeight="1" x14ac:dyDescent="0.25">
      <c r="A16" s="187">
        <v>44627</v>
      </c>
      <c r="B16" s="189">
        <f>'[1]March - 2023'!B16</f>
        <v>0.91</v>
      </c>
      <c r="C16" s="229">
        <f>'[1]March - 2023'!E16</f>
        <v>264152</v>
      </c>
      <c r="D16" s="152">
        <f>'[1]March - 2023'!F16</f>
        <v>618</v>
      </c>
      <c r="E16" s="150">
        <f>'[1]March - 2023'!G16</f>
        <v>643</v>
      </c>
      <c r="F16" s="150">
        <f>'[1]March - 2023'!H16</f>
        <v>281230</v>
      </c>
      <c r="G16" s="152">
        <f>'[1]March - 2023'!I16</f>
        <v>390</v>
      </c>
      <c r="H16" s="150">
        <f>'[1]March - 2023'!J16</f>
        <v>425</v>
      </c>
      <c r="I16" s="150">
        <f>'[1]March - 2023'!K16</f>
        <v>23902</v>
      </c>
      <c r="J16" s="152">
        <f>'[1]March - 2023'!L16</f>
        <v>198</v>
      </c>
      <c r="K16" s="150">
        <f>'[1]March - 2023'!N16</f>
        <v>937701</v>
      </c>
      <c r="L16" s="152">
        <f>'[1]March - 2023'!O16</f>
        <v>237</v>
      </c>
      <c r="M16" s="150">
        <f>'[1]March - 2023'!Q16</f>
        <v>246269</v>
      </c>
      <c r="N16" s="152">
        <f>'[1]March - 2023'!R16</f>
        <v>0</v>
      </c>
      <c r="O16" s="150">
        <f>'[1]March - 2023'!U16</f>
        <v>123289</v>
      </c>
      <c r="P16" s="152">
        <f>'[1]March - 2023'!V16</f>
        <v>103</v>
      </c>
      <c r="Q16" s="150">
        <f>'[1]March - 2023'!W16</f>
        <v>4.9279999999999999</v>
      </c>
      <c r="R16" s="150">
        <f>'[1]March - 2023'!X16</f>
        <v>7075</v>
      </c>
      <c r="S16" s="188">
        <f>'[1]March - 2023'!Y16</f>
        <v>16</v>
      </c>
      <c r="T16" s="484"/>
      <c r="U16" s="247">
        <f>'[1]March - 2023'!AE16</f>
        <v>8361277.6800000006</v>
      </c>
      <c r="V16" s="218">
        <f>'[1]March - 2023'!AF16</f>
        <v>2143.6800000006333</v>
      </c>
      <c r="W16" s="88">
        <f>'[1]March - 2023'!AF16</f>
        <v>2143.6800000006333</v>
      </c>
      <c r="X16" s="233">
        <f>'[1]March - 2023'!AH16</f>
        <v>15878724.959999999</v>
      </c>
      <c r="Y16" s="218">
        <f>'[1]March - 2023'!AI16</f>
        <v>3800.160000000149</v>
      </c>
      <c r="Z16" s="88">
        <f>'[1]March - 2023'!AI16</f>
        <v>3800.160000000149</v>
      </c>
      <c r="AA16" s="233">
        <f>'[1]March - 2023'!AK16</f>
        <v>16006322.639999999</v>
      </c>
      <c r="AB16" s="218">
        <f>'[1]March - 2023'!AL16</f>
        <v>8574.7200000006706</v>
      </c>
      <c r="AC16" s="88">
        <f>'[1]March - 2023'!AL16</f>
        <v>8574.7200000006706</v>
      </c>
      <c r="AD16" s="233">
        <f>'[1]March - 2023'!AN16</f>
        <v>19191295.199999999</v>
      </c>
      <c r="AE16" s="218">
        <f>'[1]March - 2023'!AO16</f>
        <v>48.719999998807907</v>
      </c>
      <c r="AF16" s="88">
        <f>'[1]March - 2023'!AO16</f>
        <v>48.719999998807907</v>
      </c>
      <c r="AG16" s="233">
        <f>'[1]March - 2023'!AQ16</f>
        <v>19417648.32</v>
      </c>
      <c r="AH16" s="218">
        <f>'[1]March - 2023'!AR16</f>
        <v>682.08000000193715</v>
      </c>
      <c r="AI16" s="88">
        <f>'[1]March - 2023'!AR16</f>
        <v>682.08000000193715</v>
      </c>
      <c r="AJ16" s="233">
        <f>'[1]March - 2023'!AT16</f>
        <v>18043695.599999998</v>
      </c>
      <c r="AK16" s="218">
        <f>'[1]March - 2023'!AU16</f>
        <v>4384.7999999970198</v>
      </c>
      <c r="AL16" s="88">
        <f>'[1]March - 2023'!AU16</f>
        <v>4384.7999999970198</v>
      </c>
      <c r="AM16" s="233">
        <f>'[1]March - 2023'!AW16</f>
        <v>15145878.719999999</v>
      </c>
      <c r="AN16" s="218">
        <f>'[1]March - 2023'!AX16</f>
        <v>3069.359999999404</v>
      </c>
      <c r="AO16" s="88">
        <f>'[1]March - 2023'!AX16</f>
        <v>3069.359999999404</v>
      </c>
      <c r="AP16" s="233">
        <f>'[1]March - 2023'!AZ16</f>
        <v>14705888.4</v>
      </c>
      <c r="AQ16" s="218">
        <f>'[1]March - 2023'!BA16</f>
        <v>3312.9600000008941</v>
      </c>
      <c r="AR16" s="88">
        <f>'[1]March - 2023'!BA16</f>
        <v>3312.9600000008941</v>
      </c>
      <c r="AS16" s="233">
        <f>'[1]March - 2023'!BC16</f>
        <v>11447105.040000001</v>
      </c>
      <c r="AT16" s="218">
        <f>'[1]March - 2023'!BD16</f>
        <v>2387.2800000011921</v>
      </c>
      <c r="AU16" s="88">
        <f>'[1]March - 2023'!BD16</f>
        <v>2387.2800000011921</v>
      </c>
      <c r="AV16" s="233">
        <f>'[1]March - 2023'!BF16</f>
        <v>18198917.52</v>
      </c>
      <c r="AW16" s="230">
        <f>'[1]March - 2023'!BG16</f>
        <v>4579.679999999702</v>
      </c>
      <c r="AX16" s="231">
        <f>'[1]March - 2023'!BG16</f>
        <v>4579.679999999702</v>
      </c>
      <c r="AY16" s="501"/>
      <c r="AZ16" s="250">
        <f>'[1]March - 2023'!BM16</f>
        <v>79075800</v>
      </c>
      <c r="BA16" s="161">
        <f>'[1]March - 2023'!BN16</f>
        <v>46000</v>
      </c>
      <c r="BB16" s="89">
        <f>'[1]March - 2023'!BN16</f>
        <v>46000</v>
      </c>
      <c r="BC16" s="250">
        <f>'[1]March - 2023'!BP16</f>
        <v>82220500</v>
      </c>
      <c r="BD16" s="224">
        <f>'[1]March - 2023'!BQ16</f>
        <v>2300</v>
      </c>
      <c r="BE16" s="89">
        <f>'[1]March - 2023'!BQ16</f>
        <v>2300</v>
      </c>
      <c r="BF16" s="250">
        <f>'[1]March - 2023'!BS16</f>
        <v>75920000</v>
      </c>
      <c r="BG16" s="224">
        <f>'[1]March - 2023'!BT16</f>
        <v>6300</v>
      </c>
      <c r="BH16" s="89">
        <f>'[1]March - 2023'!BT16</f>
        <v>6300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51">
        <f>'[1]March - 2023'!BV16</f>
        <v>10829780</v>
      </c>
      <c r="BT16" s="166">
        <f>'[1]March - 2023'!BW16</f>
        <v>6420</v>
      </c>
      <c r="BU16" s="593"/>
      <c r="BV16" s="84">
        <f>'[1]March - 2023'!BY16</f>
        <v>0.81</v>
      </c>
      <c r="BW16" s="220">
        <f>'[1]March - 2023'!BZ16</f>
        <v>-7.0000000000000062E-2</v>
      </c>
      <c r="BX16" s="84">
        <f>'[1]March - 2023'!BZ16</f>
        <v>-7.0000000000000062E-2</v>
      </c>
      <c r="BY16" s="85">
        <f>'[1]March - 2023'!CB16</f>
        <v>65915</v>
      </c>
      <c r="BZ16" s="172">
        <f>'[1]March - 2023'!CC16</f>
        <v>16</v>
      </c>
      <c r="CA16" s="85">
        <f>'[1]March - 2023'!CD16</f>
        <v>57154</v>
      </c>
      <c r="CB16" s="172">
        <f>'[1]March - 2023'!CE16</f>
        <v>19</v>
      </c>
      <c r="CC16" s="85">
        <f>'[1]March - 2023'!CF16</f>
        <v>19305</v>
      </c>
      <c r="CD16" s="172">
        <f>'[1]March - 2023'!CG16</f>
        <v>6</v>
      </c>
      <c r="CE16" s="85">
        <f>'[1]March - 2023'!CH16</f>
        <v>26442</v>
      </c>
      <c r="CF16" s="172">
        <f>'[1]March - 2023'!CI16</f>
        <v>8</v>
      </c>
      <c r="CG16" s="85">
        <f>'[1]March - 2023'!CJ16</f>
        <v>29772</v>
      </c>
      <c r="CH16" s="172">
        <f>'[1]March - 2023'!CK16</f>
        <v>10</v>
      </c>
      <c r="CI16" s="85">
        <f>'[1]March - 2023'!CL16</f>
        <v>65625</v>
      </c>
      <c r="CJ16" s="172">
        <f>'[1]March - 2023'!CM16</f>
        <v>29</v>
      </c>
      <c r="CK16" s="85">
        <f>'[1]March - 2023'!CN16</f>
        <v>274798</v>
      </c>
      <c r="CL16" s="225">
        <f>'[1]March - 2023'!CO16</f>
        <v>66</v>
      </c>
      <c r="CM16" s="85">
        <f>'[1]March - 2023'!CO16</f>
        <v>66</v>
      </c>
      <c r="CN16" s="85">
        <f>'[1]March - 2023'!CQ16</f>
        <v>225145</v>
      </c>
      <c r="CO16" s="225">
        <f>'[1]March - 2023'!CR16</f>
        <v>89</v>
      </c>
      <c r="CP16" s="85">
        <f>'[1]March - 2023'!CR16</f>
        <v>89</v>
      </c>
      <c r="CQ16" s="85">
        <f>'[1]March - 2023'!CT16</f>
        <v>377471</v>
      </c>
      <c r="CR16" s="225">
        <f>'[1]March - 2023'!CU16</f>
        <v>112</v>
      </c>
      <c r="CS16" s="85">
        <f>'[1]March - 2023'!CU16</f>
        <v>112</v>
      </c>
      <c r="CT16" s="85">
        <f>'[1]March - 2023'!CW16</f>
        <v>710138</v>
      </c>
      <c r="CU16" s="172">
        <f>'[1]March - 2023'!CX16</f>
        <v>147</v>
      </c>
      <c r="CV16" s="519"/>
      <c r="CW16" s="234">
        <f>'[1]March - 2023'!CZ16</f>
        <v>9603</v>
      </c>
      <c r="CX16" s="179">
        <f>'[1]March - 2023'!DA16</f>
        <v>8</v>
      </c>
      <c r="CY16" s="235">
        <f>'[1]March - 2023'!DB16</f>
        <v>6492</v>
      </c>
      <c r="CZ16" s="179">
        <f>'[1]March - 2023'!DC16</f>
        <v>8</v>
      </c>
      <c r="DA16" s="235">
        <f>'[1]March - 2023'!DD16</f>
        <v>33558</v>
      </c>
      <c r="DB16" s="179">
        <f>'[1]March - 2023'!DE16</f>
        <v>16</v>
      </c>
      <c r="DC16" s="235">
        <f>'[1]March - 2023'!DF16</f>
        <v>33641</v>
      </c>
      <c r="DD16" s="179">
        <f>'[1]March - 2023'!DG16</f>
        <v>14</v>
      </c>
      <c r="DE16" s="235">
        <f>'[1]March - 2023'!DH16</f>
        <v>22730</v>
      </c>
      <c r="DF16" s="179">
        <f>'[1]March - 2023'!DI16</f>
        <v>6</v>
      </c>
      <c r="DG16" s="235">
        <f>'[1]March - 2023'!DJ16</f>
        <v>24519</v>
      </c>
      <c r="DH16" s="179">
        <f>'[1]March - 2023'!DK16</f>
        <v>5</v>
      </c>
      <c r="DI16" s="235">
        <f>'[1]March - 2023'!DL16</f>
        <v>8060</v>
      </c>
      <c r="DJ16" s="179">
        <f>'[1]March - 2023'!DM16</f>
        <v>8</v>
      </c>
      <c r="DK16" s="235">
        <f>'[1]March - 2023'!DN16</f>
        <v>10483</v>
      </c>
      <c r="DL16" s="179">
        <f>'[1]March - 2023'!DO16</f>
        <v>7</v>
      </c>
      <c r="DM16" s="235">
        <f>'[1]March - 2023'!DP16</f>
        <v>3667</v>
      </c>
      <c r="DN16" s="179">
        <f>'[1]March - 2023'!DQ16</f>
        <v>4</v>
      </c>
      <c r="DO16" s="235">
        <f>'[1]March - 2023'!DR16</f>
        <v>7173</v>
      </c>
      <c r="DP16" s="179">
        <f>'[1]March - 2023'!DS16</f>
        <v>7</v>
      </c>
      <c r="DQ16" s="235">
        <f>'[1]March - 2023'!DT16</f>
        <v>30665</v>
      </c>
      <c r="DR16" s="186">
        <f>'[1]March - 2023'!DU16</f>
        <v>7</v>
      </c>
      <c r="DS16" s="535"/>
      <c r="DT16" s="190">
        <f>'[1]March - 2023'!DW16</f>
        <v>7298.7</v>
      </c>
      <c r="DU16" s="201">
        <f>'[1]March - 2023'!DX16</f>
        <v>8.3999999999996362</v>
      </c>
      <c r="DV16" s="87">
        <f>'[1]March - 2023'!DY16</f>
        <v>11987.2</v>
      </c>
      <c r="DW16" s="195">
        <f>'[1]March - 2023'!DZ16</f>
        <v>8</v>
      </c>
      <c r="DX16" s="87">
        <f>'[1]March - 2023'!EA16</f>
        <v>5355.3</v>
      </c>
      <c r="DY16" s="195">
        <f>'[1]March - 2023'!EB16</f>
        <v>5</v>
      </c>
      <c r="DZ16" s="87">
        <f>'[1]March - 2023'!EC16</f>
        <v>5974.6</v>
      </c>
      <c r="EA16" s="195">
        <f>'[1]March - 2023'!ED16</f>
        <v>5.9000000000005457</v>
      </c>
      <c r="EB16" s="87">
        <f>'[1]March - 2023'!EE16</f>
        <v>1176925</v>
      </c>
      <c r="EC16" s="195">
        <f>'[1]March - 2023'!EF16</f>
        <v>465</v>
      </c>
      <c r="ED16" s="87">
        <f>'[1]March - 2023'!EI16</f>
        <v>244475.3</v>
      </c>
      <c r="EE16" s="208">
        <f>'[1]March - 2023'!EJ16</f>
        <v>123</v>
      </c>
      <c r="EF16" s="584"/>
      <c r="EG16" s="214">
        <f>'[1]March - 2023'!EL16</f>
        <v>12400500</v>
      </c>
      <c r="EH16" s="209">
        <f>'[1]March - 2023'!EM16</f>
        <v>3200</v>
      </c>
      <c r="EI16" s="86">
        <f>'[1]March - 2023'!EN16</f>
        <v>955070</v>
      </c>
      <c r="EJ16" s="209">
        <f>'[1]March - 2023'!EO16</f>
        <v>240</v>
      </c>
      <c r="EK16" s="86">
        <f>'[1]March - 2023'!EP16</f>
        <v>7329800</v>
      </c>
      <c r="EL16" s="209">
        <f>'[1]March - 2023'!EQ16</f>
        <v>800</v>
      </c>
      <c r="EM16" s="86">
        <f>'[1]March - 2023'!ER16</f>
        <v>2525900</v>
      </c>
      <c r="EN16" s="209">
        <f>'[1]March - 2023'!ES16</f>
        <v>600</v>
      </c>
      <c r="EO16" s="86">
        <f>'[1]March - 2023'!ET16</f>
        <v>1330560</v>
      </c>
      <c r="EP16" s="209">
        <f>'[1]March - 2023'!EU16</f>
        <v>360</v>
      </c>
      <c r="EQ16" s="86">
        <f>'[1]March - 2023'!EV16</f>
        <v>16833400</v>
      </c>
      <c r="ER16" s="209">
        <f>'[1]March - 2023'!EW16</f>
        <v>4100</v>
      </c>
      <c r="ES16" s="562"/>
      <c r="ET16" s="256">
        <f>'[1]March - 2023'!EY16</f>
        <v>43506</v>
      </c>
      <c r="EU16" s="253">
        <f>'[1]March - 2023'!EZ16</f>
        <v>14</v>
      </c>
      <c r="EV16" s="257">
        <f>'[1]March - 2023'!FA16</f>
        <v>37885</v>
      </c>
      <c r="EW16" s="253">
        <f>'[1]March - 2023'!FB16</f>
        <v>8</v>
      </c>
      <c r="EX16" s="257">
        <f>'[1]March - 2023'!FC16</f>
        <v>8430</v>
      </c>
      <c r="EY16" s="253">
        <f>'[1]March - 2023'!FD16</f>
        <v>9</v>
      </c>
      <c r="EZ16" s="257">
        <f>'[1]March - 2023'!FE16</f>
        <v>60544</v>
      </c>
      <c r="FA16" s="253">
        <f>'[1]March - 2023'!FF16</f>
        <v>13</v>
      </c>
      <c r="FB16" s="257">
        <f>'[1]March - 2023'!FG16</f>
        <v>52518</v>
      </c>
      <c r="FC16" s="254">
        <f>'[1]March - 2023'!FH16</f>
        <v>22</v>
      </c>
      <c r="FD16" s="562"/>
      <c r="FE16" s="256">
        <f>'[1]March - 2023'!$FN16</f>
        <v>91047.497000000003</v>
      </c>
      <c r="FF16" s="271">
        <f t="shared" si="0"/>
        <v>148.77390000000014</v>
      </c>
      <c r="FG16" s="270">
        <f>'[1]March - 2023'!$FP16</f>
        <v>12395</v>
      </c>
      <c r="FH16" s="271">
        <f t="shared" si="0"/>
        <v>4</v>
      </c>
      <c r="FI16" s="275">
        <f>'[1]March - 2023'!$FR16</f>
        <v>11077</v>
      </c>
      <c r="FJ16" s="271">
        <f t="shared" si="0"/>
        <v>4</v>
      </c>
      <c r="FK16" s="275">
        <f>'[1]March - 2023'!$FT16</f>
        <v>8766</v>
      </c>
      <c r="FL16" s="271">
        <f t="shared" si="0"/>
        <v>6</v>
      </c>
      <c r="FM16" s="275">
        <f>'[1]March - 2023'!$FV16</f>
        <v>9133</v>
      </c>
      <c r="FN16" s="271">
        <f t="shared" si="0"/>
        <v>4</v>
      </c>
      <c r="FO16" s="257">
        <f>'[1]March - 2023'!$FJ16</f>
        <v>184.79</v>
      </c>
      <c r="FP16" s="271">
        <f t="shared" si="2"/>
        <v>1.2279999999999802</v>
      </c>
      <c r="FQ16" s="257">
        <f>'[1]March - 2023'!$FL16</f>
        <v>263581.09999999998</v>
      </c>
      <c r="FR16" s="253">
        <f t="shared" si="1"/>
        <v>240</v>
      </c>
    </row>
    <row r="17" spans="1:174" ht="30" customHeight="1" x14ac:dyDescent="0.25">
      <c r="A17" s="187">
        <v>44628</v>
      </c>
      <c r="B17" s="189">
        <f>'[1]March - 2023'!B17</f>
        <v>0.76</v>
      </c>
      <c r="C17" s="229">
        <f>'[1]March - 2023'!E17</f>
        <v>264779</v>
      </c>
      <c r="D17" s="152">
        <f>'[1]March - 2023'!F17</f>
        <v>627</v>
      </c>
      <c r="E17" s="150">
        <f>'[1]March - 2023'!G17</f>
        <v>696</v>
      </c>
      <c r="F17" s="150">
        <f>'[1]March - 2023'!H17</f>
        <v>281710</v>
      </c>
      <c r="G17" s="152">
        <f>'[1]March - 2023'!I17</f>
        <v>480</v>
      </c>
      <c r="H17" s="150">
        <f>'[1]March - 2023'!J17</f>
        <v>451</v>
      </c>
      <c r="I17" s="150">
        <f>'[1]March - 2023'!K17</f>
        <v>24054</v>
      </c>
      <c r="J17" s="152">
        <f>'[1]March - 2023'!L17</f>
        <v>152</v>
      </c>
      <c r="K17" s="150">
        <f>'[1]March - 2023'!N17</f>
        <v>937849</v>
      </c>
      <c r="L17" s="152">
        <f>'[1]March - 2023'!O17</f>
        <v>148</v>
      </c>
      <c r="M17" s="150">
        <f>'[1]March - 2023'!Q17</f>
        <v>246269</v>
      </c>
      <c r="N17" s="152">
        <f>'[1]March - 2023'!R17</f>
        <v>0</v>
      </c>
      <c r="O17" s="150">
        <f>'[1]March - 2023'!U17</f>
        <v>123401</v>
      </c>
      <c r="P17" s="152">
        <f>'[1]March - 2023'!V17</f>
        <v>112</v>
      </c>
      <c r="Q17" s="150">
        <f>'[1]March - 2023'!W17</f>
        <v>4.9160000000000004</v>
      </c>
      <c r="R17" s="150">
        <f>'[1]March - 2023'!X17</f>
        <v>7091</v>
      </c>
      <c r="S17" s="188">
        <f>'[1]March - 2023'!Y17</f>
        <v>16</v>
      </c>
      <c r="T17" s="484"/>
      <c r="U17" s="247">
        <f>'[1]March - 2023'!AE17</f>
        <v>8364054.7199999988</v>
      </c>
      <c r="V17" s="218">
        <f>'[1]March - 2023'!AF17</f>
        <v>2777.0399999981746</v>
      </c>
      <c r="W17" s="88">
        <f>'[1]March - 2023'!AF17</f>
        <v>2777.0399999981746</v>
      </c>
      <c r="X17" s="233">
        <f>'[1]March - 2023'!AH17</f>
        <v>15883402.08</v>
      </c>
      <c r="Y17" s="218">
        <f>'[1]March - 2023'!AI17</f>
        <v>4677.1200000010431</v>
      </c>
      <c r="Z17" s="88">
        <f>'[1]March - 2023'!AI17</f>
        <v>4677.1200000010431</v>
      </c>
      <c r="AA17" s="233">
        <f>'[1]March - 2023'!AK17</f>
        <v>16016846.16</v>
      </c>
      <c r="AB17" s="218">
        <f>'[1]March - 2023'!AL17</f>
        <v>10523.520000001416</v>
      </c>
      <c r="AC17" s="88">
        <f>'[1]March - 2023'!AL17</f>
        <v>10523.520000001416</v>
      </c>
      <c r="AD17" s="233">
        <f>'[1]March - 2023'!AN17</f>
        <v>19191343.919999998</v>
      </c>
      <c r="AE17" s="218">
        <f>'[1]March - 2023'!AO17</f>
        <v>48.719999998807907</v>
      </c>
      <c r="AF17" s="88">
        <f>'[1]March - 2023'!AO17</f>
        <v>48.719999998807907</v>
      </c>
      <c r="AG17" s="233">
        <f>'[1]March - 2023'!AQ17</f>
        <v>19418574</v>
      </c>
      <c r="AH17" s="218">
        <f>'[1]March - 2023'!AR17</f>
        <v>925.67999999970198</v>
      </c>
      <c r="AI17" s="88">
        <f>'[1]March - 2023'!AR17</f>
        <v>925.67999999970198</v>
      </c>
      <c r="AJ17" s="233">
        <f>'[1]March - 2023'!AT17</f>
        <v>18049200.960000001</v>
      </c>
      <c r="AK17" s="218">
        <f>'[1]March - 2023'!AU17</f>
        <v>5505.3600000031292</v>
      </c>
      <c r="AL17" s="88">
        <f>'[1]March - 2023'!AU17</f>
        <v>5505.3600000031292</v>
      </c>
      <c r="AM17" s="233">
        <f>'[1]March - 2023'!AW17</f>
        <v>15149776.319999998</v>
      </c>
      <c r="AN17" s="218">
        <f>'[1]March - 2023'!AX17</f>
        <v>3897.5999999996275</v>
      </c>
      <c r="AO17" s="88">
        <f>'[1]March - 2023'!AX17</f>
        <v>3897.5999999996275</v>
      </c>
      <c r="AP17" s="233">
        <f>'[1]March - 2023'!AZ17</f>
        <v>14710273.199999999</v>
      </c>
      <c r="AQ17" s="218">
        <f>'[1]March - 2023'!BA17</f>
        <v>4384.7999999988824</v>
      </c>
      <c r="AR17" s="88">
        <f>'[1]March - 2023'!BA17</f>
        <v>4384.7999999988824</v>
      </c>
      <c r="AS17" s="233">
        <f>'[1]March - 2023'!BC17</f>
        <v>11450076.959999999</v>
      </c>
      <c r="AT17" s="218">
        <f>'[1]March - 2023'!BD17</f>
        <v>2971.9199999980628</v>
      </c>
      <c r="AU17" s="88">
        <f>'[1]March - 2023'!BD17</f>
        <v>2971.9199999980628</v>
      </c>
      <c r="AV17" s="233">
        <f>'[1]March - 2023'!BF17</f>
        <v>18204666.48</v>
      </c>
      <c r="AW17" s="230">
        <f>'[1]March - 2023'!BG17</f>
        <v>5748.9600000008941</v>
      </c>
      <c r="AX17" s="231">
        <f>'[1]March - 2023'!BG17</f>
        <v>5748.9600000008941</v>
      </c>
      <c r="AY17" s="501"/>
      <c r="AZ17" s="250">
        <f>'[1]March - 2023'!BM17</f>
        <v>79133200</v>
      </c>
      <c r="BA17" s="161">
        <f>'[1]March - 2023'!BN17</f>
        <v>57400</v>
      </c>
      <c r="BB17" s="89">
        <f>'[1]March - 2023'!BN17</f>
        <v>57400</v>
      </c>
      <c r="BC17" s="250">
        <f>'[1]March - 2023'!BP17</f>
        <v>82220500</v>
      </c>
      <c r="BD17" s="224">
        <f>'[1]March - 2023'!BQ17</f>
        <v>0</v>
      </c>
      <c r="BE17" s="89">
        <f>'[1]March - 2023'!BQ17</f>
        <v>0</v>
      </c>
      <c r="BF17" s="250">
        <f>'[1]March - 2023'!BS17</f>
        <v>75920000</v>
      </c>
      <c r="BG17" s="224">
        <f>'[1]March - 2023'!BT17</f>
        <v>0</v>
      </c>
      <c r="BH17" s="89">
        <f>'[1]March - 2023'!BT17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51">
        <f>'[1]March - 2023'!BV17</f>
        <v>10837630</v>
      </c>
      <c r="BT17" s="166">
        <f>'[1]March - 2023'!BW17</f>
        <v>7850</v>
      </c>
      <c r="BU17" s="593"/>
      <c r="BV17" s="84">
        <f>'[1]March - 2023'!BY17</f>
        <v>0.81</v>
      </c>
      <c r="BW17" s="220">
        <f>'[1]March - 2023'!BZ17</f>
        <v>0</v>
      </c>
      <c r="BX17" s="84">
        <f>'[1]March - 2023'!BZ17</f>
        <v>0</v>
      </c>
      <c r="BY17" s="85">
        <f>'[1]March - 2023'!CB17</f>
        <v>65929</v>
      </c>
      <c r="BZ17" s="172">
        <f>'[1]March - 2023'!CC17</f>
        <v>14</v>
      </c>
      <c r="CA17" s="85">
        <f>'[1]March - 2023'!CD17</f>
        <v>57173</v>
      </c>
      <c r="CB17" s="172">
        <f>'[1]March - 2023'!CE17</f>
        <v>19</v>
      </c>
      <c r="CC17" s="85">
        <f>'[1]March - 2023'!CF17</f>
        <v>19311</v>
      </c>
      <c r="CD17" s="172">
        <f>'[1]March - 2023'!CG17</f>
        <v>6</v>
      </c>
      <c r="CE17" s="85">
        <f>'[1]March - 2023'!CH17</f>
        <v>26450</v>
      </c>
      <c r="CF17" s="172">
        <f>'[1]March - 2023'!CI17</f>
        <v>8</v>
      </c>
      <c r="CG17" s="85">
        <f>'[1]March - 2023'!CJ17</f>
        <v>29787</v>
      </c>
      <c r="CH17" s="172">
        <f>'[1]March - 2023'!CK17</f>
        <v>15</v>
      </c>
      <c r="CI17" s="85">
        <f>'[1]March - 2023'!CL17</f>
        <v>65660</v>
      </c>
      <c r="CJ17" s="172">
        <f>'[1]March - 2023'!CM17</f>
        <v>35</v>
      </c>
      <c r="CK17" s="85">
        <f>'[1]March - 2023'!CN17</f>
        <v>274878</v>
      </c>
      <c r="CL17" s="225">
        <f>'[1]March - 2023'!CO17</f>
        <v>80</v>
      </c>
      <c r="CM17" s="85">
        <f>'[1]March - 2023'!CO17</f>
        <v>80</v>
      </c>
      <c r="CN17" s="85">
        <f>'[1]March - 2023'!CQ17</f>
        <v>225243</v>
      </c>
      <c r="CO17" s="225">
        <f>'[1]March - 2023'!CR17</f>
        <v>98</v>
      </c>
      <c r="CP17" s="85">
        <f>'[1]March - 2023'!CR17</f>
        <v>98</v>
      </c>
      <c r="CQ17" s="85">
        <f>'[1]March - 2023'!CT17</f>
        <v>377602</v>
      </c>
      <c r="CR17" s="225">
        <f>'[1]March - 2023'!CU17</f>
        <v>131</v>
      </c>
      <c r="CS17" s="85">
        <f>'[1]March - 2023'!CU17</f>
        <v>131</v>
      </c>
      <c r="CT17" s="85">
        <f>'[1]March - 2023'!CW17</f>
        <v>710314</v>
      </c>
      <c r="CU17" s="172">
        <f>'[1]March - 2023'!CX17</f>
        <v>176</v>
      </c>
      <c r="CV17" s="519"/>
      <c r="CW17" s="234">
        <f>'[1]March - 2023'!CZ17</f>
        <v>9606</v>
      </c>
      <c r="CX17" s="179">
        <f>'[1]March - 2023'!DA17</f>
        <v>3</v>
      </c>
      <c r="CY17" s="235">
        <f>'[1]March - 2023'!DB17</f>
        <v>6497</v>
      </c>
      <c r="CZ17" s="179">
        <f>'[1]March - 2023'!DC17</f>
        <v>5</v>
      </c>
      <c r="DA17" s="235">
        <f>'[1]March - 2023'!DD17</f>
        <v>33577</v>
      </c>
      <c r="DB17" s="179">
        <f>'[1]March - 2023'!DE17</f>
        <v>19</v>
      </c>
      <c r="DC17" s="235">
        <f>'[1]March - 2023'!DF17</f>
        <v>33658</v>
      </c>
      <c r="DD17" s="179">
        <f>'[1]March - 2023'!DG17</f>
        <v>17</v>
      </c>
      <c r="DE17" s="235">
        <f>'[1]March - 2023'!DH17</f>
        <v>22737</v>
      </c>
      <c r="DF17" s="179">
        <f>'[1]March - 2023'!DI17</f>
        <v>7</v>
      </c>
      <c r="DG17" s="235">
        <f>'[1]March - 2023'!DJ17</f>
        <v>24525</v>
      </c>
      <c r="DH17" s="179">
        <f>'[1]March - 2023'!DK17</f>
        <v>6</v>
      </c>
      <c r="DI17" s="235">
        <f>'[1]March - 2023'!DL17</f>
        <v>8068</v>
      </c>
      <c r="DJ17" s="179">
        <f>'[1]March - 2023'!DM17</f>
        <v>8</v>
      </c>
      <c r="DK17" s="235">
        <f>'[1]March - 2023'!DN17</f>
        <v>10495</v>
      </c>
      <c r="DL17" s="179">
        <f>'[1]March - 2023'!DO17</f>
        <v>12</v>
      </c>
      <c r="DM17" s="235">
        <f>'[1]March - 2023'!DP17</f>
        <v>3671</v>
      </c>
      <c r="DN17" s="179">
        <f>'[1]March - 2023'!DQ17</f>
        <v>4</v>
      </c>
      <c r="DO17" s="235">
        <f>'[1]March - 2023'!DR17</f>
        <v>7182</v>
      </c>
      <c r="DP17" s="179">
        <f>'[1]March - 2023'!DS17</f>
        <v>9</v>
      </c>
      <c r="DQ17" s="235">
        <f>'[1]March - 2023'!DT17</f>
        <v>30668</v>
      </c>
      <c r="DR17" s="186">
        <f>'[1]March - 2023'!DU17</f>
        <v>3</v>
      </c>
      <c r="DS17" s="535"/>
      <c r="DT17" s="190">
        <f>'[1]March - 2023'!DW17</f>
        <v>7309.9</v>
      </c>
      <c r="DU17" s="201">
        <f>'[1]March - 2023'!DX17</f>
        <v>11.199999999999818</v>
      </c>
      <c r="DV17" s="87">
        <f>'[1]March - 2023'!DY17</f>
        <v>11995.8</v>
      </c>
      <c r="DW17" s="195">
        <f>'[1]March - 2023'!DZ17</f>
        <v>8.5999999999985448</v>
      </c>
      <c r="DX17" s="87">
        <f>'[1]March - 2023'!EA17</f>
        <v>5361.7</v>
      </c>
      <c r="DY17" s="195">
        <f>'[1]March - 2023'!EB17</f>
        <v>6.3999999999996362</v>
      </c>
      <c r="DZ17" s="87">
        <f>'[1]March - 2023'!EC17</f>
        <v>5981.3</v>
      </c>
      <c r="EA17" s="195">
        <f>'[1]March - 2023'!ED17</f>
        <v>6.6999999999998181</v>
      </c>
      <c r="EB17" s="87">
        <f>'[1]March - 2023'!EE17</f>
        <v>1177518</v>
      </c>
      <c r="EC17" s="195">
        <f>'[1]March - 2023'!EF17</f>
        <v>593</v>
      </c>
      <c r="ED17" s="87">
        <f>'[1]March - 2023'!EI17</f>
        <v>244629.7</v>
      </c>
      <c r="EE17" s="208">
        <f>'[1]March - 2023'!EJ17</f>
        <v>154.40000000002328</v>
      </c>
      <c r="EF17" s="584"/>
      <c r="EG17" s="214">
        <f>'[1]March - 2023'!EL17</f>
        <v>12404800</v>
      </c>
      <c r="EH17" s="209">
        <f>'[1]March - 2023'!EM17</f>
        <v>4300</v>
      </c>
      <c r="EI17" s="86">
        <f>'[1]March - 2023'!EN17</f>
        <v>955370</v>
      </c>
      <c r="EJ17" s="209">
        <f>'[1]March - 2023'!EO17</f>
        <v>300</v>
      </c>
      <c r="EK17" s="86">
        <f>'[1]March - 2023'!EP17</f>
        <v>7330900</v>
      </c>
      <c r="EL17" s="209">
        <f>'[1]March - 2023'!EQ17</f>
        <v>1100</v>
      </c>
      <c r="EM17" s="86">
        <f>'[1]March - 2023'!ER17</f>
        <v>2526600</v>
      </c>
      <c r="EN17" s="209">
        <f>'[1]March - 2023'!ES17</f>
        <v>700</v>
      </c>
      <c r="EO17" s="86">
        <f>'[1]March - 2023'!ET17</f>
        <v>1331130</v>
      </c>
      <c r="EP17" s="209">
        <f>'[1]March - 2023'!EU17</f>
        <v>570</v>
      </c>
      <c r="EQ17" s="86">
        <f>'[1]March - 2023'!EV17</f>
        <v>16838800</v>
      </c>
      <c r="ER17" s="209">
        <f>'[1]March - 2023'!EW17</f>
        <v>5400</v>
      </c>
      <c r="ES17" s="562"/>
      <c r="ET17" s="256">
        <f>'[1]March - 2023'!EY17</f>
        <v>43522</v>
      </c>
      <c r="EU17" s="253">
        <f>'[1]March - 2023'!EZ17</f>
        <v>16</v>
      </c>
      <c r="EV17" s="257">
        <f>'[1]March - 2023'!FA17</f>
        <v>37896</v>
      </c>
      <c r="EW17" s="253">
        <f>'[1]March - 2023'!FB17</f>
        <v>11</v>
      </c>
      <c r="EX17" s="257">
        <f>'[1]March - 2023'!FC17</f>
        <v>8440</v>
      </c>
      <c r="EY17" s="253">
        <f>'[1]March - 2023'!FD17</f>
        <v>10</v>
      </c>
      <c r="EZ17" s="257">
        <f>'[1]March - 2023'!FE17</f>
        <v>60560</v>
      </c>
      <c r="FA17" s="253">
        <f>'[1]March - 2023'!FF17</f>
        <v>16</v>
      </c>
      <c r="FB17" s="257">
        <f>'[1]March - 2023'!FG17</f>
        <v>52552</v>
      </c>
      <c r="FC17" s="254">
        <f>'[1]March - 2023'!FH17</f>
        <v>34</v>
      </c>
      <c r="FD17" s="562"/>
      <c r="FE17" s="256">
        <f>'[1]March - 2023'!$FN17</f>
        <v>91140.099000000002</v>
      </c>
      <c r="FF17" s="271">
        <f t="shared" si="0"/>
        <v>92.601999999998952</v>
      </c>
      <c r="FG17" s="270">
        <f>'[1]March - 2023'!$FP17</f>
        <v>12397</v>
      </c>
      <c r="FH17" s="271">
        <f t="shared" si="0"/>
        <v>2</v>
      </c>
      <c r="FI17" s="275">
        <f>'[1]March - 2023'!$FR17</f>
        <v>11082</v>
      </c>
      <c r="FJ17" s="271">
        <f t="shared" si="0"/>
        <v>5</v>
      </c>
      <c r="FK17" s="275">
        <f>'[1]March - 2023'!$FT17</f>
        <v>8772</v>
      </c>
      <c r="FL17" s="271">
        <f t="shared" si="0"/>
        <v>6</v>
      </c>
      <c r="FM17" s="275">
        <f>'[1]March - 2023'!$FV17</f>
        <v>9137</v>
      </c>
      <c r="FN17" s="271">
        <f t="shared" si="0"/>
        <v>4</v>
      </c>
      <c r="FO17" s="257">
        <f>'[1]March - 2023'!$FJ17</f>
        <v>187.018</v>
      </c>
      <c r="FP17" s="271">
        <f t="shared" si="2"/>
        <v>2.2280000000000086</v>
      </c>
      <c r="FQ17" s="257">
        <f>'[1]March - 2023'!$FL17</f>
        <v>263858.2</v>
      </c>
      <c r="FR17" s="253">
        <f t="shared" si="1"/>
        <v>277.10000000003492</v>
      </c>
    </row>
    <row r="18" spans="1:174" ht="30" customHeight="1" x14ac:dyDescent="0.25">
      <c r="A18" s="187">
        <v>44629</v>
      </c>
      <c r="B18" s="189">
        <f>'[1]March - 2023'!B18</f>
        <v>0.86</v>
      </c>
      <c r="C18" s="229">
        <f>'[1]March - 2023'!E18</f>
        <v>265364</v>
      </c>
      <c r="D18" s="152">
        <f>'[1]March - 2023'!F18</f>
        <v>585</v>
      </c>
      <c r="E18" s="150">
        <f>'[1]March - 2023'!G18</f>
        <v>687</v>
      </c>
      <c r="F18" s="150">
        <f>'[1]March - 2023'!H18</f>
        <v>282195</v>
      </c>
      <c r="G18" s="152">
        <f>'[1]March - 2023'!I18</f>
        <v>485</v>
      </c>
      <c r="H18" s="150">
        <f>'[1]March - 2023'!J18</f>
        <v>450</v>
      </c>
      <c r="I18" s="150">
        <f>'[1]March - 2023'!K18</f>
        <v>24324</v>
      </c>
      <c r="J18" s="152">
        <f>'[1]March - 2023'!L18</f>
        <v>270</v>
      </c>
      <c r="K18" s="150">
        <f>'[1]March - 2023'!N18</f>
        <v>938112</v>
      </c>
      <c r="L18" s="152">
        <f>'[1]March - 2023'!O18</f>
        <v>263</v>
      </c>
      <c r="M18" s="150">
        <f>'[1]March - 2023'!Q18</f>
        <v>246269</v>
      </c>
      <c r="N18" s="152">
        <f>'[1]March - 2023'!R18</f>
        <v>0</v>
      </c>
      <c r="O18" s="150">
        <f>'[1]March - 2023'!U18</f>
        <v>123514</v>
      </c>
      <c r="P18" s="152">
        <f>'[1]March - 2023'!V18</f>
        <v>113</v>
      </c>
      <c r="Q18" s="150">
        <f>'[1]March - 2023'!W18</f>
        <v>4.93</v>
      </c>
      <c r="R18" s="150">
        <f>'[1]March - 2023'!X18</f>
        <v>7108</v>
      </c>
      <c r="S18" s="188">
        <f>'[1]March - 2023'!Y18</f>
        <v>17</v>
      </c>
      <c r="T18" s="484"/>
      <c r="U18" s="247">
        <f>'[1]March - 2023'!AE18</f>
        <v>8366783.04</v>
      </c>
      <c r="V18" s="218">
        <f>'[1]March - 2023'!AF18</f>
        <v>2728.3200000012293</v>
      </c>
      <c r="W18" s="88">
        <f>'[1]March - 2023'!AF18</f>
        <v>2728.3200000012293</v>
      </c>
      <c r="X18" s="233">
        <f>'[1]March - 2023'!AH18</f>
        <v>15887981.76</v>
      </c>
      <c r="Y18" s="218">
        <f>'[1]March - 2023'!AI18</f>
        <v>4579.679999999702</v>
      </c>
      <c r="Z18" s="88">
        <f>'[1]March - 2023'!AI18</f>
        <v>4579.679999999702</v>
      </c>
      <c r="AA18" s="233">
        <f>'[1]March - 2023'!AK18</f>
        <v>16026833.760000002</v>
      </c>
      <c r="AB18" s="218">
        <f>'[1]March - 2023'!AL18</f>
        <v>9987.6000000014901</v>
      </c>
      <c r="AC18" s="88">
        <f>'[1]March - 2023'!AL18</f>
        <v>9987.6000000014901</v>
      </c>
      <c r="AD18" s="233">
        <f>'[1]March - 2023'!AN18</f>
        <v>19191392.639999997</v>
      </c>
      <c r="AE18" s="218">
        <f>'[1]March - 2023'!AO18</f>
        <v>48.719999998807907</v>
      </c>
      <c r="AF18" s="88">
        <f>'[1]March - 2023'!AO18</f>
        <v>48.719999998807907</v>
      </c>
      <c r="AG18" s="233">
        <f>'[1]March - 2023'!AQ18</f>
        <v>19419402.239999998</v>
      </c>
      <c r="AH18" s="218">
        <f>'[1]March - 2023'!AR18</f>
        <v>828.23999999836087</v>
      </c>
      <c r="AI18" s="88">
        <f>'[1]March - 2023'!AR18</f>
        <v>828.23999999836087</v>
      </c>
      <c r="AJ18" s="233">
        <f>'[1]March - 2023'!AT18</f>
        <v>18054657.599999998</v>
      </c>
      <c r="AK18" s="218">
        <f>'[1]March - 2023'!AU18</f>
        <v>5456.6399999968708</v>
      </c>
      <c r="AL18" s="88">
        <f>'[1]March - 2023'!AU18</f>
        <v>5456.6399999968708</v>
      </c>
      <c r="AM18" s="233">
        <f>'[1]March - 2023'!AW18</f>
        <v>15153722.640000001</v>
      </c>
      <c r="AN18" s="218">
        <f>'[1]March - 2023'!AX18</f>
        <v>3946.3200000021607</v>
      </c>
      <c r="AO18" s="88">
        <f>'[1]March - 2023'!AX18</f>
        <v>3946.3200000021607</v>
      </c>
      <c r="AP18" s="233">
        <f>'[1]March - 2023'!AZ18</f>
        <v>14714511.84</v>
      </c>
      <c r="AQ18" s="218">
        <f>'[1]March - 2023'!BA18</f>
        <v>4238.640000000596</v>
      </c>
      <c r="AR18" s="88">
        <f>'[1]March - 2023'!BA18</f>
        <v>4238.640000000596</v>
      </c>
      <c r="AS18" s="233">
        <f>'[1]March - 2023'!BC18</f>
        <v>11452902.719999999</v>
      </c>
      <c r="AT18" s="218">
        <f>'[1]March - 2023'!BD18</f>
        <v>2825.7599999997765</v>
      </c>
      <c r="AU18" s="88">
        <f>'[1]March - 2023'!BD18</f>
        <v>2825.7599999997765</v>
      </c>
      <c r="AV18" s="233">
        <f>'[1]March - 2023'!BF18</f>
        <v>18210074.399999999</v>
      </c>
      <c r="AW18" s="230">
        <f>'[1]March - 2023'!BG18</f>
        <v>5407.9199999980628</v>
      </c>
      <c r="AX18" s="231">
        <f>'[1]March - 2023'!BG18</f>
        <v>5407.9199999980628</v>
      </c>
      <c r="AY18" s="501"/>
      <c r="AZ18" s="250">
        <f>'[1]March - 2023'!BM18</f>
        <v>79189900</v>
      </c>
      <c r="BA18" s="161">
        <f>'[1]March - 2023'!BN18</f>
        <v>56700</v>
      </c>
      <c r="BB18" s="89">
        <f>'[1]March - 2023'!BN18</f>
        <v>56700</v>
      </c>
      <c r="BC18" s="250">
        <f>'[1]March - 2023'!BP18</f>
        <v>82220500</v>
      </c>
      <c r="BD18" s="224">
        <f>'[1]March - 2023'!BQ18</f>
        <v>0</v>
      </c>
      <c r="BE18" s="89">
        <f>'[1]March - 2023'!BQ18</f>
        <v>0</v>
      </c>
      <c r="BF18" s="250">
        <f>'[1]March - 2023'!BS18</f>
        <v>75920000</v>
      </c>
      <c r="BG18" s="224">
        <f>'[1]March - 2023'!BT18</f>
        <v>0</v>
      </c>
      <c r="BH18" s="89">
        <f>'[1]March - 2023'!BT18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51">
        <f>'[1]March - 2023'!BV18</f>
        <v>10845760</v>
      </c>
      <c r="BT18" s="166">
        <f>'[1]March - 2023'!BW18</f>
        <v>8130</v>
      </c>
      <c r="BU18" s="593"/>
      <c r="BV18" s="84">
        <f>'[1]March - 2023'!BY18</f>
        <v>0.79</v>
      </c>
      <c r="BW18" s="220">
        <f>'[1]March - 2023'!BZ18</f>
        <v>2.0000000000000018E-2</v>
      </c>
      <c r="BX18" s="84">
        <f>'[1]March - 2023'!BZ18</f>
        <v>2.0000000000000018E-2</v>
      </c>
      <c r="BY18" s="85">
        <f>'[1]March - 2023'!CB18</f>
        <v>65943</v>
      </c>
      <c r="BZ18" s="172">
        <f>'[1]March - 2023'!CC18</f>
        <v>14</v>
      </c>
      <c r="CA18" s="85">
        <f>'[1]March - 2023'!CD18</f>
        <v>57192</v>
      </c>
      <c r="CB18" s="172">
        <f>'[1]March - 2023'!CE18</f>
        <v>19</v>
      </c>
      <c r="CC18" s="85">
        <f>'[1]March - 2023'!CF18</f>
        <v>19317</v>
      </c>
      <c r="CD18" s="172">
        <f>'[1]March - 2023'!CG18</f>
        <v>6</v>
      </c>
      <c r="CE18" s="85">
        <f>'[1]March - 2023'!CH18</f>
        <v>26458</v>
      </c>
      <c r="CF18" s="172">
        <f>'[1]March - 2023'!CI18</f>
        <v>8</v>
      </c>
      <c r="CG18" s="85">
        <f>'[1]March - 2023'!CJ18</f>
        <v>29803</v>
      </c>
      <c r="CH18" s="172">
        <f>'[1]March - 2023'!CK18</f>
        <v>16</v>
      </c>
      <c r="CI18" s="85">
        <f>'[1]March - 2023'!CL18</f>
        <v>65694</v>
      </c>
      <c r="CJ18" s="172">
        <f>'[1]March - 2023'!CM18</f>
        <v>34</v>
      </c>
      <c r="CK18" s="85">
        <f>'[1]March - 2023'!CN18</f>
        <v>274960</v>
      </c>
      <c r="CL18" s="225">
        <f>'[1]March - 2023'!CO18</f>
        <v>82</v>
      </c>
      <c r="CM18" s="85">
        <f>'[1]March - 2023'!CO18</f>
        <v>82</v>
      </c>
      <c r="CN18" s="85">
        <f>'[1]March - 2023'!CQ18</f>
        <v>225356</v>
      </c>
      <c r="CO18" s="225">
        <f>'[1]March - 2023'!CR18</f>
        <v>113</v>
      </c>
      <c r="CP18" s="85">
        <f>'[1]March - 2023'!CR18</f>
        <v>113</v>
      </c>
      <c r="CQ18" s="85">
        <f>'[1]March - 2023'!CT18</f>
        <v>377752</v>
      </c>
      <c r="CR18" s="225">
        <f>'[1]March - 2023'!CU18</f>
        <v>150</v>
      </c>
      <c r="CS18" s="85">
        <f>'[1]March - 2023'!CU18</f>
        <v>150</v>
      </c>
      <c r="CT18" s="85">
        <f>'[1]March - 2023'!CW18</f>
        <v>710497</v>
      </c>
      <c r="CU18" s="172">
        <f>'[1]March - 2023'!CX18</f>
        <v>183</v>
      </c>
      <c r="CV18" s="519"/>
      <c r="CW18" s="234">
        <f>'[1]March - 2023'!CZ18</f>
        <v>9609</v>
      </c>
      <c r="CX18" s="179">
        <f>'[1]March - 2023'!DA18</f>
        <v>3</v>
      </c>
      <c r="CY18" s="235">
        <f>'[1]March - 2023'!DB18</f>
        <v>6503</v>
      </c>
      <c r="CZ18" s="179">
        <f>'[1]March - 2023'!DC18</f>
        <v>6</v>
      </c>
      <c r="DA18" s="235">
        <f>'[1]March - 2023'!DD18</f>
        <v>33594</v>
      </c>
      <c r="DB18" s="179">
        <f>'[1]March - 2023'!DE18</f>
        <v>17</v>
      </c>
      <c r="DC18" s="235">
        <f>'[1]March - 2023'!DF18</f>
        <v>33670</v>
      </c>
      <c r="DD18" s="179">
        <f>'[1]March - 2023'!DG18</f>
        <v>12</v>
      </c>
      <c r="DE18" s="235">
        <f>'[1]March - 2023'!DH18</f>
        <v>22745</v>
      </c>
      <c r="DF18" s="179">
        <f>'[1]March - 2023'!DI18</f>
        <v>8</v>
      </c>
      <c r="DG18" s="235">
        <f>'[1]March - 2023'!DJ18</f>
        <v>24531</v>
      </c>
      <c r="DH18" s="179">
        <f>'[1]March - 2023'!DK18</f>
        <v>6</v>
      </c>
      <c r="DI18" s="235">
        <f>'[1]March - 2023'!DL18</f>
        <v>8078</v>
      </c>
      <c r="DJ18" s="179">
        <f>'[1]March - 2023'!DM18</f>
        <v>10</v>
      </c>
      <c r="DK18" s="235">
        <f>'[1]March - 2023'!DN18</f>
        <v>10502</v>
      </c>
      <c r="DL18" s="179">
        <f>'[1]March - 2023'!DO18</f>
        <v>7</v>
      </c>
      <c r="DM18" s="235">
        <f>'[1]March - 2023'!DP18</f>
        <v>3675</v>
      </c>
      <c r="DN18" s="179">
        <f>'[1]March - 2023'!DQ18</f>
        <v>4</v>
      </c>
      <c r="DO18" s="235">
        <f>'[1]March - 2023'!DR18</f>
        <v>7190</v>
      </c>
      <c r="DP18" s="179">
        <f>'[1]March - 2023'!DS18</f>
        <v>8</v>
      </c>
      <c r="DQ18" s="235">
        <f>'[1]March - 2023'!DT18</f>
        <v>30671</v>
      </c>
      <c r="DR18" s="186">
        <f>'[1]March - 2023'!DU18</f>
        <v>3</v>
      </c>
      <c r="DS18" s="535"/>
      <c r="DT18" s="190">
        <f>'[1]March - 2023'!DW18</f>
        <v>7320.1</v>
      </c>
      <c r="DU18" s="201">
        <f>'[1]March - 2023'!DX18</f>
        <v>10.200000000000728</v>
      </c>
      <c r="DV18" s="87">
        <f>'[1]March - 2023'!DY18</f>
        <v>12004.7</v>
      </c>
      <c r="DW18" s="195">
        <f>'[1]March - 2023'!DZ18</f>
        <v>8.9000000000014552</v>
      </c>
      <c r="DX18" s="87">
        <f>'[1]March - 2023'!EA18</f>
        <v>5367.9</v>
      </c>
      <c r="DY18" s="195">
        <f>'[1]March - 2023'!EB18</f>
        <v>6.1999999999998181</v>
      </c>
      <c r="DZ18" s="87">
        <f>'[1]March - 2023'!EC18</f>
        <v>5987.7</v>
      </c>
      <c r="EA18" s="195">
        <f>'[1]March - 2023'!ED18</f>
        <v>6.3999999999996362</v>
      </c>
      <c r="EB18" s="87">
        <f>'[1]March - 2023'!EE18</f>
        <v>1178146</v>
      </c>
      <c r="EC18" s="195">
        <f>'[1]March - 2023'!EF18</f>
        <v>628</v>
      </c>
      <c r="ED18" s="87">
        <f>'[1]March - 2023'!EI18</f>
        <v>244780.2</v>
      </c>
      <c r="EE18" s="208">
        <f>'[1]March - 2023'!EJ18</f>
        <v>150.5</v>
      </c>
      <c r="EF18" s="584"/>
      <c r="EG18" s="214">
        <f>'[1]March - 2023'!EL18</f>
        <v>12408800</v>
      </c>
      <c r="EH18" s="209">
        <f>'[1]March - 2023'!EM18</f>
        <v>4000</v>
      </c>
      <c r="EI18" s="86">
        <f>'[1]March - 2023'!EN18</f>
        <v>955630</v>
      </c>
      <c r="EJ18" s="209">
        <f>'[1]March - 2023'!EO18</f>
        <v>260</v>
      </c>
      <c r="EK18" s="86">
        <f>'[1]March - 2023'!EP18</f>
        <v>7332100</v>
      </c>
      <c r="EL18" s="209">
        <f>'[1]March - 2023'!EQ18</f>
        <v>1200</v>
      </c>
      <c r="EM18" s="86">
        <f>'[1]March - 2023'!ER18</f>
        <v>2527100</v>
      </c>
      <c r="EN18" s="209">
        <f>'[1]March - 2023'!ES18</f>
        <v>500</v>
      </c>
      <c r="EO18" s="86">
        <f>'[1]March - 2023'!ET18</f>
        <v>1331800</v>
      </c>
      <c r="EP18" s="209">
        <f>'[1]March - 2023'!EU18</f>
        <v>670</v>
      </c>
      <c r="EQ18" s="86">
        <f>'[1]March - 2023'!EV18</f>
        <v>16843900</v>
      </c>
      <c r="ER18" s="209">
        <f>'[1]March - 2023'!EW18</f>
        <v>5100</v>
      </c>
      <c r="ES18" s="562"/>
      <c r="ET18" s="256">
        <f>'[1]March - 2023'!EY18</f>
        <v>43534</v>
      </c>
      <c r="EU18" s="253">
        <f>'[1]March - 2023'!EZ18</f>
        <v>12</v>
      </c>
      <c r="EV18" s="257">
        <f>'[1]March - 2023'!FA18</f>
        <v>37908</v>
      </c>
      <c r="EW18" s="253">
        <f>'[1]March - 2023'!FB18</f>
        <v>12</v>
      </c>
      <c r="EX18" s="257">
        <f>'[1]March - 2023'!FC18</f>
        <v>8449</v>
      </c>
      <c r="EY18" s="253">
        <f>'[1]March - 2023'!FD18</f>
        <v>9</v>
      </c>
      <c r="EZ18" s="257">
        <f>'[1]March - 2023'!FE18</f>
        <v>60576</v>
      </c>
      <c r="FA18" s="253">
        <f>'[1]March - 2023'!FF18</f>
        <v>16</v>
      </c>
      <c r="FB18" s="257">
        <f>'[1]March - 2023'!FG18</f>
        <v>52584</v>
      </c>
      <c r="FC18" s="254">
        <f>'[1]March - 2023'!FH18</f>
        <v>32</v>
      </c>
      <c r="FD18" s="562"/>
      <c r="FE18" s="256">
        <f>'[1]March - 2023'!$FN18</f>
        <v>91260.955000000002</v>
      </c>
      <c r="FF18" s="271">
        <f t="shared" si="0"/>
        <v>120.85599999999977</v>
      </c>
      <c r="FG18" s="270">
        <f>'[1]March - 2023'!$FP18</f>
        <v>12406</v>
      </c>
      <c r="FH18" s="271">
        <f t="shared" si="0"/>
        <v>9</v>
      </c>
      <c r="FI18" s="275">
        <f>'[1]March - 2023'!$FR18</f>
        <v>11088</v>
      </c>
      <c r="FJ18" s="271">
        <f t="shared" si="0"/>
        <v>6</v>
      </c>
      <c r="FK18" s="275">
        <f>'[1]March - 2023'!$FT18</f>
        <v>8778</v>
      </c>
      <c r="FL18" s="271">
        <f t="shared" si="0"/>
        <v>6</v>
      </c>
      <c r="FM18" s="275">
        <f>'[1]March - 2023'!$FV18</f>
        <v>9141</v>
      </c>
      <c r="FN18" s="271">
        <f t="shared" si="0"/>
        <v>4</v>
      </c>
      <c r="FO18" s="257">
        <f>'[1]March - 2023'!$FJ18</f>
        <v>189.04</v>
      </c>
      <c r="FP18" s="271">
        <f t="shared" si="2"/>
        <v>2.0219999999999914</v>
      </c>
      <c r="FQ18" s="257">
        <f>'[1]March - 2023'!$FL18</f>
        <v>264019.5</v>
      </c>
      <c r="FR18" s="253">
        <f t="shared" si="1"/>
        <v>161.29999999998836</v>
      </c>
    </row>
    <row r="19" spans="1:174" ht="30" customHeight="1" x14ac:dyDescent="0.25">
      <c r="A19" s="187">
        <v>44630</v>
      </c>
      <c r="B19" s="189">
        <f>'[1]March - 2023'!B19</f>
        <v>0.85</v>
      </c>
      <c r="C19" s="229">
        <f>'[1]March - 2023'!E19</f>
        <v>266045</v>
      </c>
      <c r="D19" s="152">
        <f>'[1]March - 2023'!F19</f>
        <v>681</v>
      </c>
      <c r="E19" s="150">
        <f>'[1]March - 2023'!G19</f>
        <v>682</v>
      </c>
      <c r="F19" s="150">
        <f>'[1]March - 2023'!H19</f>
        <v>282718</v>
      </c>
      <c r="G19" s="152">
        <f>'[1]March - 2023'!I19</f>
        <v>523</v>
      </c>
      <c r="H19" s="150">
        <f>'[1]March - 2023'!J19</f>
        <v>481</v>
      </c>
      <c r="I19" s="150">
        <f>'[1]March - 2023'!K19</f>
        <v>24599</v>
      </c>
      <c r="J19" s="152">
        <f>'[1]March - 2023'!L19</f>
        <v>275</v>
      </c>
      <c r="K19" s="150">
        <f>'[1]March - 2023'!N19</f>
        <v>938378</v>
      </c>
      <c r="L19" s="152">
        <f>'[1]March - 2023'!O19</f>
        <v>266</v>
      </c>
      <c r="M19" s="150">
        <f>'[1]March - 2023'!Q19</f>
        <v>246269</v>
      </c>
      <c r="N19" s="152">
        <f>'[1]March - 2023'!R19</f>
        <v>0</v>
      </c>
      <c r="O19" s="150">
        <f>'[1]March - 2023'!U19</f>
        <v>123617</v>
      </c>
      <c r="P19" s="152">
        <f>'[1]March - 2023'!V19</f>
        <v>103</v>
      </c>
      <c r="Q19" s="150">
        <f>'[1]March - 2023'!W19</f>
        <v>0.622</v>
      </c>
      <c r="R19" s="150">
        <f>'[1]March - 2023'!X19</f>
        <v>7118</v>
      </c>
      <c r="S19" s="188">
        <f>'[1]March - 2023'!Y19</f>
        <v>10</v>
      </c>
      <c r="T19" s="484"/>
      <c r="U19" s="151">
        <f>'[1]March - 2023'!AE19</f>
        <v>8369657.5199999996</v>
      </c>
      <c r="V19" s="218">
        <f>'[1]March - 2023'!AF19</f>
        <v>2874.4799999995157</v>
      </c>
      <c r="W19" s="88">
        <f>'[1]March - 2023'!AF19</f>
        <v>2874.4799999995157</v>
      </c>
      <c r="X19" s="233">
        <f>'[1]March - 2023'!AH19</f>
        <v>15892610.16</v>
      </c>
      <c r="Y19" s="218">
        <f>'[1]March - 2023'!AI19</f>
        <v>4628.4000000003725</v>
      </c>
      <c r="Z19" s="88">
        <f>'[1]March - 2023'!AI19</f>
        <v>4628.4000000003725</v>
      </c>
      <c r="AA19" s="233">
        <f>'[1]March - 2023'!AK19</f>
        <v>16034044.319999998</v>
      </c>
      <c r="AB19" s="218">
        <f>'[1]March - 2023'!AL19</f>
        <v>7210.5599999967963</v>
      </c>
      <c r="AC19" s="88">
        <f>'[1]March - 2023'!AL19</f>
        <v>7210.5599999967963</v>
      </c>
      <c r="AD19" s="233">
        <f>'[1]March - 2023'!AN19</f>
        <v>19192172.16</v>
      </c>
      <c r="AE19" s="218">
        <f>'[1]March - 2023'!AO19</f>
        <v>779.52000000327826</v>
      </c>
      <c r="AF19" s="88">
        <f>'[1]March - 2023'!AO19</f>
        <v>779.52000000327826</v>
      </c>
      <c r="AG19" s="233">
        <f>'[1]March - 2023'!AQ19</f>
        <v>19421448.48</v>
      </c>
      <c r="AH19" s="218">
        <f>'[1]March - 2023'!AR19</f>
        <v>2046.2400000020862</v>
      </c>
      <c r="AI19" s="88">
        <f>'[1]March - 2023'!AR19</f>
        <v>2046.2400000020862</v>
      </c>
      <c r="AJ19" s="233">
        <f>'[1]March - 2023'!AT19</f>
        <v>18060260.399999999</v>
      </c>
      <c r="AK19" s="218">
        <f>'[1]March - 2023'!AU19</f>
        <v>5602.8000000007451</v>
      </c>
      <c r="AL19" s="88">
        <f>'[1]March - 2023'!AU19</f>
        <v>5602.8000000007451</v>
      </c>
      <c r="AM19" s="233">
        <f>'[1]March - 2023'!AW19</f>
        <v>15157766.4</v>
      </c>
      <c r="AN19" s="218">
        <f>'[1]March - 2023'!AX19</f>
        <v>4043.7599999997765</v>
      </c>
      <c r="AO19" s="88">
        <f>'[1]March - 2023'!AX19</f>
        <v>4043.7599999997765</v>
      </c>
      <c r="AP19" s="233">
        <f>'[1]March - 2023'!AZ19</f>
        <v>14719042.799999999</v>
      </c>
      <c r="AQ19" s="218">
        <f>'[1]March - 2023'!BA19</f>
        <v>4530.9599999990314</v>
      </c>
      <c r="AR19" s="88">
        <f>'[1]March - 2023'!BA19</f>
        <v>4530.9599999990314</v>
      </c>
      <c r="AS19" s="233">
        <f>'[1]March - 2023'!BC19</f>
        <v>11455777.199999999</v>
      </c>
      <c r="AT19" s="218">
        <f>'[1]March - 2023'!BD19</f>
        <v>2874.480000000447</v>
      </c>
      <c r="AU19" s="88">
        <f>'[1]March - 2023'!BD19</f>
        <v>2874.480000000447</v>
      </c>
      <c r="AV19" s="233">
        <f>'[1]March - 2023'!BF19</f>
        <v>18215628.48</v>
      </c>
      <c r="AW19" s="230">
        <f>'[1]March - 2023'!BG19</f>
        <v>5554.0800000019372</v>
      </c>
      <c r="AX19" s="231">
        <f>'[1]March - 2023'!BG19</f>
        <v>5554.0800000019372</v>
      </c>
      <c r="AY19" s="501"/>
      <c r="AZ19" s="250">
        <f>'[1]March - 2023'!BM19</f>
        <v>79232900</v>
      </c>
      <c r="BA19" s="161">
        <f>'[1]March - 2023'!BN19</f>
        <v>43000</v>
      </c>
      <c r="BB19" s="89">
        <f>'[1]March - 2023'!BN19</f>
        <v>43000</v>
      </c>
      <c r="BC19" s="250">
        <f>'[1]March - 2023'!BP19</f>
        <v>82224500</v>
      </c>
      <c r="BD19" s="224">
        <f>'[1]March - 2023'!BQ19</f>
        <v>4000</v>
      </c>
      <c r="BE19" s="89">
        <f>'[1]March - 2023'!BQ19</f>
        <v>4000</v>
      </c>
      <c r="BF19" s="250">
        <f>'[1]March - 2023'!BS19</f>
        <v>75925700</v>
      </c>
      <c r="BG19" s="224">
        <f>'[1]March - 2023'!BT19</f>
        <v>5700</v>
      </c>
      <c r="BH19" s="89">
        <f>'[1]March - 2023'!BT19</f>
        <v>5700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51">
        <f>'[1]March - 2023'!BV19</f>
        <v>10853780</v>
      </c>
      <c r="BT19" s="166">
        <f>'[1]March - 2023'!BW19</f>
        <v>8020</v>
      </c>
      <c r="BU19" s="593"/>
      <c r="BV19" s="84">
        <f>'[1]March - 2023'!BY19</f>
        <v>0.85</v>
      </c>
      <c r="BW19" s="220">
        <f>'[1]March - 2023'!BZ19</f>
        <v>-5.9999999999999942E-2</v>
      </c>
      <c r="BX19" s="84">
        <f>'[1]March - 2023'!BZ19</f>
        <v>-5.9999999999999942E-2</v>
      </c>
      <c r="BY19" s="85">
        <f>'[1]March - 2023'!CB19</f>
        <v>65961</v>
      </c>
      <c r="BZ19" s="172">
        <f>'[1]March - 2023'!CC19</f>
        <v>18</v>
      </c>
      <c r="CA19" s="85">
        <f>'[1]March - 2023'!CD19</f>
        <v>57208</v>
      </c>
      <c r="CB19" s="172">
        <f>'[1]March - 2023'!CE19</f>
        <v>16</v>
      </c>
      <c r="CC19" s="85">
        <f>'[1]March - 2023'!CF19</f>
        <v>19323</v>
      </c>
      <c r="CD19" s="172">
        <f>'[1]March - 2023'!CG19</f>
        <v>6</v>
      </c>
      <c r="CE19" s="85">
        <f>'[1]March - 2023'!CH19</f>
        <v>26467</v>
      </c>
      <c r="CF19" s="172">
        <f>'[1]March - 2023'!CI19</f>
        <v>9</v>
      </c>
      <c r="CG19" s="85">
        <f>'[1]March - 2023'!CJ19</f>
        <v>29818</v>
      </c>
      <c r="CH19" s="172">
        <f>'[1]March - 2023'!CK19</f>
        <v>15</v>
      </c>
      <c r="CI19" s="85">
        <f>'[1]March - 2023'!CL19</f>
        <v>65733</v>
      </c>
      <c r="CJ19" s="172">
        <f>'[1]March - 2023'!CM19</f>
        <v>39</v>
      </c>
      <c r="CK19" s="85">
        <f>'[1]March - 2023'!CN19</f>
        <v>275041</v>
      </c>
      <c r="CL19" s="225">
        <f>'[1]March - 2023'!CO19</f>
        <v>81</v>
      </c>
      <c r="CM19" s="85">
        <f>'[1]March - 2023'!CO19</f>
        <v>81</v>
      </c>
      <c r="CN19" s="85">
        <f>'[1]March - 2023'!CQ19</f>
        <v>225475</v>
      </c>
      <c r="CO19" s="225">
        <f>'[1]March - 2023'!CR19</f>
        <v>119</v>
      </c>
      <c r="CP19" s="85">
        <f>'[1]March - 2023'!CR19</f>
        <v>119</v>
      </c>
      <c r="CQ19" s="85">
        <f>'[1]March - 2023'!CT19</f>
        <v>377954</v>
      </c>
      <c r="CR19" s="225">
        <f>'[1]March - 2023'!CU19</f>
        <v>202</v>
      </c>
      <c r="CS19" s="85">
        <f>'[1]March - 2023'!CU19</f>
        <v>202</v>
      </c>
      <c r="CT19" s="85">
        <f>'[1]March - 2023'!CW19</f>
        <v>710677</v>
      </c>
      <c r="CU19" s="172">
        <f>'[1]March - 2023'!CX19</f>
        <v>180</v>
      </c>
      <c r="CV19" s="519"/>
      <c r="CW19" s="234">
        <f>'[1]March - 2023'!CZ19</f>
        <v>9612</v>
      </c>
      <c r="CX19" s="179">
        <f>'[1]March - 2023'!DA19</f>
        <v>3</v>
      </c>
      <c r="CY19" s="235">
        <f>'[1]March - 2023'!DB19</f>
        <v>6508</v>
      </c>
      <c r="CZ19" s="179">
        <f>'[1]March - 2023'!DC19</f>
        <v>5</v>
      </c>
      <c r="DA19" s="235">
        <f>'[1]March - 2023'!DD19</f>
        <v>33613</v>
      </c>
      <c r="DB19" s="179">
        <f>'[1]March - 2023'!DE19</f>
        <v>19</v>
      </c>
      <c r="DC19" s="235">
        <f>'[1]March - 2023'!DF19</f>
        <v>33685</v>
      </c>
      <c r="DD19" s="179">
        <f>'[1]March - 2023'!DG19</f>
        <v>15</v>
      </c>
      <c r="DE19" s="235">
        <f>'[1]March - 2023'!DH19</f>
        <v>22753</v>
      </c>
      <c r="DF19" s="179">
        <f>'[1]March - 2023'!DI19</f>
        <v>8</v>
      </c>
      <c r="DG19" s="235">
        <f>'[1]March - 2023'!DJ19</f>
        <v>24538</v>
      </c>
      <c r="DH19" s="179">
        <f>'[1]March - 2023'!DK19</f>
        <v>7</v>
      </c>
      <c r="DI19" s="235">
        <f>'[1]March - 2023'!DL19</f>
        <v>8088</v>
      </c>
      <c r="DJ19" s="179">
        <f>'[1]March - 2023'!DM19</f>
        <v>10</v>
      </c>
      <c r="DK19" s="235">
        <f>'[1]March - 2023'!DN19</f>
        <v>10513</v>
      </c>
      <c r="DL19" s="179">
        <f>'[1]March - 2023'!DO19</f>
        <v>11</v>
      </c>
      <c r="DM19" s="235">
        <f>'[1]March - 2023'!DP19</f>
        <v>3679</v>
      </c>
      <c r="DN19" s="179">
        <f>'[1]March - 2023'!DQ19</f>
        <v>4</v>
      </c>
      <c r="DO19" s="235">
        <f>'[1]March - 2023'!DR19</f>
        <v>7199</v>
      </c>
      <c r="DP19" s="179">
        <f>'[1]March - 2023'!DS19</f>
        <v>9</v>
      </c>
      <c r="DQ19" s="235">
        <f>'[1]March - 2023'!DT19</f>
        <v>30674</v>
      </c>
      <c r="DR19" s="186">
        <f>'[1]March - 2023'!DU19</f>
        <v>3</v>
      </c>
      <c r="DS19" s="535"/>
      <c r="DT19" s="190">
        <f>'[1]March - 2023'!DW19</f>
        <v>7330.5</v>
      </c>
      <c r="DU19" s="201">
        <f>'[1]March - 2023'!DX19</f>
        <v>10.399999999999636</v>
      </c>
      <c r="DV19" s="87">
        <f>'[1]March - 2023'!DY19</f>
        <v>12013.5</v>
      </c>
      <c r="DW19" s="195">
        <f>'[1]March - 2023'!DZ19</f>
        <v>8.7999999999992724</v>
      </c>
      <c r="DX19" s="87">
        <f>'[1]March - 2023'!EA19</f>
        <v>5373.6</v>
      </c>
      <c r="DY19" s="195">
        <f>'[1]March - 2023'!EB19</f>
        <v>5.7000000000007276</v>
      </c>
      <c r="DZ19" s="87">
        <f>'[1]March - 2023'!EC19</f>
        <v>5995.2</v>
      </c>
      <c r="EA19" s="195">
        <f>'[1]March - 2023'!ED19</f>
        <v>7.5</v>
      </c>
      <c r="EB19" s="87">
        <f>'[1]March - 2023'!EE19</f>
        <v>1178791</v>
      </c>
      <c r="EC19" s="195">
        <f>'[1]March - 2023'!EF19</f>
        <v>645</v>
      </c>
      <c r="ED19" s="87">
        <f>'[1]March - 2023'!EI19</f>
        <v>244931.6</v>
      </c>
      <c r="EE19" s="208">
        <f>'[1]March - 2023'!EJ19</f>
        <v>151.39999999999418</v>
      </c>
      <c r="EF19" s="584"/>
      <c r="EG19" s="214">
        <f>'[1]March - 2023'!EL19</f>
        <v>12412300</v>
      </c>
      <c r="EH19" s="209">
        <f>'[1]March - 2023'!EM19</f>
        <v>3500</v>
      </c>
      <c r="EI19" s="86">
        <f>'[1]March - 2023'!EN19</f>
        <v>955890</v>
      </c>
      <c r="EJ19" s="209">
        <f>'[1]March - 2023'!EO19</f>
        <v>260</v>
      </c>
      <c r="EK19" s="86">
        <f>'[1]March - 2023'!EP19</f>
        <v>7333300</v>
      </c>
      <c r="EL19" s="209">
        <f>'[1]March - 2023'!EQ19</f>
        <v>1200</v>
      </c>
      <c r="EM19" s="86">
        <f>'[1]March - 2023'!ER19</f>
        <v>2527700</v>
      </c>
      <c r="EN19" s="209">
        <f>'[1]March - 2023'!ES19</f>
        <v>600</v>
      </c>
      <c r="EO19" s="86">
        <f>'[1]March - 2023'!ET19</f>
        <v>1332490</v>
      </c>
      <c r="EP19" s="209">
        <f>'[1]March - 2023'!EU19</f>
        <v>690</v>
      </c>
      <c r="EQ19" s="86">
        <f>'[1]March - 2023'!EV19</f>
        <v>16848200</v>
      </c>
      <c r="ER19" s="209">
        <f>'[1]March - 2023'!EW19</f>
        <v>4300</v>
      </c>
      <c r="ES19" s="562"/>
      <c r="ET19" s="256">
        <f>'[1]March - 2023'!EY19</f>
        <v>43548</v>
      </c>
      <c r="EU19" s="253">
        <f>'[1]March - 2023'!EZ19</f>
        <v>14</v>
      </c>
      <c r="EV19" s="257">
        <f>'[1]March - 2023'!FA19</f>
        <v>37920</v>
      </c>
      <c r="EW19" s="253">
        <f>'[1]March - 2023'!FB19</f>
        <v>12</v>
      </c>
      <c r="EX19" s="257">
        <f>'[1]March - 2023'!FC19</f>
        <v>8461</v>
      </c>
      <c r="EY19" s="253">
        <f>'[1]March - 2023'!FD19</f>
        <v>12</v>
      </c>
      <c r="EZ19" s="257">
        <f>'[1]March - 2023'!FE19</f>
        <v>60592</v>
      </c>
      <c r="FA19" s="253">
        <f>'[1]March - 2023'!FF19</f>
        <v>16</v>
      </c>
      <c r="FB19" s="257">
        <f>'[1]March - 2023'!FG19</f>
        <v>52619</v>
      </c>
      <c r="FC19" s="254">
        <f>'[1]March - 2023'!FH19</f>
        <v>35</v>
      </c>
      <c r="FD19" s="562"/>
      <c r="FE19" s="256">
        <f>'[1]March - 2023'!$FN19</f>
        <v>91399.569000000003</v>
      </c>
      <c r="FF19" s="271">
        <f t="shared" si="0"/>
        <v>138.6140000000014</v>
      </c>
      <c r="FG19" s="270">
        <f>'[1]March - 2023'!$FP19</f>
        <v>12415</v>
      </c>
      <c r="FH19" s="271">
        <f t="shared" si="0"/>
        <v>9</v>
      </c>
      <c r="FI19" s="275">
        <f>'[1]March - 2023'!$FR19</f>
        <v>11094</v>
      </c>
      <c r="FJ19" s="271">
        <f t="shared" si="0"/>
        <v>6</v>
      </c>
      <c r="FK19" s="275">
        <f>'[1]March - 2023'!$FT19</f>
        <v>8784</v>
      </c>
      <c r="FL19" s="271">
        <f t="shared" si="0"/>
        <v>6</v>
      </c>
      <c r="FM19" s="275">
        <f>'[1]March - 2023'!$FV19</f>
        <v>9146</v>
      </c>
      <c r="FN19" s="271">
        <f t="shared" si="0"/>
        <v>5</v>
      </c>
      <c r="FO19" s="257">
        <f>'[1]March - 2023'!$FJ19</f>
        <v>189.08</v>
      </c>
      <c r="FP19" s="271">
        <f t="shared" si="2"/>
        <v>4.0000000000020464E-2</v>
      </c>
      <c r="FQ19" s="257">
        <f>'[1]March - 2023'!$FL19</f>
        <v>264180.7</v>
      </c>
      <c r="FR19" s="253">
        <f t="shared" si="1"/>
        <v>161.20000000001164</v>
      </c>
    </row>
    <row r="20" spans="1:174" ht="30" customHeight="1" x14ac:dyDescent="0.25">
      <c r="A20" s="187">
        <v>44631</v>
      </c>
      <c r="B20" s="189">
        <f>'[1]March - 2023'!B20</f>
        <v>0.82</v>
      </c>
      <c r="C20" s="229">
        <f>'[1]March - 2023'!E20</f>
        <v>266718</v>
      </c>
      <c r="D20" s="152">
        <f>'[1]March - 2023'!F20</f>
        <v>673</v>
      </c>
      <c r="E20" s="150">
        <f>'[1]March - 2023'!G20</f>
        <v>725</v>
      </c>
      <c r="F20" s="150">
        <f>'[1]March - 2023'!H20</f>
        <v>283229</v>
      </c>
      <c r="G20" s="152">
        <f>'[1]March - 2023'!I20</f>
        <v>511</v>
      </c>
      <c r="H20" s="150">
        <f>'[1]March - 2023'!J20</f>
        <v>472</v>
      </c>
      <c r="I20" s="150">
        <f>'[1]March - 2023'!K20</f>
        <v>24906</v>
      </c>
      <c r="J20" s="152">
        <f>'[1]March - 2023'!L20</f>
        <v>307</v>
      </c>
      <c r="K20" s="150">
        <f>'[1]March - 2023'!N20</f>
        <v>938645</v>
      </c>
      <c r="L20" s="152">
        <f>'[1]March - 2023'!O20</f>
        <v>267</v>
      </c>
      <c r="M20" s="150">
        <f>'[1]March - 2023'!Q20</f>
        <v>246269</v>
      </c>
      <c r="N20" s="152">
        <f>'[1]March - 2023'!R20</f>
        <v>0</v>
      </c>
      <c r="O20" s="150">
        <f>'[1]March - 2023'!U20</f>
        <v>123726</v>
      </c>
      <c r="P20" s="152">
        <f>'[1]March - 2023'!V20</f>
        <v>109</v>
      </c>
      <c r="Q20" s="150">
        <f>'[1]March - 2023'!W20</f>
        <v>0.55800000000000005</v>
      </c>
      <c r="R20" s="150">
        <f>'[1]March - 2023'!X20</f>
        <v>7133</v>
      </c>
      <c r="S20" s="188">
        <f>'[1]March - 2023'!Y20</f>
        <v>15</v>
      </c>
      <c r="T20" s="484"/>
      <c r="U20" s="151">
        <f>'[1]March - 2023'!AE20</f>
        <v>8372580.7199999988</v>
      </c>
      <c r="V20" s="218">
        <f>'[1]March - 2023'!AF20</f>
        <v>2923.1999999992549</v>
      </c>
      <c r="W20" s="88">
        <f>'[1]March - 2023'!AF20</f>
        <v>2923.1999999992549</v>
      </c>
      <c r="X20" s="233">
        <f>'[1]March - 2023'!AH20</f>
        <v>15897482.16</v>
      </c>
      <c r="Y20" s="218">
        <f>'[1]March - 2023'!AI20</f>
        <v>4872</v>
      </c>
      <c r="Z20" s="88">
        <f>'[1]March - 2023'!AI20</f>
        <v>4872</v>
      </c>
      <c r="AA20" s="233">
        <f>'[1]March - 2023'!AK20</f>
        <v>16035700.799999999</v>
      </c>
      <c r="AB20" s="218">
        <f>'[1]March - 2023'!AL20</f>
        <v>1656.480000000447</v>
      </c>
      <c r="AC20" s="88">
        <f>'[1]March - 2023'!AL20</f>
        <v>1656.480000000447</v>
      </c>
      <c r="AD20" s="233">
        <f>'[1]March - 2023'!AN20</f>
        <v>19193049.119999997</v>
      </c>
      <c r="AE20" s="218">
        <f>'[1]March - 2023'!AO20</f>
        <v>876.95999999716878</v>
      </c>
      <c r="AF20" s="88">
        <f>'[1]March - 2023'!AO20</f>
        <v>876.95999999716878</v>
      </c>
      <c r="AG20" s="233">
        <f>'[1]March - 2023'!AQ20</f>
        <v>19430900.16</v>
      </c>
      <c r="AH20" s="218">
        <f>'[1]March - 2023'!AR20</f>
        <v>9451.679999999702</v>
      </c>
      <c r="AI20" s="88">
        <f>'[1]March - 2023'!AR20</f>
        <v>9451.679999999702</v>
      </c>
      <c r="AJ20" s="233">
        <f>'[1]March - 2023'!AT20</f>
        <v>18065911.919999998</v>
      </c>
      <c r="AK20" s="218">
        <f>'[1]March - 2023'!AU20</f>
        <v>5651.519999999553</v>
      </c>
      <c r="AL20" s="88">
        <f>'[1]March - 2023'!AU20</f>
        <v>5651.519999999553</v>
      </c>
      <c r="AM20" s="233">
        <f>'[1]March - 2023'!AW20</f>
        <v>15161858.880000001</v>
      </c>
      <c r="AN20" s="218">
        <f>'[1]March - 2023'!AX20</f>
        <v>4092.480000000447</v>
      </c>
      <c r="AO20" s="88">
        <f>'[1]March - 2023'!AX20</f>
        <v>4092.480000000447</v>
      </c>
      <c r="AP20" s="233">
        <f>'[1]March - 2023'!AZ20</f>
        <v>14723671.199999999</v>
      </c>
      <c r="AQ20" s="218">
        <f>'[1]March - 2023'!BA20</f>
        <v>4628.4000000003725</v>
      </c>
      <c r="AR20" s="88">
        <f>'[1]March - 2023'!BA20</f>
        <v>4628.4000000003725</v>
      </c>
      <c r="AS20" s="233">
        <f>'[1]March - 2023'!BC20</f>
        <v>11458846.559999999</v>
      </c>
      <c r="AT20" s="218">
        <f>'[1]March - 2023'!BD20</f>
        <v>3069.359999999404</v>
      </c>
      <c r="AU20" s="88">
        <f>'[1]March - 2023'!BD20</f>
        <v>3069.359999999404</v>
      </c>
      <c r="AV20" s="233">
        <f>'[1]March - 2023'!BF20</f>
        <v>18221669.760000002</v>
      </c>
      <c r="AW20" s="230">
        <f>'[1]March - 2023'!BG20</f>
        <v>6041.2800000011921</v>
      </c>
      <c r="AX20" s="231">
        <f>'[1]March - 2023'!BG20</f>
        <v>6041.2800000011921</v>
      </c>
      <c r="AY20" s="501"/>
      <c r="AZ20" s="250">
        <f>'[1]March - 2023'!BM20</f>
        <v>79238600</v>
      </c>
      <c r="BA20" s="161">
        <f>'[1]March - 2023'!BN20</f>
        <v>5700</v>
      </c>
      <c r="BB20" s="89">
        <f>'[1]March - 2023'!BN20</f>
        <v>5700</v>
      </c>
      <c r="BC20" s="250">
        <f>'[1]March - 2023'!BP20</f>
        <v>82224500</v>
      </c>
      <c r="BD20" s="224">
        <f>'[1]March - 2023'!BQ20</f>
        <v>0</v>
      </c>
      <c r="BE20" s="89">
        <f>'[1]March - 2023'!BQ20</f>
        <v>0</v>
      </c>
      <c r="BF20" s="250">
        <f>'[1]March - 2023'!BS20</f>
        <v>75975900</v>
      </c>
      <c r="BG20" s="224">
        <f>'[1]March - 2023'!BT20</f>
        <v>50200</v>
      </c>
      <c r="BH20" s="89">
        <f>'[1]March - 2023'!BT20</f>
        <v>50200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51">
        <f>'[1]March - 2023'!BV20</f>
        <v>10861820</v>
      </c>
      <c r="BT20" s="166">
        <f>'[1]March - 2023'!BW20</f>
        <v>8040</v>
      </c>
      <c r="BU20" s="593"/>
      <c r="BV20" s="84">
        <f>'[1]March - 2023'!BY20</f>
        <v>0.77</v>
      </c>
      <c r="BW20" s="220">
        <f>'[1]March - 2023'!BZ20</f>
        <v>7.999999999999996E-2</v>
      </c>
      <c r="BX20" s="84">
        <f>'[1]March - 2023'!BZ20</f>
        <v>7.999999999999996E-2</v>
      </c>
      <c r="BY20" s="85">
        <f>'[1]March - 2023'!CB20</f>
        <v>65979</v>
      </c>
      <c r="BZ20" s="172">
        <f>'[1]March - 2023'!CC20</f>
        <v>18</v>
      </c>
      <c r="CA20" s="85">
        <f>'[1]March - 2023'!CD20</f>
        <v>57229</v>
      </c>
      <c r="CB20" s="172">
        <f>'[1]March - 2023'!CE20</f>
        <v>21</v>
      </c>
      <c r="CC20" s="85">
        <f>'[1]March - 2023'!CF20</f>
        <v>19330</v>
      </c>
      <c r="CD20" s="172">
        <f>'[1]March - 2023'!CG20</f>
        <v>7</v>
      </c>
      <c r="CE20" s="85">
        <f>'[1]March - 2023'!CH20</f>
        <v>26477</v>
      </c>
      <c r="CF20" s="172">
        <f>'[1]March - 2023'!CI20</f>
        <v>10</v>
      </c>
      <c r="CG20" s="85">
        <f>'[1]March - 2023'!CJ20</f>
        <v>29834</v>
      </c>
      <c r="CH20" s="172">
        <f>'[1]March - 2023'!CK20</f>
        <v>16</v>
      </c>
      <c r="CI20" s="85">
        <f>'[1]March - 2023'!CL20</f>
        <v>65768</v>
      </c>
      <c r="CJ20" s="172">
        <f>'[1]March - 2023'!CM20</f>
        <v>35</v>
      </c>
      <c r="CK20" s="85">
        <f>'[1]March - 2023'!CN20</f>
        <v>275123</v>
      </c>
      <c r="CL20" s="225">
        <f>'[1]March - 2023'!CO20</f>
        <v>82</v>
      </c>
      <c r="CM20" s="85">
        <f>'[1]March - 2023'!CO20</f>
        <v>82</v>
      </c>
      <c r="CN20" s="85">
        <f>'[1]March - 2023'!CQ20</f>
        <v>225589</v>
      </c>
      <c r="CO20" s="225">
        <f>'[1]March - 2023'!CR20</f>
        <v>114</v>
      </c>
      <c r="CP20" s="85">
        <f>'[1]March - 2023'!CR20</f>
        <v>114</v>
      </c>
      <c r="CQ20" s="85">
        <f>'[1]March - 2023'!CT20</f>
        <v>378081</v>
      </c>
      <c r="CR20" s="225">
        <f>'[1]March - 2023'!CU20</f>
        <v>127</v>
      </c>
      <c r="CS20" s="85">
        <f>'[1]March - 2023'!CU20</f>
        <v>127</v>
      </c>
      <c r="CT20" s="85">
        <f>'[1]March - 2023'!CW20</f>
        <v>710859</v>
      </c>
      <c r="CU20" s="172">
        <f>'[1]March - 2023'!CX20</f>
        <v>182</v>
      </c>
      <c r="CV20" s="519"/>
      <c r="CW20" s="234">
        <f>'[1]March - 2023'!CZ20</f>
        <v>9615</v>
      </c>
      <c r="CX20" s="179">
        <f>'[1]March - 2023'!DA20</f>
        <v>3</v>
      </c>
      <c r="CY20" s="235">
        <f>'[1]March - 2023'!DB20</f>
        <v>6511</v>
      </c>
      <c r="CZ20" s="179">
        <f>'[1]March - 2023'!DC20</f>
        <v>3</v>
      </c>
      <c r="DA20" s="235">
        <f>'[1]March - 2023'!DD20</f>
        <v>33632</v>
      </c>
      <c r="DB20" s="179">
        <f>'[1]March - 2023'!DE20</f>
        <v>19</v>
      </c>
      <c r="DC20" s="235">
        <f>'[1]March - 2023'!DF20</f>
        <v>33698</v>
      </c>
      <c r="DD20" s="179">
        <f>'[1]March - 2023'!DG20</f>
        <v>13</v>
      </c>
      <c r="DE20" s="235">
        <f>'[1]March - 2023'!DH20</f>
        <v>22762</v>
      </c>
      <c r="DF20" s="179">
        <f>'[1]March - 2023'!DI20</f>
        <v>9</v>
      </c>
      <c r="DG20" s="235">
        <f>'[1]March - 2023'!DJ20</f>
        <v>24543</v>
      </c>
      <c r="DH20" s="179">
        <f>'[1]March - 2023'!DK20</f>
        <v>5</v>
      </c>
      <c r="DI20" s="235">
        <f>'[1]March - 2023'!DL20</f>
        <v>8097</v>
      </c>
      <c r="DJ20" s="179">
        <f>'[1]March - 2023'!DM20</f>
        <v>9</v>
      </c>
      <c r="DK20" s="235">
        <f>'[1]March - 2023'!DN20</f>
        <v>10522</v>
      </c>
      <c r="DL20" s="179">
        <f>'[1]March - 2023'!DO20</f>
        <v>9</v>
      </c>
      <c r="DM20" s="235">
        <f>'[1]March - 2023'!DP20</f>
        <v>3684</v>
      </c>
      <c r="DN20" s="179">
        <f>'[1]March - 2023'!DQ20</f>
        <v>5</v>
      </c>
      <c r="DO20" s="235">
        <f>'[1]March - 2023'!DR20</f>
        <v>7210</v>
      </c>
      <c r="DP20" s="179">
        <f>'[1]March - 2023'!DS20</f>
        <v>11</v>
      </c>
      <c r="DQ20" s="235">
        <f>'[1]March - 2023'!DT20</f>
        <v>30678</v>
      </c>
      <c r="DR20" s="186">
        <f>'[1]March - 2023'!DU20</f>
        <v>4</v>
      </c>
      <c r="DS20" s="535"/>
      <c r="DT20" s="190">
        <f>'[1]March - 2023'!DW20</f>
        <v>7341.4</v>
      </c>
      <c r="DU20" s="201">
        <f>'[1]March - 2023'!DX20</f>
        <v>10.899999999999636</v>
      </c>
      <c r="DV20" s="87">
        <f>'[1]March - 2023'!DY20</f>
        <v>12022.4</v>
      </c>
      <c r="DW20" s="195">
        <f>'[1]March - 2023'!DZ20</f>
        <v>8.8999999999996362</v>
      </c>
      <c r="DX20" s="87">
        <f>'[1]March - 2023'!EA20</f>
        <v>5379.6</v>
      </c>
      <c r="DY20" s="195">
        <f>'[1]March - 2023'!EB20</f>
        <v>6</v>
      </c>
      <c r="DZ20" s="87">
        <f>'[1]March - 2023'!EC20</f>
        <v>6002.6</v>
      </c>
      <c r="EA20" s="195">
        <f>'[1]March - 2023'!ED20</f>
        <v>7.4000000000005457</v>
      </c>
      <c r="EB20" s="87">
        <f>'[1]March - 2023'!EE20</f>
        <v>1179476</v>
      </c>
      <c r="EC20" s="195">
        <f>'[1]March - 2023'!EF20</f>
        <v>685</v>
      </c>
      <c r="ED20" s="87">
        <f>'[1]March - 2023'!EI20</f>
        <v>245083.9</v>
      </c>
      <c r="EE20" s="208">
        <f>'[1]March - 2023'!EJ20</f>
        <v>152.29999999998836</v>
      </c>
      <c r="EF20" s="584"/>
      <c r="EG20" s="214">
        <f>'[1]March - 2023'!EL20</f>
        <v>12416600</v>
      </c>
      <c r="EH20" s="209">
        <f>'[1]March - 2023'!EM20</f>
        <v>4300</v>
      </c>
      <c r="EI20" s="86">
        <f>'[1]March - 2023'!EN20</f>
        <v>956190</v>
      </c>
      <c r="EJ20" s="209">
        <f>'[1]March - 2023'!EO20</f>
        <v>300</v>
      </c>
      <c r="EK20" s="86">
        <f>'[1]March - 2023'!EP20</f>
        <v>7334600</v>
      </c>
      <c r="EL20" s="209">
        <f>'[1]March - 2023'!EQ20</f>
        <v>1300</v>
      </c>
      <c r="EM20" s="86">
        <f>'[1]March - 2023'!ER20</f>
        <v>2528200</v>
      </c>
      <c r="EN20" s="209">
        <f>'[1]March - 2023'!ES20</f>
        <v>500</v>
      </c>
      <c r="EO20" s="86">
        <f>'[1]March - 2023'!ET20</f>
        <v>1333280</v>
      </c>
      <c r="EP20" s="209">
        <f>'[1]March - 2023'!EU20</f>
        <v>790</v>
      </c>
      <c r="EQ20" s="86">
        <f>'[1]March - 2023'!EV20</f>
        <v>16853200</v>
      </c>
      <c r="ER20" s="209">
        <f>'[1]March - 2023'!EW20</f>
        <v>5000</v>
      </c>
      <c r="ES20" s="562"/>
      <c r="ET20" s="256">
        <f>'[1]March - 2023'!EY20</f>
        <v>43564</v>
      </c>
      <c r="EU20" s="253">
        <f>'[1]March - 2023'!EZ20</f>
        <v>16</v>
      </c>
      <c r="EV20" s="257">
        <f>'[1]March - 2023'!FA20</f>
        <v>37932</v>
      </c>
      <c r="EW20" s="253">
        <f>'[1]March - 2023'!FB20</f>
        <v>12</v>
      </c>
      <c r="EX20" s="257">
        <f>'[1]March - 2023'!FC20</f>
        <v>8474</v>
      </c>
      <c r="EY20" s="253">
        <f>'[1]March - 2023'!FD20</f>
        <v>13</v>
      </c>
      <c r="EZ20" s="257">
        <f>'[1]March - 2023'!FE20</f>
        <v>60609</v>
      </c>
      <c r="FA20" s="253">
        <f>'[1]March - 2023'!FF20</f>
        <v>17</v>
      </c>
      <c r="FB20" s="257">
        <f>'[1]March - 2023'!FG20</f>
        <v>52656</v>
      </c>
      <c r="FC20" s="254">
        <f>'[1]March - 2023'!FH20</f>
        <v>37</v>
      </c>
      <c r="FD20" s="562"/>
      <c r="FE20" s="256">
        <f>'[1]March - 2023'!$FN20</f>
        <v>91541.654999999999</v>
      </c>
      <c r="FF20" s="271">
        <f t="shared" si="0"/>
        <v>142.08599999999569</v>
      </c>
      <c r="FG20" s="270">
        <f>'[1]March - 2023'!$FP20</f>
        <v>12423</v>
      </c>
      <c r="FH20" s="271">
        <f t="shared" si="0"/>
        <v>8</v>
      </c>
      <c r="FI20" s="275">
        <f>'[1]March - 2023'!$FR20</f>
        <v>11102</v>
      </c>
      <c r="FJ20" s="271">
        <f t="shared" si="0"/>
        <v>8</v>
      </c>
      <c r="FK20" s="275">
        <f>'[1]March - 2023'!$FT20</f>
        <v>8790</v>
      </c>
      <c r="FL20" s="271">
        <f t="shared" si="0"/>
        <v>6</v>
      </c>
      <c r="FM20" s="275">
        <f>'[1]March - 2023'!$FV20</f>
        <v>9150</v>
      </c>
      <c r="FN20" s="271">
        <f t="shared" si="0"/>
        <v>4</v>
      </c>
      <c r="FO20" s="257">
        <f>'[1]March - 2023'!$FJ20</f>
        <v>189.68</v>
      </c>
      <c r="FP20" s="271">
        <f t="shared" si="2"/>
        <v>0.59999999999999432</v>
      </c>
      <c r="FQ20" s="257">
        <f>'[1]March - 2023'!$FL20</f>
        <v>264430.2</v>
      </c>
      <c r="FR20" s="253">
        <f t="shared" si="1"/>
        <v>249.5</v>
      </c>
    </row>
    <row r="21" spans="1:174" ht="30" customHeight="1" x14ac:dyDescent="0.25">
      <c r="A21" s="187">
        <v>44632</v>
      </c>
      <c r="B21" s="189">
        <f>'[1]March - 2023'!B21</f>
        <v>0.76</v>
      </c>
      <c r="C21" s="229">
        <f>'[1]March - 2023'!E21</f>
        <v>267402</v>
      </c>
      <c r="D21" s="152">
        <f>'[1]March - 2023'!F21</f>
        <v>684</v>
      </c>
      <c r="E21" s="150">
        <f>'[1]March - 2023'!G21</f>
        <v>789</v>
      </c>
      <c r="F21" s="150">
        <f>'[1]March - 2023'!H21</f>
        <v>283735</v>
      </c>
      <c r="G21" s="152">
        <f>'[1]March - 2023'!I21</f>
        <v>506</v>
      </c>
      <c r="H21" s="150">
        <f>'[1]March - 2023'!J21</f>
        <v>518</v>
      </c>
      <c r="I21" s="150">
        <f>'[1]March - 2023'!K21</f>
        <v>25161</v>
      </c>
      <c r="J21" s="152">
        <f>'[1]March - 2023'!L21</f>
        <v>255</v>
      </c>
      <c r="K21" s="150">
        <f>'[1]March - 2023'!N21</f>
        <v>938914</v>
      </c>
      <c r="L21" s="152">
        <f>'[1]March - 2023'!O21</f>
        <v>269</v>
      </c>
      <c r="M21" s="150">
        <f>'[1]March - 2023'!Q21</f>
        <v>246269</v>
      </c>
      <c r="N21" s="152">
        <f>'[1]March - 2023'!R21</f>
        <v>0</v>
      </c>
      <c r="O21" s="150">
        <f>'[1]March - 2023'!U21</f>
        <v>123845</v>
      </c>
      <c r="P21" s="152">
        <f>'[1]March - 2023'!V21</f>
        <v>119</v>
      </c>
      <c r="Q21" s="150">
        <f>'[1]March - 2023'!W21</f>
        <v>0.55400000000000005</v>
      </c>
      <c r="R21" s="150">
        <f>'[1]March - 2023'!X21</f>
        <v>7148</v>
      </c>
      <c r="S21" s="188">
        <f>'[1]March - 2023'!Y21</f>
        <v>15</v>
      </c>
      <c r="T21" s="484"/>
      <c r="U21" s="151">
        <f>'[1]March - 2023'!AE21</f>
        <v>8375211.5999999996</v>
      </c>
      <c r="V21" s="218">
        <f>'[1]March - 2023'!AF21</f>
        <v>2630.8800000008196</v>
      </c>
      <c r="W21" s="88">
        <f>'[1]March - 2023'!AF21</f>
        <v>2630.8800000008196</v>
      </c>
      <c r="X21" s="233">
        <f>'[1]March - 2023'!AH21</f>
        <v>15902013.119999999</v>
      </c>
      <c r="Y21" s="218">
        <f>'[1]March - 2023'!AI21</f>
        <v>4530.9599999990314</v>
      </c>
      <c r="Z21" s="88">
        <f>'[1]March - 2023'!AI21</f>
        <v>4530.9599999990314</v>
      </c>
      <c r="AA21" s="233">
        <f>'[1]March - 2023'!AK21</f>
        <v>16044762.719999999</v>
      </c>
      <c r="AB21" s="218">
        <f>'[1]March - 2023'!AL21</f>
        <v>9061.9199999999255</v>
      </c>
      <c r="AC21" s="88">
        <f>'[1]March - 2023'!AL21</f>
        <v>9061.9199999999255</v>
      </c>
      <c r="AD21" s="233">
        <f>'[1]March - 2023'!AN21</f>
        <v>19195144.080000002</v>
      </c>
      <c r="AE21" s="218">
        <f>'[1]March - 2023'!AO21</f>
        <v>2094.9600000046194</v>
      </c>
      <c r="AF21" s="88">
        <f>'[1]March - 2023'!AO21</f>
        <v>2094.9600000046194</v>
      </c>
      <c r="AG21" s="233">
        <f>'[1]March - 2023'!AQ21</f>
        <v>19430900.16</v>
      </c>
      <c r="AH21" s="218">
        <f>'[1]March - 2023'!AR21</f>
        <v>0</v>
      </c>
      <c r="AI21" s="88">
        <f>'[1]March - 2023'!AR21</f>
        <v>0</v>
      </c>
      <c r="AJ21" s="233">
        <f>'[1]March - 2023'!AT21</f>
        <v>18071173.68</v>
      </c>
      <c r="AK21" s="218">
        <f>'[1]March - 2023'!AU21</f>
        <v>5261.7600000016391</v>
      </c>
      <c r="AL21" s="88">
        <f>'[1]March - 2023'!AU21</f>
        <v>5261.7600000016391</v>
      </c>
      <c r="AM21" s="233">
        <f>'[1]March - 2023'!AW21</f>
        <v>15165805.199999999</v>
      </c>
      <c r="AN21" s="218">
        <f>'[1]March - 2023'!AX21</f>
        <v>3946.3199999984354</v>
      </c>
      <c r="AO21" s="258">
        <f>'[1]March - 2023'!AX21</f>
        <v>3946.3199999984354</v>
      </c>
      <c r="AP21" s="233">
        <f>'[1]March - 2023'!AZ21</f>
        <v>14728104.719999999</v>
      </c>
      <c r="AQ21" s="218">
        <f>'[1]March - 2023'!BA21</f>
        <v>4433.519999999553</v>
      </c>
      <c r="AR21" s="88">
        <f>'[1]March - 2023'!BA21</f>
        <v>4433.519999999553</v>
      </c>
      <c r="AS21" s="233">
        <f>'[1]March - 2023'!BC21</f>
        <v>11461818.48</v>
      </c>
      <c r="AT21" s="218">
        <f>'[1]March - 2023'!BD21</f>
        <v>2971.9200000017881</v>
      </c>
      <c r="AU21" s="88">
        <f>'[1]March - 2023'!BD21</f>
        <v>2971.9200000017881</v>
      </c>
      <c r="AV21" s="233">
        <f>'[1]March - 2023'!BF21</f>
        <v>18227077.68</v>
      </c>
      <c r="AW21" s="230">
        <f>'[1]March - 2023'!BG21</f>
        <v>5407.9199999980628</v>
      </c>
      <c r="AX21" s="231">
        <f>'[1]March - 2023'!BG21</f>
        <v>5407.9199999980628</v>
      </c>
      <c r="AY21" s="501"/>
      <c r="AZ21" s="250">
        <f>'[1]March - 2023'!BM21</f>
        <v>79294000</v>
      </c>
      <c r="BA21" s="161">
        <f>'[1]March - 2023'!BN21</f>
        <v>55400</v>
      </c>
      <c r="BB21" s="89">
        <f>'[1]March - 2023'!BN21</f>
        <v>55400</v>
      </c>
      <c r="BC21" s="250">
        <f>'[1]March - 2023'!BP21</f>
        <v>82229900</v>
      </c>
      <c r="BD21" s="224">
        <f>'[1]March - 2023'!BQ21</f>
        <v>5400</v>
      </c>
      <c r="BE21" s="89">
        <f>'[1]March - 2023'!BQ21</f>
        <v>5400</v>
      </c>
      <c r="BF21" s="250">
        <f>'[1]March - 2023'!BS21</f>
        <v>75975900</v>
      </c>
      <c r="BG21" s="224">
        <f>'[1]March - 2023'!BT21</f>
        <v>0</v>
      </c>
      <c r="BH21" s="89">
        <f>'[1]March - 2023'!BT21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51">
        <f>'[1]March - 2023'!BV21</f>
        <v>10869660</v>
      </c>
      <c r="BT21" s="166">
        <f>'[1]March - 2023'!BW21</f>
        <v>7840</v>
      </c>
      <c r="BU21" s="593"/>
      <c r="BV21" s="84">
        <f>'[1]March - 2023'!BY21</f>
        <v>0.81</v>
      </c>
      <c r="BW21" s="220">
        <f>'[1]March - 2023'!BZ21</f>
        <v>-4.0000000000000036E-2</v>
      </c>
      <c r="BX21" s="84">
        <f>'[1]March - 2023'!BZ21</f>
        <v>-4.0000000000000036E-2</v>
      </c>
      <c r="BY21" s="85">
        <f>'[1]March - 2023'!CB21</f>
        <v>65996</v>
      </c>
      <c r="BZ21" s="172">
        <f>'[1]March - 2023'!CC21</f>
        <v>17</v>
      </c>
      <c r="CA21" s="85">
        <f>'[1]March - 2023'!CD21</f>
        <v>57250</v>
      </c>
      <c r="CB21" s="172">
        <f>'[1]March - 2023'!CE21</f>
        <v>21</v>
      </c>
      <c r="CC21" s="85">
        <f>'[1]March - 2023'!CF21</f>
        <v>19336</v>
      </c>
      <c r="CD21" s="172">
        <f>'[1]March - 2023'!CG21</f>
        <v>6</v>
      </c>
      <c r="CE21" s="85">
        <f>'[1]March - 2023'!CH21</f>
        <v>26486</v>
      </c>
      <c r="CF21" s="172">
        <f>'[1]March - 2023'!CI21</f>
        <v>9</v>
      </c>
      <c r="CG21" s="85">
        <f>'[1]March - 2023'!CJ21</f>
        <v>29849</v>
      </c>
      <c r="CH21" s="172">
        <f>'[1]March - 2023'!CK21</f>
        <v>15</v>
      </c>
      <c r="CI21" s="85">
        <f>'[1]March - 2023'!CL21</f>
        <v>65806</v>
      </c>
      <c r="CJ21" s="172">
        <f>'[1]March - 2023'!CM21</f>
        <v>38</v>
      </c>
      <c r="CK21" s="85">
        <f>'[1]March - 2023'!CN21</f>
        <v>275204</v>
      </c>
      <c r="CL21" s="225">
        <f>'[1]March - 2023'!CO21</f>
        <v>81</v>
      </c>
      <c r="CM21" s="85">
        <f>'[1]March - 2023'!CO21</f>
        <v>81</v>
      </c>
      <c r="CN21" s="85">
        <f>'[1]March - 2023'!CQ21</f>
        <v>225706</v>
      </c>
      <c r="CO21" s="225">
        <f>'[1]March - 2023'!CR21</f>
        <v>117</v>
      </c>
      <c r="CP21" s="85">
        <f>'[1]March - 2023'!CR21</f>
        <v>117</v>
      </c>
      <c r="CQ21" s="85">
        <f>'[1]March - 2023'!CT21</f>
        <v>378198</v>
      </c>
      <c r="CR21" s="225">
        <f>'[1]March - 2023'!CU21</f>
        <v>117</v>
      </c>
      <c r="CS21" s="85">
        <f>'[1]March - 2023'!CU21</f>
        <v>117</v>
      </c>
      <c r="CT21" s="85">
        <f>'[1]March - 2023'!CW21</f>
        <v>711037</v>
      </c>
      <c r="CU21" s="172">
        <f>'[1]March - 2023'!CX21</f>
        <v>178</v>
      </c>
      <c r="CV21" s="519"/>
      <c r="CW21" s="234">
        <f>'[1]March - 2023'!CZ21</f>
        <v>9618</v>
      </c>
      <c r="CX21" s="179">
        <f>'[1]March - 2023'!DA21</f>
        <v>3</v>
      </c>
      <c r="CY21" s="235">
        <f>'[1]March - 2023'!DB21</f>
        <v>6514</v>
      </c>
      <c r="CZ21" s="179">
        <f>'[1]March - 2023'!DC21</f>
        <v>3</v>
      </c>
      <c r="DA21" s="235">
        <f>'[1]March - 2023'!DD21</f>
        <v>33653</v>
      </c>
      <c r="DB21" s="179">
        <f>'[1]March - 2023'!DE21</f>
        <v>21</v>
      </c>
      <c r="DC21" s="235">
        <f>'[1]March - 2023'!DF21</f>
        <v>33716</v>
      </c>
      <c r="DD21" s="179">
        <f>'[1]March - 2023'!DG21</f>
        <v>18</v>
      </c>
      <c r="DE21" s="235">
        <f>'[1]March - 2023'!DH21</f>
        <v>22770</v>
      </c>
      <c r="DF21" s="179">
        <f>'[1]March - 2023'!DI21</f>
        <v>8</v>
      </c>
      <c r="DG21" s="235">
        <f>'[1]March - 2023'!DJ21</f>
        <v>24550</v>
      </c>
      <c r="DH21" s="179">
        <f>'[1]March - 2023'!DK21</f>
        <v>7</v>
      </c>
      <c r="DI21" s="235">
        <f>'[1]March - 2023'!DL21</f>
        <v>8108</v>
      </c>
      <c r="DJ21" s="179">
        <f>'[1]March - 2023'!DM21</f>
        <v>11</v>
      </c>
      <c r="DK21" s="235">
        <f>'[1]March - 2023'!DN21</f>
        <v>10537</v>
      </c>
      <c r="DL21" s="179">
        <f>'[1]March - 2023'!DO21</f>
        <v>15</v>
      </c>
      <c r="DM21" s="235">
        <f>'[1]March - 2023'!DP21</f>
        <v>3688</v>
      </c>
      <c r="DN21" s="179">
        <f>'[1]March - 2023'!DQ21</f>
        <v>4</v>
      </c>
      <c r="DO21" s="235">
        <f>'[1]March - 2023'!DR21</f>
        <v>7220</v>
      </c>
      <c r="DP21" s="179">
        <f>'[1]March - 2023'!DS21</f>
        <v>10</v>
      </c>
      <c r="DQ21" s="235">
        <f>'[1]March - 2023'!DT21</f>
        <v>30687</v>
      </c>
      <c r="DR21" s="186">
        <f>'[1]March - 2023'!DU21</f>
        <v>9</v>
      </c>
      <c r="DS21" s="535"/>
      <c r="DT21" s="190">
        <f>'[1]March - 2023'!DW21</f>
        <v>7354</v>
      </c>
      <c r="DU21" s="201">
        <f>'[1]March - 2023'!DX21</f>
        <v>12.600000000000364</v>
      </c>
      <c r="DV21" s="87">
        <f>'[1]March - 2023'!DY21</f>
        <v>12030.9</v>
      </c>
      <c r="DW21" s="195">
        <f>'[1]March - 2023'!DZ21</f>
        <v>8.5</v>
      </c>
      <c r="DX21" s="87">
        <f>'[1]March - 2023'!EA21</f>
        <v>5386.7</v>
      </c>
      <c r="DY21" s="195">
        <f>'[1]March - 2023'!EB21</f>
        <v>7.0999999999994543</v>
      </c>
      <c r="DZ21" s="87">
        <f>'[1]March - 2023'!EC21</f>
        <v>6010.2</v>
      </c>
      <c r="EA21" s="195">
        <f>'[1]March - 2023'!ED21</f>
        <v>7.5999999999994543</v>
      </c>
      <c r="EB21" s="87">
        <f>'[1]March - 2023'!EE21</f>
        <v>1180111</v>
      </c>
      <c r="EC21" s="195">
        <f>'[1]March - 2023'!EF21</f>
        <v>635</v>
      </c>
      <c r="ED21" s="87">
        <f>'[1]March - 2023'!EI21</f>
        <v>245259.4</v>
      </c>
      <c r="EE21" s="208">
        <f>'[1]March - 2023'!EJ21</f>
        <v>175.5</v>
      </c>
      <c r="EF21" s="584"/>
      <c r="EG21" s="214">
        <f>'[1]March - 2023'!EL21</f>
        <v>12420300</v>
      </c>
      <c r="EH21" s="209">
        <f>'[1]March - 2023'!EM21</f>
        <v>3700</v>
      </c>
      <c r="EI21" s="86">
        <f>'[1]March - 2023'!EN21</f>
        <v>956450</v>
      </c>
      <c r="EJ21" s="209">
        <f>'[1]March - 2023'!EO21</f>
        <v>260</v>
      </c>
      <c r="EK21" s="86">
        <f>'[1]March - 2023'!EP21</f>
        <v>7335800</v>
      </c>
      <c r="EL21" s="209">
        <f>'[1]March - 2023'!EQ21</f>
        <v>1200</v>
      </c>
      <c r="EM21" s="86">
        <f>'[1]March - 2023'!ER21</f>
        <v>2528700</v>
      </c>
      <c r="EN21" s="209">
        <f>'[1]March - 2023'!ES21</f>
        <v>500</v>
      </c>
      <c r="EO21" s="86">
        <f>'[1]March - 2023'!ET21</f>
        <v>1333950</v>
      </c>
      <c r="EP21" s="209">
        <f>'[1]March - 2023'!EU21</f>
        <v>670</v>
      </c>
      <c r="EQ21" s="86">
        <f>'[1]March - 2023'!EV21</f>
        <v>16858100</v>
      </c>
      <c r="ER21" s="209">
        <f>'[1]March - 2023'!EW21</f>
        <v>4900</v>
      </c>
      <c r="ES21" s="562"/>
      <c r="ET21" s="256">
        <f>'[1]March - 2023'!EY21</f>
        <v>43578</v>
      </c>
      <c r="EU21" s="253">
        <f>'[1]March - 2023'!EZ21</f>
        <v>14</v>
      </c>
      <c r="EV21" s="257">
        <f>'[1]March - 2023'!FA21</f>
        <v>37944</v>
      </c>
      <c r="EW21" s="253">
        <f>'[1]March - 2023'!FB21</f>
        <v>12</v>
      </c>
      <c r="EX21" s="257">
        <f>'[1]March - 2023'!FC21</f>
        <v>8486</v>
      </c>
      <c r="EY21" s="253">
        <f>'[1]March - 2023'!FD21</f>
        <v>12</v>
      </c>
      <c r="EZ21" s="257">
        <f>'[1]March - 2023'!FE21</f>
        <v>60624</v>
      </c>
      <c r="FA21" s="253">
        <f>'[1]March - 2023'!FF21</f>
        <v>15</v>
      </c>
      <c r="FB21" s="257">
        <f>'[1]March - 2023'!FG21</f>
        <v>52688</v>
      </c>
      <c r="FC21" s="254">
        <f>'[1]March - 2023'!FH21</f>
        <v>32</v>
      </c>
      <c r="FD21" s="562"/>
      <c r="FE21" s="256">
        <f>'[1]March - 2023'!$FN21</f>
        <v>91681.48</v>
      </c>
      <c r="FF21" s="271">
        <f t="shared" si="0"/>
        <v>139.82499999999709</v>
      </c>
      <c r="FG21" s="270">
        <f>'[1]March - 2023'!$FP21</f>
        <v>12430</v>
      </c>
      <c r="FH21" s="271">
        <f t="shared" si="0"/>
        <v>7</v>
      </c>
      <c r="FI21" s="275">
        <f>'[1]March - 2023'!$FR21</f>
        <v>11106</v>
      </c>
      <c r="FJ21" s="271">
        <f t="shared" si="0"/>
        <v>4</v>
      </c>
      <c r="FK21" s="275">
        <f>'[1]March - 2023'!$FT21</f>
        <v>8796</v>
      </c>
      <c r="FL21" s="271">
        <f t="shared" si="0"/>
        <v>6</v>
      </c>
      <c r="FM21" s="275">
        <f>'[1]March - 2023'!$FV21</f>
        <v>9155</v>
      </c>
      <c r="FN21" s="271">
        <f t="shared" si="0"/>
        <v>5</v>
      </c>
      <c r="FO21" s="257">
        <f>'[1]March - 2023'!$FJ21</f>
        <v>189.73</v>
      </c>
      <c r="FP21" s="271">
        <f t="shared" si="2"/>
        <v>4.9999999999982947E-2</v>
      </c>
      <c r="FQ21" s="257">
        <f>'[1]March - 2023'!$FL21</f>
        <v>264759.5</v>
      </c>
      <c r="FR21" s="253">
        <f t="shared" si="1"/>
        <v>329.29999999998836</v>
      </c>
    </row>
    <row r="22" spans="1:174" ht="30" customHeight="1" x14ac:dyDescent="0.25">
      <c r="A22" s="187">
        <v>44633</v>
      </c>
      <c r="B22" s="189">
        <f>'[1]March - 2023'!$B$22</f>
        <v>0.83</v>
      </c>
      <c r="C22" s="229">
        <f>'[1]March - 2023'!E22</f>
        <v>268026</v>
      </c>
      <c r="D22" s="152">
        <f>'[1]March - 2023'!F22</f>
        <v>624</v>
      </c>
      <c r="E22" s="150">
        <f>'[1]March - 2023'!G22</f>
        <v>748</v>
      </c>
      <c r="F22" s="150">
        <f>'[1]March - 2023'!H22</f>
        <v>284202</v>
      </c>
      <c r="G22" s="152">
        <f>'[1]March - 2023'!I22</f>
        <v>467</v>
      </c>
      <c r="H22" s="150">
        <f>'[1]March - 2023'!J22</f>
        <v>441</v>
      </c>
      <c r="I22" s="150">
        <f>'[1]March - 2023'!K22</f>
        <v>25452</v>
      </c>
      <c r="J22" s="152">
        <f>'[1]March - 2023'!L22</f>
        <v>291</v>
      </c>
      <c r="K22" s="150">
        <f>'[1]March - 2023'!N22</f>
        <v>939183</v>
      </c>
      <c r="L22" s="152">
        <f>'[1]March - 2023'!O22</f>
        <v>269</v>
      </c>
      <c r="M22" s="150">
        <f>'[1]March - 2023'!Q22</f>
        <v>246269</v>
      </c>
      <c r="N22" s="152">
        <f>'[1]March - 2023'!R22</f>
        <v>0</v>
      </c>
      <c r="O22" s="150">
        <f>'[1]March - 2023'!U22</f>
        <v>123961</v>
      </c>
      <c r="P22" s="152">
        <f>'[1]March - 2023'!V22</f>
        <v>116</v>
      </c>
      <c r="Q22" s="150">
        <f>'[1]March - 2023'!W22</f>
        <v>0.55200000000000005</v>
      </c>
      <c r="R22" s="150">
        <f>'[1]March - 2023'!X22</f>
        <v>7157</v>
      </c>
      <c r="S22" s="188">
        <f>'[1]March - 2023'!Y22</f>
        <v>9</v>
      </c>
      <c r="T22" s="484"/>
      <c r="U22" s="151">
        <f>'[1]March - 2023'!AE22</f>
        <v>8377988.6400000006</v>
      </c>
      <c r="V22" s="218">
        <f>'[1]March - 2023'!AF22</f>
        <v>2777.0400000009686</v>
      </c>
      <c r="W22" s="88">
        <f>'[1]March - 2023'!AF22</f>
        <v>2777.0400000009686</v>
      </c>
      <c r="X22" s="233">
        <f>'[1]March - 2023'!AH22</f>
        <v>15906592.799999999</v>
      </c>
      <c r="Y22" s="218">
        <f>'[1]March - 2023'!AI22</f>
        <v>4579.679999999702</v>
      </c>
      <c r="Z22" s="88">
        <f>'[1]March - 2023'!AI22</f>
        <v>4579.679999999702</v>
      </c>
      <c r="AA22" s="233">
        <f>'[1]March - 2023'!AK22</f>
        <v>16044762.719999999</v>
      </c>
      <c r="AB22" s="218">
        <f>'[1]March - 2023'!AL22</f>
        <v>0</v>
      </c>
      <c r="AC22" s="88">
        <f>'[1]March - 2023'!AL22</f>
        <v>0</v>
      </c>
      <c r="AD22" s="233">
        <f>'[1]March - 2023'!AN22</f>
        <v>19204644.48</v>
      </c>
      <c r="AE22" s="218">
        <f>'[1]March - 2023'!AO22</f>
        <v>9500.3999999985099</v>
      </c>
      <c r="AF22" s="88">
        <f>'[1]March - 2023'!AO22</f>
        <v>9500.3999999985099</v>
      </c>
      <c r="AG22" s="233">
        <f>'[1]March - 2023'!AQ22</f>
        <v>19432313.039999999</v>
      </c>
      <c r="AH22" s="218">
        <f>'[1]March - 2023'!AR22</f>
        <v>1412.8799999989569</v>
      </c>
      <c r="AI22" s="88">
        <f>'[1]March - 2023'!AR22</f>
        <v>1412.8799999989569</v>
      </c>
      <c r="AJ22" s="233">
        <f>'[1]March - 2023'!AT22</f>
        <v>18076679.039999999</v>
      </c>
      <c r="AK22" s="218">
        <f>'[1]March - 2023'!AU22</f>
        <v>5505.359999999404</v>
      </c>
      <c r="AL22" s="88">
        <f>'[1]March - 2023'!AU22</f>
        <v>5505.359999999404</v>
      </c>
      <c r="AM22" s="233">
        <f>'[1]March - 2023'!AW22</f>
        <v>15169605.359999999</v>
      </c>
      <c r="AN22" s="218">
        <f>'[1]March - 2023'!AX22</f>
        <v>3800.160000000149</v>
      </c>
      <c r="AO22" s="258">
        <f>'[1]March - 2023'!AX22</f>
        <v>3800.160000000149</v>
      </c>
      <c r="AP22" s="233">
        <f>'[1]March - 2023'!AZ22</f>
        <v>14732733.119999999</v>
      </c>
      <c r="AQ22" s="218">
        <f>'[1]March - 2023'!BA22</f>
        <v>4628.4000000003725</v>
      </c>
      <c r="AR22" s="88">
        <f>'[1]March - 2023'!BA22</f>
        <v>4628.4000000003725</v>
      </c>
      <c r="AS22" s="233">
        <f>'[1]March - 2023'!BC22</f>
        <v>11464546.799999999</v>
      </c>
      <c r="AT22" s="218">
        <f>'[1]March - 2023'!BD22</f>
        <v>2728.3199999984354</v>
      </c>
      <c r="AU22" s="88">
        <f>'[1]March - 2023'!BD22</f>
        <v>2728.3199999984354</v>
      </c>
      <c r="AV22" s="233">
        <f>'[1]March - 2023'!BF22</f>
        <v>18232631.760000002</v>
      </c>
      <c r="AW22" s="230">
        <f>'[1]March - 2023'!BG22</f>
        <v>5554.0800000019372</v>
      </c>
      <c r="AX22" s="231">
        <f>'[1]March - 2023'!BG22</f>
        <v>5554.0800000019372</v>
      </c>
      <c r="AY22" s="501"/>
      <c r="AZ22" s="250">
        <f>'[1]March - 2023'!BM22</f>
        <v>79294000</v>
      </c>
      <c r="BA22" s="161">
        <f>'[1]March - 2023'!BN22</f>
        <v>0</v>
      </c>
      <c r="BB22" s="89">
        <f>'[1]March - 2023'!BN22</f>
        <v>0</v>
      </c>
      <c r="BC22" s="250">
        <f>'[1]March - 2023'!BP22</f>
        <v>82281800</v>
      </c>
      <c r="BD22" s="224">
        <f>'[1]March - 2023'!BQ22</f>
        <v>51900</v>
      </c>
      <c r="BE22" s="89">
        <f>'[1]March - 2023'!BQ22</f>
        <v>51900</v>
      </c>
      <c r="BF22" s="250">
        <f>'[1]March - 2023'!BS22</f>
        <v>75981800</v>
      </c>
      <c r="BG22" s="224">
        <f>'[1]March - 2023'!BT22</f>
        <v>5900</v>
      </c>
      <c r="BH22" s="89">
        <f>'[1]March - 2023'!BT22</f>
        <v>5900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51">
        <f>'[1]March - 2023'!BV22</f>
        <v>10877290</v>
      </c>
      <c r="BT22" s="166">
        <f>'[1]March - 2023'!BW22</f>
        <v>7630</v>
      </c>
      <c r="BU22" s="593"/>
      <c r="BV22" s="84">
        <f>'[1]March - 2023'!BY22</f>
        <v>0.84</v>
      </c>
      <c r="BW22" s="220">
        <f>'[1]March - 2023'!BZ22</f>
        <v>-2.9999999999999916E-2</v>
      </c>
      <c r="BX22" s="84">
        <f>'[1]March - 2023'!BZ22</f>
        <v>-2.9999999999999916E-2</v>
      </c>
      <c r="BY22" s="85">
        <f>'[1]March - 2023'!CB22</f>
        <v>66012</v>
      </c>
      <c r="BZ22" s="172">
        <f>'[1]March - 2023'!CC22</f>
        <v>16</v>
      </c>
      <c r="CA22" s="85">
        <f>'[1]March - 2023'!CD22</f>
        <v>57269</v>
      </c>
      <c r="CB22" s="172">
        <f>'[1]March - 2023'!CE22</f>
        <v>19</v>
      </c>
      <c r="CC22" s="85">
        <f>'[1]March - 2023'!CF22</f>
        <v>19343</v>
      </c>
      <c r="CD22" s="172">
        <f>'[1]March - 2023'!CG22</f>
        <v>7</v>
      </c>
      <c r="CE22" s="85">
        <f>'[1]March - 2023'!CH22</f>
        <v>26496</v>
      </c>
      <c r="CF22" s="172">
        <f>'[1]March - 2023'!CI22</f>
        <v>10</v>
      </c>
      <c r="CG22" s="85">
        <f>'[1]March - 2023'!CJ22</f>
        <v>29864</v>
      </c>
      <c r="CH22" s="172">
        <f>'[1]March - 2023'!CK22</f>
        <v>15</v>
      </c>
      <c r="CI22" s="85">
        <f>'[1]March - 2023'!CL22</f>
        <v>65844</v>
      </c>
      <c r="CJ22" s="172">
        <f>'[1]March - 2023'!CM22</f>
        <v>38</v>
      </c>
      <c r="CK22" s="85">
        <f>'[1]March - 2023'!CN22</f>
        <v>275285</v>
      </c>
      <c r="CL22" s="225">
        <f>'[1]March - 2023'!CO22</f>
        <v>81</v>
      </c>
      <c r="CM22" s="85">
        <f>'[1]March - 2023'!CO22</f>
        <v>81</v>
      </c>
      <c r="CN22" s="85">
        <f>'[1]March - 2023'!CQ22</f>
        <v>225802</v>
      </c>
      <c r="CO22" s="225">
        <f>'[1]March - 2023'!CR22</f>
        <v>96</v>
      </c>
      <c r="CP22" s="85">
        <f>'[1]March - 2023'!CR22</f>
        <v>96</v>
      </c>
      <c r="CQ22" s="85">
        <f>'[1]March - 2023'!CT22</f>
        <v>378361</v>
      </c>
      <c r="CR22" s="225">
        <f>'[1]March - 2023'!CU22</f>
        <v>163</v>
      </c>
      <c r="CS22" s="85">
        <f>'[1]March - 2023'!CU22</f>
        <v>163</v>
      </c>
      <c r="CT22" s="85">
        <f>'[1]March - 2023'!CW22</f>
        <v>711216</v>
      </c>
      <c r="CU22" s="172">
        <f>'[1]March - 2023'!CX22</f>
        <v>179</v>
      </c>
      <c r="CV22" s="519"/>
      <c r="CW22" s="234">
        <f>'[1]March - 2023'!CZ22</f>
        <v>9621</v>
      </c>
      <c r="CX22" s="179">
        <f>'[1]March - 2023'!DA22</f>
        <v>3</v>
      </c>
      <c r="CY22" s="235">
        <f>'[1]March - 2023'!DB22</f>
        <v>6517</v>
      </c>
      <c r="CZ22" s="179">
        <f>'[1]March - 2023'!DC22</f>
        <v>3</v>
      </c>
      <c r="DA22" s="235">
        <f>'[1]March - 2023'!DD22</f>
        <v>33670</v>
      </c>
      <c r="DB22" s="179">
        <f>'[1]March - 2023'!DE22</f>
        <v>17</v>
      </c>
      <c r="DC22" s="235">
        <f>'[1]March - 2023'!DF22</f>
        <v>33730</v>
      </c>
      <c r="DD22" s="179">
        <f>'[1]March - 2023'!DG22</f>
        <v>14</v>
      </c>
      <c r="DE22" s="235">
        <f>'[1]March - 2023'!DH22</f>
        <v>22777</v>
      </c>
      <c r="DF22" s="179">
        <f>'[1]March - 2023'!DI22</f>
        <v>7</v>
      </c>
      <c r="DG22" s="235">
        <f>'[1]March - 2023'!DJ22</f>
        <v>24555</v>
      </c>
      <c r="DH22" s="179">
        <f>'[1]March - 2023'!DK22</f>
        <v>5</v>
      </c>
      <c r="DI22" s="235">
        <f>'[1]March - 2023'!DL22</f>
        <v>8116</v>
      </c>
      <c r="DJ22" s="179">
        <f>'[1]March - 2023'!DM22</f>
        <v>8</v>
      </c>
      <c r="DK22" s="235">
        <f>'[1]March - 2023'!DN22</f>
        <v>10545</v>
      </c>
      <c r="DL22" s="179">
        <f>'[1]March - 2023'!DO22</f>
        <v>8</v>
      </c>
      <c r="DM22" s="235">
        <f>'[1]March - 2023'!DP22</f>
        <v>3692</v>
      </c>
      <c r="DN22" s="179">
        <f>'[1]March - 2023'!DQ22</f>
        <v>4</v>
      </c>
      <c r="DO22" s="235">
        <f>'[1]March - 2023'!DR22</f>
        <v>7228</v>
      </c>
      <c r="DP22" s="179">
        <f>'[1]March - 2023'!DS22</f>
        <v>8</v>
      </c>
      <c r="DQ22" s="235">
        <f>'[1]March - 2023'!DT22</f>
        <v>30693</v>
      </c>
      <c r="DR22" s="186">
        <f>'[1]March - 2023'!DU22</f>
        <v>6</v>
      </c>
      <c r="DS22" s="535"/>
      <c r="DT22" s="190">
        <f>'[1]March - 2023'!DW22</f>
        <v>7362.7</v>
      </c>
      <c r="DU22" s="201">
        <f>'[1]March - 2023'!DX22</f>
        <v>8.6999999999998181</v>
      </c>
      <c r="DV22" s="87">
        <f>'[1]March - 2023'!DY22</f>
        <v>12039.3</v>
      </c>
      <c r="DW22" s="195">
        <f>'[1]March - 2023'!DZ22</f>
        <v>8.3999999999996362</v>
      </c>
      <c r="DX22" s="87">
        <f>'[1]March - 2023'!EA22</f>
        <v>5391.2</v>
      </c>
      <c r="DY22" s="195">
        <f>'[1]March - 2023'!EB22</f>
        <v>4.5</v>
      </c>
      <c r="DZ22" s="87">
        <f>'[1]March - 2023'!EC22</f>
        <v>6016.7</v>
      </c>
      <c r="EA22" s="195">
        <f>'[1]March - 2023'!ED22</f>
        <v>6.5</v>
      </c>
      <c r="EB22" s="87">
        <f>'[1]March - 2023'!EE22</f>
        <v>1180711</v>
      </c>
      <c r="EC22" s="195">
        <f>'[1]March - 2023'!EF22</f>
        <v>600</v>
      </c>
      <c r="ED22" s="87">
        <f>'[1]March - 2023'!EI22</f>
        <v>245385.1</v>
      </c>
      <c r="EE22" s="208">
        <f>'[1]March - 2023'!EJ22</f>
        <v>125.70000000001164</v>
      </c>
      <c r="EF22" s="584"/>
      <c r="EG22" s="214">
        <f>'[1]March - 2023'!EL22</f>
        <v>12424300</v>
      </c>
      <c r="EH22" s="209">
        <f>'[1]March - 2023'!EM22</f>
        <v>4000</v>
      </c>
      <c r="EI22" s="86">
        <f>'[1]March - 2023'!EN22</f>
        <v>956730</v>
      </c>
      <c r="EJ22" s="209">
        <f>'[1]March - 2023'!EO22</f>
        <v>280</v>
      </c>
      <c r="EK22" s="86">
        <f>'[1]March - 2023'!EP22</f>
        <v>7337100</v>
      </c>
      <c r="EL22" s="209">
        <f>'[1]March - 2023'!EQ22</f>
        <v>1300</v>
      </c>
      <c r="EM22" s="86">
        <f>'[1]March - 2023'!ER22</f>
        <v>2529300</v>
      </c>
      <c r="EN22" s="209">
        <f>'[1]March - 2023'!ES22</f>
        <v>600</v>
      </c>
      <c r="EO22" s="86">
        <f>'[1]March - 2023'!ET22</f>
        <v>1334630</v>
      </c>
      <c r="EP22" s="209">
        <f>'[1]March - 2023'!EU22</f>
        <v>680</v>
      </c>
      <c r="EQ22" s="86">
        <f>'[1]March - 2023'!EV22</f>
        <v>16863700</v>
      </c>
      <c r="ER22" s="209">
        <f>'[1]March - 2023'!EW22</f>
        <v>5600</v>
      </c>
      <c r="ES22" s="562"/>
      <c r="ET22" s="256">
        <f>'[1]March - 2023'!EY22</f>
        <v>43593</v>
      </c>
      <c r="EU22" s="253">
        <f>'[1]March - 2023'!EZ22</f>
        <v>15</v>
      </c>
      <c r="EV22" s="257">
        <f>'[1]March - 2023'!FA22</f>
        <v>37955</v>
      </c>
      <c r="EW22" s="253">
        <f>'[1]March - 2023'!FB22</f>
        <v>11</v>
      </c>
      <c r="EX22" s="257">
        <f>'[1]March - 2023'!FC22</f>
        <v>8495</v>
      </c>
      <c r="EY22" s="253">
        <f>'[1]March - 2023'!FD22</f>
        <v>9</v>
      </c>
      <c r="EZ22" s="257">
        <f>'[1]March - 2023'!FE22</f>
        <v>60638</v>
      </c>
      <c r="FA22" s="253">
        <f>'[1]March - 2023'!FF22</f>
        <v>14</v>
      </c>
      <c r="FB22" s="257">
        <f>'[1]March - 2023'!FG22</f>
        <v>52717</v>
      </c>
      <c r="FC22" s="254">
        <f>'[1]March - 2023'!FH22</f>
        <v>29</v>
      </c>
      <c r="FD22" s="562"/>
      <c r="FE22" s="256">
        <f>'[1]March - 2023'!$FN22</f>
        <v>91798.343999999997</v>
      </c>
      <c r="FF22" s="271">
        <f t="shared" si="0"/>
        <v>116.8640000000014</v>
      </c>
      <c r="FG22" s="270">
        <f>'[1]March - 2023'!$FP22</f>
        <v>12435</v>
      </c>
      <c r="FH22" s="271">
        <f t="shared" si="0"/>
        <v>5</v>
      </c>
      <c r="FI22" s="275">
        <f>'[1]March - 2023'!$FR22</f>
        <v>11113</v>
      </c>
      <c r="FJ22" s="271">
        <f t="shared" si="0"/>
        <v>7</v>
      </c>
      <c r="FK22" s="275">
        <f>'[1]March - 2023'!$FT22</f>
        <v>8802</v>
      </c>
      <c r="FL22" s="271">
        <f t="shared" si="0"/>
        <v>6</v>
      </c>
      <c r="FM22" s="275">
        <f>'[1]March - 2023'!$FV22</f>
        <v>9159</v>
      </c>
      <c r="FN22" s="271">
        <f t="shared" si="0"/>
        <v>4</v>
      </c>
      <c r="FO22" s="257">
        <f>'[1]March - 2023'!$FJ22</f>
        <v>189.75</v>
      </c>
      <c r="FP22" s="271">
        <f t="shared" si="2"/>
        <v>2.0000000000010232E-2</v>
      </c>
      <c r="FQ22" s="257">
        <f>'[1]March - 2023'!$FL22</f>
        <v>264970.7</v>
      </c>
      <c r="FR22" s="253">
        <f t="shared" si="1"/>
        <v>211.20000000001164</v>
      </c>
    </row>
    <row r="23" spans="1:174" ht="30" customHeight="1" x14ac:dyDescent="0.25">
      <c r="A23" s="187">
        <v>44634</v>
      </c>
      <c r="B23" s="189">
        <f>'[1]March - 2023'!B23</f>
        <v>0.78</v>
      </c>
      <c r="C23" s="229">
        <f>'[1]March - 2023'!E23</f>
        <v>268652</v>
      </c>
      <c r="D23" s="152">
        <f>'[1]March - 2023'!F23</f>
        <v>626</v>
      </c>
      <c r="E23" s="150">
        <f>'[1]March - 2023'!G23</f>
        <v>771</v>
      </c>
      <c r="F23" s="150">
        <f>'[1]March - 2023'!H23</f>
        <v>284647</v>
      </c>
      <c r="G23" s="152">
        <f>'[1]March - 2023'!I23</f>
        <v>445</v>
      </c>
      <c r="H23" s="150">
        <f>'[1]March - 2023'!J23</f>
        <v>454</v>
      </c>
      <c r="I23" s="150">
        <f>'[1]March - 2023'!K23</f>
        <v>25665</v>
      </c>
      <c r="J23" s="152">
        <f>'[1]March - 2023'!L23</f>
        <v>213</v>
      </c>
      <c r="K23" s="150">
        <f>'[1]March - 2023'!N23</f>
        <v>939442</v>
      </c>
      <c r="L23" s="152">
        <f>'[1]March - 2023'!O23</f>
        <v>259</v>
      </c>
      <c r="M23" s="150">
        <f>'[1]March - 2023'!Q23</f>
        <v>246269</v>
      </c>
      <c r="N23" s="152">
        <f>'[1]March - 2023'!R23</f>
        <v>0</v>
      </c>
      <c r="O23" s="150">
        <f>'[1]March - 2023'!U23</f>
        <v>124076</v>
      </c>
      <c r="P23" s="152">
        <f>'[1]March - 2023'!V23</f>
        <v>115</v>
      </c>
      <c r="Q23" s="150">
        <f>'[1]March - 2023'!W23</f>
        <v>0.55000000000000004</v>
      </c>
      <c r="R23" s="150">
        <f>'[1]March - 2023'!X23</f>
        <v>7169</v>
      </c>
      <c r="S23" s="188">
        <f>'[1]March - 2023'!Y23</f>
        <v>12</v>
      </c>
      <c r="T23" s="484"/>
      <c r="U23" s="151">
        <f>'[1]March - 2023'!AE23</f>
        <v>8380716.959999999</v>
      </c>
      <c r="V23" s="218">
        <f>'[1]March - 2023'!AF23</f>
        <v>2728.3199999984354</v>
      </c>
      <c r="W23" s="88">
        <f>'[1]March - 2023'!AF23</f>
        <v>2728.3199999984354</v>
      </c>
      <c r="X23" s="233">
        <f>'[1]March - 2023'!AH23</f>
        <v>15911269.919999998</v>
      </c>
      <c r="Y23" s="218">
        <f>'[1]March - 2023'!AI23</f>
        <v>4677.1199999991804</v>
      </c>
      <c r="Z23" s="88">
        <f>'[1]March - 2023'!AI23</f>
        <v>4677.1199999991804</v>
      </c>
      <c r="AA23" s="233">
        <f>'[1]March - 2023'!AK23</f>
        <v>16046175.6</v>
      </c>
      <c r="AB23" s="218">
        <f>'[1]March - 2023'!AL23</f>
        <v>1412.8800000008196</v>
      </c>
      <c r="AC23" s="88">
        <f>'[1]March - 2023'!AL23</f>
        <v>1412.8800000008196</v>
      </c>
      <c r="AD23" s="233">
        <f>'[1]March - 2023'!AN23</f>
        <v>19205326.560000002</v>
      </c>
      <c r="AE23" s="218">
        <f>'[1]March - 2023'!AO23</f>
        <v>682.08000000193715</v>
      </c>
      <c r="AF23" s="88">
        <f>'[1]March - 2023'!AO23</f>
        <v>682.08000000193715</v>
      </c>
      <c r="AG23" s="233">
        <f>'[1]March - 2023'!AQ23</f>
        <v>19441667.280000001</v>
      </c>
      <c r="AH23" s="218">
        <f>'[1]March - 2023'!AR23</f>
        <v>9354.2400000020862</v>
      </c>
      <c r="AI23" s="88">
        <f>'[1]March - 2023'!AR23</f>
        <v>9354.2400000020862</v>
      </c>
      <c r="AJ23" s="233">
        <f>'[1]March - 2023'!AT23</f>
        <v>18082184.399999999</v>
      </c>
      <c r="AK23" s="218">
        <f>'[1]March - 2023'!AU23</f>
        <v>5505.359999999404</v>
      </c>
      <c r="AL23" s="88">
        <f>'[1]March - 2023'!AU23</f>
        <v>5505.359999999404</v>
      </c>
      <c r="AM23" s="233">
        <f>'[1]March - 2023'!AW23</f>
        <v>15173259.359999999</v>
      </c>
      <c r="AN23" s="218">
        <f>'[1]March - 2023'!AX23</f>
        <v>3654</v>
      </c>
      <c r="AO23" s="88">
        <f>'[1]March - 2023'!AX23</f>
        <v>3654</v>
      </c>
      <c r="AP23" s="233">
        <f>'[1]March - 2023'!AZ23</f>
        <v>14737020.48</v>
      </c>
      <c r="AQ23" s="218">
        <f>'[1]March - 2023'!BA23</f>
        <v>4287.3600000012666</v>
      </c>
      <c r="AR23" s="88">
        <f>'[1]March - 2023'!BA23</f>
        <v>4287.3600000012666</v>
      </c>
      <c r="AS23" s="233">
        <f>'[1]March - 2023'!BC23</f>
        <v>11467567.439999999</v>
      </c>
      <c r="AT23" s="218">
        <f>'[1]March - 2023'!BD23</f>
        <v>3020.640000000596</v>
      </c>
      <c r="AU23" s="88">
        <f>'[1]March - 2023'!BD23</f>
        <v>3020.640000000596</v>
      </c>
      <c r="AV23" s="233">
        <f>'[1]March - 2023'!BF23</f>
        <v>18237942.239999998</v>
      </c>
      <c r="AW23" s="230">
        <f>'[1]March - 2023'!BG23</f>
        <v>5310.4799999967217</v>
      </c>
      <c r="AX23" s="231">
        <f>'[1]March - 2023'!BG23</f>
        <v>5310.4799999967217</v>
      </c>
      <c r="AY23" s="501"/>
      <c r="AZ23" s="250">
        <f>'[1]March - 2023'!BM23</f>
        <v>79300000</v>
      </c>
      <c r="BA23" s="161">
        <f>'[1]March - 2023'!BN23</f>
        <v>6000</v>
      </c>
      <c r="BB23" s="89">
        <f>'[1]March - 2023'!BN23</f>
        <v>6000</v>
      </c>
      <c r="BC23" s="250">
        <f>'[1]March - 2023'!BP23</f>
        <v>82281800</v>
      </c>
      <c r="BD23" s="224">
        <f>'[1]March - 2023'!BQ23</f>
        <v>0</v>
      </c>
      <c r="BE23" s="89">
        <f>'[1]March - 2023'!BQ23</f>
        <v>0</v>
      </c>
      <c r="BF23" s="250">
        <f>'[1]March - 2023'!BS23</f>
        <v>76035000</v>
      </c>
      <c r="BG23" s="224">
        <f>'[1]March - 2023'!BT23</f>
        <v>53200</v>
      </c>
      <c r="BH23" s="89">
        <f>'[1]March - 2023'!BT23</f>
        <v>53200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51">
        <f>'[1]March - 2023'!BV23</f>
        <v>10884860</v>
      </c>
      <c r="BT23" s="166">
        <f>'[1]March - 2023'!BW23</f>
        <v>7570</v>
      </c>
      <c r="BU23" s="593"/>
      <c r="BV23" s="84">
        <f>'[1]March - 2023'!BY23</f>
        <v>0.78</v>
      </c>
      <c r="BW23" s="220">
        <f>'[1]March - 2023'!BZ23</f>
        <v>5.9999999999999942E-2</v>
      </c>
      <c r="BX23" s="84">
        <f>'[1]March - 2023'!BZ23</f>
        <v>5.9999999999999942E-2</v>
      </c>
      <c r="BY23" s="85">
        <f>'[1]March - 2023'!CB23</f>
        <v>66027</v>
      </c>
      <c r="BZ23" s="172">
        <f>'[1]March - 2023'!CC23</f>
        <v>15</v>
      </c>
      <c r="CA23" s="85">
        <f>'[1]March - 2023'!CD23</f>
        <v>57289</v>
      </c>
      <c r="CB23" s="172">
        <f>'[1]March - 2023'!CE23</f>
        <v>20</v>
      </c>
      <c r="CC23" s="85">
        <f>'[1]March - 2023'!CF23</f>
        <v>19349</v>
      </c>
      <c r="CD23" s="172">
        <f>'[1]March - 2023'!CG23</f>
        <v>6</v>
      </c>
      <c r="CE23" s="85">
        <f>'[1]March - 2023'!CH23</f>
        <v>26506</v>
      </c>
      <c r="CF23" s="172">
        <f>'[1]March - 2023'!CI23</f>
        <v>10</v>
      </c>
      <c r="CG23" s="85">
        <f>'[1]March - 2023'!CJ23</f>
        <v>29875</v>
      </c>
      <c r="CH23" s="172">
        <f>'[1]March - 2023'!CK23</f>
        <v>11</v>
      </c>
      <c r="CI23" s="85">
        <f>'[1]March - 2023'!CL23</f>
        <v>65880</v>
      </c>
      <c r="CJ23" s="172">
        <f>'[1]March - 2023'!CM23</f>
        <v>36</v>
      </c>
      <c r="CK23" s="85">
        <f>'[1]March - 2023'!CN23</f>
        <v>275365</v>
      </c>
      <c r="CL23" s="225">
        <f>'[1]March - 2023'!CO23</f>
        <v>80</v>
      </c>
      <c r="CM23" s="85">
        <f>'[1]March - 2023'!CO23</f>
        <v>80</v>
      </c>
      <c r="CN23" s="85">
        <f>'[1]March - 2023'!CQ23</f>
        <v>225917</v>
      </c>
      <c r="CO23" s="225">
        <f>'[1]March - 2023'!CR23</f>
        <v>115</v>
      </c>
      <c r="CP23" s="85">
        <f>'[1]March - 2023'!CR23</f>
        <v>115</v>
      </c>
      <c r="CQ23" s="85">
        <f>'[1]March - 2023'!CT23</f>
        <v>378457</v>
      </c>
      <c r="CR23" s="225">
        <f>'[1]March - 2023'!CU23</f>
        <v>96</v>
      </c>
      <c r="CS23" s="85">
        <f>'[1]March - 2023'!CU23</f>
        <v>96</v>
      </c>
      <c r="CT23" s="85">
        <f>'[1]March - 2023'!CW23</f>
        <v>711393</v>
      </c>
      <c r="CU23" s="172">
        <f>'[1]March - 2023'!CX23</f>
        <v>177</v>
      </c>
      <c r="CV23" s="519"/>
      <c r="CW23" s="234">
        <f>'[1]March - 2023'!CZ23</f>
        <v>9624</v>
      </c>
      <c r="CX23" s="179">
        <f>'[1]March - 2023'!DA23</f>
        <v>3</v>
      </c>
      <c r="CY23" s="235">
        <f>'[1]March - 2023'!DB23</f>
        <v>6520</v>
      </c>
      <c r="CZ23" s="179">
        <f>'[1]March - 2023'!DC23</f>
        <v>3</v>
      </c>
      <c r="DA23" s="235">
        <f>'[1]March - 2023'!DD23</f>
        <v>33687</v>
      </c>
      <c r="DB23" s="179">
        <f>'[1]March - 2023'!DE23</f>
        <v>17</v>
      </c>
      <c r="DC23" s="235">
        <f>'[1]March - 2023'!DF23</f>
        <v>33743</v>
      </c>
      <c r="DD23" s="179">
        <f>'[1]March - 2023'!DG23</f>
        <v>13</v>
      </c>
      <c r="DE23" s="235">
        <f>'[1]March - 2023'!DH23</f>
        <v>22785</v>
      </c>
      <c r="DF23" s="179">
        <f>'[1]March - 2023'!DI23</f>
        <v>8</v>
      </c>
      <c r="DG23" s="235">
        <f>'[1]March - 2023'!DJ23</f>
        <v>24561</v>
      </c>
      <c r="DH23" s="179">
        <f>'[1]March - 2023'!DK23</f>
        <v>6</v>
      </c>
      <c r="DI23" s="235">
        <f>'[1]March - 2023'!DL23</f>
        <v>8126</v>
      </c>
      <c r="DJ23" s="179">
        <f>'[1]March - 2023'!DM23</f>
        <v>10</v>
      </c>
      <c r="DK23" s="235">
        <f>'[1]March - 2023'!DN23</f>
        <v>10552</v>
      </c>
      <c r="DL23" s="179">
        <f>'[1]March - 2023'!DO23</f>
        <v>7</v>
      </c>
      <c r="DM23" s="235">
        <f>'[1]March - 2023'!DP23</f>
        <v>3696</v>
      </c>
      <c r="DN23" s="179">
        <f>'[1]March - 2023'!DQ23</f>
        <v>4</v>
      </c>
      <c r="DO23" s="235">
        <f>'[1]March - 2023'!DR23</f>
        <v>7236</v>
      </c>
      <c r="DP23" s="179">
        <f>'[1]March - 2023'!DS23</f>
        <v>8</v>
      </c>
      <c r="DQ23" s="235">
        <f>'[1]March - 2023'!DT23</f>
        <v>30700</v>
      </c>
      <c r="DR23" s="186">
        <f>'[1]March - 2023'!DU23</f>
        <v>7</v>
      </c>
      <c r="DS23" s="535"/>
      <c r="DT23" s="190">
        <f>'[1]March - 2023'!DW23</f>
        <v>7372.6</v>
      </c>
      <c r="DU23" s="201">
        <f>'[1]March - 2023'!DX23</f>
        <v>9.9000000000005457</v>
      </c>
      <c r="DV23" s="87">
        <f>'[1]March - 2023'!DY23</f>
        <v>12047.5</v>
      </c>
      <c r="DW23" s="195">
        <f>'[1]March - 2023'!DZ23</f>
        <v>8.2000000000007276</v>
      </c>
      <c r="DX23" s="87">
        <f>'[1]March - 2023'!EA23</f>
        <v>5396.5</v>
      </c>
      <c r="DY23" s="195">
        <f>'[1]March - 2023'!EB23</f>
        <v>5.3000000000001819</v>
      </c>
      <c r="DZ23" s="87">
        <f>'[1]March - 2023'!EC23</f>
        <v>6023.5</v>
      </c>
      <c r="EA23" s="195">
        <f>'[1]March - 2023'!ED23</f>
        <v>6.8000000000001819</v>
      </c>
      <c r="EB23" s="87">
        <f>'[1]March - 2023'!EE23</f>
        <v>1181297</v>
      </c>
      <c r="EC23" s="195">
        <f>'[1]March - 2023'!EF23</f>
        <v>586</v>
      </c>
      <c r="ED23" s="87">
        <f>'[1]March - 2023'!EI23</f>
        <v>245535.5</v>
      </c>
      <c r="EE23" s="208">
        <f>'[1]March - 2023'!EJ23</f>
        <v>150.39999999999418</v>
      </c>
      <c r="EF23" s="584"/>
      <c r="EG23" s="214">
        <f>'[1]March - 2023'!EL23</f>
        <v>12428200</v>
      </c>
      <c r="EH23" s="209">
        <f>'[1]March - 2023'!EM23</f>
        <v>3900</v>
      </c>
      <c r="EI23" s="86">
        <f>'[1]March - 2023'!EN23</f>
        <v>957010</v>
      </c>
      <c r="EJ23" s="209">
        <f>'[1]March - 2023'!EO23</f>
        <v>280</v>
      </c>
      <c r="EK23" s="86">
        <f>'[1]March - 2023'!EP23</f>
        <v>7338300</v>
      </c>
      <c r="EL23" s="209">
        <f>'[1]March - 2023'!EQ23</f>
        <v>1200</v>
      </c>
      <c r="EM23" s="86">
        <f>'[1]March - 2023'!ER23</f>
        <v>2529800</v>
      </c>
      <c r="EN23" s="209">
        <f>'[1]March - 2023'!ES23</f>
        <v>500</v>
      </c>
      <c r="EO23" s="86">
        <f>'[1]March - 2023'!ET23</f>
        <v>1335270</v>
      </c>
      <c r="EP23" s="209">
        <f>'[1]March - 2023'!EU23</f>
        <v>640</v>
      </c>
      <c r="EQ23" s="86">
        <f>'[1]March - 2023'!EV23</f>
        <v>16869400</v>
      </c>
      <c r="ER23" s="209">
        <f>'[1]March - 2023'!EW23</f>
        <v>5700</v>
      </c>
      <c r="ES23" s="562"/>
      <c r="ET23" s="256">
        <f>'[1]March - 2023'!EY23</f>
        <v>43608</v>
      </c>
      <c r="EU23" s="253">
        <f>'[1]March - 2023'!EZ23</f>
        <v>15</v>
      </c>
      <c r="EV23" s="257">
        <f>'[1]March - 2023'!FA23</f>
        <v>37966</v>
      </c>
      <c r="EW23" s="253">
        <f>'[1]March - 2023'!FB23</f>
        <v>11</v>
      </c>
      <c r="EX23" s="257">
        <f>'[1]March - 2023'!FC23</f>
        <v>8505</v>
      </c>
      <c r="EY23" s="253">
        <f>'[1]March - 2023'!FD23</f>
        <v>10</v>
      </c>
      <c r="EZ23" s="257">
        <f>'[1]March - 2023'!FE23</f>
        <v>60654</v>
      </c>
      <c r="FA23" s="253">
        <f>'[1]March - 2023'!FF23</f>
        <v>16</v>
      </c>
      <c r="FB23" s="257">
        <f>'[1]March - 2023'!FG23</f>
        <v>52747</v>
      </c>
      <c r="FC23" s="254">
        <f>'[1]March - 2023'!FH23</f>
        <v>30</v>
      </c>
      <c r="FD23" s="562"/>
      <c r="FE23" s="256">
        <f>'[1]March - 2023'!$FN23</f>
        <v>91930.566999999995</v>
      </c>
      <c r="FF23" s="271">
        <f t="shared" si="0"/>
        <v>132.22299999999814</v>
      </c>
      <c r="FG23" s="270">
        <f>'[1]March - 2023'!$FP23</f>
        <v>12435</v>
      </c>
      <c r="FH23" s="271">
        <f t="shared" si="0"/>
        <v>0</v>
      </c>
      <c r="FI23" s="275">
        <f>'[1]March - 2023'!$FR23</f>
        <v>11118</v>
      </c>
      <c r="FJ23" s="271">
        <f t="shared" si="0"/>
        <v>5</v>
      </c>
      <c r="FK23" s="275">
        <f>'[1]March - 2023'!$FT23</f>
        <v>8808</v>
      </c>
      <c r="FL23" s="271">
        <f t="shared" si="0"/>
        <v>6</v>
      </c>
      <c r="FM23" s="275">
        <f>'[1]March - 2023'!$FV23</f>
        <v>9163</v>
      </c>
      <c r="FN23" s="271">
        <f t="shared" si="0"/>
        <v>4</v>
      </c>
      <c r="FO23" s="257">
        <f>'[1]March - 2023'!$FJ23</f>
        <v>189.78</v>
      </c>
      <c r="FP23" s="271">
        <f t="shared" si="2"/>
        <v>3.0000000000001137E-2</v>
      </c>
      <c r="FQ23" s="257">
        <f>'[1]March - 2023'!$FL23</f>
        <v>265208.8</v>
      </c>
      <c r="FR23" s="253">
        <f t="shared" si="1"/>
        <v>238.09999999997672</v>
      </c>
    </row>
    <row r="24" spans="1:174" ht="30" customHeight="1" x14ac:dyDescent="0.25">
      <c r="A24" s="187">
        <v>44635</v>
      </c>
      <c r="B24" s="189">
        <f>'[1]March - 2023'!B24</f>
        <v>0.93</v>
      </c>
      <c r="C24" s="229">
        <f>'[1]March - 2023'!$E$24</f>
        <v>269291</v>
      </c>
      <c r="D24" s="152">
        <f>'[1]March - 2023'!F24</f>
        <v>639</v>
      </c>
      <c r="E24" s="150">
        <f>'[1]March - 2023'!G24</f>
        <v>731</v>
      </c>
      <c r="F24" s="150">
        <f>'[1]March - 2023'!H24</f>
        <v>285124</v>
      </c>
      <c r="G24" s="152">
        <f>'[1]March - 2023'!I24</f>
        <v>477</v>
      </c>
      <c r="H24" s="150">
        <f>'[1]March - 2023'!J24</f>
        <v>443</v>
      </c>
      <c r="I24" s="150">
        <f>'[1]March - 2023'!K24</f>
        <v>25829</v>
      </c>
      <c r="J24" s="152">
        <f>'[1]March - 2023'!L24</f>
        <v>164</v>
      </c>
      <c r="K24" s="150">
        <f>'[1]March - 2023'!N24</f>
        <v>939556</v>
      </c>
      <c r="L24" s="152">
        <f>'[1]March - 2023'!O24</f>
        <v>114</v>
      </c>
      <c r="M24" s="150">
        <f>'[1]March - 2023'!Q24</f>
        <v>246269</v>
      </c>
      <c r="N24" s="152">
        <f>'[1]March - 2023'!R24</f>
        <v>0</v>
      </c>
      <c r="O24" s="150">
        <f>'[1]March - 2023'!U24</f>
        <v>124192</v>
      </c>
      <c r="P24" s="152">
        <f>'[1]March - 2023'!V24</f>
        <v>116</v>
      </c>
      <c r="Q24" s="150">
        <f>'[1]March - 2023'!W24</f>
        <v>0.28000000000000003</v>
      </c>
      <c r="R24" s="150">
        <f>'[1]March - 2023'!X24</f>
        <v>7187</v>
      </c>
      <c r="S24" s="188">
        <f>'[1]March - 2023'!Y24</f>
        <v>18</v>
      </c>
      <c r="T24" s="484"/>
      <c r="U24" s="151">
        <f>'[1]March - 2023'!AE24</f>
        <v>8383494</v>
      </c>
      <c r="V24" s="218">
        <f>'[1]March - 2023'!AF24</f>
        <v>2777.0400000009686</v>
      </c>
      <c r="W24" s="88">
        <f>'[1]March - 2023'!AF24</f>
        <v>2777.0400000009686</v>
      </c>
      <c r="X24" s="233">
        <f>'[1]March - 2023'!AH24</f>
        <v>15916141.919999998</v>
      </c>
      <c r="Y24" s="218">
        <f>'[1]March - 2023'!AI24</f>
        <v>4872</v>
      </c>
      <c r="Z24" s="88">
        <f>'[1]March - 2023'!AI24</f>
        <v>4872</v>
      </c>
      <c r="AA24" s="233">
        <f>'[1]March - 2023'!AK24</f>
        <v>16055627.280000001</v>
      </c>
      <c r="AB24" s="218">
        <f>'[1]March - 2023'!AL24</f>
        <v>9451.6800000015646</v>
      </c>
      <c r="AC24" s="88">
        <f>'[1]March - 2023'!AL24</f>
        <v>9451.6800000015646</v>
      </c>
      <c r="AD24" s="233">
        <f>'[1]March - 2023'!AN24</f>
        <v>19207713.84</v>
      </c>
      <c r="AE24" s="218">
        <f>'[1]March - 2023'!AO24</f>
        <v>2387.2799999974668</v>
      </c>
      <c r="AF24" s="88">
        <f>'[1]March - 2023'!AO24</f>
        <v>2387.2799999974668</v>
      </c>
      <c r="AG24" s="233">
        <f>'[1]March - 2023'!AQ24</f>
        <v>19441959.599999998</v>
      </c>
      <c r="AH24" s="218">
        <f>'[1]March - 2023'!AR24</f>
        <v>292.31999999657273</v>
      </c>
      <c r="AI24" s="88">
        <f>'[1]March - 2023'!AR24</f>
        <v>292.31999999657273</v>
      </c>
      <c r="AJ24" s="233">
        <f>'[1]March - 2023'!AT24</f>
        <v>18087835.919999998</v>
      </c>
      <c r="AK24" s="218">
        <f>'[1]March - 2023'!AU24</f>
        <v>5651.519999999553</v>
      </c>
      <c r="AL24" s="88">
        <f>'[1]March - 2023'!AU24</f>
        <v>5651.519999999553</v>
      </c>
      <c r="AM24" s="233">
        <f>'[1]March - 2023'!AW24</f>
        <v>15177108.24</v>
      </c>
      <c r="AN24" s="218">
        <f>'[1]March - 2023'!AX24</f>
        <v>3848.8800000008196</v>
      </c>
      <c r="AO24" s="88">
        <f>'[1]March - 2023'!AX24</f>
        <v>3848.8800000008196</v>
      </c>
      <c r="AP24" s="233">
        <f>'[1]March - 2023'!AZ24</f>
        <v>14741551.439999999</v>
      </c>
      <c r="AQ24" s="218">
        <f>'[1]March - 2023'!BA24</f>
        <v>4530.9599999990314</v>
      </c>
      <c r="AR24" s="88">
        <f>'[1]March - 2023'!BA24</f>
        <v>4530.9599999990314</v>
      </c>
      <c r="AS24" s="233">
        <f>'[1]March - 2023'!BC24</f>
        <v>11470539.359999999</v>
      </c>
      <c r="AT24" s="218">
        <f>'[1]March - 2023'!BD24</f>
        <v>2971.9199999999255</v>
      </c>
      <c r="AU24" s="88">
        <f>'[1]March - 2023'!BD24</f>
        <v>2971.9199999999255</v>
      </c>
      <c r="AV24" s="233">
        <f>'[1]March - 2023'!BF24</f>
        <v>18243593.760000002</v>
      </c>
      <c r="AW24" s="230">
        <f>'[1]March - 2023'!BG24</f>
        <v>5651.5200000032783</v>
      </c>
      <c r="AX24" s="231">
        <f>'[1]March - 2023'!BG24</f>
        <v>5651.5200000032783</v>
      </c>
      <c r="AY24" s="501"/>
      <c r="AZ24" s="250">
        <f>'[1]March - 2023'!BM24</f>
        <v>79357000</v>
      </c>
      <c r="BA24" s="161">
        <f>'[1]March - 2023'!BN24</f>
        <v>57000</v>
      </c>
      <c r="BB24" s="89">
        <f>'[1]March - 2023'!BN24</f>
        <v>57000</v>
      </c>
      <c r="BC24" s="250">
        <f>'[1]March - 2023'!BP24</f>
        <v>82287300</v>
      </c>
      <c r="BD24" s="224">
        <f>'[1]March - 2023'!BQ24</f>
        <v>5500</v>
      </c>
      <c r="BE24" s="89">
        <f>'[1]March - 2023'!BQ24</f>
        <v>5500</v>
      </c>
      <c r="BF24" s="250">
        <f>'[1]March - 2023'!BS24</f>
        <v>76035000</v>
      </c>
      <c r="BG24" s="224">
        <f>'[1]March - 2023'!BT24</f>
        <v>0</v>
      </c>
      <c r="BH24" s="89">
        <f>'[1]March - 2023'!BT24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51">
        <f>'[1]March - 2023'!BV24</f>
        <v>10892820</v>
      </c>
      <c r="BT24" s="166">
        <f>'[1]March - 2023'!BW24</f>
        <v>7960</v>
      </c>
      <c r="BU24" s="593"/>
      <c r="BV24" s="84">
        <f>'[1]March - 2023'!BY24</f>
        <v>0.7</v>
      </c>
      <c r="BW24" s="220">
        <f>'[1]March - 2023'!BZ24</f>
        <v>8.0000000000000071E-2</v>
      </c>
      <c r="BX24" s="84">
        <f>'[1]March - 2023'!BZ24</f>
        <v>8.0000000000000071E-2</v>
      </c>
      <c r="BY24" s="85">
        <f>'[1]March - 2023'!CB24</f>
        <v>66042</v>
      </c>
      <c r="BZ24" s="172">
        <f>'[1]March - 2023'!CC24</f>
        <v>15</v>
      </c>
      <c r="CA24" s="85">
        <f>'[1]March - 2023'!CD24</f>
        <v>57310</v>
      </c>
      <c r="CB24" s="172">
        <f>'[1]March - 2023'!CE24</f>
        <v>21</v>
      </c>
      <c r="CC24" s="85">
        <f>'[1]March - 2023'!CF24</f>
        <v>19357</v>
      </c>
      <c r="CD24" s="172">
        <f>'[1]March - 2023'!CG24</f>
        <v>8</v>
      </c>
      <c r="CE24" s="85">
        <f>'[1]March - 2023'!CH24</f>
        <v>26515</v>
      </c>
      <c r="CF24" s="172">
        <f>'[1]March - 2023'!CI24</f>
        <v>9</v>
      </c>
      <c r="CG24" s="85">
        <f>'[1]March - 2023'!CJ24</f>
        <v>29886</v>
      </c>
      <c r="CH24" s="172">
        <f>'[1]March - 2023'!CK24</f>
        <v>11</v>
      </c>
      <c r="CI24" s="85">
        <f>'[1]March - 2023'!CL24</f>
        <v>65917</v>
      </c>
      <c r="CJ24" s="172">
        <f>'[1]March - 2023'!CM24</f>
        <v>37</v>
      </c>
      <c r="CK24" s="85">
        <f>'[1]March - 2023'!CN24</f>
        <v>275458</v>
      </c>
      <c r="CL24" s="225">
        <f>'[1]March - 2023'!CO24</f>
        <v>93</v>
      </c>
      <c r="CM24" s="85">
        <f>'[1]March - 2023'!CO24</f>
        <v>93</v>
      </c>
      <c r="CN24" s="85">
        <f>'[1]March - 2023'!CQ24</f>
        <v>226033</v>
      </c>
      <c r="CO24" s="225">
        <f>'[1]March - 2023'!CR24</f>
        <v>116</v>
      </c>
      <c r="CP24" s="85">
        <f>'[1]March - 2023'!CR24</f>
        <v>116</v>
      </c>
      <c r="CQ24" s="85">
        <f>'[1]March - 2023'!CT24</f>
        <v>378589</v>
      </c>
      <c r="CR24" s="225">
        <f>'[1]March - 2023'!CU24</f>
        <v>132</v>
      </c>
      <c r="CS24" s="85">
        <f>'[1]March - 2023'!CU24</f>
        <v>132</v>
      </c>
      <c r="CT24" s="85">
        <f>'[1]March - 2023'!CW24</f>
        <v>711587</v>
      </c>
      <c r="CU24" s="172">
        <f>'[1]March - 2023'!CX24</f>
        <v>194</v>
      </c>
      <c r="CV24" s="519"/>
      <c r="CW24" s="234">
        <f>'[1]March - 2023'!CZ24</f>
        <v>9627</v>
      </c>
      <c r="CX24" s="179">
        <f>'[1]March - 2023'!DA24</f>
        <v>3</v>
      </c>
      <c r="CY24" s="235">
        <f>'[1]March - 2023'!DB24</f>
        <v>6525</v>
      </c>
      <c r="CZ24" s="179">
        <f>'[1]March - 2023'!DC24</f>
        <v>5</v>
      </c>
      <c r="DA24" s="235">
        <f>'[1]March - 2023'!DD24</f>
        <v>33704</v>
      </c>
      <c r="DB24" s="179">
        <f>'[1]March - 2023'!DE24</f>
        <v>17</v>
      </c>
      <c r="DC24" s="235">
        <f>'[1]March - 2023'!DF24</f>
        <v>33755</v>
      </c>
      <c r="DD24" s="179">
        <f>'[1]March - 2023'!DG24</f>
        <v>12</v>
      </c>
      <c r="DE24" s="235">
        <f>'[1]March - 2023'!DH24</f>
        <v>22792</v>
      </c>
      <c r="DF24" s="179">
        <f>'[1]March - 2023'!DI24</f>
        <v>7</v>
      </c>
      <c r="DG24" s="235">
        <f>'[1]March - 2023'!DJ24</f>
        <v>24567</v>
      </c>
      <c r="DH24" s="179">
        <f>'[1]March - 2023'!DK24</f>
        <v>6</v>
      </c>
      <c r="DI24" s="235">
        <f>'[1]March - 2023'!DL24</f>
        <v>8133</v>
      </c>
      <c r="DJ24" s="179">
        <f>'[1]March - 2023'!DM24</f>
        <v>7</v>
      </c>
      <c r="DK24" s="235">
        <f>'[1]March - 2023'!DN24</f>
        <v>10567</v>
      </c>
      <c r="DL24" s="179">
        <f>'[1]March - 2023'!DO24</f>
        <v>15</v>
      </c>
      <c r="DM24" s="235">
        <f>'[1]March - 2023'!DP24</f>
        <v>3700</v>
      </c>
      <c r="DN24" s="179">
        <f>'[1]March - 2023'!DQ24</f>
        <v>4</v>
      </c>
      <c r="DO24" s="235">
        <f>'[1]March - 2023'!DR24</f>
        <v>7245</v>
      </c>
      <c r="DP24" s="179">
        <f>'[1]March - 2023'!DS24</f>
        <v>9</v>
      </c>
      <c r="DQ24" s="235">
        <f>'[1]March - 2023'!DT24</f>
        <v>30700</v>
      </c>
      <c r="DR24" s="186">
        <f>'[1]March - 2023'!DU24</f>
        <v>0</v>
      </c>
      <c r="DS24" s="535"/>
      <c r="DT24" s="190">
        <f>'[1]March - 2023'!DW24</f>
        <v>7382.9</v>
      </c>
      <c r="DU24" s="201">
        <f>'[1]March - 2023'!DX24</f>
        <v>10.299999999999272</v>
      </c>
      <c r="DV24" s="87">
        <f>'[1]March - 2023'!DY24</f>
        <v>12056.6</v>
      </c>
      <c r="DW24" s="195">
        <f>'[1]March - 2023'!DZ24</f>
        <v>9.1000000000003638</v>
      </c>
      <c r="DX24" s="87">
        <f>'[1]March - 2023'!EA24</f>
        <v>5402.3</v>
      </c>
      <c r="DY24" s="195">
        <f>'[1]March - 2023'!EB24</f>
        <v>5.8000000000001819</v>
      </c>
      <c r="DZ24" s="87">
        <f>'[1]March - 2023'!EC24</f>
        <v>6030.5</v>
      </c>
      <c r="EA24" s="195">
        <f>'[1]March - 2023'!ED24</f>
        <v>7</v>
      </c>
      <c r="EB24" s="87">
        <f>'[1]March - 2023'!EE24</f>
        <v>1181888</v>
      </c>
      <c r="EC24" s="195">
        <f>'[1]March - 2023'!EF24</f>
        <v>591</v>
      </c>
      <c r="ED24" s="87">
        <f>'[1]March - 2023'!EI24</f>
        <v>245695</v>
      </c>
      <c r="EE24" s="208">
        <f>'[1]March - 2023'!EJ24</f>
        <v>159.5</v>
      </c>
      <c r="EF24" s="584"/>
      <c r="EG24" s="214">
        <f>'[1]March - 2023'!EL24</f>
        <v>12432000</v>
      </c>
      <c r="EH24" s="209">
        <f>'[1]March - 2023'!EM24</f>
        <v>3800</v>
      </c>
      <c r="EI24" s="86">
        <f>'[1]March - 2023'!EN24</f>
        <v>957310</v>
      </c>
      <c r="EJ24" s="209">
        <f>'[1]March - 2023'!EO24</f>
        <v>300</v>
      </c>
      <c r="EK24" s="86">
        <f>'[1]March - 2023'!EP24</f>
        <v>7339700</v>
      </c>
      <c r="EL24" s="209">
        <f>'[1]March - 2023'!EQ24</f>
        <v>1400</v>
      </c>
      <c r="EM24" s="86">
        <f>'[1]March - 2023'!ER24</f>
        <v>2530400</v>
      </c>
      <c r="EN24" s="209">
        <f>'[1]March - 2023'!ES24</f>
        <v>600</v>
      </c>
      <c r="EO24" s="86">
        <f>'[1]March - 2023'!ET24</f>
        <v>1335940</v>
      </c>
      <c r="EP24" s="209">
        <f>'[1]March - 2023'!EU24</f>
        <v>670</v>
      </c>
      <c r="EQ24" s="86">
        <f>'[1]March - 2023'!EV24</f>
        <v>16875500</v>
      </c>
      <c r="ER24" s="209">
        <f>'[1]March - 2023'!EW24</f>
        <v>6100</v>
      </c>
      <c r="ES24" s="562"/>
      <c r="ET24" s="256">
        <f>'[1]March - 2023'!EY24</f>
        <v>43624</v>
      </c>
      <c r="EU24" s="253">
        <f>'[1]March - 2023'!EZ24</f>
        <v>16</v>
      </c>
      <c r="EV24" s="257">
        <f>'[1]March - 2023'!FA24</f>
        <v>37978</v>
      </c>
      <c r="EW24" s="253">
        <f>'[1]March - 2023'!FB24</f>
        <v>12</v>
      </c>
      <c r="EX24" s="257">
        <f>'[1]March - 2023'!FC24</f>
        <v>8514</v>
      </c>
      <c r="EY24" s="253">
        <f>'[1]March - 2023'!FD24</f>
        <v>9</v>
      </c>
      <c r="EZ24" s="257">
        <f>'[1]March - 2023'!FE24</f>
        <v>60669</v>
      </c>
      <c r="FA24" s="253">
        <f>'[1]March - 2023'!FF24</f>
        <v>15</v>
      </c>
      <c r="FB24" s="257">
        <f>'[1]March - 2023'!FG24</f>
        <v>52784</v>
      </c>
      <c r="FC24" s="254">
        <f>'[1]March - 2023'!FH24</f>
        <v>37</v>
      </c>
      <c r="FD24" s="562"/>
      <c r="FE24" s="256">
        <f>'[1]March - 2023'!$FN24</f>
        <v>92065.831999999995</v>
      </c>
      <c r="FF24" s="271">
        <f t="shared" si="0"/>
        <v>135.26499999999942</v>
      </c>
      <c r="FG24" s="270">
        <f>'[1]March - 2023'!$FP24</f>
        <v>12435</v>
      </c>
      <c r="FH24" s="271">
        <f t="shared" si="0"/>
        <v>0</v>
      </c>
      <c r="FI24" s="275">
        <f>'[1]March - 2023'!$FR24</f>
        <v>11122</v>
      </c>
      <c r="FJ24" s="271">
        <f t="shared" si="0"/>
        <v>4</v>
      </c>
      <c r="FK24" s="275">
        <f>'[1]March - 2023'!$FT24</f>
        <v>8811</v>
      </c>
      <c r="FL24" s="271">
        <f t="shared" si="0"/>
        <v>3</v>
      </c>
      <c r="FM24" s="275">
        <f>'[1]March - 2023'!$FV24</f>
        <v>9166</v>
      </c>
      <c r="FN24" s="271">
        <f t="shared" si="0"/>
        <v>3</v>
      </c>
      <c r="FO24" s="257">
        <f>'[1]March - 2023'!$FJ24</f>
        <v>189.83</v>
      </c>
      <c r="FP24" s="271">
        <f t="shared" si="2"/>
        <v>5.0000000000011369E-2</v>
      </c>
      <c r="FQ24" s="257">
        <f>'[1]March - 2023'!$FL24</f>
        <v>265496</v>
      </c>
      <c r="FR24" s="253">
        <f t="shared" si="1"/>
        <v>287.20000000001164</v>
      </c>
    </row>
    <row r="25" spans="1:174" ht="30" customHeight="1" x14ac:dyDescent="0.25">
      <c r="A25" s="187">
        <v>44636</v>
      </c>
      <c r="B25" s="189">
        <f>'[1]March - 2023'!B25</f>
        <v>0.94</v>
      </c>
      <c r="C25" s="229">
        <f>'[1]March - 2023'!E25</f>
        <v>269918</v>
      </c>
      <c r="D25" s="152">
        <f>'[1]March - 2023'!F25</f>
        <v>627</v>
      </c>
      <c r="E25" s="150">
        <f>'[1]March - 2023'!G25</f>
        <v>691</v>
      </c>
      <c r="F25" s="150">
        <f>'[1]March - 2023'!H25</f>
        <v>285575</v>
      </c>
      <c r="G25" s="152">
        <f>'[1]March - 2023'!I25</f>
        <v>451</v>
      </c>
      <c r="H25" s="150">
        <f>'[1]March - 2023'!J25</f>
        <v>482</v>
      </c>
      <c r="I25" s="150">
        <f>'[1]March - 2023'!K25</f>
        <v>26090</v>
      </c>
      <c r="J25" s="152">
        <f>'[1]March - 2023'!L25</f>
        <v>261</v>
      </c>
      <c r="K25" s="150">
        <f>'[1]March - 2023'!N25</f>
        <v>939823</v>
      </c>
      <c r="L25" s="152">
        <f>'[1]March - 2023'!O25</f>
        <v>267</v>
      </c>
      <c r="M25" s="150">
        <f>'[1]March - 2023'!Q25</f>
        <v>246269</v>
      </c>
      <c r="N25" s="152">
        <f>'[1]March - 2023'!R25</f>
        <v>0</v>
      </c>
      <c r="O25" s="150">
        <f>'[1]March - 2023'!U25</f>
        <v>124314</v>
      </c>
      <c r="P25" s="152">
        <f>'[1]March - 2023'!V25</f>
        <v>122</v>
      </c>
      <c r="Q25" s="150">
        <f>'[1]March - 2023'!W25</f>
        <v>1.222</v>
      </c>
      <c r="R25" s="150">
        <f>'[1]March - 2023'!X25</f>
        <v>7204</v>
      </c>
      <c r="S25" s="188">
        <f>'[1]March - 2023'!Y25</f>
        <v>17</v>
      </c>
      <c r="T25" s="484"/>
      <c r="U25" s="151">
        <f>'[1]March - 2023'!AE25</f>
        <v>8386173.5999999996</v>
      </c>
      <c r="V25" s="218">
        <f>'[1]March - 2023'!AF25</f>
        <v>2679.5999999996275</v>
      </c>
      <c r="W25" s="88">
        <f>'[1]March - 2023'!AF25</f>
        <v>2679.5999999996275</v>
      </c>
      <c r="X25" s="233">
        <f>'[1]March - 2023'!AH25</f>
        <v>15920624.16</v>
      </c>
      <c r="Y25" s="218">
        <f>'[1]March - 2023'!AI25</f>
        <v>4482.2400000020862</v>
      </c>
      <c r="Z25" s="88">
        <f>'[1]March - 2023'!AI25</f>
        <v>4482.2400000020862</v>
      </c>
      <c r="AA25" s="233">
        <f>'[1]March - 2023'!AK25</f>
        <v>16055627.280000001</v>
      </c>
      <c r="AB25" s="218">
        <f>'[1]March - 2023'!AL25</f>
        <v>0</v>
      </c>
      <c r="AC25" s="88">
        <f>'[1]March - 2023'!AL25</f>
        <v>0</v>
      </c>
      <c r="AD25" s="233">
        <f>'[1]March - 2023'!AN25</f>
        <v>19218091.199999999</v>
      </c>
      <c r="AE25" s="218">
        <f>'[1]March - 2023'!AO25</f>
        <v>10377.359999999404</v>
      </c>
      <c r="AF25" s="88">
        <f>'[1]March - 2023'!AO25</f>
        <v>10377.359999999404</v>
      </c>
      <c r="AG25" s="233">
        <f>'[1]March - 2023'!AQ25</f>
        <v>19443810.960000001</v>
      </c>
      <c r="AH25" s="218">
        <f>'[1]March - 2023'!AR25</f>
        <v>1851.3600000031292</v>
      </c>
      <c r="AI25" s="88">
        <f>'[1]March - 2023'!AR25</f>
        <v>1851.3600000031292</v>
      </c>
      <c r="AJ25" s="233">
        <f>'[1]March - 2023'!AT25</f>
        <v>18093000.239999998</v>
      </c>
      <c r="AK25" s="218">
        <f>'[1]March - 2023'!AU25</f>
        <v>5164.320000000298</v>
      </c>
      <c r="AL25" s="88">
        <f>'[1]March - 2023'!AU25</f>
        <v>5164.320000000298</v>
      </c>
      <c r="AM25" s="233">
        <f>'[1]March - 2023'!AW25</f>
        <v>15180957.119999999</v>
      </c>
      <c r="AN25" s="218">
        <f>'[1]March - 2023'!AX25</f>
        <v>3848.8799999989569</v>
      </c>
      <c r="AO25" s="88">
        <f>'[1]March - 2023'!AX25</f>
        <v>3848.8799999989569</v>
      </c>
      <c r="AP25" s="233">
        <f>'[1]March - 2023'!AZ25</f>
        <v>14746033.68</v>
      </c>
      <c r="AQ25" s="218">
        <f>'[1]March - 2023'!BA25</f>
        <v>4482.2400000002235</v>
      </c>
      <c r="AR25" s="88">
        <f>'[1]March - 2023'!BA25</f>
        <v>4482.2400000002235</v>
      </c>
      <c r="AS25" s="233">
        <f>'[1]March - 2023'!BC25</f>
        <v>11473511.280000001</v>
      </c>
      <c r="AT25" s="218">
        <f>'[1]March - 2023'!BD25</f>
        <v>2971.9200000017881</v>
      </c>
      <c r="AU25" s="88">
        <f>'[1]March - 2023'!BD25</f>
        <v>2971.9200000017881</v>
      </c>
      <c r="AV25" s="233">
        <f>'[1]March - 2023'!BF25</f>
        <v>18249001.68</v>
      </c>
      <c r="AW25" s="230">
        <f>'[1]March - 2023'!BG25</f>
        <v>5407.9199999980628</v>
      </c>
      <c r="AX25" s="231">
        <f>'[1]March - 2023'!BG25</f>
        <v>5407.9199999980628</v>
      </c>
      <c r="AY25" s="501"/>
      <c r="AZ25" s="250">
        <f>'[1]March - 2023'!BM25</f>
        <v>79357000</v>
      </c>
      <c r="BA25" s="161">
        <f>'[1]March - 2023'!BN25</f>
        <v>0</v>
      </c>
      <c r="BB25" s="89">
        <f>'[1]March - 2023'!BN25</f>
        <v>0</v>
      </c>
      <c r="BC25" s="250">
        <f>'[1]March - 2023'!BP25</f>
        <v>82345900</v>
      </c>
      <c r="BD25" s="224">
        <f>'[1]March - 2023'!BQ25</f>
        <v>58600</v>
      </c>
      <c r="BE25" s="89">
        <f>'[1]March - 2023'!BQ25</f>
        <v>58600</v>
      </c>
      <c r="BF25" s="250">
        <f>'[1]March - 2023'!BS25</f>
        <v>76041600</v>
      </c>
      <c r="BG25" s="224">
        <f>'[1]March - 2023'!BT25</f>
        <v>6600</v>
      </c>
      <c r="BH25" s="89">
        <f>'[1]March - 2023'!BT25</f>
        <v>6600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51">
        <f>'[1]March - 2023'!BV25</f>
        <v>10900180</v>
      </c>
      <c r="BT25" s="166">
        <f>'[1]March - 2023'!BW25</f>
        <v>7360</v>
      </c>
      <c r="BU25" s="593"/>
      <c r="BV25" s="84">
        <f>'[1]March - 2023'!BY25</f>
        <v>0.79</v>
      </c>
      <c r="BW25" s="220">
        <f>'[1]March - 2023'!BZ25</f>
        <v>-9.000000000000008E-2</v>
      </c>
      <c r="BX25" s="84">
        <f>'[1]March - 2023'!BZ25</f>
        <v>-9.000000000000008E-2</v>
      </c>
      <c r="BY25" s="85">
        <f>'[1]March - 2023'!CB25</f>
        <v>66059</v>
      </c>
      <c r="BZ25" s="172">
        <f>'[1]March - 2023'!CC25</f>
        <v>17</v>
      </c>
      <c r="CA25" s="85">
        <f>'[1]March - 2023'!CD25</f>
        <v>57330</v>
      </c>
      <c r="CB25" s="172">
        <f>'[1]March - 2023'!CE25</f>
        <v>20</v>
      </c>
      <c r="CC25" s="85">
        <f>'[1]March - 2023'!CF25</f>
        <v>19363</v>
      </c>
      <c r="CD25" s="172">
        <f>'[1]March - 2023'!CG25</f>
        <v>6</v>
      </c>
      <c r="CE25" s="85">
        <f>'[1]March - 2023'!CH25</f>
        <v>26525</v>
      </c>
      <c r="CF25" s="172">
        <f>'[1]March - 2023'!CI25</f>
        <v>10</v>
      </c>
      <c r="CG25" s="85">
        <f>'[1]March - 2023'!CJ25</f>
        <v>29896</v>
      </c>
      <c r="CH25" s="172">
        <f>'[1]March - 2023'!CK25</f>
        <v>10</v>
      </c>
      <c r="CI25" s="85">
        <f>'[1]March - 2023'!CL25</f>
        <v>65951</v>
      </c>
      <c r="CJ25" s="172">
        <f>'[1]March - 2023'!CM25</f>
        <v>34</v>
      </c>
      <c r="CK25" s="85">
        <f>'[1]March - 2023'!CN25</f>
        <v>275534</v>
      </c>
      <c r="CL25" s="225">
        <f>'[1]March - 2023'!CO25</f>
        <v>76</v>
      </c>
      <c r="CM25" s="85">
        <f>'[1]March - 2023'!CO25</f>
        <v>76</v>
      </c>
      <c r="CN25" s="85">
        <f>'[1]March - 2023'!CQ25</f>
        <v>226154</v>
      </c>
      <c r="CO25" s="225">
        <f>'[1]March - 2023'!CR25</f>
        <v>121</v>
      </c>
      <c r="CP25" s="85">
        <f>'[1]March - 2023'!CR25</f>
        <v>121</v>
      </c>
      <c r="CQ25" s="85">
        <f>'[1]March - 2023'!CT25</f>
        <v>378690</v>
      </c>
      <c r="CR25" s="225">
        <f>'[1]March - 2023'!CU25</f>
        <v>101</v>
      </c>
      <c r="CS25" s="85">
        <f>'[1]March - 2023'!CU25</f>
        <v>101</v>
      </c>
      <c r="CT25" s="85">
        <f>'[1]March - 2023'!CW25</f>
        <v>711760</v>
      </c>
      <c r="CU25" s="172">
        <f>'[1]March - 2023'!CX25</f>
        <v>173</v>
      </c>
      <c r="CV25" s="519"/>
      <c r="CW25" s="234">
        <f>'[1]March - 2023'!CZ25</f>
        <v>9630</v>
      </c>
      <c r="CX25" s="179">
        <f>'[1]March - 2023'!DA25</f>
        <v>3</v>
      </c>
      <c r="CY25" s="235">
        <f>'[1]March - 2023'!DB25</f>
        <v>6528</v>
      </c>
      <c r="CZ25" s="179">
        <f>'[1]March - 2023'!DC25</f>
        <v>3</v>
      </c>
      <c r="DA25" s="235">
        <f>'[1]March - 2023'!DD25</f>
        <v>33720</v>
      </c>
      <c r="DB25" s="179">
        <f>'[1]March - 2023'!DE25</f>
        <v>16</v>
      </c>
      <c r="DC25" s="235">
        <f>'[1]March - 2023'!DF25</f>
        <v>33767</v>
      </c>
      <c r="DD25" s="179">
        <f>'[1]March - 2023'!DG25</f>
        <v>12</v>
      </c>
      <c r="DE25" s="235">
        <f>'[1]March - 2023'!DH25</f>
        <v>22799</v>
      </c>
      <c r="DF25" s="179">
        <f>'[1]March - 2023'!DI25</f>
        <v>7</v>
      </c>
      <c r="DG25" s="235">
        <f>'[1]March - 2023'!DJ25</f>
        <v>24574</v>
      </c>
      <c r="DH25" s="179">
        <f>'[1]March - 2023'!DK25</f>
        <v>7</v>
      </c>
      <c r="DI25" s="235">
        <f>'[1]March - 2023'!DL25</f>
        <v>8142</v>
      </c>
      <c r="DJ25" s="179">
        <f>'[1]March - 2023'!DM25</f>
        <v>9</v>
      </c>
      <c r="DK25" s="235">
        <f>'[1]March - 2023'!DN25</f>
        <v>10570</v>
      </c>
      <c r="DL25" s="179">
        <f>'[1]March - 2023'!DO25</f>
        <v>3</v>
      </c>
      <c r="DM25" s="235">
        <f>'[1]March - 2023'!DP25</f>
        <v>3704</v>
      </c>
      <c r="DN25" s="179">
        <f>'[1]March - 2023'!DQ25</f>
        <v>4</v>
      </c>
      <c r="DO25" s="235">
        <f>'[1]March - 2023'!DR25</f>
        <v>7254</v>
      </c>
      <c r="DP25" s="179">
        <f>'[1]March - 2023'!DS25</f>
        <v>9</v>
      </c>
      <c r="DQ25" s="235">
        <f>'[1]March - 2023'!DT25</f>
        <v>30706</v>
      </c>
      <c r="DR25" s="186">
        <f>'[1]March - 2023'!DU25</f>
        <v>6</v>
      </c>
      <c r="DS25" s="535"/>
      <c r="DT25" s="190">
        <f>'[1]March - 2023'!DW25</f>
        <v>7392.8</v>
      </c>
      <c r="DU25" s="201">
        <f>'[1]March - 2023'!DX25</f>
        <v>9.9000000000005457</v>
      </c>
      <c r="DV25" s="87">
        <f>'[1]March - 2023'!DY25</f>
        <v>12064.5</v>
      </c>
      <c r="DW25" s="195">
        <f>'[1]March - 2023'!DZ25</f>
        <v>7.8999999999996362</v>
      </c>
      <c r="DX25" s="87">
        <f>'[1]March - 2023'!EA25</f>
        <v>5407.5</v>
      </c>
      <c r="DY25" s="195">
        <f>'[1]March - 2023'!EB25</f>
        <v>5.1999999999998181</v>
      </c>
      <c r="DZ25" s="87">
        <f>'[1]March - 2023'!EC25</f>
        <v>6037.1</v>
      </c>
      <c r="EA25" s="195">
        <f>'[1]March - 2023'!ED25</f>
        <v>6.6000000000003638</v>
      </c>
      <c r="EB25" s="87">
        <f>'[1]March - 2023'!EE25</f>
        <v>1182509</v>
      </c>
      <c r="EC25" s="195">
        <f>'[1]March - 2023'!EF25</f>
        <v>621</v>
      </c>
      <c r="ED25" s="87">
        <f>'[1]March - 2023'!EI25</f>
        <v>245837.2</v>
      </c>
      <c r="EE25" s="208">
        <f>'[1]March - 2023'!EJ25</f>
        <v>142.20000000001164</v>
      </c>
      <c r="EF25" s="584"/>
      <c r="EG25" s="214">
        <f>'[1]March - 2023'!EL25</f>
        <v>12435900</v>
      </c>
      <c r="EH25" s="209">
        <f>'[1]March - 2023'!EM25</f>
        <v>3900</v>
      </c>
      <c r="EI25" s="86">
        <f>'[1]March - 2023'!EN25</f>
        <v>957610</v>
      </c>
      <c r="EJ25" s="209">
        <f>'[1]March - 2023'!EO25</f>
        <v>300</v>
      </c>
      <c r="EK25" s="86">
        <f>'[1]March - 2023'!EP25</f>
        <v>7341000</v>
      </c>
      <c r="EL25" s="209">
        <f>'[1]March - 2023'!EQ25</f>
        <v>1300</v>
      </c>
      <c r="EM25" s="86">
        <f>'[1]March - 2023'!ER25</f>
        <v>2531000</v>
      </c>
      <c r="EN25" s="209">
        <f>'[1]March - 2023'!ES25</f>
        <v>600</v>
      </c>
      <c r="EO25" s="86">
        <f>'[1]March - 2023'!ET25</f>
        <v>1336610</v>
      </c>
      <c r="EP25" s="209">
        <f>'[1]March - 2023'!EU25</f>
        <v>670</v>
      </c>
      <c r="EQ25" s="86">
        <f>'[1]March - 2023'!EV25</f>
        <v>16881100</v>
      </c>
      <c r="ER25" s="209">
        <f>'[1]March - 2023'!EW25</f>
        <v>5600</v>
      </c>
      <c r="ES25" s="562"/>
      <c r="ET25" s="256">
        <f>'[1]March - 2023'!EY25</f>
        <v>43638</v>
      </c>
      <c r="EU25" s="253">
        <f>'[1]March - 2023'!EZ25</f>
        <v>14</v>
      </c>
      <c r="EV25" s="257">
        <f>'[1]March - 2023'!FA25</f>
        <v>37989</v>
      </c>
      <c r="EW25" s="253">
        <f>'[1]March - 2023'!FB25</f>
        <v>11</v>
      </c>
      <c r="EX25" s="257">
        <f>'[1]March - 2023'!FC25</f>
        <v>8523</v>
      </c>
      <c r="EY25" s="253">
        <f>'[1]March - 2023'!FD25</f>
        <v>9</v>
      </c>
      <c r="EZ25" s="257">
        <f>'[1]March - 2023'!FE25</f>
        <v>60686</v>
      </c>
      <c r="FA25" s="253">
        <f>'[1]March - 2023'!FF25</f>
        <v>17</v>
      </c>
      <c r="FB25" s="257">
        <f>'[1]March - 2023'!FG25</f>
        <v>52815</v>
      </c>
      <c r="FC25" s="254">
        <f>'[1]March - 2023'!FH25</f>
        <v>31</v>
      </c>
      <c r="FD25" s="562"/>
      <c r="FE25" s="256">
        <f>'[1]March - 2023'!$FN25</f>
        <v>92193.107000000004</v>
      </c>
      <c r="FF25" s="271">
        <f t="shared" si="0"/>
        <v>127.27500000000873</v>
      </c>
      <c r="FG25" s="270">
        <f>'[1]March - 2023'!$FP25</f>
        <v>12444</v>
      </c>
      <c r="FH25" s="271">
        <f t="shared" si="0"/>
        <v>9</v>
      </c>
      <c r="FI25" s="275">
        <f>'[1]March - 2023'!$FR25</f>
        <v>11127</v>
      </c>
      <c r="FJ25" s="271">
        <f t="shared" si="0"/>
        <v>5</v>
      </c>
      <c r="FK25" s="275">
        <f>'[1]March - 2023'!$FT25</f>
        <v>8816</v>
      </c>
      <c r="FL25" s="271">
        <f t="shared" si="0"/>
        <v>5</v>
      </c>
      <c r="FM25" s="275">
        <f>'[1]March - 2023'!$FV25</f>
        <v>9170</v>
      </c>
      <c r="FN25" s="271">
        <f t="shared" si="0"/>
        <v>4</v>
      </c>
      <c r="FO25" s="257">
        <f>'[1]March - 2023'!$FJ25</f>
        <v>189.87</v>
      </c>
      <c r="FP25" s="271">
        <f t="shared" si="2"/>
        <v>3.9999999999992042E-2</v>
      </c>
      <c r="FQ25" s="257">
        <f>'[1]March - 2023'!$FL25</f>
        <v>265743.59999999998</v>
      </c>
      <c r="FR25" s="253">
        <f t="shared" si="1"/>
        <v>247.59999999997672</v>
      </c>
    </row>
    <row r="26" spans="1:174" ht="30" customHeight="1" x14ac:dyDescent="0.25">
      <c r="A26" s="187">
        <v>44637</v>
      </c>
      <c r="B26" s="189">
        <f>'[1]March - 2023'!B26</f>
        <v>0.96</v>
      </c>
      <c r="C26" s="229">
        <f>'[1]March - 2023'!E26</f>
        <v>270609</v>
      </c>
      <c r="D26" s="152">
        <f>'[1]March - 2023'!F26</f>
        <v>691</v>
      </c>
      <c r="E26" s="150">
        <f>'[1]March - 2023'!G26</f>
        <v>800</v>
      </c>
      <c r="F26" s="150">
        <f>'[1]March - 2023'!H26</f>
        <v>286108</v>
      </c>
      <c r="G26" s="152">
        <f>'[1]March - 2023'!I26</f>
        <v>533</v>
      </c>
      <c r="H26" s="150">
        <f>'[1]March - 2023'!J26</f>
        <v>493</v>
      </c>
      <c r="I26" s="150">
        <f>'[1]March - 2023'!K26</f>
        <v>26241</v>
      </c>
      <c r="J26" s="152">
        <f>'[1]March - 2023'!L26</f>
        <v>151</v>
      </c>
      <c r="K26" s="150">
        <f>'[1]March - 2023'!N26</f>
        <v>939953</v>
      </c>
      <c r="L26" s="152">
        <f>'[1]March - 2023'!O26</f>
        <v>130</v>
      </c>
      <c r="M26" s="150">
        <f>'[1]March - 2023'!Q26</f>
        <v>246269</v>
      </c>
      <c r="N26" s="152">
        <f>'[1]March - 2023'!R26</f>
        <v>0</v>
      </c>
      <c r="O26" s="150">
        <f>'[1]March - 2023'!U26</f>
        <v>124421</v>
      </c>
      <c r="P26" s="152">
        <f>'[1]March - 2023'!V26</f>
        <v>107</v>
      </c>
      <c r="Q26" s="150">
        <f>'[1]March - 2023'!W26</f>
        <v>4.9240000000000004</v>
      </c>
      <c r="R26" s="150">
        <f>'[1]March - 2023'!X26</f>
        <v>7219</v>
      </c>
      <c r="S26" s="188">
        <f>'[1]March - 2023'!Y26</f>
        <v>15</v>
      </c>
      <c r="T26" s="484"/>
      <c r="U26" s="151">
        <f>'[1]March - 2023'!AE26</f>
        <v>8388901.9199999999</v>
      </c>
      <c r="V26" s="218">
        <f>'[1]March - 2023'!AF26</f>
        <v>2728.320000000298</v>
      </c>
      <c r="W26" s="88">
        <f>'[1]March - 2023'!AF26</f>
        <v>2728.320000000298</v>
      </c>
      <c r="X26" s="233">
        <f>'[1]March - 2023'!AH26</f>
        <v>15925496.16</v>
      </c>
      <c r="Y26" s="218">
        <f>'[1]March - 2023'!AI26</f>
        <v>4872</v>
      </c>
      <c r="Z26" s="88">
        <f>'[1]March - 2023'!AI26</f>
        <v>4872</v>
      </c>
      <c r="AA26" s="233">
        <f>'[1]March - 2023'!AK26</f>
        <v>16056942.719999999</v>
      </c>
      <c r="AB26" s="218">
        <f>'[1]March - 2023'!AL26</f>
        <v>1315.4399999976158</v>
      </c>
      <c r="AC26" s="88">
        <f>'[1]March - 2023'!AL26</f>
        <v>1315.4399999976158</v>
      </c>
      <c r="AD26" s="233">
        <f>'[1]March - 2023'!AN26</f>
        <v>19218822</v>
      </c>
      <c r="AE26" s="218">
        <f>'[1]March - 2023'!AO26</f>
        <v>730.80000000074506</v>
      </c>
      <c r="AF26" s="88">
        <f>'[1]March - 2023'!AO26</f>
        <v>730.80000000074506</v>
      </c>
      <c r="AG26" s="233">
        <f>'[1]March - 2023'!AQ26</f>
        <v>19453311.359999999</v>
      </c>
      <c r="AH26" s="218">
        <f>'[1]March - 2023'!AR26</f>
        <v>9500.3999999985099</v>
      </c>
      <c r="AI26" s="88">
        <f>'[1]March - 2023'!AR26</f>
        <v>9500.3999999985099</v>
      </c>
      <c r="AJ26" s="233">
        <f>'[1]March - 2023'!AT26</f>
        <v>18098554.32</v>
      </c>
      <c r="AK26" s="218">
        <f>'[1]March - 2023'!AU26</f>
        <v>5554.0800000019372</v>
      </c>
      <c r="AL26" s="88">
        <f>'[1]March - 2023'!AU26</f>
        <v>5554.0800000019372</v>
      </c>
      <c r="AM26" s="233">
        <f>'[1]March - 2023'!AW26</f>
        <v>15185147.039999999</v>
      </c>
      <c r="AN26" s="218">
        <f>'[1]March - 2023'!AX26</f>
        <v>4189.9199999999255</v>
      </c>
      <c r="AO26" s="88">
        <f>'[1]March - 2023'!AX26</f>
        <v>4189.9199999999255</v>
      </c>
      <c r="AP26" s="233">
        <f>'[1]March - 2023'!AZ26</f>
        <v>14750759.52</v>
      </c>
      <c r="AQ26" s="218">
        <f>'[1]March - 2023'!BA26</f>
        <v>4725.839999999851</v>
      </c>
      <c r="AR26" s="88">
        <f>'[1]March - 2023'!BA26</f>
        <v>4725.839999999851</v>
      </c>
      <c r="AS26" s="233">
        <f>'[1]March - 2023'!BC26</f>
        <v>11476775.52</v>
      </c>
      <c r="AT26" s="218">
        <f>'[1]March - 2023'!BD26</f>
        <v>3264.2399999983609</v>
      </c>
      <c r="AU26" s="88">
        <f>'[1]March - 2023'!BD26</f>
        <v>3264.2399999983609</v>
      </c>
      <c r="AV26" s="233">
        <f>'[1]March - 2023'!BF26</f>
        <v>18254896.800000001</v>
      </c>
      <c r="AW26" s="230">
        <f>'[1]March - 2023'!BG26</f>
        <v>5895.1200000010431</v>
      </c>
      <c r="AX26" s="231">
        <f>'[1]March - 2023'!BG26</f>
        <v>5895.1200000010431</v>
      </c>
      <c r="AY26" s="501"/>
      <c r="AZ26" s="250">
        <f>'[1]March - 2023'!BM26</f>
        <v>79362400</v>
      </c>
      <c r="BA26" s="161">
        <f>'[1]March - 2023'!BN26</f>
        <v>5400</v>
      </c>
      <c r="BB26" s="89">
        <f>'[1]March - 2023'!BN26</f>
        <v>5400</v>
      </c>
      <c r="BC26" s="250">
        <f>'[1]March - 2023'!BP26</f>
        <v>82345900</v>
      </c>
      <c r="BD26" s="224">
        <f>'[1]March - 2023'!BQ26</f>
        <v>0</v>
      </c>
      <c r="BE26" s="89">
        <f>'[1]March - 2023'!BQ26</f>
        <v>0</v>
      </c>
      <c r="BF26" s="250">
        <f>'[1]March - 2023'!BS26</f>
        <v>76094900</v>
      </c>
      <c r="BG26" s="224">
        <f>'[1]March - 2023'!BT26</f>
        <v>53300</v>
      </c>
      <c r="BH26" s="89">
        <f>'[1]March - 2023'!BT26</f>
        <v>53300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51">
        <f>'[1]March - 2023'!BV26</f>
        <v>10908480</v>
      </c>
      <c r="BT26" s="166">
        <f>'[1]March - 2023'!BW26</f>
        <v>8300</v>
      </c>
      <c r="BU26" s="593"/>
      <c r="BV26" s="84">
        <f>'[1]March - 2023'!BY26</f>
        <v>0.69</v>
      </c>
      <c r="BW26" s="220">
        <f>'[1]March - 2023'!BZ26</f>
        <v>0.10000000000000009</v>
      </c>
      <c r="BX26" s="84">
        <f>'[1]March - 2023'!BZ26</f>
        <v>0.10000000000000009</v>
      </c>
      <c r="BY26" s="85">
        <f>'[1]March - 2023'!CB26</f>
        <v>66078</v>
      </c>
      <c r="BZ26" s="172">
        <f>'[1]March - 2023'!CC26</f>
        <v>19</v>
      </c>
      <c r="CA26" s="85">
        <f>'[1]March - 2023'!CD26</f>
        <v>57352</v>
      </c>
      <c r="CB26" s="172">
        <f>'[1]March - 2023'!CE26</f>
        <v>22</v>
      </c>
      <c r="CC26" s="85">
        <f>'[1]March - 2023'!CF26</f>
        <v>19370</v>
      </c>
      <c r="CD26" s="172">
        <f>'[1]March - 2023'!CG26</f>
        <v>7</v>
      </c>
      <c r="CE26" s="85">
        <f>'[1]March - 2023'!CH26</f>
        <v>26534</v>
      </c>
      <c r="CF26" s="172">
        <f>'[1]March - 2023'!CI26</f>
        <v>9</v>
      </c>
      <c r="CG26" s="85">
        <f>'[1]March - 2023'!CJ26</f>
        <v>29907</v>
      </c>
      <c r="CH26" s="172">
        <f>'[1]March - 2023'!CK26</f>
        <v>11</v>
      </c>
      <c r="CI26" s="85">
        <f>'[1]March - 2023'!CL26</f>
        <v>65980</v>
      </c>
      <c r="CJ26" s="172">
        <f>'[1]March - 2023'!CM26</f>
        <v>29</v>
      </c>
      <c r="CK26" s="85">
        <f>'[1]March - 2023'!CN26</f>
        <v>275616</v>
      </c>
      <c r="CL26" s="225">
        <f>'[1]March - 2023'!CO26</f>
        <v>82</v>
      </c>
      <c r="CM26" s="85">
        <f>'[1]March - 2023'!CO26</f>
        <v>82</v>
      </c>
      <c r="CN26" s="85">
        <f>'[1]March - 2023'!CQ26</f>
        <v>226292</v>
      </c>
      <c r="CO26" s="225">
        <f>'[1]March - 2023'!CR26</f>
        <v>138</v>
      </c>
      <c r="CP26" s="85">
        <f>'[1]March - 2023'!CR26</f>
        <v>138</v>
      </c>
      <c r="CQ26" s="85">
        <f>'[1]March - 2023'!CT26</f>
        <v>378894</v>
      </c>
      <c r="CR26" s="225">
        <f>'[1]March - 2023'!CU26</f>
        <v>204</v>
      </c>
      <c r="CS26" s="85">
        <f>'[1]March - 2023'!CU26</f>
        <v>204</v>
      </c>
      <c r="CT26" s="85">
        <f>'[1]March - 2023'!CW26</f>
        <v>711946</v>
      </c>
      <c r="CU26" s="172">
        <f>'[1]March - 2023'!CX26</f>
        <v>186</v>
      </c>
      <c r="CV26" s="519"/>
      <c r="CW26" s="234">
        <f>'[1]March - 2023'!CZ26</f>
        <v>9634</v>
      </c>
      <c r="CX26" s="179">
        <f>'[1]March - 2023'!DA26</f>
        <v>4</v>
      </c>
      <c r="CY26" s="235">
        <f>'[1]March - 2023'!DB26</f>
        <v>6531</v>
      </c>
      <c r="CZ26" s="179">
        <f>'[1]March - 2023'!DC26</f>
        <v>3</v>
      </c>
      <c r="DA26" s="235">
        <f>'[1]March - 2023'!DD26</f>
        <v>33739</v>
      </c>
      <c r="DB26" s="179">
        <f>'[1]March - 2023'!DE26</f>
        <v>19</v>
      </c>
      <c r="DC26" s="235">
        <f>'[1]March - 2023'!DF26</f>
        <v>33781</v>
      </c>
      <c r="DD26" s="179">
        <f>'[1]March - 2023'!DG26</f>
        <v>14</v>
      </c>
      <c r="DE26" s="235">
        <f>'[1]March - 2023'!DH26</f>
        <v>22807</v>
      </c>
      <c r="DF26" s="179">
        <f>'[1]March - 2023'!DI26</f>
        <v>8</v>
      </c>
      <c r="DG26" s="235">
        <f>'[1]March - 2023'!DJ26</f>
        <v>24582</v>
      </c>
      <c r="DH26" s="179">
        <f>'[1]March - 2023'!DK26</f>
        <v>8</v>
      </c>
      <c r="DI26" s="235">
        <f>'[1]March - 2023'!DL26</f>
        <v>8152</v>
      </c>
      <c r="DJ26" s="179">
        <f>'[1]March - 2023'!DM26</f>
        <v>10</v>
      </c>
      <c r="DK26" s="235">
        <f>'[1]March - 2023'!DN26</f>
        <v>10581</v>
      </c>
      <c r="DL26" s="179">
        <f>'[1]March - 2023'!DO26</f>
        <v>11</v>
      </c>
      <c r="DM26" s="235">
        <f>'[1]March - 2023'!DP26</f>
        <v>3709</v>
      </c>
      <c r="DN26" s="179">
        <f>'[1]March - 2023'!DQ26</f>
        <v>5</v>
      </c>
      <c r="DO26" s="235">
        <f>'[1]March - 2023'!DR26</f>
        <v>7263</v>
      </c>
      <c r="DP26" s="179">
        <f>'[1]March - 2023'!DS26</f>
        <v>9</v>
      </c>
      <c r="DQ26" s="235">
        <f>'[1]March - 2023'!DT26</f>
        <v>30706</v>
      </c>
      <c r="DR26" s="186">
        <f>'[1]March - 2023'!DU26</f>
        <v>0</v>
      </c>
      <c r="DS26" s="535"/>
      <c r="DT26" s="190">
        <f>'[1]March - 2023'!DW26</f>
        <v>7403.5</v>
      </c>
      <c r="DU26" s="201">
        <f>'[1]March - 2023'!DX26</f>
        <v>10.699999999999818</v>
      </c>
      <c r="DV26" s="87">
        <f>'[1]March - 2023'!DY26</f>
        <v>12073.4</v>
      </c>
      <c r="DW26" s="195">
        <f>'[1]March - 2023'!DZ26</f>
        <v>8.8999999999996362</v>
      </c>
      <c r="DX26" s="87">
        <f>'[1]March - 2023'!EA26</f>
        <v>5413.4</v>
      </c>
      <c r="DY26" s="195">
        <f>'[1]March - 2023'!EB26</f>
        <v>5.8999999999996362</v>
      </c>
      <c r="DZ26" s="87">
        <f>'[1]March - 2023'!EC26</f>
        <v>6045.1</v>
      </c>
      <c r="EA26" s="195">
        <f>'[1]March - 2023'!ED26</f>
        <v>8</v>
      </c>
      <c r="EB26" s="87">
        <f>'[1]March - 2023'!EE26</f>
        <v>1183162</v>
      </c>
      <c r="EC26" s="195">
        <f>'[1]March - 2023'!EF26</f>
        <v>653</v>
      </c>
      <c r="ED26" s="87">
        <f>'[1]March - 2023'!EI26</f>
        <v>245993.5</v>
      </c>
      <c r="EE26" s="208">
        <f>'[1]March - 2023'!EJ26</f>
        <v>156.29999999998836</v>
      </c>
      <c r="EF26" s="584"/>
      <c r="EG26" s="214">
        <f>'[1]March - 2023'!EL26</f>
        <v>12440300</v>
      </c>
      <c r="EH26" s="209">
        <f>'[1]March - 2023'!EM26</f>
        <v>4400</v>
      </c>
      <c r="EI26" s="86">
        <f>'[1]March - 2023'!EN26</f>
        <v>957920</v>
      </c>
      <c r="EJ26" s="209">
        <f>'[1]March - 2023'!EO26</f>
        <v>310</v>
      </c>
      <c r="EK26" s="86">
        <f>'[1]March - 2023'!EP26</f>
        <v>7342700</v>
      </c>
      <c r="EL26" s="209">
        <f>'[1]March - 2023'!EQ26</f>
        <v>1700</v>
      </c>
      <c r="EM26" s="86">
        <f>'[1]March - 2023'!ER26</f>
        <v>2531500</v>
      </c>
      <c r="EN26" s="209">
        <f>'[1]March - 2023'!ES26</f>
        <v>500</v>
      </c>
      <c r="EO26" s="86">
        <f>'[1]March - 2023'!ET26</f>
        <v>1337360</v>
      </c>
      <c r="EP26" s="209">
        <f>'[1]March - 2023'!EU26</f>
        <v>750</v>
      </c>
      <c r="EQ26" s="86">
        <f>'[1]March - 2023'!EV26</f>
        <v>16887200</v>
      </c>
      <c r="ER26" s="209">
        <f>'[1]March - 2023'!EW26</f>
        <v>6100</v>
      </c>
      <c r="ES26" s="562"/>
      <c r="ET26" s="256">
        <f>'[1]March - 2023'!EY26</f>
        <v>43655</v>
      </c>
      <c r="EU26" s="253">
        <f>'[1]March - 2023'!EZ26</f>
        <v>17</v>
      </c>
      <c r="EV26" s="257">
        <f>'[1]March - 2023'!FA26</f>
        <v>38001</v>
      </c>
      <c r="EW26" s="253">
        <f>'[1]March - 2023'!FB26</f>
        <v>12</v>
      </c>
      <c r="EX26" s="257">
        <f>'[1]March - 2023'!FC26</f>
        <v>8536</v>
      </c>
      <c r="EY26" s="253">
        <f>'[1]March - 2023'!FD26</f>
        <v>13</v>
      </c>
      <c r="EZ26" s="257">
        <f>'[1]March - 2023'!FE26</f>
        <v>60702</v>
      </c>
      <c r="FA26" s="253">
        <f>'[1]March - 2023'!FF26</f>
        <v>16</v>
      </c>
      <c r="FB26" s="257">
        <f>'[1]March - 2023'!FG26</f>
        <v>52851</v>
      </c>
      <c r="FC26" s="254">
        <f>'[1]March - 2023'!FH26</f>
        <v>36</v>
      </c>
      <c r="FD26" s="562"/>
      <c r="FE26" s="256">
        <f>'[1]March - 2023'!$FN26</f>
        <v>92342.293000000005</v>
      </c>
      <c r="FF26" s="271">
        <f t="shared" si="0"/>
        <v>149.18600000000151</v>
      </c>
      <c r="FG26" s="270">
        <f>'[1]March - 2023'!$FP26</f>
        <v>12444</v>
      </c>
      <c r="FH26" s="271">
        <f t="shared" si="0"/>
        <v>0</v>
      </c>
      <c r="FI26" s="275">
        <f>'[1]March - 2023'!$FR26</f>
        <v>11137</v>
      </c>
      <c r="FJ26" s="271">
        <f t="shared" si="0"/>
        <v>10</v>
      </c>
      <c r="FK26" s="275">
        <f>'[1]March - 2023'!$FT26</f>
        <v>8819</v>
      </c>
      <c r="FL26" s="271">
        <f t="shared" si="0"/>
        <v>3</v>
      </c>
      <c r="FM26" s="275">
        <f>'[1]March - 2023'!$FV26</f>
        <v>9170</v>
      </c>
      <c r="FN26" s="271">
        <f t="shared" si="0"/>
        <v>0</v>
      </c>
      <c r="FO26" s="257">
        <f>'[1]March - 2023'!$FJ26</f>
        <v>190.38</v>
      </c>
      <c r="FP26" s="271">
        <f t="shared" si="2"/>
        <v>0.50999999999999091</v>
      </c>
      <c r="FQ26" s="257">
        <f>'[1]March - 2023'!$FL26</f>
        <v>265904</v>
      </c>
      <c r="FR26" s="253">
        <f t="shared" si="1"/>
        <v>160.40000000002328</v>
      </c>
    </row>
    <row r="27" spans="1:174" ht="30" customHeight="1" x14ac:dyDescent="0.25">
      <c r="A27" s="187">
        <v>44638</v>
      </c>
      <c r="B27" s="189">
        <f>'[1]March - 2023'!B27</f>
        <v>0.91</v>
      </c>
      <c r="C27" s="229">
        <f>'[1]March - 2023'!E27</f>
        <v>271225</v>
      </c>
      <c r="D27" s="152">
        <f>'[1]March - 2023'!F27</f>
        <v>616</v>
      </c>
      <c r="E27" s="150">
        <f>'[1]March - 2023'!G27</f>
        <v>795</v>
      </c>
      <c r="F27" s="150">
        <f>'[1]March - 2023'!H27</f>
        <v>286651</v>
      </c>
      <c r="G27" s="152">
        <f>'[1]March - 2023'!I27</f>
        <v>543</v>
      </c>
      <c r="H27" s="150">
        <f>'[1]March - 2023'!J27</f>
        <v>495</v>
      </c>
      <c r="I27" s="150">
        <f>'[1]March - 2023'!K27</f>
        <v>26598</v>
      </c>
      <c r="J27" s="152">
        <f>'[1]March - 2023'!L27</f>
        <v>357</v>
      </c>
      <c r="K27" s="150">
        <f>'[1]March - 2023'!N27</f>
        <v>940212</v>
      </c>
      <c r="L27" s="152">
        <f>'[1]March - 2023'!O27</f>
        <v>259</v>
      </c>
      <c r="M27" s="150">
        <f>'[1]March - 2023'!Q27</f>
        <v>246269</v>
      </c>
      <c r="N27" s="152">
        <f>'[1]March - 2023'!R27</f>
        <v>0</v>
      </c>
      <c r="O27" s="150">
        <f>'[1]March - 2023'!U27</f>
        <v>124521</v>
      </c>
      <c r="P27" s="152">
        <f>'[1]March - 2023'!V27</f>
        <v>100</v>
      </c>
      <c r="Q27" s="150">
        <f>'[1]March - 2023'!W27</f>
        <v>4.9530000000000003</v>
      </c>
      <c r="R27" s="150">
        <f>'[1]March - 2023'!X27</f>
        <v>7231</v>
      </c>
      <c r="S27" s="188">
        <f>'[1]March - 2023'!Y27</f>
        <v>12</v>
      </c>
      <c r="T27" s="484"/>
      <c r="U27" s="151">
        <f>'[1]March - 2023'!AE27</f>
        <v>8391191.7599999998</v>
      </c>
      <c r="V27" s="218">
        <f>'[1]March - 2023'!AF27</f>
        <v>2289.839999999851</v>
      </c>
      <c r="W27" s="88">
        <f>'[1]March - 2023'!AF27</f>
        <v>2289.839999999851</v>
      </c>
      <c r="X27" s="233">
        <f>'[1]March - 2023'!AH27</f>
        <v>15930416.880000001</v>
      </c>
      <c r="Y27" s="218">
        <f>'[1]March - 2023'!AI27</f>
        <v>4920.7200000006706</v>
      </c>
      <c r="Z27" s="88">
        <f>'[1]March - 2023'!AI27</f>
        <v>4920.7200000006706</v>
      </c>
      <c r="AA27" s="233">
        <f>'[1]March - 2023'!AK27</f>
        <v>16066199.52</v>
      </c>
      <c r="AB27" s="218">
        <f>'[1]March - 2023'!AL27</f>
        <v>9256.8000000007451</v>
      </c>
      <c r="AC27" s="88">
        <f>'[1]March - 2023'!AL27</f>
        <v>9256.8000000007451</v>
      </c>
      <c r="AD27" s="233">
        <f>'[1]March - 2023'!AN27</f>
        <v>19221160.560000002</v>
      </c>
      <c r="AE27" s="218">
        <f>'[1]March - 2023'!AO27</f>
        <v>2338.5600000023842</v>
      </c>
      <c r="AF27" s="88">
        <f>'[1]March - 2023'!AO27</f>
        <v>2338.5600000023842</v>
      </c>
      <c r="AG27" s="233">
        <f>'[1]March - 2023'!AQ27</f>
        <v>19453311.359999999</v>
      </c>
      <c r="AH27" s="218">
        <f>'[1]March - 2023'!AR27</f>
        <v>0</v>
      </c>
      <c r="AI27" s="88">
        <f>'[1]March - 2023'!AR27</f>
        <v>0</v>
      </c>
      <c r="AJ27" s="233">
        <f>'[1]March - 2023'!AT27</f>
        <v>18104254.560000002</v>
      </c>
      <c r="AK27" s="218">
        <f>'[1]March - 2023'!AU27</f>
        <v>5700.2400000020862</v>
      </c>
      <c r="AL27" s="88">
        <f>'[1]March - 2023'!AU27</f>
        <v>5700.2400000020862</v>
      </c>
      <c r="AM27" s="233">
        <f>'[1]March - 2023'!AW27</f>
        <v>15189434.4</v>
      </c>
      <c r="AN27" s="218">
        <f>'[1]March - 2023'!AX27</f>
        <v>4287.3600000012666</v>
      </c>
      <c r="AO27" s="88">
        <f>'[1]March - 2023'!AX27</f>
        <v>4287.3600000012666</v>
      </c>
      <c r="AP27" s="233">
        <f>'[1]March - 2023'!AZ27</f>
        <v>14755875.119999999</v>
      </c>
      <c r="AQ27" s="218">
        <f>'[1]March - 2023'!BA27</f>
        <v>5115.5999999996275</v>
      </c>
      <c r="AR27" s="88">
        <f>'[1]March - 2023'!BA27</f>
        <v>5115.5999999996275</v>
      </c>
      <c r="AS27" s="233">
        <f>'[1]March - 2023'!BC27</f>
        <v>11479942.319999998</v>
      </c>
      <c r="AT27" s="218">
        <f>'[1]March - 2023'!BD27</f>
        <v>3166.7999999988824</v>
      </c>
      <c r="AU27" s="88">
        <f>'[1]March - 2023'!BD27</f>
        <v>3166.7999999988824</v>
      </c>
      <c r="AV27" s="233">
        <f>'[1]March - 2023'!BF27</f>
        <v>18261279.119999997</v>
      </c>
      <c r="AW27" s="230">
        <f>'[1]March - 2023'!BG27</f>
        <v>6382.3199999965727</v>
      </c>
      <c r="AX27" s="231">
        <f>'[1]March - 2023'!BG27</f>
        <v>6382.3199999965727</v>
      </c>
      <c r="AY27" s="501"/>
      <c r="AZ27" s="250">
        <f>'[1]March - 2023'!BM27</f>
        <v>79413400</v>
      </c>
      <c r="BA27" s="161">
        <f>'[1]March - 2023'!BN27</f>
        <v>51000</v>
      </c>
      <c r="BB27" s="89">
        <f>'[1]March - 2023'!BN27</f>
        <v>51000</v>
      </c>
      <c r="BC27" s="250">
        <f>'[1]March - 2023'!BP27</f>
        <v>82350700</v>
      </c>
      <c r="BD27" s="224">
        <f>'[1]March - 2023'!BQ27</f>
        <v>4800</v>
      </c>
      <c r="BE27" s="89">
        <f>'[1]March - 2023'!BQ27</f>
        <v>4800</v>
      </c>
      <c r="BF27" s="250">
        <f>'[1]March - 2023'!BS27</f>
        <v>76094900</v>
      </c>
      <c r="BG27" s="224">
        <f>'[1]March - 2023'!BT27</f>
        <v>0</v>
      </c>
      <c r="BH27" s="89">
        <f>'[1]March - 2023'!BT27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51">
        <f>'[1]March - 2023'!BV27</f>
        <v>10916820</v>
      </c>
      <c r="BT27" s="166">
        <f>'[1]March - 2023'!BW27</f>
        <v>8340</v>
      </c>
      <c r="BU27" s="593"/>
      <c r="BV27" s="84">
        <f>'[1]March - 2023'!BY27</f>
        <v>0.62</v>
      </c>
      <c r="BW27" s="220">
        <f>'[1]March - 2023'!BZ27</f>
        <v>6.9999999999999951E-2</v>
      </c>
      <c r="BX27" s="84">
        <f>'[1]March - 2023'!BZ27</f>
        <v>6.9999999999999951E-2</v>
      </c>
      <c r="BY27" s="85">
        <f>'[1]March - 2023'!CB27</f>
        <v>66098</v>
      </c>
      <c r="BZ27" s="172">
        <f>'[1]March - 2023'!CC27</f>
        <v>20</v>
      </c>
      <c r="CA27" s="85">
        <f>'[1]March - 2023'!CD27</f>
        <v>57374</v>
      </c>
      <c r="CB27" s="172">
        <f>'[1]March - 2023'!CE27</f>
        <v>22</v>
      </c>
      <c r="CC27" s="85">
        <f>'[1]March - 2023'!CF27</f>
        <v>19377</v>
      </c>
      <c r="CD27" s="172">
        <f>'[1]March - 2023'!CG27</f>
        <v>7</v>
      </c>
      <c r="CE27" s="85">
        <f>'[1]March - 2023'!CH27</f>
        <v>26545</v>
      </c>
      <c r="CF27" s="172">
        <f>'[1]March - 2023'!CI27</f>
        <v>11</v>
      </c>
      <c r="CG27" s="85">
        <f>'[1]March - 2023'!CJ27</f>
        <v>29921</v>
      </c>
      <c r="CH27" s="172">
        <f>'[1]March - 2023'!CK27</f>
        <v>14</v>
      </c>
      <c r="CI27" s="85">
        <f>'[1]March - 2023'!CL27</f>
        <v>66020</v>
      </c>
      <c r="CJ27" s="172">
        <f>'[1]March - 2023'!CM27</f>
        <v>40</v>
      </c>
      <c r="CK27" s="85">
        <f>'[1]March - 2023'!CN27</f>
        <v>275700</v>
      </c>
      <c r="CL27" s="225">
        <f>'[1]March - 2023'!CO27</f>
        <v>84</v>
      </c>
      <c r="CM27" s="85">
        <f>'[1]March - 2023'!CO27</f>
        <v>84</v>
      </c>
      <c r="CN27" s="85">
        <f>'[1]March - 2023'!CQ27</f>
        <v>226434</v>
      </c>
      <c r="CO27" s="225">
        <f>'[1]March - 2023'!CR27</f>
        <v>142</v>
      </c>
      <c r="CP27" s="85">
        <f>'[1]March - 2023'!CR27</f>
        <v>142</v>
      </c>
      <c r="CQ27" s="85">
        <f>'[1]March - 2023'!CT27</f>
        <v>379082</v>
      </c>
      <c r="CR27" s="225">
        <f>'[1]March - 2023'!CU27</f>
        <v>188</v>
      </c>
      <c r="CS27" s="85">
        <f>'[1]March - 2023'!CU27</f>
        <v>188</v>
      </c>
      <c r="CT27" s="85">
        <f>'[1]March - 2023'!CW27</f>
        <v>712137</v>
      </c>
      <c r="CU27" s="172">
        <f>'[1]March - 2023'!CX27</f>
        <v>191</v>
      </c>
      <c r="CV27" s="519"/>
      <c r="CW27" s="234">
        <f>'[1]March - 2023'!CZ27</f>
        <v>9639</v>
      </c>
      <c r="CX27" s="179">
        <f>'[1]March - 2023'!DA27</f>
        <v>5</v>
      </c>
      <c r="CY27" s="235">
        <f>'[1]March - 2023'!DB27</f>
        <v>6537</v>
      </c>
      <c r="CZ27" s="179">
        <f>'[1]March - 2023'!DC27</f>
        <v>6</v>
      </c>
      <c r="DA27" s="235">
        <f>'[1]March - 2023'!DD27</f>
        <v>33763</v>
      </c>
      <c r="DB27" s="179">
        <f>'[1]March - 2023'!DE27</f>
        <v>24</v>
      </c>
      <c r="DC27" s="235">
        <f>'[1]March - 2023'!DF27</f>
        <v>33797</v>
      </c>
      <c r="DD27" s="179">
        <f>'[1]March - 2023'!DG27</f>
        <v>16</v>
      </c>
      <c r="DE27" s="235">
        <f>'[1]March - 2023'!DH27</f>
        <v>22819</v>
      </c>
      <c r="DF27" s="179">
        <f>'[1]March - 2023'!DI27</f>
        <v>12</v>
      </c>
      <c r="DG27" s="235">
        <f>'[1]March - 2023'!DJ27</f>
        <v>24587</v>
      </c>
      <c r="DH27" s="179">
        <f>'[1]March - 2023'!DK27</f>
        <v>5</v>
      </c>
      <c r="DI27" s="235">
        <f>'[1]March - 2023'!DL27</f>
        <v>8165</v>
      </c>
      <c r="DJ27" s="179">
        <f>'[1]March - 2023'!DM27</f>
        <v>13</v>
      </c>
      <c r="DK27" s="235">
        <f>'[1]March - 2023'!DN27</f>
        <v>10594</v>
      </c>
      <c r="DL27" s="179">
        <f>'[1]March - 2023'!DO27</f>
        <v>13</v>
      </c>
      <c r="DM27" s="235">
        <f>'[1]March - 2023'!DP27</f>
        <v>3716</v>
      </c>
      <c r="DN27" s="179">
        <f>'[1]March - 2023'!DQ27</f>
        <v>7</v>
      </c>
      <c r="DO27" s="235">
        <f>'[1]March - 2023'!DR27</f>
        <v>7277</v>
      </c>
      <c r="DP27" s="179">
        <f>'[1]March - 2023'!DS27</f>
        <v>14</v>
      </c>
      <c r="DQ27" s="235">
        <f>'[1]March - 2023'!DT27</f>
        <v>30706</v>
      </c>
      <c r="DR27" s="186">
        <f>'[1]March - 2023'!DU27</f>
        <v>0</v>
      </c>
      <c r="DS27" s="535"/>
      <c r="DT27" s="190">
        <f>'[1]March - 2023'!DW27</f>
        <v>7415.7</v>
      </c>
      <c r="DU27" s="201">
        <f>'[1]March - 2023'!DX27</f>
        <v>12.199999999999818</v>
      </c>
      <c r="DV27" s="87">
        <f>'[1]March - 2023'!DY27</f>
        <v>12082.6</v>
      </c>
      <c r="DW27" s="195">
        <f>'[1]March - 2023'!DZ27</f>
        <v>9.2000000000007276</v>
      </c>
      <c r="DX27" s="87">
        <f>'[1]March - 2023'!EA27</f>
        <v>5420.4</v>
      </c>
      <c r="DY27" s="195">
        <f>'[1]March - 2023'!EB27</f>
        <v>7</v>
      </c>
      <c r="DZ27" s="87">
        <f>'[1]March - 2023'!EC27</f>
        <v>6054</v>
      </c>
      <c r="EA27" s="195">
        <f>'[1]March - 2023'!ED27</f>
        <v>8.8999999999996362</v>
      </c>
      <c r="EB27" s="87">
        <f>'[1]March - 2023'!EE27</f>
        <v>1183889</v>
      </c>
      <c r="EC27" s="195">
        <f>'[1]March - 2023'!EF27</f>
        <v>727</v>
      </c>
      <c r="ED27" s="87">
        <f>'[1]March - 2023'!EI27</f>
        <v>246164.9</v>
      </c>
      <c r="EE27" s="208">
        <f>'[1]March - 2023'!EJ27</f>
        <v>171.39999999999418</v>
      </c>
      <c r="EF27" s="584"/>
      <c r="EG27" s="214">
        <f>'[1]March - 2023'!EL27</f>
        <v>12443000</v>
      </c>
      <c r="EH27" s="209">
        <f>'[1]March - 2023'!EM27</f>
        <v>2700</v>
      </c>
      <c r="EI27" s="86">
        <f>'[1]March - 2023'!EN27</f>
        <v>958200</v>
      </c>
      <c r="EJ27" s="209">
        <f>'[1]March - 2023'!EO27</f>
        <v>280</v>
      </c>
      <c r="EK27" s="86">
        <f>'[1]March - 2023'!EP27</f>
        <v>7344300</v>
      </c>
      <c r="EL27" s="209">
        <f>'[1]March - 2023'!EQ27</f>
        <v>1600</v>
      </c>
      <c r="EM27" s="86">
        <f>'[1]March - 2023'!ER27</f>
        <v>2532300</v>
      </c>
      <c r="EN27" s="209">
        <f>'[1]March - 2023'!ES27</f>
        <v>800</v>
      </c>
      <c r="EO27" s="86">
        <f>'[1]March - 2023'!ET27</f>
        <v>1338050</v>
      </c>
      <c r="EP27" s="209">
        <f>'[1]March - 2023'!EU27</f>
        <v>690</v>
      </c>
      <c r="EQ27" s="86">
        <f>'[1]March - 2023'!EV27</f>
        <v>16891800</v>
      </c>
      <c r="ER27" s="209">
        <f>'[1]March - 2023'!EW27</f>
        <v>4600</v>
      </c>
      <c r="ES27" s="562"/>
      <c r="ET27" s="256">
        <f>'[1]March - 2023'!EY27</f>
        <v>43672</v>
      </c>
      <c r="EU27" s="253">
        <f>'[1]March - 2023'!EZ27</f>
        <v>17</v>
      </c>
      <c r="EV27" s="257">
        <f>'[1]March - 2023'!FA27</f>
        <v>38015</v>
      </c>
      <c r="EW27" s="253">
        <f>'[1]March - 2023'!FB27</f>
        <v>14</v>
      </c>
      <c r="EX27" s="257">
        <f>'[1]March - 2023'!FC27</f>
        <v>8552</v>
      </c>
      <c r="EY27" s="253">
        <f>'[1]March - 2023'!FD27</f>
        <v>16</v>
      </c>
      <c r="EZ27" s="257">
        <f>'[1]March - 2023'!FE27</f>
        <v>60724</v>
      </c>
      <c r="FA27" s="253">
        <f>'[1]March - 2023'!FF27</f>
        <v>22</v>
      </c>
      <c r="FB27" s="257">
        <f>'[1]March - 2023'!FG27</f>
        <v>52894</v>
      </c>
      <c r="FC27" s="254">
        <f>'[1]March - 2023'!FH27</f>
        <v>43</v>
      </c>
      <c r="FD27" s="562"/>
      <c r="FE27" s="256">
        <f>'[1]March - 2023'!$FN27</f>
        <v>92485.918000000005</v>
      </c>
      <c r="FF27" s="271">
        <f t="shared" si="0"/>
        <v>143.625</v>
      </c>
      <c r="FG27" s="270">
        <f>'[1]March - 2023'!$FP27</f>
        <v>12445</v>
      </c>
      <c r="FH27" s="271">
        <f t="shared" si="0"/>
        <v>1</v>
      </c>
      <c r="FI27" s="275">
        <f>'[1]March - 2023'!$FR27</f>
        <v>11143</v>
      </c>
      <c r="FJ27" s="271">
        <f t="shared" si="0"/>
        <v>6</v>
      </c>
      <c r="FK27" s="275">
        <f>'[1]March - 2023'!$FT27</f>
        <v>8825</v>
      </c>
      <c r="FL27" s="271">
        <f t="shared" si="0"/>
        <v>6</v>
      </c>
      <c r="FM27" s="275">
        <f>'[1]March - 2023'!$FV27</f>
        <v>9172</v>
      </c>
      <c r="FN27" s="271">
        <f t="shared" si="0"/>
        <v>2</v>
      </c>
      <c r="FO27" s="257">
        <f>'[1]March - 2023'!$FJ27</f>
        <v>190.52</v>
      </c>
      <c r="FP27" s="271">
        <f t="shared" si="2"/>
        <v>0.14000000000001478</v>
      </c>
      <c r="FQ27" s="257">
        <f>'[1]March - 2023'!$FL27</f>
        <v>266147.90000000002</v>
      </c>
      <c r="FR27" s="253">
        <f t="shared" si="1"/>
        <v>243.90000000002328</v>
      </c>
    </row>
    <row r="28" spans="1:174" ht="30" customHeight="1" x14ac:dyDescent="0.25">
      <c r="A28" s="187">
        <v>44639</v>
      </c>
      <c r="B28" s="189">
        <f>'[1]March - 2023'!B28</f>
        <v>0.74</v>
      </c>
      <c r="C28" s="229">
        <f>'[1]March - 2023'!E28</f>
        <v>271920</v>
      </c>
      <c r="D28" s="152">
        <f>'[1]March - 2023'!F28</f>
        <v>695</v>
      </c>
      <c r="E28" s="150">
        <f>'[1]March - 2023'!G28</f>
        <v>844</v>
      </c>
      <c r="F28" s="150">
        <f>'[1]March - 2023'!H28</f>
        <v>287114</v>
      </c>
      <c r="G28" s="152">
        <f>'[1]March - 2023'!I28</f>
        <v>463</v>
      </c>
      <c r="H28" s="150">
        <f>'[1]March - 2023'!J28</f>
        <v>542</v>
      </c>
      <c r="I28" s="150">
        <f>'[1]March - 2023'!K28</f>
        <v>26764</v>
      </c>
      <c r="J28" s="152">
        <f>'[1]March - 2023'!L28</f>
        <v>166</v>
      </c>
      <c r="K28" s="150">
        <f>'[1]March - 2023'!N28</f>
        <v>940474</v>
      </c>
      <c r="L28" s="152">
        <f>'[1]March - 2023'!O28</f>
        <v>262</v>
      </c>
      <c r="M28" s="150">
        <f>'[1]March - 2023'!Q28</f>
        <v>246269</v>
      </c>
      <c r="N28" s="152">
        <f>'[1]March - 2023'!R28</f>
        <v>0</v>
      </c>
      <c r="O28" s="150">
        <f>'[1]March - 2023'!U28</f>
        <v>124614</v>
      </c>
      <c r="P28" s="152">
        <f>'[1]March - 2023'!V28</f>
        <v>93</v>
      </c>
      <c r="Q28" s="150">
        <f>'[1]March - 2023'!W28</f>
        <v>4.92</v>
      </c>
      <c r="R28" s="150">
        <f>'[1]March - 2023'!X28</f>
        <v>7245</v>
      </c>
      <c r="S28" s="188">
        <f>'[1]March - 2023'!Y28</f>
        <v>14</v>
      </c>
      <c r="T28" s="484"/>
      <c r="U28" s="151">
        <f>'[1]March - 2023'!AE28</f>
        <v>8393140.5599999987</v>
      </c>
      <c r="V28" s="218">
        <f>'[1]March - 2023'!AF28</f>
        <v>1948.7999999988824</v>
      </c>
      <c r="W28" s="88">
        <f>'[1]March - 2023'!AF28</f>
        <v>1948.7999999988824</v>
      </c>
      <c r="X28" s="233">
        <f>'[1]March - 2023'!AH28</f>
        <v>15934704.24</v>
      </c>
      <c r="Y28" s="218">
        <f>'[1]March - 2023'!AI28</f>
        <v>4287.359999999404</v>
      </c>
      <c r="Z28" s="88">
        <f>'[1]March - 2023'!AI28</f>
        <v>4287.359999999404</v>
      </c>
      <c r="AA28" s="233">
        <f>'[1]March - 2023'!AK28</f>
        <v>16066930.319999998</v>
      </c>
      <c r="AB28" s="218">
        <f>'[1]March - 2023'!AL28</f>
        <v>730.79999999888241</v>
      </c>
      <c r="AC28" s="88">
        <f>'[1]March - 2023'!AL28</f>
        <v>730.79999999888241</v>
      </c>
      <c r="AD28" s="233">
        <f>'[1]March - 2023'!AN28</f>
        <v>19229248.080000002</v>
      </c>
      <c r="AE28" s="218">
        <f>'[1]March - 2023'!AO28</f>
        <v>8087.519999999553</v>
      </c>
      <c r="AF28" s="88">
        <f>'[1]March - 2023'!AO28</f>
        <v>8087.519999999553</v>
      </c>
      <c r="AG28" s="233">
        <f>'[1]March - 2023'!AQ28</f>
        <v>19454578.080000002</v>
      </c>
      <c r="AH28" s="218">
        <f>'[1]March - 2023'!AR28</f>
        <v>1266.7200000025332</v>
      </c>
      <c r="AI28" s="88">
        <f>'[1]March - 2023'!AR28</f>
        <v>1266.7200000025332</v>
      </c>
      <c r="AJ28" s="233">
        <f>'[1]March - 2023'!AT28</f>
        <v>18109175.280000001</v>
      </c>
      <c r="AK28" s="218">
        <f>'[1]March - 2023'!AU28</f>
        <v>4920.7199999988079</v>
      </c>
      <c r="AL28" s="88">
        <f>'[1]March - 2023'!AU28</f>
        <v>4920.7199999988079</v>
      </c>
      <c r="AM28" s="233">
        <f>'[1]March - 2023'!AW28</f>
        <v>15193039.68</v>
      </c>
      <c r="AN28" s="218">
        <f>'[1]March - 2023'!AX28</f>
        <v>3605.2799999993294</v>
      </c>
      <c r="AO28" s="88">
        <f>'[1]March - 2023'!AX28</f>
        <v>3605.2799999993294</v>
      </c>
      <c r="AP28" s="233">
        <f>'[1]March - 2023'!AZ28</f>
        <v>14759821.439999999</v>
      </c>
      <c r="AQ28" s="218">
        <f>'[1]March - 2023'!BA28</f>
        <v>3946.320000000298</v>
      </c>
      <c r="AR28" s="88">
        <f>'[1]March - 2023'!BA28</f>
        <v>3946.320000000298</v>
      </c>
      <c r="AS28" s="233">
        <f>'[1]March - 2023'!BC28</f>
        <v>11482670.640000001</v>
      </c>
      <c r="AT28" s="218">
        <f>'[1]March - 2023'!BD28</f>
        <v>2728.3200000021607</v>
      </c>
      <c r="AU28" s="88">
        <f>'[1]March - 2023'!BD28</f>
        <v>2728.3200000021607</v>
      </c>
      <c r="AV28" s="233">
        <f>'[1]March - 2023'!BF28</f>
        <v>18266540.879999999</v>
      </c>
      <c r="AW28" s="230">
        <f>'[1]March - 2023'!BG28</f>
        <v>5261.7600000016391</v>
      </c>
      <c r="AX28" s="231">
        <f>'[1]March - 2023'!BG28</f>
        <v>5261.7600000016391</v>
      </c>
      <c r="AY28" s="501"/>
      <c r="AZ28" s="250">
        <f>'[1]March - 2023'!BM28</f>
        <v>79413400</v>
      </c>
      <c r="BA28" s="161">
        <f>'[1]March - 2023'!BN28</f>
        <v>0</v>
      </c>
      <c r="BB28" s="89">
        <f>'[1]March - 2023'!BN28</f>
        <v>0</v>
      </c>
      <c r="BC28" s="250">
        <f>'[1]March - 2023'!BP28</f>
        <v>82398000</v>
      </c>
      <c r="BD28" s="224">
        <f>'[1]March - 2023'!BQ28</f>
        <v>47300</v>
      </c>
      <c r="BE28" s="89">
        <f>'[1]March - 2023'!BQ28</f>
        <v>47300</v>
      </c>
      <c r="BF28" s="250">
        <f>'[1]March - 2023'!BS28</f>
        <v>76099600</v>
      </c>
      <c r="BG28" s="224">
        <f>'[1]March - 2023'!BT28</f>
        <v>4700</v>
      </c>
      <c r="BH28" s="89">
        <f>'[1]March - 2023'!BT28</f>
        <v>4700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51">
        <f>'[1]March - 2023'!BV28</f>
        <v>10924220</v>
      </c>
      <c r="BT28" s="166">
        <f>'[1]March - 2023'!BW28</f>
        <v>7400</v>
      </c>
      <c r="BU28" s="593"/>
      <c r="BV28" s="84">
        <f>'[1]March - 2023'!BY28</f>
        <v>0.79</v>
      </c>
      <c r="BW28" s="220">
        <f>'[1]March - 2023'!BZ28</f>
        <v>-0.17000000000000004</v>
      </c>
      <c r="BX28" s="84">
        <f>'[1]March - 2023'!BZ28</f>
        <v>-0.17000000000000004</v>
      </c>
      <c r="BY28" s="85">
        <f>'[1]March - 2023'!CB28</f>
        <v>66113</v>
      </c>
      <c r="BZ28" s="172">
        <f>'[1]March - 2023'!CC28</f>
        <v>15</v>
      </c>
      <c r="CA28" s="85">
        <f>'[1]March - 2023'!CD28</f>
        <v>57391</v>
      </c>
      <c r="CB28" s="172">
        <f>'[1]March - 2023'!CE28</f>
        <v>17</v>
      </c>
      <c r="CC28" s="85">
        <f>'[1]March - 2023'!CF28</f>
        <v>19383</v>
      </c>
      <c r="CD28" s="172">
        <f>'[1]March - 2023'!CG28</f>
        <v>6</v>
      </c>
      <c r="CE28" s="85">
        <f>'[1]March - 2023'!CH28</f>
        <v>26553</v>
      </c>
      <c r="CF28" s="172">
        <f>'[1]March - 2023'!CI28</f>
        <v>8</v>
      </c>
      <c r="CG28" s="85">
        <f>'[1]March - 2023'!CJ28</f>
        <v>29930</v>
      </c>
      <c r="CH28" s="172">
        <f>'[1]March - 2023'!CK28</f>
        <v>9</v>
      </c>
      <c r="CI28" s="85">
        <f>'[1]March - 2023'!CL28</f>
        <v>66052</v>
      </c>
      <c r="CJ28" s="172">
        <f>'[1]March - 2023'!CM28</f>
        <v>32</v>
      </c>
      <c r="CK28" s="85">
        <f>'[1]March - 2023'!CN28</f>
        <v>275777</v>
      </c>
      <c r="CL28" s="225">
        <f>'[1]March - 2023'!CO28</f>
        <v>77</v>
      </c>
      <c r="CM28" s="85">
        <f>'[1]March - 2023'!CO28</f>
        <v>77</v>
      </c>
      <c r="CN28" s="85">
        <f>'[1]March - 2023'!CQ28</f>
        <v>226563</v>
      </c>
      <c r="CO28" s="225">
        <f>'[1]March - 2023'!CR28</f>
        <v>129</v>
      </c>
      <c r="CP28" s="85">
        <f>'[1]March - 2023'!CR28</f>
        <v>129</v>
      </c>
      <c r="CQ28" s="85">
        <f>'[1]March - 2023'!CT28</f>
        <v>379246</v>
      </c>
      <c r="CR28" s="225">
        <f>'[1]March - 2023'!CU28</f>
        <v>164</v>
      </c>
      <c r="CS28" s="85">
        <f>'[1]March - 2023'!CU28</f>
        <v>164</v>
      </c>
      <c r="CT28" s="85">
        <f>'[1]March - 2023'!CW28</f>
        <v>712312</v>
      </c>
      <c r="CU28" s="172">
        <f>'[1]March - 2023'!CX28</f>
        <v>175</v>
      </c>
      <c r="CV28" s="519"/>
      <c r="CW28" s="234">
        <f>'[1]March - 2023'!CZ28</f>
        <v>9642</v>
      </c>
      <c r="CX28" s="179">
        <f>'[1]March - 2023'!DA28</f>
        <v>3</v>
      </c>
      <c r="CY28" s="235">
        <f>'[1]March - 2023'!DB28</f>
        <v>6543</v>
      </c>
      <c r="CZ28" s="179">
        <f>'[1]March - 2023'!DC28</f>
        <v>6</v>
      </c>
      <c r="DA28" s="235">
        <f>'[1]March - 2023'!DD28</f>
        <v>33777</v>
      </c>
      <c r="DB28" s="179">
        <f>'[1]March - 2023'!DE28</f>
        <v>14</v>
      </c>
      <c r="DC28" s="235">
        <f>'[1]March - 2023'!DF28</f>
        <v>33810</v>
      </c>
      <c r="DD28" s="179">
        <f>'[1]March - 2023'!DG28</f>
        <v>13</v>
      </c>
      <c r="DE28" s="235">
        <f>'[1]March - 2023'!DH28</f>
        <v>22823</v>
      </c>
      <c r="DF28" s="179">
        <f>'[1]March - 2023'!DI28</f>
        <v>4</v>
      </c>
      <c r="DG28" s="235">
        <f>'[1]March - 2023'!DJ28</f>
        <v>24592</v>
      </c>
      <c r="DH28" s="179">
        <f>'[1]March - 2023'!DK28</f>
        <v>5</v>
      </c>
      <c r="DI28" s="235">
        <f>'[1]March - 2023'!DL28</f>
        <v>8173</v>
      </c>
      <c r="DJ28" s="179">
        <f>'[1]March - 2023'!DM28</f>
        <v>8</v>
      </c>
      <c r="DK28" s="235">
        <f>'[1]March - 2023'!DN28</f>
        <v>10606</v>
      </c>
      <c r="DL28" s="179">
        <f>'[1]March - 2023'!DO28</f>
        <v>12</v>
      </c>
      <c r="DM28" s="235">
        <f>'[1]March - 2023'!DP28</f>
        <v>3718</v>
      </c>
      <c r="DN28" s="179">
        <f>'[1]March - 2023'!DQ28</f>
        <v>2</v>
      </c>
      <c r="DO28" s="235">
        <f>'[1]March - 2023'!DR28</f>
        <v>7282</v>
      </c>
      <c r="DP28" s="179">
        <f>'[1]March - 2023'!DS28</f>
        <v>5</v>
      </c>
      <c r="DQ28" s="235">
        <f>'[1]March - 2023'!DT28</f>
        <v>30712</v>
      </c>
      <c r="DR28" s="186">
        <f>'[1]March - 2023'!DU28</f>
        <v>6</v>
      </c>
      <c r="DS28" s="535"/>
      <c r="DT28" s="190">
        <f>'[1]March - 2023'!DW28</f>
        <v>7424.3</v>
      </c>
      <c r="DU28" s="201">
        <f>'[1]March - 2023'!DX28</f>
        <v>8.6000000000003638</v>
      </c>
      <c r="DV28" s="87">
        <f>'[1]March - 2023'!DY28</f>
        <v>12090.3</v>
      </c>
      <c r="DW28" s="195">
        <f>'[1]March - 2023'!DZ28</f>
        <v>7.6999999999989086</v>
      </c>
      <c r="DX28" s="87">
        <f>'[1]March - 2023'!EA28</f>
        <v>5425.6</v>
      </c>
      <c r="DY28" s="195">
        <f>'[1]March - 2023'!EB28</f>
        <v>5.2000000000007276</v>
      </c>
      <c r="DZ28" s="87">
        <f>'[1]March - 2023'!EC28</f>
        <v>6060.7</v>
      </c>
      <c r="EA28" s="195">
        <f>'[1]March - 2023'!ED28</f>
        <v>6.6999999999998181</v>
      </c>
      <c r="EB28" s="87">
        <f>'[1]March - 2023'!EE28</f>
        <v>1184407</v>
      </c>
      <c r="EC28" s="195">
        <f>'[1]March - 2023'!EF28</f>
        <v>518</v>
      </c>
      <c r="ED28" s="87">
        <f>'[1]March - 2023'!EI28</f>
        <v>246295.4</v>
      </c>
      <c r="EE28" s="208">
        <f>'[1]March - 2023'!EJ28</f>
        <v>130.5</v>
      </c>
      <c r="EF28" s="584"/>
      <c r="EG28" s="214">
        <f>'[1]March - 2023'!EL28</f>
        <v>12447100</v>
      </c>
      <c r="EH28" s="209">
        <f>'[1]March - 2023'!EM28</f>
        <v>4100</v>
      </c>
      <c r="EI28" s="86">
        <f>'[1]March - 2023'!EN28</f>
        <v>958370</v>
      </c>
      <c r="EJ28" s="209">
        <f>'[1]March - 2023'!EO28</f>
        <v>170</v>
      </c>
      <c r="EK28" s="86">
        <f>'[1]March - 2023'!EP28</f>
        <v>7345500</v>
      </c>
      <c r="EL28" s="209">
        <f>'[1]March - 2023'!EQ28</f>
        <v>1200</v>
      </c>
      <c r="EM28" s="86">
        <f>'[1]March - 2023'!ER28</f>
        <v>2532800</v>
      </c>
      <c r="EN28" s="209">
        <f>'[1]March - 2023'!ES28</f>
        <v>500</v>
      </c>
      <c r="EO28" s="86">
        <f>'[1]March - 2023'!ET28</f>
        <v>1338610</v>
      </c>
      <c r="EP28" s="209">
        <f>'[1]March - 2023'!EU28</f>
        <v>560</v>
      </c>
      <c r="EQ28" s="86">
        <f>'[1]March - 2023'!EV28</f>
        <v>16895300</v>
      </c>
      <c r="ER28" s="209">
        <f>'[1]March - 2023'!EW28</f>
        <v>3500</v>
      </c>
      <c r="ES28" s="562"/>
      <c r="ET28" s="256">
        <f>'[1]March - 2023'!EY28</f>
        <v>43683</v>
      </c>
      <c r="EU28" s="253">
        <f>'[1]March - 2023'!EZ28</f>
        <v>11</v>
      </c>
      <c r="EV28" s="257">
        <f>'[1]March - 2023'!FA28</f>
        <v>38024</v>
      </c>
      <c r="EW28" s="253">
        <f>'[1]March - 2023'!FB28</f>
        <v>9</v>
      </c>
      <c r="EX28" s="257">
        <f>'[1]March - 2023'!FC28</f>
        <v>8563</v>
      </c>
      <c r="EY28" s="253">
        <f>'[1]March - 2023'!FD28</f>
        <v>11</v>
      </c>
      <c r="EZ28" s="257">
        <f>'[1]March - 2023'!FE28</f>
        <v>60732</v>
      </c>
      <c r="FA28" s="253">
        <f>'[1]March - 2023'!FF28</f>
        <v>8</v>
      </c>
      <c r="FB28" s="257">
        <f>'[1]March - 2023'!FG28</f>
        <v>52919</v>
      </c>
      <c r="FC28" s="254">
        <f>'[1]March - 2023'!FH28</f>
        <v>25</v>
      </c>
      <c r="FD28" s="562"/>
      <c r="FE28" s="256">
        <f>'[1]March - 2023'!$FN28</f>
        <v>92620.42</v>
      </c>
      <c r="FF28" s="271">
        <f t="shared" si="0"/>
        <v>134.50199999999313</v>
      </c>
      <c r="FG28" s="270">
        <f>'[1]March - 2023'!$FP28</f>
        <v>12448</v>
      </c>
      <c r="FH28" s="271">
        <f t="shared" si="0"/>
        <v>3</v>
      </c>
      <c r="FI28" s="275">
        <f>'[1]March - 2023'!$FR28</f>
        <v>11151</v>
      </c>
      <c r="FJ28" s="271">
        <f t="shared" si="0"/>
        <v>8</v>
      </c>
      <c r="FK28" s="275">
        <f>'[1]March - 2023'!$FT28</f>
        <v>8831</v>
      </c>
      <c r="FL28" s="271">
        <f t="shared" si="0"/>
        <v>6</v>
      </c>
      <c r="FM28" s="275">
        <f>'[1]March - 2023'!$FV28</f>
        <v>9175</v>
      </c>
      <c r="FN28" s="271">
        <f t="shared" si="0"/>
        <v>3</v>
      </c>
      <c r="FO28" s="257">
        <f>'[1]March - 2023'!$FJ28</f>
        <v>191.58</v>
      </c>
      <c r="FP28" s="271">
        <f t="shared" si="2"/>
        <v>1.0600000000000023</v>
      </c>
      <c r="FQ28" s="257">
        <f>'[1]March - 2023'!$FL28</f>
        <v>266341.09999999998</v>
      </c>
      <c r="FR28" s="253">
        <f t="shared" si="1"/>
        <v>193.19999999995343</v>
      </c>
    </row>
    <row r="29" spans="1:174" ht="30" customHeight="1" x14ac:dyDescent="0.25">
      <c r="A29" s="187">
        <v>44640</v>
      </c>
      <c r="B29" s="189">
        <f>'[1]March - 2023'!B29</f>
        <v>0.73</v>
      </c>
      <c r="C29" s="229">
        <f>'[1]March - 2023'!E29</f>
        <v>272491</v>
      </c>
      <c r="D29" s="152">
        <f>'[1]March - 2023'!F29</f>
        <v>571</v>
      </c>
      <c r="E29" s="150">
        <f>'[1]March - 2023'!G29</f>
        <v>725</v>
      </c>
      <c r="F29" s="150">
        <f>'[1]March - 2023'!H29</f>
        <v>287530</v>
      </c>
      <c r="G29" s="152">
        <f>'[1]March - 2023'!I29</f>
        <v>416</v>
      </c>
      <c r="H29" s="150">
        <f>'[1]March - 2023'!J29</f>
        <v>419</v>
      </c>
      <c r="I29" s="150">
        <f>'[1]March - 2023'!K29</f>
        <v>27039</v>
      </c>
      <c r="J29" s="152">
        <f>'[1]March - 2023'!L29</f>
        <v>275</v>
      </c>
      <c r="K29" s="150">
        <f>'[1]March - 2023'!N29</f>
        <v>940742</v>
      </c>
      <c r="L29" s="152">
        <f>'[1]March - 2023'!O29</f>
        <v>268</v>
      </c>
      <c r="M29" s="150">
        <f>'[1]March - 2023'!Q29</f>
        <v>246269</v>
      </c>
      <c r="N29" s="152">
        <f>'[1]March - 2023'!R29</f>
        <v>0</v>
      </c>
      <c r="O29" s="150">
        <f>'[1]March - 2023'!U29</f>
        <v>124708</v>
      </c>
      <c r="P29" s="152">
        <f>'[1]March - 2023'!V29</f>
        <v>94</v>
      </c>
      <c r="Q29" s="150">
        <f>'[1]March - 2023'!W29</f>
        <v>4.93</v>
      </c>
      <c r="R29" s="150">
        <f>'[1]March - 2023'!X29</f>
        <v>7257</v>
      </c>
      <c r="S29" s="188">
        <f>'[1]March - 2023'!Y29</f>
        <v>12</v>
      </c>
      <c r="T29" s="484"/>
      <c r="U29" s="151">
        <f>'[1]March - 2023'!AE29</f>
        <v>8395186.7999999989</v>
      </c>
      <c r="V29" s="218">
        <f>'[1]March - 2023'!AF29</f>
        <v>2046.2400000002235</v>
      </c>
      <c r="W29" s="88">
        <f>'[1]March - 2023'!AF29</f>
        <v>2046.2400000002235</v>
      </c>
      <c r="X29" s="233">
        <f>'[1]March - 2023'!AH29</f>
        <v>15939283.919999998</v>
      </c>
      <c r="Y29" s="218">
        <f>'[1]March - 2023'!AI29</f>
        <v>4579.6799999978393</v>
      </c>
      <c r="Z29" s="88">
        <f>'[1]March - 2023'!AI29</f>
        <v>4579.6799999978393</v>
      </c>
      <c r="AA29" s="233">
        <f>'[1]March - 2023'!AK29</f>
        <v>16068879.119999999</v>
      </c>
      <c r="AB29" s="218">
        <f>'[1]March - 2023'!AL29</f>
        <v>1948.8000000007451</v>
      </c>
      <c r="AC29" s="88">
        <f>'[1]March - 2023'!AL29</f>
        <v>1948.8000000007451</v>
      </c>
      <c r="AD29" s="233">
        <f>'[1]March - 2023'!AN29</f>
        <v>19229881.439999998</v>
      </c>
      <c r="AE29" s="218">
        <f>'[1]March - 2023'!AO29</f>
        <v>633.35999999567866</v>
      </c>
      <c r="AF29" s="88">
        <f>'[1]March - 2023'!AO29</f>
        <v>633.35999999567866</v>
      </c>
      <c r="AG29" s="233">
        <f>'[1]March - 2023'!AQ29</f>
        <v>19462324.560000002</v>
      </c>
      <c r="AH29" s="218">
        <f>'[1]March - 2023'!AR29</f>
        <v>7746.480000000447</v>
      </c>
      <c r="AI29" s="88">
        <f>'[1]March - 2023'!AR29</f>
        <v>7746.480000000447</v>
      </c>
      <c r="AJ29" s="233">
        <f>'[1]March - 2023'!AT29</f>
        <v>18114534.48</v>
      </c>
      <c r="AK29" s="218">
        <f>'[1]March - 2023'!AU29</f>
        <v>5359.1999999992549</v>
      </c>
      <c r="AL29" s="88">
        <f>'[1]March - 2023'!AU29</f>
        <v>5359.1999999992549</v>
      </c>
      <c r="AM29" s="233">
        <f>'[1]March - 2023'!AW29</f>
        <v>15196742.4</v>
      </c>
      <c r="AN29" s="218">
        <f>'[1]March - 2023'!AX29</f>
        <v>3702.7200000006706</v>
      </c>
      <c r="AO29" s="88">
        <f>'[1]March - 2023'!AX29</f>
        <v>3702.7200000006706</v>
      </c>
      <c r="AP29" s="233">
        <f>'[1]March - 2023'!AZ29</f>
        <v>14764157.52</v>
      </c>
      <c r="AQ29" s="218">
        <f>'[1]March - 2023'!BA29</f>
        <v>4336.0800000000745</v>
      </c>
      <c r="AR29" s="88">
        <f>'[1]March - 2023'!BA29</f>
        <v>4336.0800000000745</v>
      </c>
      <c r="AS29" s="233">
        <f>'[1]March - 2023'!BC29</f>
        <v>11485593.84</v>
      </c>
      <c r="AT29" s="218">
        <f>'[1]March - 2023'!BD29</f>
        <v>2923.1999999992549</v>
      </c>
      <c r="AU29" s="88">
        <f>'[1]March - 2023'!BD29</f>
        <v>2923.1999999992549</v>
      </c>
      <c r="AV29" s="233">
        <f>'[1]March - 2023'!BF29</f>
        <v>18271851.359999999</v>
      </c>
      <c r="AW29" s="230">
        <f>'[1]March - 2023'!BG29</f>
        <v>5310.480000000447</v>
      </c>
      <c r="AX29" s="231">
        <f>'[1]March - 2023'!BG29</f>
        <v>5310.480000000447</v>
      </c>
      <c r="AY29" s="501"/>
      <c r="AZ29" s="250">
        <f>'[1]March - 2023'!BM29</f>
        <v>79418000</v>
      </c>
      <c r="BA29" s="161">
        <f>'[1]March - 2023'!BN29</f>
        <v>4600</v>
      </c>
      <c r="BB29" s="89">
        <f>'[1]March - 2023'!BN29</f>
        <v>4600</v>
      </c>
      <c r="BC29" s="250">
        <f>'[1]March - 2023'!BP29</f>
        <v>82398000</v>
      </c>
      <c r="BD29" s="224">
        <f>'[1]March - 2023'!BQ29</f>
        <v>0</v>
      </c>
      <c r="BE29" s="89">
        <f>'[1]March - 2023'!BQ29</f>
        <v>0</v>
      </c>
      <c r="BF29" s="250">
        <f>'[1]March - 2023'!BS29</f>
        <v>76143100</v>
      </c>
      <c r="BG29" s="224">
        <f>'[1]March - 2023'!BT29</f>
        <v>43500</v>
      </c>
      <c r="BH29" s="89">
        <f>'[1]March - 2023'!BT29</f>
        <v>43500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51">
        <f>'[1]March - 2023'!BV29</f>
        <v>10931270</v>
      </c>
      <c r="BT29" s="166">
        <f>'[1]March - 2023'!BW29</f>
        <v>7050</v>
      </c>
      <c r="BU29" s="593"/>
      <c r="BV29" s="84">
        <f>'[1]March - 2023'!BY29</f>
        <v>0.71</v>
      </c>
      <c r="BW29" s="220">
        <f>'[1]March - 2023'!BZ29</f>
        <v>8.0000000000000071E-2</v>
      </c>
      <c r="BX29" s="84">
        <f>'[1]March - 2023'!BZ29</f>
        <v>8.0000000000000071E-2</v>
      </c>
      <c r="BY29" s="85">
        <f>'[1]March - 2023'!CB29</f>
        <v>66129</v>
      </c>
      <c r="BZ29" s="172">
        <f>'[1]March - 2023'!CC29</f>
        <v>16</v>
      </c>
      <c r="CA29" s="85">
        <f>'[1]March - 2023'!CD29</f>
        <v>57410</v>
      </c>
      <c r="CB29" s="172">
        <f>'[1]March - 2023'!CE29</f>
        <v>19</v>
      </c>
      <c r="CC29" s="85">
        <f>'[1]March - 2023'!CF29</f>
        <v>19390</v>
      </c>
      <c r="CD29" s="172">
        <f>'[1]March - 2023'!CG29</f>
        <v>7</v>
      </c>
      <c r="CE29" s="85">
        <f>'[1]March - 2023'!CH29</f>
        <v>26563</v>
      </c>
      <c r="CF29" s="172">
        <f>'[1]March - 2023'!CI29</f>
        <v>10</v>
      </c>
      <c r="CG29" s="85">
        <f>'[1]March - 2023'!CJ29</f>
        <v>29940</v>
      </c>
      <c r="CH29" s="172">
        <f>'[1]March - 2023'!CK29</f>
        <v>10</v>
      </c>
      <c r="CI29" s="85">
        <f>'[1]March - 2023'!CL29</f>
        <v>66087</v>
      </c>
      <c r="CJ29" s="172">
        <f>'[1]March - 2023'!CM29</f>
        <v>35</v>
      </c>
      <c r="CK29" s="85">
        <f>'[1]March - 2023'!CN29</f>
        <v>275859</v>
      </c>
      <c r="CL29" s="225">
        <f>'[1]March - 2023'!CO29</f>
        <v>82</v>
      </c>
      <c r="CM29" s="85">
        <f>'[1]March - 2023'!CO29</f>
        <v>82</v>
      </c>
      <c r="CN29" s="85">
        <f>'[1]March - 2023'!CQ29</f>
        <v>226692</v>
      </c>
      <c r="CO29" s="225">
        <f>'[1]March - 2023'!CR29</f>
        <v>129</v>
      </c>
      <c r="CP29" s="85">
        <f>'[1]March - 2023'!CR29</f>
        <v>129</v>
      </c>
      <c r="CQ29" s="85">
        <f>'[1]March - 2023'!CT29</f>
        <v>379391</v>
      </c>
      <c r="CR29" s="225">
        <f>'[1]March - 2023'!CU29</f>
        <v>145</v>
      </c>
      <c r="CS29" s="85">
        <f>'[1]March - 2023'!CU29</f>
        <v>145</v>
      </c>
      <c r="CT29" s="85">
        <f>'[1]March - 2023'!CW29</f>
        <v>712495</v>
      </c>
      <c r="CU29" s="172">
        <f>'[1]March - 2023'!CX29</f>
        <v>183</v>
      </c>
      <c r="CV29" s="519"/>
      <c r="CW29" s="234">
        <f>'[1]March - 2023'!CZ29</f>
        <v>9645</v>
      </c>
      <c r="CX29" s="179">
        <f>'[1]March - 2023'!DA29</f>
        <v>3</v>
      </c>
      <c r="CY29" s="235">
        <f>'[1]March - 2023'!DB29</f>
        <v>6546</v>
      </c>
      <c r="CZ29" s="179">
        <f>'[1]March - 2023'!DC29</f>
        <v>3</v>
      </c>
      <c r="DA29" s="235">
        <f>'[1]March - 2023'!DD29</f>
        <v>33789</v>
      </c>
      <c r="DB29" s="179">
        <f>'[1]March - 2023'!DE29</f>
        <v>12</v>
      </c>
      <c r="DC29" s="235">
        <f>'[1]March - 2023'!DF29</f>
        <v>33829</v>
      </c>
      <c r="DD29" s="179">
        <f>'[1]March - 2023'!DG29</f>
        <v>19</v>
      </c>
      <c r="DE29" s="235">
        <f>'[1]March - 2023'!DH29</f>
        <v>22830</v>
      </c>
      <c r="DF29" s="179">
        <f>'[1]March - 2023'!DI29</f>
        <v>7</v>
      </c>
      <c r="DG29" s="235">
        <f>'[1]March - 2023'!DJ29</f>
        <v>24599</v>
      </c>
      <c r="DH29" s="179">
        <f>'[1]March - 2023'!DK29</f>
        <v>7</v>
      </c>
      <c r="DI29" s="235">
        <f>'[1]March - 2023'!DL29</f>
        <v>8179</v>
      </c>
      <c r="DJ29" s="179">
        <f>'[1]March - 2023'!DM29</f>
        <v>6</v>
      </c>
      <c r="DK29" s="235">
        <f>'[1]March - 2023'!DN29</f>
        <v>10613</v>
      </c>
      <c r="DL29" s="179">
        <f>'[1]March - 2023'!DO29</f>
        <v>7</v>
      </c>
      <c r="DM29" s="235">
        <f>'[1]March - 2023'!DP29</f>
        <v>3722</v>
      </c>
      <c r="DN29" s="179">
        <f>'[1]March - 2023'!DQ29</f>
        <v>4</v>
      </c>
      <c r="DO29" s="235">
        <f>'[1]March - 2023'!DR29</f>
        <v>7289</v>
      </c>
      <c r="DP29" s="179">
        <f>'[1]March - 2023'!DS29</f>
        <v>7</v>
      </c>
      <c r="DQ29" s="235">
        <f>'[1]March - 2023'!DT29</f>
        <v>30719</v>
      </c>
      <c r="DR29" s="186">
        <f>'[1]March - 2023'!DU29</f>
        <v>7</v>
      </c>
      <c r="DS29" s="535"/>
      <c r="DT29" s="190">
        <f>'[1]March - 2023'!DW29</f>
        <v>7434.1</v>
      </c>
      <c r="DU29" s="201">
        <f>'[1]March - 2023'!DX29</f>
        <v>9.8000000000001819</v>
      </c>
      <c r="DV29" s="87">
        <f>'[1]March - 2023'!DY29</f>
        <v>12098.1</v>
      </c>
      <c r="DW29" s="195">
        <f>'[1]March - 2023'!DZ29</f>
        <v>7.8000000000010914</v>
      </c>
      <c r="DX29" s="87">
        <f>'[1]March - 2023'!EA29</f>
        <v>5431.6</v>
      </c>
      <c r="DY29" s="195">
        <f>'[1]March - 2023'!EB29</f>
        <v>6</v>
      </c>
      <c r="DZ29" s="87">
        <f>'[1]March - 2023'!EC29</f>
        <v>6066.8</v>
      </c>
      <c r="EA29" s="195">
        <f>'[1]March - 2023'!ED29</f>
        <v>6.1000000000003638</v>
      </c>
      <c r="EB29" s="87">
        <f>'[1]March - 2023'!EE29</f>
        <v>1184980</v>
      </c>
      <c r="EC29" s="195">
        <f>'[1]March - 2023'!EF29</f>
        <v>573</v>
      </c>
      <c r="ED29" s="87">
        <f>'[1]March - 2023'!EI29</f>
        <v>246446.5</v>
      </c>
      <c r="EE29" s="208">
        <f>'[1]March - 2023'!EJ29</f>
        <v>151.10000000000582</v>
      </c>
      <c r="EF29" s="584"/>
      <c r="EG29" s="214">
        <f>'[1]March - 2023'!EL29</f>
        <v>12450200</v>
      </c>
      <c r="EH29" s="209">
        <f>'[1]March - 2023'!EM29</f>
        <v>3100</v>
      </c>
      <c r="EI29" s="86">
        <f>'[1]March - 2023'!EN29</f>
        <v>958610</v>
      </c>
      <c r="EJ29" s="209">
        <f>'[1]March - 2023'!EO29</f>
        <v>240</v>
      </c>
      <c r="EK29" s="86">
        <f>'[1]March - 2023'!EP29</f>
        <v>7347000</v>
      </c>
      <c r="EL29" s="209">
        <f>'[1]March - 2023'!EQ29</f>
        <v>1500</v>
      </c>
      <c r="EM29" s="86">
        <f>'[1]March - 2023'!ER29</f>
        <v>2533300</v>
      </c>
      <c r="EN29" s="209">
        <f>'[1]March - 2023'!ES29</f>
        <v>500</v>
      </c>
      <c r="EO29" s="86">
        <f>'[1]March - 2023'!ET29</f>
        <v>1339280</v>
      </c>
      <c r="EP29" s="209">
        <f>'[1]March - 2023'!EU29</f>
        <v>670</v>
      </c>
      <c r="EQ29" s="86">
        <f>'[1]March - 2023'!EV29</f>
        <v>16899200</v>
      </c>
      <c r="ER29" s="209">
        <f>'[1]March - 2023'!EW29</f>
        <v>3900</v>
      </c>
      <c r="ES29" s="562"/>
      <c r="ET29" s="256">
        <f>'[1]March - 2023'!EY29</f>
        <v>43697</v>
      </c>
      <c r="EU29" s="253">
        <f>'[1]March - 2023'!EZ29</f>
        <v>14</v>
      </c>
      <c r="EV29" s="257">
        <f>'[1]March - 2023'!FA29</f>
        <v>38035</v>
      </c>
      <c r="EW29" s="253">
        <f>'[1]March - 2023'!FB29</f>
        <v>11</v>
      </c>
      <c r="EX29" s="257">
        <f>'[1]March - 2023'!FC29</f>
        <v>8572</v>
      </c>
      <c r="EY29" s="253">
        <f>'[1]March - 2023'!FD29</f>
        <v>9</v>
      </c>
      <c r="EZ29" s="257">
        <f>'[1]March - 2023'!FE29</f>
        <v>60743</v>
      </c>
      <c r="FA29" s="253">
        <f>'[1]March - 2023'!FF29</f>
        <v>11</v>
      </c>
      <c r="FB29" s="257">
        <f>'[1]March - 2023'!FG29</f>
        <v>52950</v>
      </c>
      <c r="FC29" s="254">
        <f>'[1]March - 2023'!FH29</f>
        <v>31</v>
      </c>
      <c r="FD29" s="562"/>
      <c r="FE29" s="256">
        <f>'[1]March - 2023'!$FN29</f>
        <v>92740.672999999995</v>
      </c>
      <c r="FF29" s="271">
        <f t="shared" si="0"/>
        <v>120.25299999999697</v>
      </c>
      <c r="FG29" s="270">
        <f>'[1]March - 2023'!$FP29</f>
        <v>12460</v>
      </c>
      <c r="FH29" s="271">
        <f t="shared" si="0"/>
        <v>12</v>
      </c>
      <c r="FI29" s="275">
        <f>'[1]March - 2023'!$FR29</f>
        <v>11157</v>
      </c>
      <c r="FJ29" s="271">
        <f t="shared" si="0"/>
        <v>6</v>
      </c>
      <c r="FK29" s="275">
        <f>'[1]March - 2023'!$FT29</f>
        <v>8837</v>
      </c>
      <c r="FL29" s="271">
        <f t="shared" si="0"/>
        <v>6</v>
      </c>
      <c r="FM29" s="275">
        <f>'[1]March - 2023'!$FV29</f>
        <v>9180</v>
      </c>
      <c r="FN29" s="271">
        <f t="shared" si="0"/>
        <v>5</v>
      </c>
      <c r="FO29" s="257">
        <f>'[1]March - 2023'!$FJ29</f>
        <v>191.63</v>
      </c>
      <c r="FP29" s="271">
        <f t="shared" si="2"/>
        <v>4.9999999999982947E-2</v>
      </c>
      <c r="FQ29" s="257">
        <f>'[1]March - 2023'!$FL29</f>
        <v>266531.59999999998</v>
      </c>
      <c r="FR29" s="253">
        <f t="shared" si="1"/>
        <v>190.5</v>
      </c>
    </row>
    <row r="30" spans="1:174" ht="30" customHeight="1" x14ac:dyDescent="0.25">
      <c r="A30" s="187">
        <v>44641</v>
      </c>
      <c r="B30" s="189">
        <f>'[1]March - 2023'!B30</f>
        <v>0.8</v>
      </c>
      <c r="C30" s="229">
        <f>'[1]March - 2023'!E30</f>
        <v>273042</v>
      </c>
      <c r="D30" s="152">
        <f>'[1]March - 2023'!F30</f>
        <v>551</v>
      </c>
      <c r="E30" s="150">
        <f>'[1]March - 2023'!G30</f>
        <v>772</v>
      </c>
      <c r="F30" s="150">
        <f>'[1]March - 2023'!H30</f>
        <v>287942</v>
      </c>
      <c r="G30" s="152">
        <f>'[1]March - 2023'!I30</f>
        <v>412</v>
      </c>
      <c r="H30" s="150">
        <f>'[1]March - 2023'!J30</f>
        <v>441</v>
      </c>
      <c r="I30" s="150">
        <f>'[1]March - 2023'!K30</f>
        <v>27324</v>
      </c>
      <c r="J30" s="152">
        <f>'[1]March - 2023'!L30</f>
        <v>285</v>
      </c>
      <c r="K30" s="150">
        <f>'[1]March - 2023'!N30</f>
        <v>941002</v>
      </c>
      <c r="L30" s="152">
        <f>'[1]March - 2023'!O30</f>
        <v>260</v>
      </c>
      <c r="M30" s="150">
        <f>'[1]March - 2023'!Q30</f>
        <v>246269</v>
      </c>
      <c r="N30" s="152">
        <f>'[1]March - 2023'!R30</f>
        <v>0</v>
      </c>
      <c r="O30" s="150">
        <f>'[1]March - 2023'!U30</f>
        <v>124806</v>
      </c>
      <c r="P30" s="152">
        <f>'[1]March - 2023'!V30</f>
        <v>98</v>
      </c>
      <c r="Q30" s="150">
        <f>'[1]March - 2023'!W30</f>
        <v>4.9130000000000003</v>
      </c>
      <c r="R30" s="150">
        <f>'[1]March - 2023'!X30</f>
        <v>7270</v>
      </c>
      <c r="S30" s="188">
        <f>'[1]March - 2023'!Y30</f>
        <v>13</v>
      </c>
      <c r="T30" s="484"/>
      <c r="U30" s="151">
        <f>'[1]March - 2023'!AE30</f>
        <v>8397135.5999999996</v>
      </c>
      <c r="V30" s="218">
        <f>'[1]March - 2023'!AF30</f>
        <v>1948.8000000007451</v>
      </c>
      <c r="W30" s="88">
        <f>'[1]March - 2023'!AF30</f>
        <v>1948.8000000007451</v>
      </c>
      <c r="X30" s="233">
        <f>'[1]March - 2023'!AH30</f>
        <v>15943814.880000001</v>
      </c>
      <c r="Y30" s="218">
        <f>'[1]March - 2023'!AI30</f>
        <v>4530.9600000027567</v>
      </c>
      <c r="Z30" s="88">
        <f>'[1]March - 2023'!AI30</f>
        <v>4530.9600000027567</v>
      </c>
      <c r="AA30" s="233">
        <f>'[1]March - 2023'!AK30</f>
        <v>16077502.560000001</v>
      </c>
      <c r="AB30" s="218">
        <f>'[1]March - 2023'!AL30</f>
        <v>8623.4400000013411</v>
      </c>
      <c r="AC30" s="88">
        <f>'[1]March - 2023'!AL30</f>
        <v>8623.4400000013411</v>
      </c>
      <c r="AD30" s="233">
        <f>'[1]March - 2023'!AN30</f>
        <v>19231635.359999999</v>
      </c>
      <c r="AE30" s="218">
        <f>'[1]March - 2023'!AO30</f>
        <v>1753.9200000017881</v>
      </c>
      <c r="AF30" s="88">
        <f>'[1]March - 2023'!AO30</f>
        <v>1753.9200000017881</v>
      </c>
      <c r="AG30" s="233">
        <f>'[1]March - 2023'!AQ30</f>
        <v>19462373.280000001</v>
      </c>
      <c r="AH30" s="218">
        <f>'[1]March - 2023'!AR30</f>
        <v>48.719999998807907</v>
      </c>
      <c r="AI30" s="88">
        <f>'[1]March - 2023'!AR30</f>
        <v>48.719999998807907</v>
      </c>
      <c r="AJ30" s="233">
        <f>'[1]March - 2023'!AT30</f>
        <v>18119893.68</v>
      </c>
      <c r="AK30" s="218">
        <f>'[1]March - 2023'!AU30</f>
        <v>5359.1999999992549</v>
      </c>
      <c r="AL30" s="88">
        <f>'[1]March - 2023'!AU30</f>
        <v>5359.1999999992549</v>
      </c>
      <c r="AM30" s="233">
        <f>'[1]March - 2023'!AW30</f>
        <v>15200298.959999999</v>
      </c>
      <c r="AN30" s="218">
        <f>'[1]March - 2023'!AX30</f>
        <v>3556.5599999986589</v>
      </c>
      <c r="AO30" s="88">
        <f>'[1]March - 2023'!AX30</f>
        <v>3556.5599999986589</v>
      </c>
      <c r="AP30" s="233">
        <f>'[1]March - 2023'!AZ30</f>
        <v>14768396.16</v>
      </c>
      <c r="AQ30" s="218">
        <f>'[1]March - 2023'!BA30</f>
        <v>4238.640000000596</v>
      </c>
      <c r="AR30" s="88">
        <f>'[1]March - 2023'!BA30</f>
        <v>4238.640000000596</v>
      </c>
      <c r="AS30" s="233">
        <f>'[1]March - 2023'!BC30</f>
        <v>11488419.6</v>
      </c>
      <c r="AT30" s="218">
        <f>'[1]March - 2023'!BD30</f>
        <v>2825.7599999997765</v>
      </c>
      <c r="AU30" s="88">
        <f>'[1]March - 2023'!BD30</f>
        <v>2825.7599999997765</v>
      </c>
      <c r="AV30" s="233">
        <f>'[1]March - 2023'!BF30</f>
        <v>18277015.68</v>
      </c>
      <c r="AW30" s="230">
        <f>'[1]March - 2023'!BG30</f>
        <v>5164.320000000298</v>
      </c>
      <c r="AX30" s="231">
        <f>'[1]March - 2023'!BG30</f>
        <v>5164.320000000298</v>
      </c>
      <c r="AY30" s="501"/>
      <c r="AZ30" s="250">
        <f>'[1]March - 2023'!BM30</f>
        <v>79465900</v>
      </c>
      <c r="BA30" s="161">
        <f>'[1]March - 2023'!BN30</f>
        <v>47900</v>
      </c>
      <c r="BB30" s="89">
        <f>'[1]March - 2023'!BN30</f>
        <v>47900</v>
      </c>
      <c r="BC30" s="250">
        <f>'[1]March - 2023'!BP30</f>
        <v>82402800</v>
      </c>
      <c r="BD30" s="224">
        <f>'[1]March - 2023'!BQ30</f>
        <v>4800</v>
      </c>
      <c r="BE30" s="89">
        <f>'[1]March - 2023'!BQ30</f>
        <v>4800</v>
      </c>
      <c r="BF30" s="250">
        <f>'[1]March - 2023'!BS30</f>
        <v>76143100</v>
      </c>
      <c r="BG30" s="224">
        <f>'[1]March - 2023'!BT30</f>
        <v>0</v>
      </c>
      <c r="BH30" s="89">
        <f>'[1]March - 2023'!BT30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51">
        <f>'[1]March - 2023'!BV30</f>
        <v>10938860</v>
      </c>
      <c r="BT30" s="166">
        <f>'[1]March - 2023'!BW30</f>
        <v>7590</v>
      </c>
      <c r="BU30" s="593"/>
      <c r="BV30" s="84">
        <f>'[1]March - 2023'!BY30</f>
        <v>0.65</v>
      </c>
      <c r="BW30" s="220">
        <f>'[1]March - 2023'!BZ30</f>
        <v>5.9999999999999942E-2</v>
      </c>
      <c r="BX30" s="84">
        <f>'[1]March - 2023'!BZ30</f>
        <v>5.9999999999999942E-2</v>
      </c>
      <c r="BY30" s="85">
        <f>'[1]March - 2023'!CB30</f>
        <v>66146</v>
      </c>
      <c r="BZ30" s="172">
        <f>'[1]March - 2023'!CC30</f>
        <v>17</v>
      </c>
      <c r="CA30" s="85">
        <f>'[1]March - 2023'!CD30</f>
        <v>57430</v>
      </c>
      <c r="CB30" s="172">
        <f>'[1]March - 2023'!CE30</f>
        <v>20</v>
      </c>
      <c r="CC30" s="85">
        <f>'[1]March - 2023'!CF30</f>
        <v>19397</v>
      </c>
      <c r="CD30" s="172">
        <f>'[1]March - 2023'!CG30</f>
        <v>7</v>
      </c>
      <c r="CE30" s="85">
        <f>'[1]March - 2023'!CH30</f>
        <v>26573</v>
      </c>
      <c r="CF30" s="172">
        <f>'[1]March - 2023'!CI30</f>
        <v>10</v>
      </c>
      <c r="CG30" s="85">
        <f>'[1]March - 2023'!CJ30</f>
        <v>29950</v>
      </c>
      <c r="CH30" s="172">
        <f>'[1]March - 2023'!CK30</f>
        <v>10</v>
      </c>
      <c r="CI30" s="85">
        <f>'[1]March - 2023'!CL30</f>
        <v>66121</v>
      </c>
      <c r="CJ30" s="172">
        <f>'[1]March - 2023'!CM30</f>
        <v>34</v>
      </c>
      <c r="CK30" s="85">
        <f>'[1]March - 2023'!CN30</f>
        <v>275940</v>
      </c>
      <c r="CL30" s="225">
        <f>'[1]March - 2023'!CO30</f>
        <v>81</v>
      </c>
      <c r="CM30" s="85">
        <f>'[1]March - 2023'!CO30</f>
        <v>81</v>
      </c>
      <c r="CN30" s="85">
        <f>'[1]March - 2023'!CQ30</f>
        <v>226826</v>
      </c>
      <c r="CO30" s="225">
        <f>'[1]March - 2023'!CR30</f>
        <v>134</v>
      </c>
      <c r="CP30" s="85">
        <f>'[1]March - 2023'!CR30</f>
        <v>134</v>
      </c>
      <c r="CQ30" s="85">
        <f>'[1]March - 2023'!CT30</f>
        <v>379577</v>
      </c>
      <c r="CR30" s="225">
        <f>'[1]March - 2023'!CU30</f>
        <v>186</v>
      </c>
      <c r="CS30" s="85">
        <f>'[1]March - 2023'!CU30</f>
        <v>186</v>
      </c>
      <c r="CT30" s="85">
        <f>'[1]March - 2023'!CW30</f>
        <v>712678</v>
      </c>
      <c r="CU30" s="172">
        <f>'[1]March - 2023'!CX30</f>
        <v>183</v>
      </c>
      <c r="CV30" s="519"/>
      <c r="CW30" s="234">
        <f>'[1]March - 2023'!CZ30</f>
        <v>9648</v>
      </c>
      <c r="CX30" s="179">
        <f>'[1]March - 2023'!DA30</f>
        <v>3</v>
      </c>
      <c r="CY30" s="235">
        <f>'[1]March - 2023'!DB30</f>
        <v>6551</v>
      </c>
      <c r="CZ30" s="179">
        <f>'[1]March - 2023'!DC30</f>
        <v>5</v>
      </c>
      <c r="DA30" s="235">
        <f>'[1]March - 2023'!DD30</f>
        <v>33805</v>
      </c>
      <c r="DB30" s="179">
        <f>'[1]March - 2023'!DE30</f>
        <v>16</v>
      </c>
      <c r="DC30" s="235">
        <f>'[1]March - 2023'!DF30</f>
        <v>33836</v>
      </c>
      <c r="DD30" s="179">
        <f>'[1]March - 2023'!DG30</f>
        <v>7</v>
      </c>
      <c r="DE30" s="235">
        <f>'[1]March - 2023'!DH30</f>
        <v>22838</v>
      </c>
      <c r="DF30" s="179">
        <f>'[1]March - 2023'!DI30</f>
        <v>8</v>
      </c>
      <c r="DG30" s="235">
        <f>'[1]March - 2023'!DJ30</f>
        <v>24605</v>
      </c>
      <c r="DH30" s="179">
        <f>'[1]March - 2023'!DK30</f>
        <v>6</v>
      </c>
      <c r="DI30" s="235">
        <f>'[1]March - 2023'!DL30</f>
        <v>8187</v>
      </c>
      <c r="DJ30" s="179">
        <f>'[1]March - 2023'!DM30</f>
        <v>8</v>
      </c>
      <c r="DK30" s="235">
        <f>'[1]March - 2023'!DN30</f>
        <v>10622</v>
      </c>
      <c r="DL30" s="179">
        <f>'[1]March - 2023'!DO30</f>
        <v>9</v>
      </c>
      <c r="DM30" s="235">
        <f>'[1]March - 2023'!DP30</f>
        <v>3726</v>
      </c>
      <c r="DN30" s="179">
        <f>'[1]March - 2023'!DQ30</f>
        <v>4</v>
      </c>
      <c r="DO30" s="235">
        <f>'[1]March - 2023'!DR30</f>
        <v>7298</v>
      </c>
      <c r="DP30" s="179">
        <f>'[1]March - 2023'!DS30</f>
        <v>9</v>
      </c>
      <c r="DQ30" s="235">
        <f>'[1]March - 2023'!DT30</f>
        <v>30725</v>
      </c>
      <c r="DR30" s="186">
        <f>'[1]March - 2023'!DU30</f>
        <v>6</v>
      </c>
      <c r="DS30" s="535"/>
      <c r="DT30" s="190">
        <f>'[1]March - 2023'!DW30</f>
        <v>7443.7</v>
      </c>
      <c r="DU30" s="201">
        <f>'[1]March - 2023'!DX30</f>
        <v>9.5999999999994543</v>
      </c>
      <c r="DV30" s="87">
        <f>'[1]March - 2023'!DY30</f>
        <v>12106</v>
      </c>
      <c r="DW30" s="195">
        <f>'[1]March - 2023'!DZ30</f>
        <v>7.8999999999996362</v>
      </c>
      <c r="DX30" s="87">
        <f>'[1]March - 2023'!EA30</f>
        <v>5437.5</v>
      </c>
      <c r="DY30" s="195">
        <f>'[1]March - 2023'!EB30</f>
        <v>5.8999999999996362</v>
      </c>
      <c r="DZ30" s="87">
        <f>'[1]March - 2023'!EC30</f>
        <v>6072.9</v>
      </c>
      <c r="EA30" s="195">
        <f>'[1]March - 2023'!ED30</f>
        <v>6.0999999999994543</v>
      </c>
      <c r="EB30" s="87">
        <f>'[1]March - 2023'!EE30</f>
        <v>1185581</v>
      </c>
      <c r="EC30" s="195">
        <f>'[1]March - 2023'!EF30</f>
        <v>601</v>
      </c>
      <c r="ED30" s="87">
        <f>'[1]March - 2023'!EI30</f>
        <v>246593.4</v>
      </c>
      <c r="EE30" s="208">
        <f>'[1]March - 2023'!EJ30</f>
        <v>146.89999999999418</v>
      </c>
      <c r="EF30" s="584"/>
      <c r="EG30" s="214">
        <f>'[1]March - 2023'!EL30</f>
        <v>12453400</v>
      </c>
      <c r="EH30" s="209">
        <f>'[1]March - 2023'!EM30</f>
        <v>3200</v>
      </c>
      <c r="EI30" s="86">
        <f>'[1]March - 2023'!EN30</f>
        <v>958860</v>
      </c>
      <c r="EJ30" s="209">
        <f>'[1]March - 2023'!EO30</f>
        <v>250</v>
      </c>
      <c r="EK30" s="86">
        <f>'[1]March - 2023'!EP30</f>
        <v>7348500</v>
      </c>
      <c r="EL30" s="209">
        <f>'[1]March - 2023'!EQ30</f>
        <v>1500</v>
      </c>
      <c r="EM30" s="86">
        <f>'[1]March - 2023'!ER30</f>
        <v>2533700</v>
      </c>
      <c r="EN30" s="209">
        <f>'[1]March - 2023'!ES30</f>
        <v>400</v>
      </c>
      <c r="EO30" s="86">
        <f>'[1]March - 2023'!ET30</f>
        <v>1339920</v>
      </c>
      <c r="EP30" s="209">
        <f>'[1]March - 2023'!EU30</f>
        <v>640</v>
      </c>
      <c r="EQ30" s="86">
        <f>'[1]March - 2023'!EV30</f>
        <v>16903600</v>
      </c>
      <c r="ER30" s="209">
        <f>'[1]March - 2023'!EW30</f>
        <v>4400</v>
      </c>
      <c r="ES30" s="562"/>
      <c r="ET30" s="256">
        <f>'[1]March - 2023'!EY30</f>
        <v>43712</v>
      </c>
      <c r="EU30" s="253">
        <f>'[1]March - 2023'!EZ30</f>
        <v>15</v>
      </c>
      <c r="EV30" s="257">
        <f>'[1]March - 2023'!FA30</f>
        <v>38046</v>
      </c>
      <c r="EW30" s="253">
        <f>'[1]March - 2023'!FB30</f>
        <v>11</v>
      </c>
      <c r="EX30" s="257">
        <f>'[1]March - 2023'!FC30</f>
        <v>8582</v>
      </c>
      <c r="EY30" s="253">
        <f>'[1]March - 2023'!FD30</f>
        <v>10</v>
      </c>
      <c r="EZ30" s="257">
        <f>'[1]March - 2023'!FE30</f>
        <v>60753</v>
      </c>
      <c r="FA30" s="253">
        <f>'[1]March - 2023'!FF30</f>
        <v>10</v>
      </c>
      <c r="FB30" s="257">
        <f>'[1]March - 2023'!FG30</f>
        <v>52980</v>
      </c>
      <c r="FC30" s="254">
        <f>'[1]March - 2023'!FH30</f>
        <v>30</v>
      </c>
      <c r="FD30" s="562"/>
      <c r="FE30" s="256">
        <f>'[1]March - 2023'!$FN30</f>
        <v>92867.707999999999</v>
      </c>
      <c r="FF30" s="271">
        <f t="shared" si="0"/>
        <v>127.03500000000349</v>
      </c>
      <c r="FG30" s="270">
        <f>'[1]March - 2023'!$FP30</f>
        <v>12468</v>
      </c>
      <c r="FH30" s="271">
        <f t="shared" si="0"/>
        <v>8</v>
      </c>
      <c r="FI30" s="275">
        <f>'[1]March - 2023'!$FR30</f>
        <v>11162</v>
      </c>
      <c r="FJ30" s="271">
        <f t="shared" si="0"/>
        <v>5</v>
      </c>
      <c r="FK30" s="275">
        <f>'[1]March - 2023'!$FT30</f>
        <v>8842</v>
      </c>
      <c r="FL30" s="271">
        <f t="shared" si="0"/>
        <v>5</v>
      </c>
      <c r="FM30" s="275">
        <f>'[1]March - 2023'!$FV30</f>
        <v>9184</v>
      </c>
      <c r="FN30" s="271">
        <f t="shared" si="0"/>
        <v>4</v>
      </c>
      <c r="FO30" s="257">
        <f>'[1]March - 2023'!$FJ30</f>
        <v>191.66</v>
      </c>
      <c r="FP30" s="271">
        <f t="shared" si="2"/>
        <v>3.0000000000001137E-2</v>
      </c>
      <c r="FQ30" s="257">
        <f>'[1]March - 2023'!$FL30</f>
        <v>266747.3</v>
      </c>
      <c r="FR30" s="253">
        <f t="shared" si="1"/>
        <v>215.70000000001164</v>
      </c>
    </row>
    <row r="31" spans="1:174" ht="30" customHeight="1" x14ac:dyDescent="0.25">
      <c r="A31" s="187">
        <v>44642</v>
      </c>
      <c r="B31" s="189">
        <f>'[1]March - 2023'!B31</f>
        <v>0</v>
      </c>
      <c r="C31" s="229">
        <f>'[1]March - 2023'!E31</f>
        <v>0</v>
      </c>
      <c r="D31" s="152">
        <f>'[1]March - 2023'!F31</f>
        <v>-273042</v>
      </c>
      <c r="E31" s="150">
        <f>'[1]March - 2023'!G31</f>
        <v>703</v>
      </c>
      <c r="F31" s="150">
        <f>'[1]March - 2023'!H31</f>
        <v>0</v>
      </c>
      <c r="G31" s="152">
        <f>'[1]March - 2023'!I31</f>
        <v>-287942</v>
      </c>
      <c r="H31" s="150">
        <f>'[1]March - 2023'!J31</f>
        <v>444</v>
      </c>
      <c r="I31" s="150">
        <f>'[1]March - 2023'!K31</f>
        <v>0</v>
      </c>
      <c r="J31" s="152">
        <f>'[1]March - 2023'!L31</f>
        <v>-27324</v>
      </c>
      <c r="K31" s="150">
        <f>'[1]March - 2023'!N31</f>
        <v>0</v>
      </c>
      <c r="L31" s="152">
        <f>'[1]March - 2023'!O31</f>
        <v>-941002</v>
      </c>
      <c r="M31" s="150">
        <f>'[1]March - 2023'!Q31</f>
        <v>0</v>
      </c>
      <c r="N31" s="152">
        <f>'[1]March - 2023'!R31</f>
        <v>-246269</v>
      </c>
      <c r="O31" s="150">
        <f>'[1]March - 2023'!U31</f>
        <v>0</v>
      </c>
      <c r="P31" s="152">
        <f>'[1]March - 2023'!V31</f>
        <v>-124806</v>
      </c>
      <c r="Q31" s="150">
        <f>'[1]March - 2023'!W31</f>
        <v>3.6640000000000001</v>
      </c>
      <c r="R31" s="150">
        <f>'[1]March - 2023'!X31</f>
        <v>0</v>
      </c>
      <c r="S31" s="188">
        <f>'[1]March - 2023'!Y31</f>
        <v>-7270</v>
      </c>
      <c r="T31" s="484"/>
      <c r="U31" s="151">
        <f>'[1]March - 2023'!AE31</f>
        <v>0</v>
      </c>
      <c r="V31" s="218">
        <f>'[1]March - 2023'!AF31</f>
        <v>-8397135.5999999996</v>
      </c>
      <c r="W31" s="88">
        <f>'[1]March - 2023'!AF31</f>
        <v>-8397135.5999999996</v>
      </c>
      <c r="X31" s="233">
        <f>'[1]March - 2023'!AH31</f>
        <v>0</v>
      </c>
      <c r="Y31" s="218">
        <f>'[1]March - 2023'!AI31</f>
        <v>-15943814.880000001</v>
      </c>
      <c r="Z31" s="88">
        <f>'[1]March - 2023'!AI31</f>
        <v>-15943814.880000001</v>
      </c>
      <c r="AA31" s="233">
        <f>'[1]March - 2023'!AK31</f>
        <v>0</v>
      </c>
      <c r="AB31" s="218">
        <f>'[1]March - 2023'!AL31</f>
        <v>-16077502.560000001</v>
      </c>
      <c r="AC31" s="88">
        <f>'[1]March - 2023'!AL31</f>
        <v>-16077502.560000001</v>
      </c>
      <c r="AD31" s="233">
        <f>'[1]March - 2023'!AN31</f>
        <v>0</v>
      </c>
      <c r="AE31" s="218">
        <f>'[1]March - 2023'!AO31</f>
        <v>-19231635.359999999</v>
      </c>
      <c r="AF31" s="88">
        <f>'[1]March - 2023'!AO31</f>
        <v>-19231635.359999999</v>
      </c>
      <c r="AG31" s="233">
        <f>'[1]March - 2023'!AQ31</f>
        <v>0</v>
      </c>
      <c r="AH31" s="218">
        <f>'[1]March - 2023'!AR31</f>
        <v>-19462373.280000001</v>
      </c>
      <c r="AI31" s="88">
        <f>'[1]March - 2023'!AR31</f>
        <v>-19462373.280000001</v>
      </c>
      <c r="AJ31" s="233">
        <f>'[1]March - 2023'!AT31</f>
        <v>0</v>
      </c>
      <c r="AK31" s="218">
        <f>'[1]March - 2023'!AU31</f>
        <v>-18119893.68</v>
      </c>
      <c r="AL31" s="88">
        <f>'[1]March - 2023'!AU31</f>
        <v>-18119893.68</v>
      </c>
      <c r="AM31" s="233">
        <f>'[1]March - 2023'!AW31</f>
        <v>0</v>
      </c>
      <c r="AN31" s="218">
        <f>'[1]March - 2023'!AX31</f>
        <v>-15200298.959999999</v>
      </c>
      <c r="AO31" s="88">
        <f>'[1]March - 2023'!AX31</f>
        <v>-15200298.959999999</v>
      </c>
      <c r="AP31" s="233">
        <f>'[1]March - 2023'!AZ31</f>
        <v>0</v>
      </c>
      <c r="AQ31" s="218">
        <f>'[1]March - 2023'!BA31</f>
        <v>-14768396.16</v>
      </c>
      <c r="AR31" s="88">
        <f>'[1]March - 2023'!BA31</f>
        <v>-14768396.16</v>
      </c>
      <c r="AS31" s="233">
        <f>'[1]March - 2023'!BC31</f>
        <v>0</v>
      </c>
      <c r="AT31" s="218">
        <f>'[1]March - 2023'!BD31</f>
        <v>-11488419.6</v>
      </c>
      <c r="AU31" s="88">
        <f>'[1]March - 2023'!BD31</f>
        <v>-11488419.6</v>
      </c>
      <c r="AV31" s="233">
        <f>'[1]March - 2023'!BF31</f>
        <v>0</v>
      </c>
      <c r="AW31" s="230">
        <f>'[1]March - 2023'!BG31</f>
        <v>-18277015.68</v>
      </c>
      <c r="AX31" s="231">
        <f>'[1]March - 2023'!BG31</f>
        <v>-18277015.68</v>
      </c>
      <c r="AY31" s="501"/>
      <c r="AZ31" s="250">
        <f>'[1]March - 2023'!BM31</f>
        <v>0</v>
      </c>
      <c r="BA31" s="161">
        <f>'[1]March - 2023'!BN31</f>
        <v>-79465900</v>
      </c>
      <c r="BB31" s="89">
        <f>'[1]March - 2023'!BN31</f>
        <v>-79465900</v>
      </c>
      <c r="BC31" s="250">
        <f>'[1]March - 2023'!BP31</f>
        <v>0</v>
      </c>
      <c r="BD31" s="224">
        <f>'[1]March - 2023'!BQ31</f>
        <v>-82402800</v>
      </c>
      <c r="BE31" s="89">
        <f>'[1]March - 2023'!BQ31</f>
        <v>-82402800</v>
      </c>
      <c r="BF31" s="250">
        <f>'[1]March - 2023'!BS31</f>
        <v>0</v>
      </c>
      <c r="BG31" s="224">
        <f>'[1]March - 2023'!BT31</f>
        <v>-76143100</v>
      </c>
      <c r="BH31" s="89">
        <f>'[1]March - 2023'!BT31</f>
        <v>-76143100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51">
        <f>'[1]March - 2023'!BV31</f>
        <v>0</v>
      </c>
      <c r="BT31" s="166">
        <f>'[1]March - 2023'!BW31</f>
        <v>-10938860</v>
      </c>
      <c r="BU31" s="593"/>
      <c r="BV31" s="84">
        <f>'[1]March - 2023'!BY31</f>
        <v>0</v>
      </c>
      <c r="BW31" s="220">
        <f>'[1]March - 2023'!BZ31</f>
        <v>0.65</v>
      </c>
      <c r="BX31" s="84">
        <f>'[1]March - 2023'!BZ31</f>
        <v>0.65</v>
      </c>
      <c r="BY31" s="85">
        <f>'[1]March - 2023'!CB31</f>
        <v>0</v>
      </c>
      <c r="BZ31" s="172">
        <f>'[1]March - 2023'!CC31</f>
        <v>-66146</v>
      </c>
      <c r="CA31" s="85">
        <f>'[1]March - 2023'!CD31</f>
        <v>0</v>
      </c>
      <c r="CB31" s="172">
        <f>'[1]March - 2023'!CE31</f>
        <v>-57430</v>
      </c>
      <c r="CC31" s="85">
        <f>'[1]March - 2023'!CF31</f>
        <v>0</v>
      </c>
      <c r="CD31" s="172">
        <f>'[1]March - 2023'!CG31</f>
        <v>-19397</v>
      </c>
      <c r="CE31" s="85">
        <f>'[1]March - 2023'!CH31</f>
        <v>0</v>
      </c>
      <c r="CF31" s="172">
        <f>'[1]March - 2023'!CI31</f>
        <v>-26573</v>
      </c>
      <c r="CG31" s="85">
        <f>'[1]March - 2023'!CJ31</f>
        <v>0</v>
      </c>
      <c r="CH31" s="172">
        <f>'[1]March - 2023'!CK31</f>
        <v>-29950</v>
      </c>
      <c r="CI31" s="85">
        <f>'[1]March - 2023'!CL31</f>
        <v>0</v>
      </c>
      <c r="CJ31" s="172">
        <f>'[1]March - 2023'!CM31</f>
        <v>-66121</v>
      </c>
      <c r="CK31" s="85">
        <f>'[1]March - 2023'!CN31</f>
        <v>0</v>
      </c>
      <c r="CL31" s="225">
        <f>'[1]March - 2023'!CO31</f>
        <v>-275940</v>
      </c>
      <c r="CM31" s="85">
        <f>'[1]March - 2023'!CO31</f>
        <v>-275940</v>
      </c>
      <c r="CN31" s="85">
        <f>'[1]March - 2023'!CQ31</f>
        <v>0</v>
      </c>
      <c r="CO31" s="225">
        <f>'[1]March - 2023'!CR31</f>
        <v>-226826</v>
      </c>
      <c r="CP31" s="85">
        <f>'[1]March - 2023'!CR31</f>
        <v>-226826</v>
      </c>
      <c r="CQ31" s="85">
        <f>'[1]March - 2023'!CT31</f>
        <v>0</v>
      </c>
      <c r="CR31" s="225">
        <f>'[1]March - 2023'!CU31</f>
        <v>-379577</v>
      </c>
      <c r="CS31" s="85">
        <f>'[1]March - 2023'!CU31</f>
        <v>-379577</v>
      </c>
      <c r="CT31" s="85">
        <f>'[1]March - 2023'!CW31</f>
        <v>0</v>
      </c>
      <c r="CU31" s="172">
        <f>'[1]March - 2023'!CX31</f>
        <v>-712678</v>
      </c>
      <c r="CV31" s="519"/>
      <c r="CW31" s="234">
        <f>'[1]March - 2023'!CZ31</f>
        <v>0</v>
      </c>
      <c r="CX31" s="179">
        <f>'[1]March - 2023'!DA31</f>
        <v>-9648</v>
      </c>
      <c r="CY31" s="235">
        <f>'[1]March - 2023'!DB31</f>
        <v>0</v>
      </c>
      <c r="CZ31" s="179">
        <f>'[1]March - 2023'!DC31</f>
        <v>-6551</v>
      </c>
      <c r="DA31" s="235">
        <f>'[1]March - 2023'!DD31</f>
        <v>0</v>
      </c>
      <c r="DB31" s="179">
        <f>'[1]March - 2023'!DE31</f>
        <v>-33805</v>
      </c>
      <c r="DC31" s="235">
        <f>'[1]March - 2023'!DF31</f>
        <v>0</v>
      </c>
      <c r="DD31" s="179">
        <f>'[1]March - 2023'!DG31</f>
        <v>-33836</v>
      </c>
      <c r="DE31" s="235">
        <f>'[1]March - 2023'!DH31</f>
        <v>0</v>
      </c>
      <c r="DF31" s="179">
        <f>'[1]March - 2023'!DI31</f>
        <v>-22838</v>
      </c>
      <c r="DG31" s="235">
        <f>'[1]March - 2023'!DJ31</f>
        <v>0</v>
      </c>
      <c r="DH31" s="179">
        <f>'[1]March - 2023'!DK31</f>
        <v>-24605</v>
      </c>
      <c r="DI31" s="235">
        <f>'[1]March - 2023'!DL31</f>
        <v>0</v>
      </c>
      <c r="DJ31" s="179">
        <f>'[1]March - 2023'!DM31</f>
        <v>-8187</v>
      </c>
      <c r="DK31" s="235">
        <f>'[1]March - 2023'!DN31</f>
        <v>0</v>
      </c>
      <c r="DL31" s="179">
        <f>'[1]March - 2023'!DO31</f>
        <v>-10622</v>
      </c>
      <c r="DM31" s="235">
        <f>'[1]March - 2023'!DP31</f>
        <v>0</v>
      </c>
      <c r="DN31" s="179">
        <f>'[1]March - 2023'!DQ31</f>
        <v>-3726</v>
      </c>
      <c r="DO31" s="235">
        <f>'[1]March - 2023'!DR31</f>
        <v>0</v>
      </c>
      <c r="DP31" s="179">
        <f>'[1]March - 2023'!DS31</f>
        <v>-7298</v>
      </c>
      <c r="DQ31" s="235">
        <f>'[1]March - 2023'!DT31</f>
        <v>0</v>
      </c>
      <c r="DR31" s="186">
        <f>'[1]March - 2023'!DU31</f>
        <v>-30725</v>
      </c>
      <c r="DS31" s="535"/>
      <c r="DT31" s="190">
        <f>'[1]March - 2023'!DW31</f>
        <v>0</v>
      </c>
      <c r="DU31" s="201">
        <f>'[1]March - 2023'!DX31</f>
        <v>-7443.7</v>
      </c>
      <c r="DV31" s="87">
        <f>'[1]March - 2023'!DY31</f>
        <v>0</v>
      </c>
      <c r="DW31" s="195">
        <f>'[1]March - 2023'!DZ31</f>
        <v>-12106</v>
      </c>
      <c r="DX31" s="87">
        <f>'[1]March - 2023'!EA31</f>
        <v>0</v>
      </c>
      <c r="DY31" s="195">
        <f>'[1]March - 2023'!EB31</f>
        <v>-5437.5</v>
      </c>
      <c r="DZ31" s="87">
        <f>'[1]March - 2023'!EC31</f>
        <v>0</v>
      </c>
      <c r="EA31" s="195">
        <f>'[1]March - 2023'!ED31</f>
        <v>-6072.9</v>
      </c>
      <c r="EB31" s="87">
        <f>'[1]March - 2023'!EE31</f>
        <v>0</v>
      </c>
      <c r="EC31" s="195">
        <f>'[1]March - 2023'!EF31</f>
        <v>-1185581</v>
      </c>
      <c r="ED31" s="87">
        <f>'[1]March - 2023'!EI31</f>
        <v>0</v>
      </c>
      <c r="EE31" s="208">
        <f>'[1]March - 2023'!EJ31</f>
        <v>-246593.4</v>
      </c>
      <c r="EF31" s="584"/>
      <c r="EG31" s="214">
        <f>'[1]March - 2023'!EL31</f>
        <v>0</v>
      </c>
      <c r="EH31" s="209">
        <f>'[1]March - 2023'!EM31</f>
        <v>-12453400</v>
      </c>
      <c r="EI31" s="86">
        <f>'[1]March - 2023'!EN31</f>
        <v>0</v>
      </c>
      <c r="EJ31" s="209">
        <f>'[1]March - 2023'!EO31</f>
        <v>-958860</v>
      </c>
      <c r="EK31" s="86">
        <f>'[1]March - 2023'!EP31</f>
        <v>0</v>
      </c>
      <c r="EL31" s="209">
        <f>'[1]March - 2023'!EQ31</f>
        <v>-7348500</v>
      </c>
      <c r="EM31" s="86">
        <f>'[1]March - 2023'!ER31</f>
        <v>0</v>
      </c>
      <c r="EN31" s="209">
        <f>'[1]March - 2023'!ES31</f>
        <v>-2533700</v>
      </c>
      <c r="EO31" s="86">
        <f>'[1]March - 2023'!ET31</f>
        <v>0</v>
      </c>
      <c r="EP31" s="209">
        <f>'[1]March - 2023'!EU31</f>
        <v>-1339920</v>
      </c>
      <c r="EQ31" s="86">
        <f>'[1]March - 2023'!EV31</f>
        <v>0</v>
      </c>
      <c r="ER31" s="209">
        <f>'[1]March - 2023'!EW31</f>
        <v>-16903600</v>
      </c>
      <c r="ES31" s="562"/>
      <c r="ET31" s="256">
        <f>'[1]March - 2023'!EY31</f>
        <v>0</v>
      </c>
      <c r="EU31" s="253">
        <f>'[1]March - 2023'!EZ31</f>
        <v>-43712</v>
      </c>
      <c r="EV31" s="257">
        <f>'[1]March - 2023'!FA31</f>
        <v>0</v>
      </c>
      <c r="EW31" s="253">
        <f>'[1]March - 2023'!FB31</f>
        <v>-38046</v>
      </c>
      <c r="EX31" s="257">
        <f>'[1]March - 2023'!FC31</f>
        <v>0</v>
      </c>
      <c r="EY31" s="253">
        <f>'[1]March - 2023'!FD31</f>
        <v>-8582</v>
      </c>
      <c r="EZ31" s="257">
        <f>'[1]March - 2023'!FE31</f>
        <v>0</v>
      </c>
      <c r="FA31" s="253">
        <f>'[1]March - 2023'!FF31</f>
        <v>-60753</v>
      </c>
      <c r="FB31" s="257">
        <f>'[1]March - 2023'!FG31</f>
        <v>0</v>
      </c>
      <c r="FC31" s="254">
        <f>'[1]March - 2023'!FH31</f>
        <v>-52980</v>
      </c>
      <c r="FD31" s="562"/>
      <c r="FE31" s="256">
        <f>'[1]March - 2023'!$FN31</f>
        <v>0</v>
      </c>
      <c r="FF31" s="271">
        <f t="shared" si="0"/>
        <v>-92867.707999999999</v>
      </c>
      <c r="FG31" s="270">
        <f>'[1]March - 2023'!$FP31</f>
        <v>0</v>
      </c>
      <c r="FH31" s="271">
        <f t="shared" si="0"/>
        <v>-12468</v>
      </c>
      <c r="FI31" s="275">
        <f>'[1]March - 2023'!$FR31</f>
        <v>0</v>
      </c>
      <c r="FJ31" s="271">
        <f t="shared" si="0"/>
        <v>-11162</v>
      </c>
      <c r="FK31" s="275">
        <f>'[1]March - 2023'!$FT31</f>
        <v>0</v>
      </c>
      <c r="FL31" s="271">
        <f t="shared" si="0"/>
        <v>-8842</v>
      </c>
      <c r="FM31" s="275">
        <f>'[1]March - 2023'!$FV31</f>
        <v>0</v>
      </c>
      <c r="FN31" s="271">
        <f t="shared" si="0"/>
        <v>-9184</v>
      </c>
      <c r="FO31" s="257">
        <f>'[1]March - 2023'!$FJ31</f>
        <v>0</v>
      </c>
      <c r="FP31" s="271">
        <f t="shared" si="2"/>
        <v>-191.66</v>
      </c>
      <c r="FQ31" s="257">
        <f>'[1]March - 2023'!$FL31</f>
        <v>0</v>
      </c>
      <c r="FR31" s="253">
        <f t="shared" si="1"/>
        <v>-266747.3</v>
      </c>
    </row>
    <row r="32" spans="1:174" ht="30" customHeight="1" x14ac:dyDescent="0.25">
      <c r="A32" s="187">
        <v>44643</v>
      </c>
      <c r="B32" s="189">
        <f>'[1]March - 2023'!B32</f>
        <v>0</v>
      </c>
      <c r="C32" s="229">
        <f>'[1]March - 2023'!E32</f>
        <v>0</v>
      </c>
      <c r="D32" s="152">
        <f>'[1]March - 2023'!F32</f>
        <v>0</v>
      </c>
      <c r="E32" s="150">
        <f>'[1]March - 2023'!G32</f>
        <v>744</v>
      </c>
      <c r="F32" s="150">
        <f>'[1]March - 2023'!H32</f>
        <v>0</v>
      </c>
      <c r="G32" s="152">
        <f>'[1]March - 2023'!I32</f>
        <v>0</v>
      </c>
      <c r="H32" s="150">
        <f>'[1]March - 2023'!J32</f>
        <v>452</v>
      </c>
      <c r="I32" s="150">
        <f>'[1]March - 2023'!K32</f>
        <v>0</v>
      </c>
      <c r="J32" s="152">
        <f>'[1]March - 2023'!L32</f>
        <v>0</v>
      </c>
      <c r="K32" s="150">
        <f>'[1]March - 2023'!N32</f>
        <v>0</v>
      </c>
      <c r="L32" s="152">
        <f>'[1]March - 2023'!O32</f>
        <v>0</v>
      </c>
      <c r="M32" s="150">
        <f>'[1]March - 2023'!Q32</f>
        <v>0</v>
      </c>
      <c r="N32" s="152">
        <f>'[1]March - 2023'!R32</f>
        <v>0</v>
      </c>
      <c r="O32" s="150">
        <f>'[1]March - 2023'!U32</f>
        <v>0</v>
      </c>
      <c r="P32" s="152">
        <f>'[1]March - 2023'!V32</f>
        <v>0</v>
      </c>
      <c r="Q32" s="150">
        <f>'[1]March - 2023'!W32</f>
        <v>4.9530000000000003</v>
      </c>
      <c r="R32" s="150">
        <f>'[1]March - 2023'!X32</f>
        <v>0</v>
      </c>
      <c r="S32" s="188">
        <f>'[1]March - 2023'!Y32</f>
        <v>0</v>
      </c>
      <c r="T32" s="484"/>
      <c r="U32" s="151">
        <f>'[1]March - 2023'!AE32</f>
        <v>0</v>
      </c>
      <c r="V32" s="218">
        <f>'[1]March - 2023'!AF32</f>
        <v>0</v>
      </c>
      <c r="W32" s="88">
        <f>'[1]March - 2023'!AF32</f>
        <v>0</v>
      </c>
      <c r="X32" s="233">
        <f>'[1]March - 2023'!AH32</f>
        <v>0</v>
      </c>
      <c r="Y32" s="218">
        <f>'[1]March - 2023'!AI32</f>
        <v>0</v>
      </c>
      <c r="Z32" s="88">
        <f>'[1]March - 2023'!AI32</f>
        <v>0</v>
      </c>
      <c r="AA32" s="233">
        <f>'[1]March - 2023'!AK32</f>
        <v>0</v>
      </c>
      <c r="AB32" s="218">
        <f>'[1]March - 2023'!AL32</f>
        <v>0</v>
      </c>
      <c r="AC32" s="88">
        <f>'[1]March - 2023'!AL32</f>
        <v>0</v>
      </c>
      <c r="AD32" s="233">
        <f>'[1]March - 2023'!AN32</f>
        <v>0</v>
      </c>
      <c r="AE32" s="218">
        <f>'[1]March - 2023'!AO32</f>
        <v>0</v>
      </c>
      <c r="AF32" s="88">
        <f>'[1]March - 2023'!AO32</f>
        <v>0</v>
      </c>
      <c r="AG32" s="233">
        <f>'[1]March - 2023'!AQ32</f>
        <v>0</v>
      </c>
      <c r="AH32" s="218">
        <f>'[1]March - 2023'!AR32</f>
        <v>0</v>
      </c>
      <c r="AI32" s="88">
        <f>'[1]March - 2023'!AR32</f>
        <v>0</v>
      </c>
      <c r="AJ32" s="233">
        <f>'[1]March - 2023'!AT32</f>
        <v>0</v>
      </c>
      <c r="AK32" s="218">
        <f>'[1]March - 2023'!AU32</f>
        <v>0</v>
      </c>
      <c r="AL32" s="88">
        <f>'[1]March - 2023'!AU32</f>
        <v>0</v>
      </c>
      <c r="AM32" s="233">
        <f>'[1]March - 2023'!AW32</f>
        <v>0</v>
      </c>
      <c r="AN32" s="218">
        <f>'[1]March - 2023'!AX32</f>
        <v>0</v>
      </c>
      <c r="AO32" s="88">
        <f>'[1]March - 2023'!AX32</f>
        <v>0</v>
      </c>
      <c r="AP32" s="233">
        <f>'[1]March - 2023'!AZ32</f>
        <v>0</v>
      </c>
      <c r="AQ32" s="218">
        <f>'[1]March - 2023'!BA32</f>
        <v>0</v>
      </c>
      <c r="AR32" s="88">
        <f>'[1]March - 2023'!BA32</f>
        <v>0</v>
      </c>
      <c r="AS32" s="233">
        <f>'[1]March - 2023'!BC32</f>
        <v>0</v>
      </c>
      <c r="AT32" s="218">
        <f>'[1]March - 2023'!BD32</f>
        <v>0</v>
      </c>
      <c r="AU32" s="88">
        <f>'[1]March - 2023'!BD32</f>
        <v>0</v>
      </c>
      <c r="AV32" s="233">
        <f>'[1]March - 2023'!BF32</f>
        <v>0</v>
      </c>
      <c r="AW32" s="230">
        <f>'[1]March - 2023'!BG32</f>
        <v>0</v>
      </c>
      <c r="AX32" s="231">
        <f>'[1]March - 2023'!BG32</f>
        <v>0</v>
      </c>
      <c r="AY32" s="501"/>
      <c r="AZ32" s="250">
        <f>'[1]March - 2023'!BM32</f>
        <v>0</v>
      </c>
      <c r="BA32" s="161">
        <f>'[1]March - 2023'!BN32</f>
        <v>0</v>
      </c>
      <c r="BB32" s="89">
        <f>'[1]March - 2023'!BN32</f>
        <v>0</v>
      </c>
      <c r="BC32" s="250">
        <f>'[1]March - 2023'!BP32</f>
        <v>0</v>
      </c>
      <c r="BD32" s="224">
        <f>'[1]March - 2023'!BQ32</f>
        <v>0</v>
      </c>
      <c r="BE32" s="89">
        <f>'[1]March - 2023'!BQ32</f>
        <v>0</v>
      </c>
      <c r="BF32" s="250">
        <f>'[1]March - 2023'!BS32</f>
        <v>0</v>
      </c>
      <c r="BG32" s="224">
        <f>'[1]March - 2023'!BT32</f>
        <v>0</v>
      </c>
      <c r="BH32" s="89">
        <f>'[1]March - 2023'!BT32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51">
        <f>'[1]March - 2023'!BV32</f>
        <v>0</v>
      </c>
      <c r="BT32" s="166">
        <f>'[1]March - 2023'!BW32</f>
        <v>0</v>
      </c>
      <c r="BU32" s="593"/>
      <c r="BV32" s="84">
        <f>'[1]March - 2023'!BY32</f>
        <v>0</v>
      </c>
      <c r="BW32" s="220">
        <f>'[1]March - 2023'!BZ32</f>
        <v>0</v>
      </c>
      <c r="BX32" s="84">
        <f>'[1]March - 2023'!BZ32</f>
        <v>0</v>
      </c>
      <c r="BY32" s="85">
        <f>'[1]March - 2023'!CB32</f>
        <v>0</v>
      </c>
      <c r="BZ32" s="172">
        <f>'[1]March - 2023'!CC32</f>
        <v>0</v>
      </c>
      <c r="CA32" s="85">
        <f>'[1]March - 2023'!CD32</f>
        <v>0</v>
      </c>
      <c r="CB32" s="172">
        <f>'[1]March - 2023'!CE32</f>
        <v>0</v>
      </c>
      <c r="CC32" s="85">
        <f>'[1]March - 2023'!CF32</f>
        <v>0</v>
      </c>
      <c r="CD32" s="172">
        <f>'[1]March - 2023'!CG32</f>
        <v>0</v>
      </c>
      <c r="CE32" s="85">
        <f>'[1]March - 2023'!CH32</f>
        <v>0</v>
      </c>
      <c r="CF32" s="172">
        <f>'[1]March - 2023'!CI32</f>
        <v>0</v>
      </c>
      <c r="CG32" s="85">
        <f>'[1]March - 2023'!CJ32</f>
        <v>0</v>
      </c>
      <c r="CH32" s="172">
        <f>'[1]March - 2023'!CK32</f>
        <v>0</v>
      </c>
      <c r="CI32" s="85">
        <f>'[1]March - 2023'!CL32</f>
        <v>0</v>
      </c>
      <c r="CJ32" s="172">
        <f>'[1]March - 2023'!CM32</f>
        <v>0</v>
      </c>
      <c r="CK32" s="85">
        <f>'[1]March - 2023'!CN32</f>
        <v>0</v>
      </c>
      <c r="CL32" s="225">
        <f>'[1]March - 2023'!CO32</f>
        <v>0</v>
      </c>
      <c r="CM32" s="85">
        <f>'[1]March - 2023'!CO32</f>
        <v>0</v>
      </c>
      <c r="CN32" s="85">
        <f>'[1]March - 2023'!CQ32</f>
        <v>0</v>
      </c>
      <c r="CO32" s="225">
        <f>'[1]March - 2023'!CR32</f>
        <v>0</v>
      </c>
      <c r="CP32" s="85">
        <f>'[1]March - 2023'!CR32</f>
        <v>0</v>
      </c>
      <c r="CQ32" s="85">
        <f>'[1]March - 2023'!CT32</f>
        <v>0</v>
      </c>
      <c r="CR32" s="225">
        <f>'[1]March - 2023'!CU32</f>
        <v>0</v>
      </c>
      <c r="CS32" s="85">
        <f>'[1]March - 2023'!CU32</f>
        <v>0</v>
      </c>
      <c r="CT32" s="85">
        <f>'[1]March - 2023'!CW32</f>
        <v>0</v>
      </c>
      <c r="CU32" s="172">
        <f>'[1]March - 2023'!CX32</f>
        <v>0</v>
      </c>
      <c r="CV32" s="519"/>
      <c r="CW32" s="234">
        <f>'[1]March - 2023'!CZ32</f>
        <v>0</v>
      </c>
      <c r="CX32" s="179">
        <f>'[1]March - 2023'!DA32</f>
        <v>0</v>
      </c>
      <c r="CY32" s="235">
        <f>'[1]March - 2023'!DB32</f>
        <v>0</v>
      </c>
      <c r="CZ32" s="179">
        <f>'[1]March - 2023'!DC32</f>
        <v>0</v>
      </c>
      <c r="DA32" s="235">
        <f>'[1]March - 2023'!DD32</f>
        <v>0</v>
      </c>
      <c r="DB32" s="179">
        <f>'[1]March - 2023'!DE32</f>
        <v>0</v>
      </c>
      <c r="DC32" s="235">
        <f>'[1]March - 2023'!DF32</f>
        <v>0</v>
      </c>
      <c r="DD32" s="179">
        <f>'[1]March - 2023'!DG32</f>
        <v>0</v>
      </c>
      <c r="DE32" s="235">
        <f>'[1]March - 2023'!DH32</f>
        <v>0</v>
      </c>
      <c r="DF32" s="179">
        <f>'[1]March - 2023'!DI32</f>
        <v>0</v>
      </c>
      <c r="DG32" s="235">
        <f>'[1]March - 2023'!DJ32</f>
        <v>0</v>
      </c>
      <c r="DH32" s="179">
        <f>'[1]March - 2023'!DK32</f>
        <v>0</v>
      </c>
      <c r="DI32" s="235">
        <f>'[1]March - 2023'!DL32</f>
        <v>0</v>
      </c>
      <c r="DJ32" s="179">
        <f>'[1]March - 2023'!DM32</f>
        <v>0</v>
      </c>
      <c r="DK32" s="235">
        <f>'[1]March - 2023'!DN32</f>
        <v>0</v>
      </c>
      <c r="DL32" s="179">
        <f>'[1]March - 2023'!DO32</f>
        <v>0</v>
      </c>
      <c r="DM32" s="235">
        <f>'[1]March - 2023'!DP32</f>
        <v>0</v>
      </c>
      <c r="DN32" s="179">
        <f>'[1]March - 2023'!DQ32</f>
        <v>0</v>
      </c>
      <c r="DO32" s="235">
        <f>'[1]March - 2023'!DR32</f>
        <v>0</v>
      </c>
      <c r="DP32" s="179">
        <f>'[1]March - 2023'!DS32</f>
        <v>0</v>
      </c>
      <c r="DQ32" s="235">
        <f>'[1]March - 2023'!DT32</f>
        <v>0</v>
      </c>
      <c r="DR32" s="186">
        <f>'[1]March - 2023'!DU32</f>
        <v>0</v>
      </c>
      <c r="DS32" s="535"/>
      <c r="DT32" s="190">
        <f>'[1]March - 2023'!DW32</f>
        <v>0</v>
      </c>
      <c r="DU32" s="201">
        <f>'[1]March - 2023'!DX32</f>
        <v>0</v>
      </c>
      <c r="DV32" s="87">
        <f>'[1]March - 2023'!DY32</f>
        <v>0</v>
      </c>
      <c r="DW32" s="195">
        <f>'[1]March - 2023'!DZ32</f>
        <v>0</v>
      </c>
      <c r="DX32" s="87">
        <f>'[1]March - 2023'!EA32</f>
        <v>0</v>
      </c>
      <c r="DY32" s="195">
        <f>'[1]March - 2023'!EB32</f>
        <v>0</v>
      </c>
      <c r="DZ32" s="87">
        <f>'[1]March - 2023'!EC32</f>
        <v>0</v>
      </c>
      <c r="EA32" s="195">
        <f>'[1]March - 2023'!ED32</f>
        <v>0</v>
      </c>
      <c r="EB32" s="87">
        <f>'[1]March - 2023'!EE32</f>
        <v>0</v>
      </c>
      <c r="EC32" s="195">
        <f>'[1]March - 2023'!EF32</f>
        <v>0</v>
      </c>
      <c r="ED32" s="87">
        <f>'[1]March - 2023'!EI32</f>
        <v>0</v>
      </c>
      <c r="EE32" s="208">
        <f>'[1]March - 2023'!EJ32</f>
        <v>0</v>
      </c>
      <c r="EF32" s="584"/>
      <c r="EG32" s="214">
        <f>'[1]March - 2023'!EL32</f>
        <v>0</v>
      </c>
      <c r="EH32" s="209">
        <f>'[1]March - 2023'!EM32</f>
        <v>0</v>
      </c>
      <c r="EI32" s="86">
        <f>'[1]March - 2023'!EN32</f>
        <v>0</v>
      </c>
      <c r="EJ32" s="209">
        <f>'[1]March - 2023'!EO32</f>
        <v>0</v>
      </c>
      <c r="EK32" s="86">
        <f>'[1]March - 2023'!EP32</f>
        <v>0</v>
      </c>
      <c r="EL32" s="209">
        <f>'[1]March - 2023'!EQ32</f>
        <v>0</v>
      </c>
      <c r="EM32" s="86">
        <f>'[1]March - 2023'!ER32</f>
        <v>0</v>
      </c>
      <c r="EN32" s="209">
        <f>'[1]March - 2023'!ES32</f>
        <v>0</v>
      </c>
      <c r="EO32" s="86">
        <f>'[1]March - 2023'!ET32</f>
        <v>0</v>
      </c>
      <c r="EP32" s="209">
        <f>'[1]March - 2023'!EU32</f>
        <v>0</v>
      </c>
      <c r="EQ32" s="86">
        <f>'[1]March - 2023'!EV32</f>
        <v>0</v>
      </c>
      <c r="ER32" s="209">
        <f>'[1]March - 2023'!EW32</f>
        <v>0</v>
      </c>
      <c r="ES32" s="562"/>
      <c r="ET32" s="256">
        <f>'[1]March - 2023'!EY32</f>
        <v>0</v>
      </c>
      <c r="EU32" s="253">
        <f>'[1]March - 2023'!EZ32</f>
        <v>0</v>
      </c>
      <c r="EV32" s="257">
        <f>'[1]March - 2023'!FA32</f>
        <v>0</v>
      </c>
      <c r="EW32" s="253">
        <f>'[1]March - 2023'!FB32</f>
        <v>0</v>
      </c>
      <c r="EX32" s="257">
        <f>'[1]March - 2023'!FC32</f>
        <v>0</v>
      </c>
      <c r="EY32" s="253">
        <f>'[1]March - 2023'!FD32</f>
        <v>0</v>
      </c>
      <c r="EZ32" s="257">
        <f>'[1]March - 2023'!FE32</f>
        <v>0</v>
      </c>
      <c r="FA32" s="253">
        <f>'[1]March - 2023'!FF32</f>
        <v>0</v>
      </c>
      <c r="FB32" s="257">
        <f>'[1]March - 2023'!FG32</f>
        <v>0</v>
      </c>
      <c r="FC32" s="254">
        <f>'[1]March - 2023'!FH32</f>
        <v>0</v>
      </c>
      <c r="FD32" s="562"/>
      <c r="FE32" s="256">
        <f>'[1]March - 2023'!$FN32</f>
        <v>0</v>
      </c>
      <c r="FF32" s="271">
        <f t="shared" si="0"/>
        <v>0</v>
      </c>
      <c r="FG32" s="270">
        <f>'[1]March - 2023'!$FP32</f>
        <v>0</v>
      </c>
      <c r="FH32" s="271">
        <f t="shared" si="0"/>
        <v>0</v>
      </c>
      <c r="FI32" s="275">
        <f>'[1]March - 2023'!$FR32</f>
        <v>0</v>
      </c>
      <c r="FJ32" s="271">
        <f t="shared" si="0"/>
        <v>0</v>
      </c>
      <c r="FK32" s="275">
        <f>'[1]March - 2023'!$FT32</f>
        <v>0</v>
      </c>
      <c r="FL32" s="271">
        <f t="shared" si="0"/>
        <v>0</v>
      </c>
      <c r="FM32" s="275">
        <f>'[1]March - 2023'!$FV32</f>
        <v>0</v>
      </c>
      <c r="FN32" s="271">
        <f t="shared" si="0"/>
        <v>0</v>
      </c>
      <c r="FO32" s="257">
        <f>'[1]March - 2023'!$FJ32</f>
        <v>0</v>
      </c>
      <c r="FP32" s="271">
        <f t="shared" si="2"/>
        <v>0</v>
      </c>
      <c r="FQ32" s="257">
        <f>'[1]March - 2023'!$FL32</f>
        <v>0</v>
      </c>
      <c r="FR32" s="253">
        <f t="shared" si="1"/>
        <v>0</v>
      </c>
    </row>
    <row r="33" spans="1:175" ht="30" customHeight="1" x14ac:dyDescent="0.25">
      <c r="A33" s="187">
        <v>44644</v>
      </c>
      <c r="B33" s="189">
        <f>'[1]March - 2023'!B33</f>
        <v>0</v>
      </c>
      <c r="C33" s="229">
        <f>'[1]March - 2023'!E33</f>
        <v>0</v>
      </c>
      <c r="D33" s="152">
        <f>'[1]March - 2023'!F33</f>
        <v>0</v>
      </c>
      <c r="E33" s="150">
        <f>'[1]March - 2023'!G33</f>
        <v>773</v>
      </c>
      <c r="F33" s="150">
        <f>'[1]March - 2023'!H33</f>
        <v>0</v>
      </c>
      <c r="G33" s="152">
        <f>'[1]March - 2023'!I33</f>
        <v>0</v>
      </c>
      <c r="H33" s="150">
        <f>'[1]March - 2023'!J33</f>
        <v>496</v>
      </c>
      <c r="I33" s="150">
        <f>'[1]March - 2023'!K33</f>
        <v>0</v>
      </c>
      <c r="J33" s="152">
        <f>'[1]March - 2023'!L33</f>
        <v>0</v>
      </c>
      <c r="K33" s="150">
        <f>'[1]March - 2023'!N33</f>
        <v>0</v>
      </c>
      <c r="L33" s="152">
        <f>'[1]March - 2023'!O33</f>
        <v>0</v>
      </c>
      <c r="M33" s="150">
        <f>'[1]March - 2023'!Q33</f>
        <v>0</v>
      </c>
      <c r="N33" s="152">
        <f>'[1]March - 2023'!R33</f>
        <v>0</v>
      </c>
      <c r="O33" s="150">
        <f>'[1]March - 2023'!U33</f>
        <v>0</v>
      </c>
      <c r="P33" s="152">
        <f>'[1]March - 2023'!V33</f>
        <v>0</v>
      </c>
      <c r="Q33" s="150">
        <f>'[1]March - 2023'!W33</f>
        <v>4.9210000000000003</v>
      </c>
      <c r="R33" s="150">
        <f>'[1]March - 2023'!X33</f>
        <v>0</v>
      </c>
      <c r="S33" s="188">
        <f>'[1]March - 2023'!Y33</f>
        <v>0</v>
      </c>
      <c r="T33" s="484"/>
      <c r="U33" s="151">
        <f>'[1]March - 2023'!AE33</f>
        <v>0</v>
      </c>
      <c r="V33" s="218">
        <f>'[1]March - 2023'!AF33</f>
        <v>0</v>
      </c>
      <c r="W33" s="88">
        <f>'[1]March - 2023'!AF33</f>
        <v>0</v>
      </c>
      <c r="X33" s="233">
        <f>'[1]March - 2023'!AH33</f>
        <v>0</v>
      </c>
      <c r="Y33" s="218">
        <f>'[1]March - 2023'!AI33</f>
        <v>0</v>
      </c>
      <c r="Z33" s="88">
        <f>'[1]March - 2023'!AI33</f>
        <v>0</v>
      </c>
      <c r="AA33" s="233">
        <f>'[1]March - 2023'!AK33</f>
        <v>0</v>
      </c>
      <c r="AB33" s="218">
        <f>'[1]March - 2023'!AL33</f>
        <v>0</v>
      </c>
      <c r="AC33" s="88">
        <f>'[1]March - 2023'!AL33</f>
        <v>0</v>
      </c>
      <c r="AD33" s="233">
        <f>'[1]March - 2023'!AN33</f>
        <v>0</v>
      </c>
      <c r="AE33" s="218">
        <f>'[1]March - 2023'!AO33</f>
        <v>0</v>
      </c>
      <c r="AF33" s="88">
        <f>'[1]March - 2023'!AO33</f>
        <v>0</v>
      </c>
      <c r="AG33" s="233">
        <f>'[1]March - 2023'!AQ33</f>
        <v>0</v>
      </c>
      <c r="AH33" s="218">
        <f>'[1]March - 2023'!AR33</f>
        <v>0</v>
      </c>
      <c r="AI33" s="88">
        <f>'[1]March - 2023'!AR33</f>
        <v>0</v>
      </c>
      <c r="AJ33" s="233">
        <f>'[1]March - 2023'!AT33</f>
        <v>0</v>
      </c>
      <c r="AK33" s="218">
        <f>'[1]March - 2023'!AU33</f>
        <v>0</v>
      </c>
      <c r="AL33" s="88">
        <f>'[1]March - 2023'!AU33</f>
        <v>0</v>
      </c>
      <c r="AM33" s="233">
        <f>'[1]March - 2023'!AW33</f>
        <v>0</v>
      </c>
      <c r="AN33" s="218">
        <f>'[1]March - 2023'!AX33</f>
        <v>0</v>
      </c>
      <c r="AO33" s="88">
        <f>'[1]March - 2023'!AX33</f>
        <v>0</v>
      </c>
      <c r="AP33" s="233">
        <f>'[1]March - 2023'!AZ33</f>
        <v>0</v>
      </c>
      <c r="AQ33" s="218">
        <f>'[1]March - 2023'!BA33</f>
        <v>0</v>
      </c>
      <c r="AR33" s="88">
        <f>'[1]March - 2023'!BA33</f>
        <v>0</v>
      </c>
      <c r="AS33" s="233">
        <f>'[1]March - 2023'!BC33</f>
        <v>0</v>
      </c>
      <c r="AT33" s="218">
        <f>'[1]March - 2023'!BD33</f>
        <v>0</v>
      </c>
      <c r="AU33" s="88">
        <f>'[1]March - 2023'!BD33</f>
        <v>0</v>
      </c>
      <c r="AV33" s="233">
        <f>'[1]March - 2023'!BF33</f>
        <v>0</v>
      </c>
      <c r="AW33" s="230">
        <f>'[1]March - 2023'!BG33</f>
        <v>0</v>
      </c>
      <c r="AX33" s="231">
        <f>'[1]March - 2023'!BG33</f>
        <v>0</v>
      </c>
      <c r="AY33" s="501"/>
      <c r="AZ33" s="250">
        <f>'[1]March - 2023'!BM33</f>
        <v>0</v>
      </c>
      <c r="BA33" s="161">
        <f>'[1]March - 2023'!BN33</f>
        <v>0</v>
      </c>
      <c r="BB33" s="89">
        <f>'[1]March - 2023'!BN33</f>
        <v>0</v>
      </c>
      <c r="BC33" s="250">
        <f>'[1]March - 2023'!BP33</f>
        <v>0</v>
      </c>
      <c r="BD33" s="224">
        <f>'[1]March - 2023'!BQ33</f>
        <v>0</v>
      </c>
      <c r="BE33" s="89">
        <f>'[1]March - 2023'!BQ33</f>
        <v>0</v>
      </c>
      <c r="BF33" s="250">
        <f>'[1]March - 2023'!BS33</f>
        <v>0</v>
      </c>
      <c r="BG33" s="224">
        <f>'[1]March - 2023'!BT33</f>
        <v>0</v>
      </c>
      <c r="BH33" s="89">
        <f>'[1]March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51">
        <f>'[1]March - 2023'!BV33</f>
        <v>0</v>
      </c>
      <c r="BT33" s="166">
        <f>'[1]March - 2023'!BW33</f>
        <v>0</v>
      </c>
      <c r="BU33" s="593"/>
      <c r="BV33" s="84">
        <f>'[1]March - 2023'!BY33</f>
        <v>0</v>
      </c>
      <c r="BW33" s="220">
        <f>'[1]March - 2023'!BZ33</f>
        <v>0</v>
      </c>
      <c r="BX33" s="84">
        <f>'[1]March - 2023'!BZ33</f>
        <v>0</v>
      </c>
      <c r="BY33" s="85">
        <f>'[1]March - 2023'!CB33</f>
        <v>0</v>
      </c>
      <c r="BZ33" s="172">
        <f>'[1]March - 2023'!CC33</f>
        <v>0</v>
      </c>
      <c r="CA33" s="85">
        <f>'[1]March - 2023'!CD33</f>
        <v>0</v>
      </c>
      <c r="CB33" s="172">
        <f>'[1]March - 2023'!CE33</f>
        <v>0</v>
      </c>
      <c r="CC33" s="85">
        <f>'[1]March - 2023'!CF33</f>
        <v>0</v>
      </c>
      <c r="CD33" s="172">
        <f>'[1]March - 2023'!CG33</f>
        <v>0</v>
      </c>
      <c r="CE33" s="85">
        <f>'[1]March - 2023'!CH33</f>
        <v>0</v>
      </c>
      <c r="CF33" s="172">
        <f>'[1]March - 2023'!CI33</f>
        <v>0</v>
      </c>
      <c r="CG33" s="85">
        <f>'[1]March - 2023'!CJ33</f>
        <v>0</v>
      </c>
      <c r="CH33" s="172">
        <f>'[1]March - 2023'!CK33</f>
        <v>0</v>
      </c>
      <c r="CI33" s="85">
        <f>'[1]March - 2023'!CL33</f>
        <v>0</v>
      </c>
      <c r="CJ33" s="172">
        <f>'[1]March - 2023'!CM33</f>
        <v>0</v>
      </c>
      <c r="CK33" s="85">
        <f>'[1]March - 2023'!CN33</f>
        <v>0</v>
      </c>
      <c r="CL33" s="225">
        <f>'[1]March - 2023'!CO33</f>
        <v>0</v>
      </c>
      <c r="CM33" s="85">
        <f>'[1]March - 2023'!CO33</f>
        <v>0</v>
      </c>
      <c r="CN33" s="85">
        <f>'[1]March - 2023'!CQ33</f>
        <v>0</v>
      </c>
      <c r="CO33" s="225">
        <f>'[1]March - 2023'!CR33</f>
        <v>0</v>
      </c>
      <c r="CP33" s="85">
        <f>'[1]March - 2023'!CR33</f>
        <v>0</v>
      </c>
      <c r="CQ33" s="85">
        <f>'[1]March - 2023'!CT33</f>
        <v>0</v>
      </c>
      <c r="CR33" s="225">
        <f>'[1]March - 2023'!CU33</f>
        <v>0</v>
      </c>
      <c r="CS33" s="85">
        <f>'[1]March - 2023'!CU33</f>
        <v>0</v>
      </c>
      <c r="CT33" s="85">
        <f>'[1]March - 2023'!CW33</f>
        <v>0</v>
      </c>
      <c r="CU33" s="172">
        <f>'[1]March - 2023'!CX33</f>
        <v>0</v>
      </c>
      <c r="CV33" s="519"/>
      <c r="CW33" s="234">
        <f>'[1]March - 2023'!CZ33</f>
        <v>0</v>
      </c>
      <c r="CX33" s="179">
        <f>'[1]March - 2023'!DA33</f>
        <v>0</v>
      </c>
      <c r="CY33" s="235">
        <f>'[1]March - 2023'!DB33</f>
        <v>0</v>
      </c>
      <c r="CZ33" s="179">
        <f>'[1]March - 2023'!DC33</f>
        <v>0</v>
      </c>
      <c r="DA33" s="235">
        <f>'[1]March - 2023'!DD33</f>
        <v>0</v>
      </c>
      <c r="DB33" s="179">
        <f>'[1]March - 2023'!DE33</f>
        <v>0</v>
      </c>
      <c r="DC33" s="235">
        <f>'[1]March - 2023'!DF33</f>
        <v>0</v>
      </c>
      <c r="DD33" s="179">
        <f>'[1]March - 2023'!DG33</f>
        <v>0</v>
      </c>
      <c r="DE33" s="235">
        <f>'[1]March - 2023'!DH33</f>
        <v>0</v>
      </c>
      <c r="DF33" s="179">
        <f>'[1]March - 2023'!DI33</f>
        <v>0</v>
      </c>
      <c r="DG33" s="235">
        <f>'[1]March - 2023'!DJ33</f>
        <v>0</v>
      </c>
      <c r="DH33" s="179">
        <f>'[1]March - 2023'!DK33</f>
        <v>0</v>
      </c>
      <c r="DI33" s="235">
        <f>'[1]March - 2023'!DL33</f>
        <v>0</v>
      </c>
      <c r="DJ33" s="179">
        <f>'[1]March - 2023'!DM33</f>
        <v>0</v>
      </c>
      <c r="DK33" s="235">
        <f>'[1]March - 2023'!DN33</f>
        <v>0</v>
      </c>
      <c r="DL33" s="179">
        <f>'[1]March - 2023'!DO33</f>
        <v>0</v>
      </c>
      <c r="DM33" s="235">
        <f>'[1]March - 2023'!DP33</f>
        <v>0</v>
      </c>
      <c r="DN33" s="179">
        <f>'[1]March - 2023'!DQ33</f>
        <v>0</v>
      </c>
      <c r="DO33" s="235">
        <f>'[1]March - 2023'!DR33</f>
        <v>0</v>
      </c>
      <c r="DP33" s="179">
        <f>'[1]March - 2023'!DS33</f>
        <v>0</v>
      </c>
      <c r="DQ33" s="235">
        <f>'[1]March - 2023'!DT33</f>
        <v>0</v>
      </c>
      <c r="DR33" s="186">
        <f>'[1]March - 2023'!DU33</f>
        <v>0</v>
      </c>
      <c r="DS33" s="535"/>
      <c r="DT33" s="190">
        <f>'[1]March - 2023'!DW33</f>
        <v>0</v>
      </c>
      <c r="DU33" s="201">
        <f>'[1]March - 2023'!DX33</f>
        <v>0</v>
      </c>
      <c r="DV33" s="87">
        <f>'[1]March - 2023'!DY33</f>
        <v>0</v>
      </c>
      <c r="DW33" s="195">
        <f>'[1]March - 2023'!DZ33</f>
        <v>0</v>
      </c>
      <c r="DX33" s="87">
        <f>'[1]March - 2023'!EA33</f>
        <v>0</v>
      </c>
      <c r="DY33" s="195">
        <f>'[1]March - 2023'!EB33</f>
        <v>0</v>
      </c>
      <c r="DZ33" s="87">
        <f>'[1]March - 2023'!EC33</f>
        <v>0</v>
      </c>
      <c r="EA33" s="195">
        <f>'[1]March - 2023'!ED33</f>
        <v>0</v>
      </c>
      <c r="EB33" s="87">
        <f>'[1]March - 2023'!EE33</f>
        <v>0</v>
      </c>
      <c r="EC33" s="195">
        <f>'[1]March - 2023'!EF33</f>
        <v>0</v>
      </c>
      <c r="ED33" s="87">
        <f>'[1]March - 2023'!EI33</f>
        <v>0</v>
      </c>
      <c r="EE33" s="208">
        <f>'[1]March - 2023'!EJ33</f>
        <v>0</v>
      </c>
      <c r="EF33" s="584"/>
      <c r="EG33" s="214">
        <f>'[1]March - 2023'!EL33</f>
        <v>0</v>
      </c>
      <c r="EH33" s="209">
        <f>'[1]March - 2023'!EM33</f>
        <v>0</v>
      </c>
      <c r="EI33" s="86">
        <f>'[1]March - 2023'!EN33</f>
        <v>0</v>
      </c>
      <c r="EJ33" s="209">
        <f>'[1]March - 2023'!EO33</f>
        <v>0</v>
      </c>
      <c r="EK33" s="86">
        <f>'[1]March - 2023'!EP33</f>
        <v>0</v>
      </c>
      <c r="EL33" s="209">
        <f>'[1]March - 2023'!EQ33</f>
        <v>0</v>
      </c>
      <c r="EM33" s="86">
        <f>'[1]March - 2023'!ER33</f>
        <v>0</v>
      </c>
      <c r="EN33" s="209">
        <f>'[1]March - 2023'!ES33</f>
        <v>0</v>
      </c>
      <c r="EO33" s="86">
        <f>'[1]March - 2023'!ET33</f>
        <v>0</v>
      </c>
      <c r="EP33" s="209">
        <f>'[1]March - 2023'!EU33</f>
        <v>0</v>
      </c>
      <c r="EQ33" s="86">
        <f>'[1]March - 2023'!EV33</f>
        <v>0</v>
      </c>
      <c r="ER33" s="209">
        <f>'[1]March - 2023'!EW33</f>
        <v>0</v>
      </c>
      <c r="ES33" s="562"/>
      <c r="ET33" s="256">
        <f>'[1]March - 2023'!EY33</f>
        <v>0</v>
      </c>
      <c r="EU33" s="253">
        <f>'[1]March - 2023'!EZ33</f>
        <v>0</v>
      </c>
      <c r="EV33" s="257">
        <f>'[1]March - 2023'!FA33</f>
        <v>0</v>
      </c>
      <c r="EW33" s="253">
        <f>'[1]March - 2023'!FB33</f>
        <v>0</v>
      </c>
      <c r="EX33" s="257">
        <f>'[1]March - 2023'!FC33</f>
        <v>0</v>
      </c>
      <c r="EY33" s="253">
        <f>'[1]March - 2023'!FD33</f>
        <v>0</v>
      </c>
      <c r="EZ33" s="257">
        <f>'[1]March - 2023'!FE33</f>
        <v>0</v>
      </c>
      <c r="FA33" s="253">
        <f>'[1]March - 2023'!FF33</f>
        <v>0</v>
      </c>
      <c r="FB33" s="257">
        <f>'[1]March - 2023'!FG33</f>
        <v>0</v>
      </c>
      <c r="FC33" s="254">
        <f>'[1]March - 2023'!FH33</f>
        <v>0</v>
      </c>
      <c r="FD33" s="562"/>
      <c r="FE33" s="256">
        <f>'[1]March - 2023'!$FN33</f>
        <v>0</v>
      </c>
      <c r="FF33" s="271">
        <f t="shared" si="0"/>
        <v>0</v>
      </c>
      <c r="FG33" s="270">
        <f>'[1]March - 2023'!$FP33</f>
        <v>0</v>
      </c>
      <c r="FH33" s="271">
        <f t="shared" si="0"/>
        <v>0</v>
      </c>
      <c r="FI33" s="275">
        <f>'[1]March - 2023'!$FR33</f>
        <v>0</v>
      </c>
      <c r="FJ33" s="271">
        <f t="shared" si="0"/>
        <v>0</v>
      </c>
      <c r="FK33" s="275">
        <f>'[1]March - 2023'!$FT33</f>
        <v>0</v>
      </c>
      <c r="FL33" s="271">
        <f t="shared" si="0"/>
        <v>0</v>
      </c>
      <c r="FM33" s="275">
        <f>'[1]March - 2023'!$FV33</f>
        <v>0</v>
      </c>
      <c r="FN33" s="271">
        <f t="shared" si="0"/>
        <v>0</v>
      </c>
      <c r="FO33" s="257">
        <f>'[1]March - 2023'!$FJ33</f>
        <v>0</v>
      </c>
      <c r="FP33" s="271">
        <f t="shared" si="2"/>
        <v>0</v>
      </c>
      <c r="FQ33" s="257">
        <f>'[1]March - 2023'!$FL33</f>
        <v>0</v>
      </c>
      <c r="FR33" s="253">
        <f t="shared" si="1"/>
        <v>0</v>
      </c>
    </row>
    <row r="34" spans="1:175" ht="30" customHeight="1" x14ac:dyDescent="0.25">
      <c r="A34" s="187">
        <v>44645</v>
      </c>
      <c r="B34" s="189">
        <f>'[1]March - 2023'!B34</f>
        <v>0</v>
      </c>
      <c r="C34" s="229">
        <f>'[1]March - 2023'!E34</f>
        <v>0</v>
      </c>
      <c r="D34" s="152">
        <f>'[1]March - 2023'!F34</f>
        <v>0</v>
      </c>
      <c r="E34" s="150">
        <f>'[1]March - 2023'!G34</f>
        <v>806</v>
      </c>
      <c r="F34" s="150">
        <f>'[1]March - 2023'!H34</f>
        <v>0</v>
      </c>
      <c r="G34" s="152">
        <f>'[1]March - 2023'!I34</f>
        <v>0</v>
      </c>
      <c r="H34" s="150">
        <f>'[1]March - 2023'!J34</f>
        <v>520</v>
      </c>
      <c r="I34" s="150">
        <f>'[1]March - 2023'!K34</f>
        <v>0</v>
      </c>
      <c r="J34" s="152">
        <f>'[1]March - 2023'!L34</f>
        <v>0</v>
      </c>
      <c r="K34" s="150">
        <f>'[1]March - 2023'!N34</f>
        <v>0</v>
      </c>
      <c r="L34" s="152">
        <f>'[1]March - 2023'!O34</f>
        <v>0</v>
      </c>
      <c r="M34" s="150">
        <f>'[1]March - 2023'!Q34</f>
        <v>0</v>
      </c>
      <c r="N34" s="152">
        <f>'[1]March - 2023'!R34</f>
        <v>0</v>
      </c>
      <c r="O34" s="150">
        <f>'[1]March - 2023'!U34</f>
        <v>0</v>
      </c>
      <c r="P34" s="152">
        <f>'[1]March - 2023'!V34</f>
        <v>0</v>
      </c>
      <c r="Q34" s="150">
        <f>'[1]March - 2023'!W34</f>
        <v>5.9560000000000004</v>
      </c>
      <c r="R34" s="150">
        <f>'[1]March - 2023'!X34</f>
        <v>0</v>
      </c>
      <c r="S34" s="188">
        <f>'[1]March - 2023'!Y34</f>
        <v>0</v>
      </c>
      <c r="T34" s="484"/>
      <c r="U34" s="151">
        <f>'[1]March - 2023'!AE34</f>
        <v>0</v>
      </c>
      <c r="V34" s="218">
        <f>'[1]March - 2023'!AF34</f>
        <v>0</v>
      </c>
      <c r="W34" s="88">
        <f>'[1]March - 2023'!AF34</f>
        <v>0</v>
      </c>
      <c r="X34" s="233">
        <f>'[1]March - 2023'!AH34</f>
        <v>0</v>
      </c>
      <c r="Y34" s="218">
        <f>'[1]March - 2023'!AI34</f>
        <v>0</v>
      </c>
      <c r="Z34" s="88">
        <f>'[1]March - 2023'!AI34</f>
        <v>0</v>
      </c>
      <c r="AA34" s="233">
        <f>'[1]March - 2023'!AK34</f>
        <v>0</v>
      </c>
      <c r="AB34" s="218">
        <f>'[1]March - 2023'!AL34</f>
        <v>0</v>
      </c>
      <c r="AC34" s="88">
        <f>'[1]March - 2023'!AL34</f>
        <v>0</v>
      </c>
      <c r="AD34" s="233">
        <f>'[1]March - 2023'!AN34</f>
        <v>0</v>
      </c>
      <c r="AE34" s="218">
        <f>'[1]March - 2023'!AO34</f>
        <v>0</v>
      </c>
      <c r="AF34" s="88">
        <f>'[1]March - 2023'!AO34</f>
        <v>0</v>
      </c>
      <c r="AG34" s="233">
        <f>'[1]March - 2023'!AQ34</f>
        <v>0</v>
      </c>
      <c r="AH34" s="218">
        <f>'[1]March - 2023'!AR34</f>
        <v>0</v>
      </c>
      <c r="AI34" s="88">
        <f>'[1]March - 2023'!AR34</f>
        <v>0</v>
      </c>
      <c r="AJ34" s="233">
        <f>'[1]March - 2023'!AT34</f>
        <v>0</v>
      </c>
      <c r="AK34" s="218">
        <f>'[1]March - 2023'!AU34</f>
        <v>0</v>
      </c>
      <c r="AL34" s="88">
        <f>'[1]March - 2023'!AU34</f>
        <v>0</v>
      </c>
      <c r="AM34" s="233">
        <f>'[1]March - 2023'!AW34</f>
        <v>0</v>
      </c>
      <c r="AN34" s="218">
        <f>'[1]March - 2023'!AX34</f>
        <v>0</v>
      </c>
      <c r="AO34" s="88">
        <f>'[1]March - 2023'!AX34</f>
        <v>0</v>
      </c>
      <c r="AP34" s="233">
        <f>'[1]March - 2023'!AZ34</f>
        <v>0</v>
      </c>
      <c r="AQ34" s="218">
        <f>'[1]March - 2023'!BA34</f>
        <v>0</v>
      </c>
      <c r="AR34" s="88">
        <f>'[1]March - 2023'!BA34</f>
        <v>0</v>
      </c>
      <c r="AS34" s="233">
        <f>'[1]March - 2023'!BC34</f>
        <v>0</v>
      </c>
      <c r="AT34" s="218">
        <f>'[1]March - 2023'!BD34</f>
        <v>0</v>
      </c>
      <c r="AU34" s="88">
        <f>'[1]March - 2023'!BD34</f>
        <v>0</v>
      </c>
      <c r="AV34" s="233">
        <f>'[1]March - 2023'!BF34</f>
        <v>0</v>
      </c>
      <c r="AW34" s="230">
        <f>'[1]March - 2023'!BG34</f>
        <v>0</v>
      </c>
      <c r="AX34" s="231">
        <f>'[1]March - 2023'!BG34</f>
        <v>0</v>
      </c>
      <c r="AY34" s="501"/>
      <c r="AZ34" s="250">
        <f>'[1]March - 2023'!BM34</f>
        <v>0</v>
      </c>
      <c r="BA34" s="161">
        <f>'[1]March - 2023'!BN34</f>
        <v>0</v>
      </c>
      <c r="BB34" s="89">
        <f>'[1]March - 2023'!BN34</f>
        <v>0</v>
      </c>
      <c r="BC34" s="250">
        <f>'[1]March - 2023'!BP34</f>
        <v>0</v>
      </c>
      <c r="BD34" s="224">
        <f>'[1]March - 2023'!BQ34</f>
        <v>0</v>
      </c>
      <c r="BE34" s="89">
        <f>'[1]March - 2023'!BQ34</f>
        <v>0</v>
      </c>
      <c r="BF34" s="250">
        <f>'[1]March - 2023'!BS34</f>
        <v>0</v>
      </c>
      <c r="BG34" s="224">
        <f>'[1]March - 2023'!BT34</f>
        <v>0</v>
      </c>
      <c r="BH34" s="89">
        <f>'[1]March - 2023'!BT34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51">
        <f>'[1]March - 2023'!BV34</f>
        <v>0</v>
      </c>
      <c r="BT34" s="166">
        <f>'[1]March - 2023'!BW34</f>
        <v>0</v>
      </c>
      <c r="BU34" s="593"/>
      <c r="BV34" s="84">
        <f>'[1]March - 2023'!BY34</f>
        <v>0</v>
      </c>
      <c r="BW34" s="220">
        <f>'[1]March - 2023'!BZ34</f>
        <v>0</v>
      </c>
      <c r="BX34" s="84">
        <f>'[1]March - 2023'!BZ34</f>
        <v>0</v>
      </c>
      <c r="BY34" s="85">
        <f>'[1]March - 2023'!CB34</f>
        <v>0</v>
      </c>
      <c r="BZ34" s="172">
        <f>'[1]March - 2023'!CC34</f>
        <v>0</v>
      </c>
      <c r="CA34" s="85">
        <f>'[1]March - 2023'!CD34</f>
        <v>0</v>
      </c>
      <c r="CB34" s="172">
        <f>'[1]March - 2023'!CE34</f>
        <v>0</v>
      </c>
      <c r="CC34" s="85">
        <f>'[1]March - 2023'!CF34</f>
        <v>0</v>
      </c>
      <c r="CD34" s="172">
        <f>'[1]March - 2023'!CG34</f>
        <v>0</v>
      </c>
      <c r="CE34" s="85">
        <f>'[1]March - 2023'!CH34</f>
        <v>0</v>
      </c>
      <c r="CF34" s="172">
        <f>'[1]March - 2023'!CI34</f>
        <v>0</v>
      </c>
      <c r="CG34" s="85">
        <f>'[1]March - 2023'!CJ34</f>
        <v>0</v>
      </c>
      <c r="CH34" s="172">
        <f>'[1]March - 2023'!CK34</f>
        <v>0</v>
      </c>
      <c r="CI34" s="85">
        <f>'[1]March - 2023'!CL34</f>
        <v>0</v>
      </c>
      <c r="CJ34" s="172">
        <f>'[1]March - 2023'!CM34</f>
        <v>0</v>
      </c>
      <c r="CK34" s="85">
        <f>'[1]March - 2023'!CN34</f>
        <v>0</v>
      </c>
      <c r="CL34" s="225">
        <f>'[1]March - 2023'!CO34</f>
        <v>0</v>
      </c>
      <c r="CM34" s="85">
        <f>'[1]March - 2023'!CO34</f>
        <v>0</v>
      </c>
      <c r="CN34" s="85">
        <f>'[1]March - 2023'!CQ34</f>
        <v>0</v>
      </c>
      <c r="CO34" s="225">
        <f>'[1]March - 2023'!CR34</f>
        <v>0</v>
      </c>
      <c r="CP34" s="85">
        <f>'[1]March - 2023'!CR34</f>
        <v>0</v>
      </c>
      <c r="CQ34" s="85">
        <f>'[1]March - 2023'!CT34</f>
        <v>0</v>
      </c>
      <c r="CR34" s="225">
        <f>'[1]March - 2023'!CU34</f>
        <v>0</v>
      </c>
      <c r="CS34" s="85">
        <f>'[1]March - 2023'!CU34</f>
        <v>0</v>
      </c>
      <c r="CT34" s="85">
        <f>'[1]March - 2023'!CW34</f>
        <v>0</v>
      </c>
      <c r="CU34" s="172">
        <f>'[1]March - 2023'!CX34</f>
        <v>0</v>
      </c>
      <c r="CV34" s="519"/>
      <c r="CW34" s="234">
        <f>'[1]March - 2023'!CZ34</f>
        <v>0</v>
      </c>
      <c r="CX34" s="179">
        <f>'[1]March - 2023'!DA34</f>
        <v>0</v>
      </c>
      <c r="CY34" s="235">
        <f>'[1]March - 2023'!DB34</f>
        <v>0</v>
      </c>
      <c r="CZ34" s="179">
        <f>'[1]March - 2023'!DC34</f>
        <v>0</v>
      </c>
      <c r="DA34" s="235">
        <f>'[1]March - 2023'!DD34</f>
        <v>0</v>
      </c>
      <c r="DB34" s="179">
        <f>'[1]March - 2023'!DE34</f>
        <v>0</v>
      </c>
      <c r="DC34" s="235">
        <f>'[1]March - 2023'!DF34</f>
        <v>0</v>
      </c>
      <c r="DD34" s="179">
        <f>'[1]March - 2023'!DG34</f>
        <v>0</v>
      </c>
      <c r="DE34" s="235">
        <f>'[1]March - 2023'!DH34</f>
        <v>0</v>
      </c>
      <c r="DF34" s="179">
        <f>'[1]March - 2023'!DI34</f>
        <v>0</v>
      </c>
      <c r="DG34" s="235">
        <f>'[1]March - 2023'!DJ34</f>
        <v>0</v>
      </c>
      <c r="DH34" s="179">
        <f>'[1]March - 2023'!DK34</f>
        <v>0</v>
      </c>
      <c r="DI34" s="235">
        <f>'[1]March - 2023'!DL34</f>
        <v>0</v>
      </c>
      <c r="DJ34" s="179">
        <f>'[1]March - 2023'!DM34</f>
        <v>0</v>
      </c>
      <c r="DK34" s="235">
        <f>'[1]March - 2023'!DN34</f>
        <v>0</v>
      </c>
      <c r="DL34" s="179">
        <f>'[1]March - 2023'!DO34</f>
        <v>0</v>
      </c>
      <c r="DM34" s="235">
        <f>'[1]March - 2023'!DP34</f>
        <v>0</v>
      </c>
      <c r="DN34" s="179">
        <f>'[1]March - 2023'!DQ34</f>
        <v>0</v>
      </c>
      <c r="DO34" s="235">
        <f>'[1]March - 2023'!DR34</f>
        <v>0</v>
      </c>
      <c r="DP34" s="179">
        <f>'[1]March - 2023'!DS34</f>
        <v>0</v>
      </c>
      <c r="DQ34" s="235">
        <f>'[1]March - 2023'!DT34</f>
        <v>0</v>
      </c>
      <c r="DR34" s="186">
        <f>'[1]March - 2023'!DU34</f>
        <v>0</v>
      </c>
      <c r="DS34" s="535"/>
      <c r="DT34" s="190">
        <f>'[1]March - 2023'!DW34</f>
        <v>0</v>
      </c>
      <c r="DU34" s="201">
        <f>'[1]March - 2023'!DX34</f>
        <v>0</v>
      </c>
      <c r="DV34" s="87">
        <f>'[1]March - 2023'!DY34</f>
        <v>0</v>
      </c>
      <c r="DW34" s="195">
        <f>'[1]March - 2023'!DZ34</f>
        <v>0</v>
      </c>
      <c r="DX34" s="87">
        <f>'[1]March - 2023'!EA34</f>
        <v>0</v>
      </c>
      <c r="DY34" s="195">
        <f>'[1]March - 2023'!EB34</f>
        <v>0</v>
      </c>
      <c r="DZ34" s="87">
        <f>'[1]March - 2023'!EC34</f>
        <v>0</v>
      </c>
      <c r="EA34" s="195">
        <f>'[1]March - 2023'!ED34</f>
        <v>0</v>
      </c>
      <c r="EB34" s="87">
        <f>'[1]March - 2023'!EE34</f>
        <v>0</v>
      </c>
      <c r="EC34" s="195">
        <f>'[1]March - 2023'!EF34</f>
        <v>0</v>
      </c>
      <c r="ED34" s="87">
        <f>'[1]March - 2023'!EI34</f>
        <v>0</v>
      </c>
      <c r="EE34" s="208">
        <f>'[1]March - 2023'!EJ34</f>
        <v>0</v>
      </c>
      <c r="EF34" s="584"/>
      <c r="EG34" s="214">
        <f>'[1]March - 2023'!EL34</f>
        <v>0</v>
      </c>
      <c r="EH34" s="209">
        <f>'[1]March - 2023'!EM34</f>
        <v>0</v>
      </c>
      <c r="EI34" s="86">
        <f>'[1]March - 2023'!EN34</f>
        <v>0</v>
      </c>
      <c r="EJ34" s="209">
        <f>'[1]March - 2023'!EO34</f>
        <v>0</v>
      </c>
      <c r="EK34" s="86">
        <f>'[1]March - 2023'!EP34</f>
        <v>0</v>
      </c>
      <c r="EL34" s="209">
        <f>'[1]March - 2023'!EQ34</f>
        <v>0</v>
      </c>
      <c r="EM34" s="86">
        <f>'[1]March - 2023'!ER34</f>
        <v>0</v>
      </c>
      <c r="EN34" s="209">
        <f>'[1]March - 2023'!ES34</f>
        <v>0</v>
      </c>
      <c r="EO34" s="86">
        <f>'[1]March - 2023'!ET34</f>
        <v>0</v>
      </c>
      <c r="EP34" s="209">
        <f>'[1]March - 2023'!EU34</f>
        <v>0</v>
      </c>
      <c r="EQ34" s="86">
        <f>'[1]March - 2023'!EV34</f>
        <v>0</v>
      </c>
      <c r="ER34" s="209">
        <f>'[1]March - 2023'!EW34</f>
        <v>0</v>
      </c>
      <c r="ES34" s="562"/>
      <c r="ET34" s="256">
        <f>'[1]March - 2023'!EY34</f>
        <v>0</v>
      </c>
      <c r="EU34" s="253">
        <f>'[1]March - 2023'!EZ34</f>
        <v>0</v>
      </c>
      <c r="EV34" s="257">
        <f>'[1]March - 2023'!FA34</f>
        <v>0</v>
      </c>
      <c r="EW34" s="253">
        <f>'[1]March - 2023'!FB34</f>
        <v>0</v>
      </c>
      <c r="EX34" s="257">
        <f>'[1]March - 2023'!FC34</f>
        <v>0</v>
      </c>
      <c r="EY34" s="253">
        <f>'[1]March - 2023'!FD34</f>
        <v>0</v>
      </c>
      <c r="EZ34" s="257">
        <f>'[1]March - 2023'!FE34</f>
        <v>0</v>
      </c>
      <c r="FA34" s="253">
        <f>'[1]March - 2023'!FF34</f>
        <v>0</v>
      </c>
      <c r="FB34" s="257">
        <f>'[1]March - 2023'!FG34</f>
        <v>0</v>
      </c>
      <c r="FC34" s="254">
        <f>'[1]March - 2023'!FH34</f>
        <v>0</v>
      </c>
      <c r="FD34" s="562"/>
      <c r="FE34" s="256">
        <f>'[1]March - 2023'!$FN34</f>
        <v>0</v>
      </c>
      <c r="FF34" s="271">
        <f t="shared" si="0"/>
        <v>0</v>
      </c>
      <c r="FG34" s="270">
        <f>'[1]March - 2023'!$FP34</f>
        <v>0</v>
      </c>
      <c r="FH34" s="271">
        <f t="shared" si="0"/>
        <v>0</v>
      </c>
      <c r="FI34" s="275">
        <f>'[1]March - 2023'!$FR34</f>
        <v>0</v>
      </c>
      <c r="FJ34" s="271">
        <f t="shared" si="0"/>
        <v>0</v>
      </c>
      <c r="FK34" s="275">
        <f>'[1]March - 2023'!$FT34</f>
        <v>0</v>
      </c>
      <c r="FL34" s="271">
        <f t="shared" si="0"/>
        <v>0</v>
      </c>
      <c r="FM34" s="275">
        <f>'[1]March - 2023'!$FV34</f>
        <v>0</v>
      </c>
      <c r="FN34" s="271">
        <f t="shared" si="0"/>
        <v>0</v>
      </c>
      <c r="FO34" s="257">
        <f>'[1]March - 2023'!$FJ34</f>
        <v>0</v>
      </c>
      <c r="FP34" s="271">
        <f t="shared" si="2"/>
        <v>0</v>
      </c>
      <c r="FQ34" s="257">
        <f>'[1]March - 2023'!$FL34</f>
        <v>0</v>
      </c>
      <c r="FR34" s="253">
        <f t="shared" si="1"/>
        <v>0</v>
      </c>
    </row>
    <row r="35" spans="1:175" ht="30" customHeight="1" x14ac:dyDescent="0.25">
      <c r="A35" s="187">
        <v>44646</v>
      </c>
      <c r="B35" s="189">
        <f>'[1]March - 2023'!B35</f>
        <v>0</v>
      </c>
      <c r="C35" s="229">
        <f>'[1]March - 2023'!E35</f>
        <v>0</v>
      </c>
      <c r="D35" s="152">
        <f>'[1]March - 2023'!F35</f>
        <v>0</v>
      </c>
      <c r="E35" s="150">
        <f>'[1]March - 2023'!G35</f>
        <v>692</v>
      </c>
      <c r="F35" s="150">
        <f>'[1]March - 2023'!H35</f>
        <v>0</v>
      </c>
      <c r="G35" s="152">
        <f>'[1]March - 2023'!I35</f>
        <v>0</v>
      </c>
      <c r="H35" s="150">
        <f>'[1]March - 2023'!J35</f>
        <v>648</v>
      </c>
      <c r="I35" s="150">
        <f>'[1]March - 2023'!K35</f>
        <v>0</v>
      </c>
      <c r="J35" s="152">
        <f>'[1]March - 2023'!L35</f>
        <v>0</v>
      </c>
      <c r="K35" s="150">
        <f>'[1]March - 2023'!N35</f>
        <v>0</v>
      </c>
      <c r="L35" s="152">
        <f>'[1]March - 2023'!O35</f>
        <v>0</v>
      </c>
      <c r="M35" s="150">
        <f>'[1]March - 2023'!Q35</f>
        <v>0</v>
      </c>
      <c r="N35" s="152">
        <f>'[1]March - 2023'!R35</f>
        <v>0</v>
      </c>
      <c r="O35" s="150">
        <f>'[1]March - 2023'!U35</f>
        <v>0</v>
      </c>
      <c r="P35" s="152">
        <f>'[1]March - 2023'!V35</f>
        <v>0</v>
      </c>
      <c r="Q35" s="150">
        <f>'[1]March - 2023'!W35</f>
        <v>4.9269999999999996</v>
      </c>
      <c r="R35" s="150">
        <f>'[1]March - 2023'!X35</f>
        <v>0</v>
      </c>
      <c r="S35" s="188">
        <f>'[1]March - 2023'!Y35</f>
        <v>0</v>
      </c>
      <c r="T35" s="484"/>
      <c r="U35" s="151">
        <f>'[1]March - 2023'!AE35</f>
        <v>0</v>
      </c>
      <c r="V35" s="218">
        <f>'[1]March - 2023'!AF35</f>
        <v>0</v>
      </c>
      <c r="W35" s="88">
        <f>'[1]March - 2023'!AF35</f>
        <v>0</v>
      </c>
      <c r="X35" s="233">
        <f>'[1]March - 2023'!AH35</f>
        <v>0</v>
      </c>
      <c r="Y35" s="218">
        <f>'[1]March - 2023'!AI35</f>
        <v>0</v>
      </c>
      <c r="Z35" s="88">
        <f>'[1]March - 2023'!AI35</f>
        <v>0</v>
      </c>
      <c r="AA35" s="233">
        <f>'[1]March - 2023'!AK35</f>
        <v>0</v>
      </c>
      <c r="AB35" s="218">
        <f>'[1]March - 2023'!AL35</f>
        <v>0</v>
      </c>
      <c r="AC35" s="88">
        <f>'[1]March - 2023'!AL35</f>
        <v>0</v>
      </c>
      <c r="AD35" s="233">
        <f>'[1]March - 2023'!AN35</f>
        <v>0</v>
      </c>
      <c r="AE35" s="218">
        <f>'[1]March - 2023'!AO35</f>
        <v>0</v>
      </c>
      <c r="AF35" s="88">
        <f>'[1]March - 2023'!AO35</f>
        <v>0</v>
      </c>
      <c r="AG35" s="233">
        <f>'[1]March - 2023'!AQ35</f>
        <v>0</v>
      </c>
      <c r="AH35" s="218">
        <f>'[1]March - 2023'!AR35</f>
        <v>0</v>
      </c>
      <c r="AI35" s="88">
        <f>'[1]March - 2023'!AR35</f>
        <v>0</v>
      </c>
      <c r="AJ35" s="233">
        <f>'[1]March - 2023'!AT35</f>
        <v>0</v>
      </c>
      <c r="AK35" s="218">
        <f>'[1]March - 2023'!AU35</f>
        <v>0</v>
      </c>
      <c r="AL35" s="88">
        <f>'[1]March - 2023'!AU35</f>
        <v>0</v>
      </c>
      <c r="AM35" s="233">
        <f>'[1]March - 2023'!AW35</f>
        <v>0</v>
      </c>
      <c r="AN35" s="218">
        <f>'[1]March - 2023'!AX35</f>
        <v>0</v>
      </c>
      <c r="AO35" s="88">
        <f>'[1]March - 2023'!AX35</f>
        <v>0</v>
      </c>
      <c r="AP35" s="233">
        <f>'[1]March - 2023'!AZ35</f>
        <v>0</v>
      </c>
      <c r="AQ35" s="218">
        <f>'[1]March - 2023'!BA35</f>
        <v>0</v>
      </c>
      <c r="AR35" s="88">
        <f>'[1]March - 2023'!BA35</f>
        <v>0</v>
      </c>
      <c r="AS35" s="233">
        <f>'[1]March - 2023'!BC35</f>
        <v>0</v>
      </c>
      <c r="AT35" s="218">
        <f>'[1]March - 2023'!BD35</f>
        <v>0</v>
      </c>
      <c r="AU35" s="88">
        <f>'[1]March - 2023'!BD35</f>
        <v>0</v>
      </c>
      <c r="AV35" s="233">
        <f>'[1]March - 2023'!BF35</f>
        <v>0</v>
      </c>
      <c r="AW35" s="230">
        <f>'[1]March - 2023'!BG35</f>
        <v>0</v>
      </c>
      <c r="AX35" s="231">
        <f>'[1]March - 2023'!BG35</f>
        <v>0</v>
      </c>
      <c r="AY35" s="501"/>
      <c r="AZ35" s="250">
        <f>'[1]March - 2023'!BM35</f>
        <v>0</v>
      </c>
      <c r="BA35" s="161">
        <f>'[1]March - 2023'!BN35</f>
        <v>0</v>
      </c>
      <c r="BB35" s="89">
        <f>'[1]March - 2023'!BN35</f>
        <v>0</v>
      </c>
      <c r="BC35" s="250">
        <f>'[1]March - 2023'!BP35</f>
        <v>0</v>
      </c>
      <c r="BD35" s="224">
        <f>'[1]March - 2023'!BQ35</f>
        <v>0</v>
      </c>
      <c r="BE35" s="89">
        <f>'[1]March - 2023'!BQ35</f>
        <v>0</v>
      </c>
      <c r="BF35" s="250">
        <f>'[1]March - 2023'!BS35</f>
        <v>0</v>
      </c>
      <c r="BG35" s="224">
        <f>'[1]March - 2023'!BT35</f>
        <v>0</v>
      </c>
      <c r="BH35" s="89">
        <f>'[1]March - 2023'!BT35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51">
        <f>'[1]March - 2023'!BV35</f>
        <v>0</v>
      </c>
      <c r="BT35" s="166">
        <f>'[1]March - 2023'!BW35</f>
        <v>0</v>
      </c>
      <c r="BU35" s="593"/>
      <c r="BV35" s="84">
        <f>'[1]March - 2023'!BY35</f>
        <v>0</v>
      </c>
      <c r="BW35" s="220">
        <f>'[1]March - 2023'!BZ35</f>
        <v>0</v>
      </c>
      <c r="BX35" s="84">
        <f>'[1]March - 2023'!BZ35</f>
        <v>0</v>
      </c>
      <c r="BY35" s="85">
        <f>'[1]March - 2023'!CB35</f>
        <v>0</v>
      </c>
      <c r="BZ35" s="172">
        <f>'[1]March - 2023'!CC35</f>
        <v>0</v>
      </c>
      <c r="CA35" s="85">
        <f>'[1]March - 2023'!CD35</f>
        <v>0</v>
      </c>
      <c r="CB35" s="172">
        <f>'[1]March - 2023'!CE35</f>
        <v>0</v>
      </c>
      <c r="CC35" s="85">
        <f>'[1]March - 2023'!CF35</f>
        <v>0</v>
      </c>
      <c r="CD35" s="172">
        <f>'[1]March - 2023'!CG35</f>
        <v>0</v>
      </c>
      <c r="CE35" s="85">
        <f>'[1]March - 2023'!CH35</f>
        <v>0</v>
      </c>
      <c r="CF35" s="172">
        <f>'[1]March - 2023'!CI35</f>
        <v>0</v>
      </c>
      <c r="CG35" s="85">
        <f>'[1]March - 2023'!CJ35</f>
        <v>0</v>
      </c>
      <c r="CH35" s="172">
        <f>'[1]March - 2023'!CK35</f>
        <v>0</v>
      </c>
      <c r="CI35" s="85">
        <f>'[1]March - 2023'!CL35</f>
        <v>0</v>
      </c>
      <c r="CJ35" s="172">
        <f>'[1]March - 2023'!CM35</f>
        <v>0</v>
      </c>
      <c r="CK35" s="85">
        <f>'[1]March - 2023'!CN35</f>
        <v>0</v>
      </c>
      <c r="CL35" s="225">
        <f>'[1]March - 2023'!CO35</f>
        <v>0</v>
      </c>
      <c r="CM35" s="85">
        <f>'[1]March - 2023'!CO35</f>
        <v>0</v>
      </c>
      <c r="CN35" s="85">
        <f>'[1]March - 2023'!CQ35</f>
        <v>0</v>
      </c>
      <c r="CO35" s="225">
        <f>'[1]March - 2023'!CR35</f>
        <v>0</v>
      </c>
      <c r="CP35" s="85">
        <f>'[1]March - 2023'!CR35</f>
        <v>0</v>
      </c>
      <c r="CQ35" s="85">
        <f>'[1]March - 2023'!CT35</f>
        <v>0</v>
      </c>
      <c r="CR35" s="225">
        <f>'[1]March - 2023'!CU35</f>
        <v>0</v>
      </c>
      <c r="CS35" s="85">
        <f>'[1]March - 2023'!CU35</f>
        <v>0</v>
      </c>
      <c r="CT35" s="85">
        <f>'[1]March - 2023'!CW35</f>
        <v>0</v>
      </c>
      <c r="CU35" s="172">
        <f>'[1]March - 2023'!CX35</f>
        <v>0</v>
      </c>
      <c r="CV35" s="519"/>
      <c r="CW35" s="234">
        <f>'[1]March - 2023'!CZ35</f>
        <v>0</v>
      </c>
      <c r="CX35" s="179">
        <f>'[1]March - 2023'!DA35</f>
        <v>0</v>
      </c>
      <c r="CY35" s="235">
        <f>'[1]March - 2023'!DB35</f>
        <v>0</v>
      </c>
      <c r="CZ35" s="179">
        <f>'[1]March - 2023'!DC35</f>
        <v>0</v>
      </c>
      <c r="DA35" s="235">
        <f>'[1]March - 2023'!DD35</f>
        <v>0</v>
      </c>
      <c r="DB35" s="179">
        <f>'[1]March - 2023'!DE35</f>
        <v>0</v>
      </c>
      <c r="DC35" s="235">
        <f>'[1]March - 2023'!DF35</f>
        <v>0</v>
      </c>
      <c r="DD35" s="179">
        <f>'[1]March - 2023'!DG35</f>
        <v>0</v>
      </c>
      <c r="DE35" s="235">
        <f>'[1]March - 2023'!DH35</f>
        <v>0</v>
      </c>
      <c r="DF35" s="179">
        <f>'[1]March - 2023'!DI35</f>
        <v>0</v>
      </c>
      <c r="DG35" s="235">
        <f>'[1]March - 2023'!DJ35</f>
        <v>0</v>
      </c>
      <c r="DH35" s="179">
        <f>'[1]March - 2023'!DK35</f>
        <v>0</v>
      </c>
      <c r="DI35" s="235">
        <f>'[1]March - 2023'!DL35</f>
        <v>0</v>
      </c>
      <c r="DJ35" s="179">
        <f>'[1]March - 2023'!DM35</f>
        <v>0</v>
      </c>
      <c r="DK35" s="235">
        <f>'[1]March - 2023'!DN35</f>
        <v>0</v>
      </c>
      <c r="DL35" s="179">
        <f>'[1]March - 2023'!DO35</f>
        <v>0</v>
      </c>
      <c r="DM35" s="235">
        <f>'[1]March - 2023'!DP35</f>
        <v>0</v>
      </c>
      <c r="DN35" s="179">
        <f>'[1]March - 2023'!DQ35</f>
        <v>0</v>
      </c>
      <c r="DO35" s="235">
        <f>'[1]March - 2023'!DR35</f>
        <v>0</v>
      </c>
      <c r="DP35" s="179">
        <f>'[1]March - 2023'!DS35</f>
        <v>0</v>
      </c>
      <c r="DQ35" s="235">
        <f>'[1]March - 2023'!DT35</f>
        <v>0</v>
      </c>
      <c r="DR35" s="186">
        <f>'[1]March - 2023'!DU35</f>
        <v>0</v>
      </c>
      <c r="DS35" s="535"/>
      <c r="DT35" s="190">
        <f>'[1]March - 2023'!DW35</f>
        <v>0</v>
      </c>
      <c r="DU35" s="201">
        <f>'[1]March - 2023'!DX35</f>
        <v>0</v>
      </c>
      <c r="DV35" s="87">
        <f>'[1]March - 2023'!DY35</f>
        <v>0</v>
      </c>
      <c r="DW35" s="195">
        <f>'[1]March - 2023'!DZ35</f>
        <v>0</v>
      </c>
      <c r="DX35" s="87">
        <f>'[1]March - 2023'!EA35</f>
        <v>0</v>
      </c>
      <c r="DY35" s="195">
        <f>'[1]March - 2023'!EB35</f>
        <v>0</v>
      </c>
      <c r="DZ35" s="87">
        <f>'[1]March - 2023'!EC35</f>
        <v>0</v>
      </c>
      <c r="EA35" s="195">
        <f>'[1]March - 2023'!ED35</f>
        <v>0</v>
      </c>
      <c r="EB35" s="87">
        <f>'[1]March - 2023'!EE35</f>
        <v>0</v>
      </c>
      <c r="EC35" s="195">
        <f>'[1]March - 2023'!EF35</f>
        <v>0</v>
      </c>
      <c r="ED35" s="87">
        <f>'[1]March - 2023'!EI35</f>
        <v>0</v>
      </c>
      <c r="EE35" s="208">
        <f>'[1]March - 2023'!EJ35</f>
        <v>0</v>
      </c>
      <c r="EF35" s="584"/>
      <c r="EG35" s="214">
        <f>'[1]March - 2023'!EL35</f>
        <v>0</v>
      </c>
      <c r="EH35" s="209">
        <f>'[1]March - 2023'!EM35</f>
        <v>0</v>
      </c>
      <c r="EI35" s="86">
        <f>'[1]March - 2023'!EN35</f>
        <v>0</v>
      </c>
      <c r="EJ35" s="209">
        <f>'[1]March - 2023'!EO35</f>
        <v>0</v>
      </c>
      <c r="EK35" s="86">
        <f>'[1]March - 2023'!EP35</f>
        <v>0</v>
      </c>
      <c r="EL35" s="209">
        <f>'[1]March - 2023'!EQ35</f>
        <v>0</v>
      </c>
      <c r="EM35" s="86">
        <f>'[1]March - 2023'!ER35</f>
        <v>0</v>
      </c>
      <c r="EN35" s="209">
        <f>'[1]March - 2023'!ES35</f>
        <v>0</v>
      </c>
      <c r="EO35" s="86">
        <f>'[1]March - 2023'!ET35</f>
        <v>0</v>
      </c>
      <c r="EP35" s="209">
        <f>'[1]March - 2023'!EU35</f>
        <v>0</v>
      </c>
      <c r="EQ35" s="86">
        <f>'[1]March - 2023'!EV35</f>
        <v>0</v>
      </c>
      <c r="ER35" s="209">
        <f>'[1]March - 2023'!EW35</f>
        <v>0</v>
      </c>
      <c r="ES35" s="562"/>
      <c r="ET35" s="256">
        <f>'[1]March - 2023'!EY35</f>
        <v>0</v>
      </c>
      <c r="EU35" s="253">
        <f>'[1]March - 2023'!EZ35</f>
        <v>0</v>
      </c>
      <c r="EV35" s="257">
        <f>'[1]March - 2023'!FA35</f>
        <v>0</v>
      </c>
      <c r="EW35" s="253">
        <f>'[1]March - 2023'!FB35</f>
        <v>0</v>
      </c>
      <c r="EX35" s="257">
        <f>'[1]March - 2023'!FC35</f>
        <v>0</v>
      </c>
      <c r="EY35" s="253">
        <f>'[1]March - 2023'!FD35</f>
        <v>0</v>
      </c>
      <c r="EZ35" s="257">
        <f>'[1]March - 2023'!FE35</f>
        <v>0</v>
      </c>
      <c r="FA35" s="253">
        <f>'[1]March - 2023'!FF35</f>
        <v>0</v>
      </c>
      <c r="FB35" s="257">
        <f>'[1]March - 2023'!FG35</f>
        <v>0</v>
      </c>
      <c r="FC35" s="254">
        <f>'[1]March - 2023'!FH35</f>
        <v>0</v>
      </c>
      <c r="FD35" s="562"/>
      <c r="FE35" s="256">
        <f>'[1]March - 2023'!$FN35</f>
        <v>0</v>
      </c>
      <c r="FF35" s="271">
        <f t="shared" si="0"/>
        <v>0</v>
      </c>
      <c r="FG35" s="270">
        <f>'[1]March - 2023'!$FP35</f>
        <v>0</v>
      </c>
      <c r="FH35" s="271">
        <f t="shared" si="0"/>
        <v>0</v>
      </c>
      <c r="FI35" s="275">
        <f>'[1]March - 2023'!$FR35</f>
        <v>0</v>
      </c>
      <c r="FJ35" s="271">
        <f t="shared" si="0"/>
        <v>0</v>
      </c>
      <c r="FK35" s="275">
        <f>'[1]March - 2023'!$FT35</f>
        <v>0</v>
      </c>
      <c r="FL35" s="271">
        <f t="shared" si="0"/>
        <v>0</v>
      </c>
      <c r="FM35" s="275">
        <f>'[1]March - 2023'!$FV35</f>
        <v>0</v>
      </c>
      <c r="FN35" s="271">
        <f t="shared" si="0"/>
        <v>0</v>
      </c>
      <c r="FO35" s="257">
        <f>'[1]March - 2023'!$FJ35</f>
        <v>0</v>
      </c>
      <c r="FP35" s="271">
        <f t="shared" si="2"/>
        <v>0</v>
      </c>
      <c r="FQ35" s="257">
        <f>'[1]March - 2023'!$FL35</f>
        <v>0</v>
      </c>
      <c r="FR35" s="253">
        <f t="shared" si="1"/>
        <v>0</v>
      </c>
    </row>
    <row r="36" spans="1:175" ht="30" customHeight="1" x14ac:dyDescent="0.25">
      <c r="A36" s="187">
        <v>44647</v>
      </c>
      <c r="B36" s="189">
        <f>'[1]March - 2023'!B36</f>
        <v>0</v>
      </c>
      <c r="C36" s="229">
        <f>'[1]March - 2023'!E36</f>
        <v>0</v>
      </c>
      <c r="D36" s="152">
        <f>'[1]March - 2023'!F36</f>
        <v>0</v>
      </c>
      <c r="E36" s="150">
        <f>'[1]March - 2023'!G36</f>
        <v>702</v>
      </c>
      <c r="F36" s="150">
        <f>'[1]March - 2023'!H36</f>
        <v>0</v>
      </c>
      <c r="G36" s="152">
        <f>'[1]March - 2023'!I36</f>
        <v>0</v>
      </c>
      <c r="H36" s="150">
        <f>'[1]March - 2023'!J36</f>
        <v>369</v>
      </c>
      <c r="I36" s="150">
        <f>'[1]March - 2023'!K36</f>
        <v>0</v>
      </c>
      <c r="J36" s="152">
        <f>'[1]March - 2023'!L36</f>
        <v>0</v>
      </c>
      <c r="K36" s="150">
        <f>'[1]March - 2023'!N36</f>
        <v>0</v>
      </c>
      <c r="L36" s="152">
        <f>'[1]March - 2023'!O36</f>
        <v>0</v>
      </c>
      <c r="M36" s="150">
        <f>'[1]March - 2023'!Q36</f>
        <v>0</v>
      </c>
      <c r="N36" s="152">
        <f>'[1]March - 2023'!R36</f>
        <v>0</v>
      </c>
      <c r="O36" s="150">
        <f>'[1]March - 2023'!U36</f>
        <v>0</v>
      </c>
      <c r="P36" s="152">
        <f>'[1]March - 2023'!V36</f>
        <v>0</v>
      </c>
      <c r="Q36" s="150">
        <f>'[1]March - 2023'!W36</f>
        <v>4.9260000000000002</v>
      </c>
      <c r="R36" s="150">
        <f>'[1]March - 2023'!X36</f>
        <v>0</v>
      </c>
      <c r="S36" s="188">
        <f>'[1]March - 2023'!Y36</f>
        <v>0</v>
      </c>
      <c r="T36" s="484"/>
      <c r="U36" s="151">
        <f>'[1]March - 2023'!AE36</f>
        <v>0</v>
      </c>
      <c r="V36" s="218">
        <f>'[1]March - 2023'!AF36</f>
        <v>0</v>
      </c>
      <c r="W36" s="88">
        <f>'[1]March - 2023'!AF36</f>
        <v>0</v>
      </c>
      <c r="X36" s="233">
        <f>'[1]March - 2023'!AH36</f>
        <v>0</v>
      </c>
      <c r="Y36" s="218">
        <f>'[1]March - 2023'!AI36</f>
        <v>0</v>
      </c>
      <c r="Z36" s="88">
        <f>'[1]March - 2023'!AI36</f>
        <v>0</v>
      </c>
      <c r="AA36" s="233">
        <f>'[1]March - 2023'!AK36</f>
        <v>0</v>
      </c>
      <c r="AB36" s="218">
        <f>'[1]March - 2023'!AL36</f>
        <v>0</v>
      </c>
      <c r="AC36" s="88">
        <f>'[1]March - 2023'!AL36</f>
        <v>0</v>
      </c>
      <c r="AD36" s="233">
        <f>'[1]March - 2023'!AN36</f>
        <v>0</v>
      </c>
      <c r="AE36" s="218">
        <f>'[1]March - 2023'!AO36</f>
        <v>0</v>
      </c>
      <c r="AF36" s="88">
        <f>'[1]March - 2023'!AO36</f>
        <v>0</v>
      </c>
      <c r="AG36" s="233">
        <f>'[1]March - 2023'!AQ36</f>
        <v>0</v>
      </c>
      <c r="AH36" s="218">
        <f>'[1]March - 2023'!AR36</f>
        <v>0</v>
      </c>
      <c r="AI36" s="88">
        <f>'[1]March - 2023'!AR36</f>
        <v>0</v>
      </c>
      <c r="AJ36" s="233">
        <f>'[1]March - 2023'!AT36</f>
        <v>0</v>
      </c>
      <c r="AK36" s="218">
        <f>'[1]March - 2023'!AU36</f>
        <v>0</v>
      </c>
      <c r="AL36" s="88">
        <f>'[1]March - 2023'!AU36</f>
        <v>0</v>
      </c>
      <c r="AM36" s="233">
        <f>'[1]March - 2023'!AW36</f>
        <v>0</v>
      </c>
      <c r="AN36" s="218">
        <f>'[1]March - 2023'!AX36</f>
        <v>0</v>
      </c>
      <c r="AO36" s="88">
        <f>'[1]March - 2023'!AX36</f>
        <v>0</v>
      </c>
      <c r="AP36" s="233">
        <f>'[1]March - 2023'!AZ36</f>
        <v>0</v>
      </c>
      <c r="AQ36" s="218">
        <f>'[1]March - 2023'!BA36</f>
        <v>0</v>
      </c>
      <c r="AR36" s="88">
        <f>'[1]March - 2023'!BA36</f>
        <v>0</v>
      </c>
      <c r="AS36" s="233">
        <f>'[1]March - 2023'!BC36</f>
        <v>0</v>
      </c>
      <c r="AT36" s="218">
        <f>'[1]March - 2023'!BD36</f>
        <v>0</v>
      </c>
      <c r="AU36" s="88">
        <f>'[1]March - 2023'!BD36</f>
        <v>0</v>
      </c>
      <c r="AV36" s="233">
        <f>'[1]March - 2023'!BF36</f>
        <v>0</v>
      </c>
      <c r="AW36" s="230">
        <f>'[1]March - 2023'!BG36</f>
        <v>0</v>
      </c>
      <c r="AX36" s="231">
        <f>'[1]March - 2023'!BG36</f>
        <v>0</v>
      </c>
      <c r="AY36" s="501"/>
      <c r="AZ36" s="250">
        <f>'[1]March - 2023'!BM36</f>
        <v>0</v>
      </c>
      <c r="BA36" s="161">
        <f>'[1]March - 2023'!BN36</f>
        <v>0</v>
      </c>
      <c r="BB36" s="89">
        <f>'[1]March - 2023'!BN36</f>
        <v>0</v>
      </c>
      <c r="BC36" s="250">
        <f>'[1]March - 2023'!BP36</f>
        <v>0</v>
      </c>
      <c r="BD36" s="224">
        <f>'[1]March - 2023'!BQ36</f>
        <v>0</v>
      </c>
      <c r="BE36" s="89">
        <f>'[1]March - 2023'!BQ36</f>
        <v>0</v>
      </c>
      <c r="BF36" s="250">
        <f>'[1]March - 2023'!BS36</f>
        <v>0</v>
      </c>
      <c r="BG36" s="224">
        <f>'[1]March - 2023'!BT36</f>
        <v>0</v>
      </c>
      <c r="BH36" s="89">
        <f>'[1]March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51">
        <f>'[1]March - 2023'!BV36</f>
        <v>0</v>
      </c>
      <c r="BT36" s="166">
        <f>'[1]March - 2023'!BW36</f>
        <v>0</v>
      </c>
      <c r="BU36" s="593"/>
      <c r="BV36" s="84">
        <f>'[1]March - 2023'!BY36</f>
        <v>0</v>
      </c>
      <c r="BW36" s="220">
        <f>'[1]March - 2023'!BZ36</f>
        <v>0</v>
      </c>
      <c r="BX36" s="84">
        <f>'[1]March - 2023'!BZ36</f>
        <v>0</v>
      </c>
      <c r="BY36" s="85">
        <f>'[1]March - 2023'!CB36</f>
        <v>0</v>
      </c>
      <c r="BZ36" s="172">
        <f>'[1]March - 2023'!CC36</f>
        <v>0</v>
      </c>
      <c r="CA36" s="85">
        <f>'[1]March - 2023'!CD36</f>
        <v>0</v>
      </c>
      <c r="CB36" s="172">
        <f>'[1]March - 2023'!CE36</f>
        <v>0</v>
      </c>
      <c r="CC36" s="85">
        <f>'[1]March - 2023'!CF36</f>
        <v>0</v>
      </c>
      <c r="CD36" s="172">
        <f>'[1]March - 2023'!CG36</f>
        <v>0</v>
      </c>
      <c r="CE36" s="85">
        <f>'[1]March - 2023'!CH36</f>
        <v>0</v>
      </c>
      <c r="CF36" s="172">
        <f>'[1]March - 2023'!CI36</f>
        <v>0</v>
      </c>
      <c r="CG36" s="85">
        <f>'[1]March - 2023'!CJ36</f>
        <v>0</v>
      </c>
      <c r="CH36" s="172">
        <f>'[1]March - 2023'!CK36</f>
        <v>0</v>
      </c>
      <c r="CI36" s="85">
        <f>'[1]March - 2023'!CL36</f>
        <v>0</v>
      </c>
      <c r="CJ36" s="172">
        <f>'[1]March - 2023'!CM36</f>
        <v>0</v>
      </c>
      <c r="CK36" s="85">
        <f>'[1]March - 2023'!CN36</f>
        <v>0</v>
      </c>
      <c r="CL36" s="225">
        <f>'[1]March - 2023'!CO36</f>
        <v>0</v>
      </c>
      <c r="CM36" s="85">
        <f>'[1]March - 2023'!CO36</f>
        <v>0</v>
      </c>
      <c r="CN36" s="85">
        <f>'[1]March - 2023'!CQ36</f>
        <v>0</v>
      </c>
      <c r="CO36" s="225">
        <f>'[1]March - 2023'!CR36</f>
        <v>0</v>
      </c>
      <c r="CP36" s="85">
        <f>'[1]March - 2023'!CR36</f>
        <v>0</v>
      </c>
      <c r="CQ36" s="85">
        <f>'[1]March - 2023'!CT36</f>
        <v>0</v>
      </c>
      <c r="CR36" s="225">
        <f>'[1]March - 2023'!CU36</f>
        <v>0</v>
      </c>
      <c r="CS36" s="85">
        <f>'[1]March - 2023'!CU36</f>
        <v>0</v>
      </c>
      <c r="CT36" s="85">
        <f>'[1]March - 2023'!CW36</f>
        <v>0</v>
      </c>
      <c r="CU36" s="172">
        <f>'[1]March - 2023'!CX36</f>
        <v>0</v>
      </c>
      <c r="CV36" s="519"/>
      <c r="CW36" s="234">
        <f>'[1]March - 2023'!CZ36</f>
        <v>0</v>
      </c>
      <c r="CX36" s="179">
        <f>'[1]March - 2023'!DA36</f>
        <v>0</v>
      </c>
      <c r="CY36" s="235">
        <f>'[1]March - 2023'!DB36</f>
        <v>0</v>
      </c>
      <c r="CZ36" s="179">
        <f>'[1]March - 2023'!DC36</f>
        <v>0</v>
      </c>
      <c r="DA36" s="235">
        <f>'[1]March - 2023'!DD36</f>
        <v>0</v>
      </c>
      <c r="DB36" s="179">
        <f>'[1]March - 2023'!DE36</f>
        <v>0</v>
      </c>
      <c r="DC36" s="235">
        <f>'[1]March - 2023'!DF36</f>
        <v>0</v>
      </c>
      <c r="DD36" s="179">
        <f>'[1]March - 2023'!DG36</f>
        <v>0</v>
      </c>
      <c r="DE36" s="235">
        <f>'[1]March - 2023'!DH36</f>
        <v>0</v>
      </c>
      <c r="DF36" s="179">
        <f>'[1]March - 2023'!DI36</f>
        <v>0</v>
      </c>
      <c r="DG36" s="235">
        <f>'[1]March - 2023'!DJ36</f>
        <v>0</v>
      </c>
      <c r="DH36" s="179">
        <f>'[1]March - 2023'!DK36</f>
        <v>0</v>
      </c>
      <c r="DI36" s="235">
        <f>'[1]March - 2023'!DL36</f>
        <v>0</v>
      </c>
      <c r="DJ36" s="179">
        <f>'[1]March - 2023'!DM36</f>
        <v>0</v>
      </c>
      <c r="DK36" s="235">
        <f>'[1]March - 2023'!DN36</f>
        <v>0</v>
      </c>
      <c r="DL36" s="179">
        <f>'[1]March - 2023'!DO36</f>
        <v>0</v>
      </c>
      <c r="DM36" s="235">
        <f>'[1]March - 2023'!DP36</f>
        <v>0</v>
      </c>
      <c r="DN36" s="179">
        <f>'[1]March - 2023'!DQ36</f>
        <v>0</v>
      </c>
      <c r="DO36" s="235">
        <f>'[1]March - 2023'!DR36</f>
        <v>0</v>
      </c>
      <c r="DP36" s="179">
        <f>'[1]March - 2023'!DS36</f>
        <v>0</v>
      </c>
      <c r="DQ36" s="235">
        <f>'[1]March - 2023'!DT36</f>
        <v>0</v>
      </c>
      <c r="DR36" s="186">
        <f>'[1]March - 2023'!DU36</f>
        <v>0</v>
      </c>
      <c r="DS36" s="535"/>
      <c r="DT36" s="190">
        <f>'[1]March - 2023'!DW36</f>
        <v>0</v>
      </c>
      <c r="DU36" s="201">
        <f>'[1]March - 2023'!DX36</f>
        <v>0</v>
      </c>
      <c r="DV36" s="87">
        <f>'[1]March - 2023'!DY36</f>
        <v>0</v>
      </c>
      <c r="DW36" s="195">
        <f>'[1]March - 2023'!DZ36</f>
        <v>0</v>
      </c>
      <c r="DX36" s="87">
        <f>'[1]March - 2023'!EA36</f>
        <v>0</v>
      </c>
      <c r="DY36" s="195">
        <f>'[1]March - 2023'!EB36</f>
        <v>0</v>
      </c>
      <c r="DZ36" s="87">
        <f>'[1]March - 2023'!EC36</f>
        <v>0</v>
      </c>
      <c r="EA36" s="195">
        <f>'[1]March - 2023'!ED36</f>
        <v>0</v>
      </c>
      <c r="EB36" s="87">
        <f>'[1]March - 2023'!EE36</f>
        <v>0</v>
      </c>
      <c r="EC36" s="195">
        <f>'[1]March - 2023'!EF36</f>
        <v>0</v>
      </c>
      <c r="ED36" s="87">
        <f>'[1]March - 2023'!EI36</f>
        <v>0</v>
      </c>
      <c r="EE36" s="208">
        <f>'[1]March - 2023'!EJ36</f>
        <v>0</v>
      </c>
      <c r="EF36" s="584"/>
      <c r="EG36" s="214">
        <f>'[1]March - 2023'!EL36</f>
        <v>0</v>
      </c>
      <c r="EH36" s="209">
        <f>'[1]March - 2023'!EM36</f>
        <v>0</v>
      </c>
      <c r="EI36" s="86">
        <f>'[1]March - 2023'!EN36</f>
        <v>0</v>
      </c>
      <c r="EJ36" s="209">
        <f>'[1]March - 2023'!EO36</f>
        <v>0</v>
      </c>
      <c r="EK36" s="86">
        <f>'[1]March - 2023'!EP36</f>
        <v>0</v>
      </c>
      <c r="EL36" s="209">
        <f>'[1]March - 2023'!EQ36</f>
        <v>0</v>
      </c>
      <c r="EM36" s="86">
        <f>'[1]March - 2023'!ER36</f>
        <v>0</v>
      </c>
      <c r="EN36" s="209">
        <f>'[1]March - 2023'!ES36</f>
        <v>0</v>
      </c>
      <c r="EO36" s="86">
        <f>'[1]March - 2023'!ET36</f>
        <v>0</v>
      </c>
      <c r="EP36" s="209">
        <f>'[1]March - 2023'!EU36</f>
        <v>0</v>
      </c>
      <c r="EQ36" s="86">
        <f>'[1]March - 2023'!EV36</f>
        <v>0</v>
      </c>
      <c r="ER36" s="209">
        <f>'[1]March - 2023'!EW36</f>
        <v>0</v>
      </c>
      <c r="ES36" s="562"/>
      <c r="ET36" s="256">
        <f>'[1]March - 2023'!EY36</f>
        <v>0</v>
      </c>
      <c r="EU36" s="253">
        <f>'[1]March - 2023'!EZ36</f>
        <v>0</v>
      </c>
      <c r="EV36" s="257">
        <f>'[1]March - 2023'!FA36</f>
        <v>0</v>
      </c>
      <c r="EW36" s="253">
        <f>'[1]March - 2023'!FB36</f>
        <v>0</v>
      </c>
      <c r="EX36" s="257">
        <f>'[1]March - 2023'!FC36</f>
        <v>0</v>
      </c>
      <c r="EY36" s="253">
        <f>'[1]March - 2023'!FD36</f>
        <v>0</v>
      </c>
      <c r="EZ36" s="257">
        <f>'[1]March - 2023'!FE36</f>
        <v>0</v>
      </c>
      <c r="FA36" s="253">
        <f>'[1]March - 2023'!FF36</f>
        <v>0</v>
      </c>
      <c r="FB36" s="257">
        <f>'[1]March - 2023'!FG36</f>
        <v>0</v>
      </c>
      <c r="FC36" s="254">
        <f>'[1]March - 2023'!FH36</f>
        <v>0</v>
      </c>
      <c r="FD36" s="562"/>
      <c r="FE36" s="256">
        <f>'[1]March - 2023'!$FN36</f>
        <v>0</v>
      </c>
      <c r="FF36" s="271">
        <f t="shared" si="0"/>
        <v>0</v>
      </c>
      <c r="FG36" s="270">
        <f>'[1]March - 2023'!$FP36</f>
        <v>0</v>
      </c>
      <c r="FH36" s="271">
        <f t="shared" si="0"/>
        <v>0</v>
      </c>
      <c r="FI36" s="275">
        <f>'[1]March - 2023'!$FR36</f>
        <v>0</v>
      </c>
      <c r="FJ36" s="271">
        <f t="shared" si="0"/>
        <v>0</v>
      </c>
      <c r="FK36" s="275">
        <f>'[1]March - 2023'!$FT36</f>
        <v>0</v>
      </c>
      <c r="FL36" s="271">
        <f t="shared" si="0"/>
        <v>0</v>
      </c>
      <c r="FM36" s="275">
        <f>'[1]March - 2023'!$FV36</f>
        <v>0</v>
      </c>
      <c r="FN36" s="271">
        <f t="shared" si="0"/>
        <v>0</v>
      </c>
      <c r="FO36" s="257">
        <f>'[1]March - 2023'!$FJ36</f>
        <v>0</v>
      </c>
      <c r="FP36" s="271">
        <f t="shared" si="2"/>
        <v>0</v>
      </c>
      <c r="FQ36" s="257">
        <f>'[1]March - 2023'!$FL36</f>
        <v>0</v>
      </c>
      <c r="FR36" s="253">
        <f t="shared" si="1"/>
        <v>0</v>
      </c>
    </row>
    <row r="37" spans="1:175" ht="30" customHeight="1" x14ac:dyDescent="0.25">
      <c r="A37" s="187">
        <v>44648</v>
      </c>
      <c r="B37" s="189">
        <f>'[1]March - 2023'!B37</f>
        <v>0</v>
      </c>
      <c r="C37" s="229">
        <f>'[1]March - 2023'!E37</f>
        <v>0</v>
      </c>
      <c r="D37" s="152">
        <f>'[1]March - 2023'!F37</f>
        <v>0</v>
      </c>
      <c r="E37" s="150">
        <f>'[1]March - 2023'!G37</f>
        <v>749</v>
      </c>
      <c r="F37" s="150">
        <f>'[1]March - 2023'!H37</f>
        <v>0</v>
      </c>
      <c r="G37" s="152">
        <f>'[1]March - 2023'!I37</f>
        <v>0</v>
      </c>
      <c r="H37" s="150">
        <f>'[1]March - 2023'!J37</f>
        <v>450</v>
      </c>
      <c r="I37" s="150">
        <f>'[1]March - 2023'!K37</f>
        <v>0</v>
      </c>
      <c r="J37" s="152">
        <f>'[1]March - 2023'!L37</f>
        <v>0</v>
      </c>
      <c r="K37" s="150">
        <f>'[1]March - 2023'!N37</f>
        <v>0</v>
      </c>
      <c r="L37" s="152">
        <f>'[1]March - 2023'!O37</f>
        <v>0</v>
      </c>
      <c r="M37" s="150">
        <f>'[1]March - 2023'!Q37</f>
        <v>0</v>
      </c>
      <c r="N37" s="152">
        <f>'[1]March - 2023'!R37</f>
        <v>0</v>
      </c>
      <c r="O37" s="150">
        <f>'[1]March - 2023'!U37</f>
        <v>0</v>
      </c>
      <c r="P37" s="152">
        <f>'[1]March - 2023'!V37</f>
        <v>0</v>
      </c>
      <c r="Q37" s="150">
        <f>'[1]March - 2023'!W37</f>
        <v>4.9180000000000001</v>
      </c>
      <c r="R37" s="150">
        <f>'[1]March - 2023'!X37</f>
        <v>0</v>
      </c>
      <c r="S37" s="188">
        <f>'[1]March - 2023'!Y37</f>
        <v>0</v>
      </c>
      <c r="T37" s="484"/>
      <c r="U37" s="151">
        <f>'[1]March - 2023'!AE37</f>
        <v>0</v>
      </c>
      <c r="V37" s="218">
        <f>'[1]March - 2023'!AF37</f>
        <v>0</v>
      </c>
      <c r="W37" s="88">
        <f>'[1]March - 2023'!AF37</f>
        <v>0</v>
      </c>
      <c r="X37" s="233">
        <f>'[1]March - 2023'!AH37</f>
        <v>0</v>
      </c>
      <c r="Y37" s="218">
        <f>'[1]March - 2023'!AI37</f>
        <v>0</v>
      </c>
      <c r="Z37" s="88">
        <f>'[1]March - 2023'!AI37</f>
        <v>0</v>
      </c>
      <c r="AA37" s="233">
        <f>'[1]March - 2023'!AK37</f>
        <v>0</v>
      </c>
      <c r="AB37" s="218">
        <f>'[1]March - 2023'!AL37</f>
        <v>0</v>
      </c>
      <c r="AC37" s="88">
        <f>'[1]March - 2023'!AL37</f>
        <v>0</v>
      </c>
      <c r="AD37" s="233">
        <f>'[1]March - 2023'!AN37</f>
        <v>0</v>
      </c>
      <c r="AE37" s="218">
        <f>'[1]March - 2023'!AO37</f>
        <v>0</v>
      </c>
      <c r="AF37" s="88">
        <f>'[1]March - 2023'!AO37</f>
        <v>0</v>
      </c>
      <c r="AG37" s="233">
        <f>'[1]March - 2023'!AQ37</f>
        <v>0</v>
      </c>
      <c r="AH37" s="218">
        <f>'[1]March - 2023'!AR37</f>
        <v>0</v>
      </c>
      <c r="AI37" s="88">
        <f>'[1]March - 2023'!AR37</f>
        <v>0</v>
      </c>
      <c r="AJ37" s="233">
        <f>'[1]March - 2023'!AT37</f>
        <v>0</v>
      </c>
      <c r="AK37" s="218">
        <f>'[1]March - 2023'!AU37</f>
        <v>0</v>
      </c>
      <c r="AL37" s="88">
        <f>'[1]March - 2023'!AU37</f>
        <v>0</v>
      </c>
      <c r="AM37" s="233">
        <f>'[1]March - 2023'!AW37</f>
        <v>0</v>
      </c>
      <c r="AN37" s="218">
        <f>'[1]March - 2023'!AX37</f>
        <v>0</v>
      </c>
      <c r="AO37" s="88">
        <f>'[1]March - 2023'!AX37</f>
        <v>0</v>
      </c>
      <c r="AP37" s="233">
        <f>'[1]March - 2023'!AZ37</f>
        <v>0</v>
      </c>
      <c r="AQ37" s="218">
        <f>'[1]March - 2023'!BA37</f>
        <v>0</v>
      </c>
      <c r="AR37" s="88">
        <f>'[1]March - 2023'!BA37</f>
        <v>0</v>
      </c>
      <c r="AS37" s="233">
        <f>'[1]March - 2023'!BC37</f>
        <v>0</v>
      </c>
      <c r="AT37" s="218">
        <f>'[1]March - 2023'!BD37</f>
        <v>0</v>
      </c>
      <c r="AU37" s="88">
        <f>'[1]March - 2023'!BD37</f>
        <v>0</v>
      </c>
      <c r="AV37" s="233">
        <f>'[1]March - 2023'!BF37</f>
        <v>0</v>
      </c>
      <c r="AW37" s="230">
        <f>'[1]March - 2023'!BG37</f>
        <v>0</v>
      </c>
      <c r="AX37" s="231">
        <f>'[1]March - 2023'!BG37</f>
        <v>0</v>
      </c>
      <c r="AY37" s="501"/>
      <c r="AZ37" s="250">
        <f>'[1]March - 2023'!BM37</f>
        <v>0</v>
      </c>
      <c r="BA37" s="161">
        <f>'[1]March - 2023'!BN37</f>
        <v>0</v>
      </c>
      <c r="BB37" s="89">
        <f>'[1]March - 2023'!BN37</f>
        <v>0</v>
      </c>
      <c r="BC37" s="250">
        <f>'[1]March - 2023'!BP37</f>
        <v>0</v>
      </c>
      <c r="BD37" s="224">
        <f>'[1]March - 2023'!BQ37</f>
        <v>0</v>
      </c>
      <c r="BE37" s="89">
        <f>'[1]March - 2023'!BQ37</f>
        <v>0</v>
      </c>
      <c r="BF37" s="250">
        <f>'[1]March - 2023'!BS37</f>
        <v>0</v>
      </c>
      <c r="BG37" s="224">
        <f>'[1]March - 2023'!BT37</f>
        <v>0</v>
      </c>
      <c r="BH37" s="89">
        <f>'[1]March - 2023'!BT37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51">
        <f>'[1]March - 2023'!BV37</f>
        <v>0</v>
      </c>
      <c r="BT37" s="166">
        <f>'[1]March - 2023'!BW37</f>
        <v>0</v>
      </c>
      <c r="BU37" s="593"/>
      <c r="BV37" s="84">
        <f>'[1]March - 2023'!BY37</f>
        <v>0</v>
      </c>
      <c r="BW37" s="220">
        <f>'[1]March - 2023'!BZ37</f>
        <v>0</v>
      </c>
      <c r="BX37" s="84">
        <f>'[1]March - 2023'!BZ37</f>
        <v>0</v>
      </c>
      <c r="BY37" s="85">
        <f>'[1]March - 2023'!CB37</f>
        <v>0</v>
      </c>
      <c r="BZ37" s="172">
        <f>'[1]March - 2023'!CC37</f>
        <v>0</v>
      </c>
      <c r="CA37" s="85">
        <f>'[1]March - 2023'!CD37</f>
        <v>0</v>
      </c>
      <c r="CB37" s="172">
        <f>'[1]March - 2023'!CE37</f>
        <v>0</v>
      </c>
      <c r="CC37" s="85">
        <f>'[1]March - 2023'!CF37</f>
        <v>0</v>
      </c>
      <c r="CD37" s="172">
        <f>'[1]March - 2023'!CG37</f>
        <v>0</v>
      </c>
      <c r="CE37" s="85">
        <f>'[1]March - 2023'!CH37</f>
        <v>0</v>
      </c>
      <c r="CF37" s="172">
        <f>'[1]March - 2023'!CI37</f>
        <v>0</v>
      </c>
      <c r="CG37" s="85">
        <f>'[1]March - 2023'!CJ37</f>
        <v>0</v>
      </c>
      <c r="CH37" s="172">
        <f>'[1]March - 2023'!CK37</f>
        <v>0</v>
      </c>
      <c r="CI37" s="85">
        <f>'[1]March - 2023'!CL37</f>
        <v>0</v>
      </c>
      <c r="CJ37" s="172">
        <f>'[1]March - 2023'!CM37</f>
        <v>0</v>
      </c>
      <c r="CK37" s="85">
        <f>'[1]March - 2023'!CN37</f>
        <v>0</v>
      </c>
      <c r="CL37" s="225">
        <f>'[1]March - 2023'!CO37</f>
        <v>0</v>
      </c>
      <c r="CM37" s="85">
        <f>'[1]March - 2023'!CO37</f>
        <v>0</v>
      </c>
      <c r="CN37" s="85">
        <f>'[1]March - 2023'!CQ37</f>
        <v>0</v>
      </c>
      <c r="CO37" s="225">
        <f>'[1]March - 2023'!CR37</f>
        <v>0</v>
      </c>
      <c r="CP37" s="85">
        <f>'[1]March - 2023'!CR37</f>
        <v>0</v>
      </c>
      <c r="CQ37" s="85">
        <f>'[1]March - 2023'!CT37</f>
        <v>0</v>
      </c>
      <c r="CR37" s="225">
        <f>'[1]March - 2023'!CU37</f>
        <v>0</v>
      </c>
      <c r="CS37" s="85">
        <f>'[1]March - 2023'!CU37</f>
        <v>0</v>
      </c>
      <c r="CT37" s="85">
        <f>'[1]March - 2023'!CW37</f>
        <v>0</v>
      </c>
      <c r="CU37" s="172">
        <f>'[1]March - 2023'!CX37</f>
        <v>0</v>
      </c>
      <c r="CV37" s="519"/>
      <c r="CW37" s="234">
        <f>'[1]March - 2023'!CZ37</f>
        <v>0</v>
      </c>
      <c r="CX37" s="179">
        <f>'[1]March - 2023'!DA37</f>
        <v>0</v>
      </c>
      <c r="CY37" s="235">
        <f>'[1]March - 2023'!DB37</f>
        <v>0</v>
      </c>
      <c r="CZ37" s="179">
        <f>'[1]March - 2023'!DC37</f>
        <v>0</v>
      </c>
      <c r="DA37" s="235">
        <f>'[1]March - 2023'!DD37</f>
        <v>0</v>
      </c>
      <c r="DB37" s="179">
        <f>'[1]March - 2023'!DE37</f>
        <v>0</v>
      </c>
      <c r="DC37" s="235">
        <f>'[1]March - 2023'!DF37</f>
        <v>0</v>
      </c>
      <c r="DD37" s="179">
        <f>'[1]March - 2023'!DG37</f>
        <v>0</v>
      </c>
      <c r="DE37" s="235">
        <f>'[1]March - 2023'!DH37</f>
        <v>0</v>
      </c>
      <c r="DF37" s="179">
        <f>'[1]March - 2023'!DI37</f>
        <v>0</v>
      </c>
      <c r="DG37" s="235">
        <f>'[1]March - 2023'!DJ37</f>
        <v>0</v>
      </c>
      <c r="DH37" s="179">
        <f>'[1]March - 2023'!DK37</f>
        <v>0</v>
      </c>
      <c r="DI37" s="235">
        <f>'[1]March - 2023'!DL37</f>
        <v>0</v>
      </c>
      <c r="DJ37" s="179">
        <f>'[1]March - 2023'!DM37</f>
        <v>0</v>
      </c>
      <c r="DK37" s="235">
        <f>'[1]March - 2023'!DN37</f>
        <v>0</v>
      </c>
      <c r="DL37" s="179">
        <f>'[1]March - 2023'!DO37</f>
        <v>0</v>
      </c>
      <c r="DM37" s="235">
        <f>'[1]March - 2023'!DP37</f>
        <v>0</v>
      </c>
      <c r="DN37" s="179">
        <f>'[1]March - 2023'!DQ37</f>
        <v>0</v>
      </c>
      <c r="DO37" s="235">
        <f>'[1]March - 2023'!DR37</f>
        <v>0</v>
      </c>
      <c r="DP37" s="179">
        <f>'[1]March - 2023'!DS37</f>
        <v>0</v>
      </c>
      <c r="DQ37" s="235">
        <f>'[1]March - 2023'!DT37</f>
        <v>0</v>
      </c>
      <c r="DR37" s="186">
        <f>'[1]March - 2023'!DU37</f>
        <v>0</v>
      </c>
      <c r="DS37" s="535"/>
      <c r="DT37" s="190">
        <f>'[1]March - 2023'!DW37</f>
        <v>0</v>
      </c>
      <c r="DU37" s="201">
        <f>'[1]March - 2023'!DX37</f>
        <v>0</v>
      </c>
      <c r="DV37" s="87">
        <f>'[1]March - 2023'!DY37</f>
        <v>0</v>
      </c>
      <c r="DW37" s="195">
        <f>'[1]March - 2023'!DZ37</f>
        <v>0</v>
      </c>
      <c r="DX37" s="87">
        <f>'[1]March - 2023'!EA37</f>
        <v>0</v>
      </c>
      <c r="DY37" s="195">
        <f>'[1]March - 2023'!EB37</f>
        <v>0</v>
      </c>
      <c r="DZ37" s="87">
        <f>'[1]March - 2023'!EC37</f>
        <v>0</v>
      </c>
      <c r="EA37" s="195">
        <f>'[1]March - 2023'!ED37</f>
        <v>0</v>
      </c>
      <c r="EB37" s="87">
        <f>'[1]March - 2023'!EE37</f>
        <v>0</v>
      </c>
      <c r="EC37" s="195">
        <f>'[1]March - 2023'!EF37</f>
        <v>0</v>
      </c>
      <c r="ED37" s="87">
        <f>'[1]March - 2023'!EI37</f>
        <v>0</v>
      </c>
      <c r="EE37" s="208">
        <f>'[1]March - 2023'!EJ37</f>
        <v>0</v>
      </c>
      <c r="EF37" s="584"/>
      <c r="EG37" s="214">
        <f>'[1]March - 2023'!EL37</f>
        <v>0</v>
      </c>
      <c r="EH37" s="209">
        <f>'[1]March - 2023'!EM37</f>
        <v>0</v>
      </c>
      <c r="EI37" s="86">
        <f>'[1]March - 2023'!EN37</f>
        <v>0</v>
      </c>
      <c r="EJ37" s="209">
        <f>'[1]March - 2023'!EO37</f>
        <v>0</v>
      </c>
      <c r="EK37" s="86">
        <f>'[1]March - 2023'!EP37</f>
        <v>0</v>
      </c>
      <c r="EL37" s="209">
        <f>'[1]March - 2023'!EQ37</f>
        <v>0</v>
      </c>
      <c r="EM37" s="86">
        <f>'[1]March - 2023'!ER37</f>
        <v>0</v>
      </c>
      <c r="EN37" s="209">
        <f>'[1]March - 2023'!ES37</f>
        <v>0</v>
      </c>
      <c r="EO37" s="86">
        <f>'[1]March - 2023'!ET37</f>
        <v>0</v>
      </c>
      <c r="EP37" s="209">
        <f>'[1]March - 2023'!EU37</f>
        <v>0</v>
      </c>
      <c r="EQ37" s="86">
        <f>'[1]March - 2023'!EV37</f>
        <v>0</v>
      </c>
      <c r="ER37" s="209">
        <f>'[1]March - 2023'!EW37</f>
        <v>0</v>
      </c>
      <c r="ES37" s="562"/>
      <c r="ET37" s="256">
        <f>'[1]March - 2023'!EY37</f>
        <v>0</v>
      </c>
      <c r="EU37" s="253">
        <f>'[1]March - 2023'!EZ37</f>
        <v>0</v>
      </c>
      <c r="EV37" s="257">
        <f>'[1]March - 2023'!FA37</f>
        <v>0</v>
      </c>
      <c r="EW37" s="253">
        <f>'[1]March - 2023'!FB37</f>
        <v>0</v>
      </c>
      <c r="EX37" s="257">
        <f>'[1]March - 2023'!FC37</f>
        <v>0</v>
      </c>
      <c r="EY37" s="253">
        <f>'[1]March - 2023'!FD37</f>
        <v>0</v>
      </c>
      <c r="EZ37" s="257">
        <f>'[1]March - 2023'!FE37</f>
        <v>0</v>
      </c>
      <c r="FA37" s="253">
        <f>'[1]March - 2023'!FF37</f>
        <v>0</v>
      </c>
      <c r="FB37" s="257">
        <f>'[1]March - 2023'!FG37</f>
        <v>0</v>
      </c>
      <c r="FC37" s="254">
        <f>'[1]March - 2023'!FH37</f>
        <v>0</v>
      </c>
      <c r="FD37" s="562"/>
      <c r="FE37" s="256">
        <f>'[1]March - 2023'!$FN37</f>
        <v>0</v>
      </c>
      <c r="FF37" s="271">
        <f t="shared" si="0"/>
        <v>0</v>
      </c>
      <c r="FG37" s="270">
        <f>'[1]March - 2023'!$FP37</f>
        <v>0</v>
      </c>
      <c r="FH37" s="271">
        <f t="shared" si="0"/>
        <v>0</v>
      </c>
      <c r="FI37" s="275">
        <f>'[1]March - 2023'!$FR37</f>
        <v>0</v>
      </c>
      <c r="FJ37" s="271">
        <f t="shared" si="0"/>
        <v>0</v>
      </c>
      <c r="FK37" s="275">
        <f>'[1]March - 2023'!$FT37</f>
        <v>0</v>
      </c>
      <c r="FL37" s="271">
        <f t="shared" si="0"/>
        <v>0</v>
      </c>
      <c r="FM37" s="275">
        <f>'[1]March - 2023'!$FV37</f>
        <v>0</v>
      </c>
      <c r="FN37" s="271">
        <f t="shared" si="0"/>
        <v>0</v>
      </c>
      <c r="FO37" s="257">
        <f>'[1]March - 2023'!$FJ37</f>
        <v>0</v>
      </c>
      <c r="FP37" s="271">
        <f t="shared" si="2"/>
        <v>0</v>
      </c>
      <c r="FQ37" s="257">
        <f>'[1]March - 2023'!$FL37</f>
        <v>0</v>
      </c>
      <c r="FR37" s="253">
        <f t="shared" si="1"/>
        <v>0</v>
      </c>
    </row>
    <row r="38" spans="1:175" ht="30" customHeight="1" x14ac:dyDescent="0.25">
      <c r="A38" s="187">
        <v>44649</v>
      </c>
      <c r="B38" s="189">
        <f>'[1]March - 2023'!B38</f>
        <v>0</v>
      </c>
      <c r="C38" s="229">
        <f>'[1]March - 2023'!E38</f>
        <v>0</v>
      </c>
      <c r="D38" s="152">
        <f>'[1]March - 2023'!F38</f>
        <v>0</v>
      </c>
      <c r="E38" s="150">
        <f>'[1]March - 2023'!G38</f>
        <v>794</v>
      </c>
      <c r="F38" s="150">
        <f>'[1]March - 2023'!H38</f>
        <v>0</v>
      </c>
      <c r="G38" s="152">
        <f>'[1]March - 2023'!I38</f>
        <v>0</v>
      </c>
      <c r="H38" s="150">
        <f>'[1]March - 2023'!J38</f>
        <v>463</v>
      </c>
      <c r="I38" s="150">
        <f>'[1]March - 2023'!K38</f>
        <v>0</v>
      </c>
      <c r="J38" s="152">
        <f>'[1]March - 2023'!L38</f>
        <v>0</v>
      </c>
      <c r="K38" s="150">
        <f>'[1]March - 2023'!N38</f>
        <v>0</v>
      </c>
      <c r="L38" s="152">
        <f>'[1]March - 2023'!O38</f>
        <v>0</v>
      </c>
      <c r="M38" s="150">
        <f>'[1]March - 2023'!Q38</f>
        <v>0</v>
      </c>
      <c r="N38" s="152">
        <f>'[1]March - 2023'!R38</f>
        <v>0</v>
      </c>
      <c r="O38" s="150">
        <f>'[1]March - 2023'!U38</f>
        <v>0</v>
      </c>
      <c r="P38" s="152">
        <f>'[1]March - 2023'!V38</f>
        <v>0</v>
      </c>
      <c r="Q38" s="150">
        <f>'[1]March - 2023'!W38</f>
        <v>4.923</v>
      </c>
      <c r="R38" s="150">
        <f>'[1]March - 2023'!X38</f>
        <v>0</v>
      </c>
      <c r="S38" s="188">
        <f>'[1]March - 2023'!Y38</f>
        <v>0</v>
      </c>
      <c r="T38" s="484"/>
      <c r="U38" s="151">
        <f>'[1]March - 2023'!AE38</f>
        <v>0</v>
      </c>
      <c r="V38" s="218">
        <f>'[1]March - 2023'!AF38</f>
        <v>0</v>
      </c>
      <c r="W38" s="88">
        <f>'[1]March - 2023'!AF38</f>
        <v>0</v>
      </c>
      <c r="X38" s="233">
        <f>'[1]March - 2023'!AH38</f>
        <v>0</v>
      </c>
      <c r="Y38" s="218">
        <f>'[1]March - 2023'!AI38</f>
        <v>0</v>
      </c>
      <c r="Z38" s="88">
        <f>'[1]March - 2023'!AI38</f>
        <v>0</v>
      </c>
      <c r="AA38" s="233">
        <f>'[1]March - 2023'!AK38</f>
        <v>0</v>
      </c>
      <c r="AB38" s="218">
        <f>'[1]March - 2023'!AL38</f>
        <v>0</v>
      </c>
      <c r="AC38" s="88">
        <f>'[1]March - 2023'!AL38</f>
        <v>0</v>
      </c>
      <c r="AD38" s="233">
        <f>'[1]March - 2023'!AN38</f>
        <v>0</v>
      </c>
      <c r="AE38" s="218">
        <f>'[1]March - 2023'!AO38</f>
        <v>0</v>
      </c>
      <c r="AF38" s="88">
        <f>'[1]March - 2023'!AO38</f>
        <v>0</v>
      </c>
      <c r="AG38" s="233">
        <f>'[1]March - 2023'!AQ38</f>
        <v>0</v>
      </c>
      <c r="AH38" s="218">
        <f>'[1]March - 2023'!AR38</f>
        <v>0</v>
      </c>
      <c r="AI38" s="88">
        <f>'[1]March - 2023'!AR38</f>
        <v>0</v>
      </c>
      <c r="AJ38" s="233">
        <f>'[1]March - 2023'!AT38</f>
        <v>0</v>
      </c>
      <c r="AK38" s="218">
        <f>'[1]March - 2023'!AU38</f>
        <v>0</v>
      </c>
      <c r="AL38" s="88">
        <f>'[1]March - 2023'!AU38</f>
        <v>0</v>
      </c>
      <c r="AM38" s="233">
        <f>'[1]March - 2023'!AW38</f>
        <v>0</v>
      </c>
      <c r="AN38" s="218">
        <f>'[1]March - 2023'!AX38</f>
        <v>0</v>
      </c>
      <c r="AO38" s="88">
        <f>'[1]March - 2023'!AX38</f>
        <v>0</v>
      </c>
      <c r="AP38" s="233">
        <f>'[1]March - 2023'!AZ38</f>
        <v>0</v>
      </c>
      <c r="AQ38" s="218">
        <f>'[1]March - 2023'!BA38</f>
        <v>0</v>
      </c>
      <c r="AR38" s="88">
        <f>'[1]March - 2023'!BA38</f>
        <v>0</v>
      </c>
      <c r="AS38" s="233">
        <f>'[1]March - 2023'!BC38</f>
        <v>0</v>
      </c>
      <c r="AT38" s="218">
        <f>'[1]March - 2023'!BD38</f>
        <v>0</v>
      </c>
      <c r="AU38" s="88">
        <f>'[1]March - 2023'!BD38</f>
        <v>0</v>
      </c>
      <c r="AV38" s="233">
        <f>'[1]March - 2023'!BF38</f>
        <v>0</v>
      </c>
      <c r="AW38" s="230">
        <f>'[1]March - 2023'!BG38</f>
        <v>0</v>
      </c>
      <c r="AX38" s="231">
        <f>'[1]March - 2023'!BG38</f>
        <v>0</v>
      </c>
      <c r="AY38" s="501"/>
      <c r="AZ38" s="250">
        <f>'[1]March - 2023'!BM38</f>
        <v>0</v>
      </c>
      <c r="BA38" s="161">
        <f>'[1]March - 2023'!BN38</f>
        <v>0</v>
      </c>
      <c r="BB38" s="89">
        <f>'[1]March - 2023'!BN38</f>
        <v>0</v>
      </c>
      <c r="BC38" s="250">
        <f>'[1]March - 2023'!BP38</f>
        <v>0</v>
      </c>
      <c r="BD38" s="224">
        <f>'[1]March - 2023'!BQ38</f>
        <v>0</v>
      </c>
      <c r="BE38" s="89">
        <f>'[1]March - 2023'!BQ38</f>
        <v>0</v>
      </c>
      <c r="BF38" s="250">
        <f>'[1]March - 2023'!BS38</f>
        <v>0</v>
      </c>
      <c r="BG38" s="224">
        <f>'[1]March - 2023'!BT38</f>
        <v>0</v>
      </c>
      <c r="BH38" s="89">
        <f>'[1]March - 2023'!BT38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51">
        <f>'[1]March - 2023'!BV38</f>
        <v>0</v>
      </c>
      <c r="BT38" s="166">
        <f>'[1]March - 2023'!BW38</f>
        <v>0</v>
      </c>
      <c r="BU38" s="593"/>
      <c r="BV38" s="84">
        <f>'[1]March - 2023'!BY38</f>
        <v>0</v>
      </c>
      <c r="BW38" s="220">
        <f>'[1]March - 2023'!BZ38</f>
        <v>0</v>
      </c>
      <c r="BX38" s="84">
        <f>'[1]March - 2023'!BZ38</f>
        <v>0</v>
      </c>
      <c r="BY38" s="85">
        <f>'[1]March - 2023'!CB38</f>
        <v>0</v>
      </c>
      <c r="BZ38" s="172">
        <f>'[1]March - 2023'!CC38</f>
        <v>0</v>
      </c>
      <c r="CA38" s="85">
        <f>'[1]March - 2023'!CD38</f>
        <v>0</v>
      </c>
      <c r="CB38" s="172">
        <f>'[1]March - 2023'!CE38</f>
        <v>0</v>
      </c>
      <c r="CC38" s="85">
        <f>'[1]March - 2023'!CF38</f>
        <v>0</v>
      </c>
      <c r="CD38" s="172">
        <f>'[1]March - 2023'!CG38</f>
        <v>0</v>
      </c>
      <c r="CE38" s="85">
        <f>'[1]March - 2023'!CH38</f>
        <v>0</v>
      </c>
      <c r="CF38" s="172">
        <f>'[1]March - 2023'!CI38</f>
        <v>0</v>
      </c>
      <c r="CG38" s="85">
        <f>'[1]March - 2023'!CJ38</f>
        <v>0</v>
      </c>
      <c r="CH38" s="172">
        <f>'[1]March - 2023'!CK38</f>
        <v>0</v>
      </c>
      <c r="CI38" s="85">
        <f>'[1]March - 2023'!CL38</f>
        <v>0</v>
      </c>
      <c r="CJ38" s="172">
        <f>'[1]March - 2023'!CM38</f>
        <v>0</v>
      </c>
      <c r="CK38" s="85">
        <f>'[1]March - 2023'!CN38</f>
        <v>0</v>
      </c>
      <c r="CL38" s="225">
        <f>'[1]March - 2023'!CO38</f>
        <v>0</v>
      </c>
      <c r="CM38" s="85">
        <f>'[1]March - 2023'!CO38</f>
        <v>0</v>
      </c>
      <c r="CN38" s="85">
        <f>'[1]March - 2023'!CQ38</f>
        <v>0</v>
      </c>
      <c r="CO38" s="225">
        <f>'[1]March - 2023'!CR38</f>
        <v>0</v>
      </c>
      <c r="CP38" s="85">
        <f>'[1]March - 2023'!CR38</f>
        <v>0</v>
      </c>
      <c r="CQ38" s="85">
        <f>'[1]March - 2023'!CT38</f>
        <v>0</v>
      </c>
      <c r="CR38" s="225">
        <f>'[1]March - 2023'!CU38</f>
        <v>0</v>
      </c>
      <c r="CS38" s="85">
        <f>'[1]March - 2023'!CU38</f>
        <v>0</v>
      </c>
      <c r="CT38" s="85">
        <f>'[1]March - 2023'!CW38</f>
        <v>0</v>
      </c>
      <c r="CU38" s="172">
        <f>'[1]March - 2023'!CX38</f>
        <v>0</v>
      </c>
      <c r="CV38" s="519"/>
      <c r="CW38" s="234">
        <f>'[1]March - 2023'!CZ38</f>
        <v>0</v>
      </c>
      <c r="CX38" s="179">
        <f>'[1]March - 2023'!DA38</f>
        <v>0</v>
      </c>
      <c r="CY38" s="235">
        <f>'[1]March - 2023'!DB38</f>
        <v>0</v>
      </c>
      <c r="CZ38" s="179">
        <f>'[1]March - 2023'!DC38</f>
        <v>0</v>
      </c>
      <c r="DA38" s="235">
        <f>'[1]March - 2023'!DD38</f>
        <v>0</v>
      </c>
      <c r="DB38" s="179">
        <f>'[1]March - 2023'!DE38</f>
        <v>0</v>
      </c>
      <c r="DC38" s="235">
        <f>'[1]March - 2023'!DF38</f>
        <v>0</v>
      </c>
      <c r="DD38" s="179">
        <f>'[1]March - 2023'!DG38</f>
        <v>0</v>
      </c>
      <c r="DE38" s="235">
        <f>'[1]March - 2023'!DH38</f>
        <v>0</v>
      </c>
      <c r="DF38" s="179">
        <f>'[1]March - 2023'!DI38</f>
        <v>0</v>
      </c>
      <c r="DG38" s="235">
        <f>'[1]March - 2023'!DJ38</f>
        <v>0</v>
      </c>
      <c r="DH38" s="179">
        <f>'[1]March - 2023'!DK38</f>
        <v>0</v>
      </c>
      <c r="DI38" s="235">
        <f>'[1]March - 2023'!DL38</f>
        <v>0</v>
      </c>
      <c r="DJ38" s="179">
        <f>'[1]March - 2023'!DM38</f>
        <v>0</v>
      </c>
      <c r="DK38" s="235">
        <f>'[1]March - 2023'!DN38</f>
        <v>0</v>
      </c>
      <c r="DL38" s="179">
        <f>'[1]March - 2023'!DO38</f>
        <v>0</v>
      </c>
      <c r="DM38" s="235">
        <f>'[1]March - 2023'!DP38</f>
        <v>0</v>
      </c>
      <c r="DN38" s="179">
        <f>'[1]March - 2023'!DQ38</f>
        <v>0</v>
      </c>
      <c r="DO38" s="235">
        <f>'[1]March - 2023'!DR38</f>
        <v>0</v>
      </c>
      <c r="DP38" s="179">
        <f>'[1]March - 2023'!DS38</f>
        <v>0</v>
      </c>
      <c r="DQ38" s="235">
        <f>'[1]March - 2023'!DT38</f>
        <v>0</v>
      </c>
      <c r="DR38" s="186">
        <f>'[1]March - 2023'!DU38</f>
        <v>0</v>
      </c>
      <c r="DS38" s="535"/>
      <c r="DT38" s="190">
        <f>'[1]March - 2023'!DW38</f>
        <v>0</v>
      </c>
      <c r="DU38" s="201">
        <f>'[1]March - 2023'!DX38</f>
        <v>0</v>
      </c>
      <c r="DV38" s="87">
        <f>'[1]March - 2023'!DY38</f>
        <v>0</v>
      </c>
      <c r="DW38" s="195">
        <f>'[1]March - 2023'!DZ38</f>
        <v>0</v>
      </c>
      <c r="DX38" s="87">
        <f>'[1]March - 2023'!EA38</f>
        <v>0</v>
      </c>
      <c r="DY38" s="195">
        <f>'[1]March - 2023'!EB38</f>
        <v>0</v>
      </c>
      <c r="DZ38" s="87">
        <f>'[1]March - 2023'!EC38</f>
        <v>0</v>
      </c>
      <c r="EA38" s="195">
        <f>'[1]March - 2023'!ED38</f>
        <v>0</v>
      </c>
      <c r="EB38" s="87">
        <f>'[1]March - 2023'!EE38</f>
        <v>0</v>
      </c>
      <c r="EC38" s="195">
        <f>'[1]March - 2023'!EF38</f>
        <v>0</v>
      </c>
      <c r="ED38" s="87">
        <f>'[1]March - 2023'!EI38</f>
        <v>0</v>
      </c>
      <c r="EE38" s="208">
        <f>'[1]March - 2023'!EJ38</f>
        <v>0</v>
      </c>
      <c r="EF38" s="584"/>
      <c r="EG38" s="214">
        <f>'[1]March - 2023'!EL38</f>
        <v>0</v>
      </c>
      <c r="EH38" s="209">
        <f>'[1]March - 2023'!EM38</f>
        <v>0</v>
      </c>
      <c r="EI38" s="86">
        <f>'[1]March - 2023'!EN38</f>
        <v>0</v>
      </c>
      <c r="EJ38" s="209">
        <f>'[1]March - 2023'!EO38</f>
        <v>0</v>
      </c>
      <c r="EK38" s="86">
        <f>'[1]March - 2023'!EP38</f>
        <v>0</v>
      </c>
      <c r="EL38" s="209">
        <f>'[1]March - 2023'!EQ38</f>
        <v>0</v>
      </c>
      <c r="EM38" s="86">
        <f>'[1]March - 2023'!ER38</f>
        <v>0</v>
      </c>
      <c r="EN38" s="209">
        <f>'[1]March - 2023'!ES38</f>
        <v>0</v>
      </c>
      <c r="EO38" s="86">
        <f>'[1]March - 2023'!ET38</f>
        <v>0</v>
      </c>
      <c r="EP38" s="209">
        <f>'[1]March - 2023'!EU38</f>
        <v>0</v>
      </c>
      <c r="EQ38" s="86">
        <f>'[1]March - 2023'!EV38</f>
        <v>0</v>
      </c>
      <c r="ER38" s="209">
        <f>'[1]March - 2023'!EW38</f>
        <v>0</v>
      </c>
      <c r="ES38" s="562"/>
      <c r="ET38" s="256">
        <f>'[1]March - 2023'!EY38</f>
        <v>0</v>
      </c>
      <c r="EU38" s="253">
        <f>'[1]March - 2023'!EZ38</f>
        <v>0</v>
      </c>
      <c r="EV38" s="257">
        <f>'[1]March - 2023'!FA38</f>
        <v>0</v>
      </c>
      <c r="EW38" s="253">
        <f>'[1]March - 2023'!FB38</f>
        <v>0</v>
      </c>
      <c r="EX38" s="257">
        <f>'[1]March - 2023'!FC38</f>
        <v>0</v>
      </c>
      <c r="EY38" s="253">
        <f>'[1]March - 2023'!FD38</f>
        <v>0</v>
      </c>
      <c r="EZ38" s="257">
        <f>'[1]March - 2023'!FE38</f>
        <v>0</v>
      </c>
      <c r="FA38" s="253">
        <f>'[1]March - 2023'!FF38</f>
        <v>0</v>
      </c>
      <c r="FB38" s="257">
        <f>'[1]March - 2023'!FG38</f>
        <v>0</v>
      </c>
      <c r="FC38" s="254">
        <f>'[1]March - 2023'!FH38</f>
        <v>0</v>
      </c>
      <c r="FD38" s="562"/>
      <c r="FE38" s="256">
        <f>'[1]March - 2023'!$FN38</f>
        <v>0</v>
      </c>
      <c r="FF38" s="271">
        <f t="shared" si="0"/>
        <v>0</v>
      </c>
      <c r="FG38" s="270">
        <f>'[1]March - 2023'!$FP38</f>
        <v>0</v>
      </c>
      <c r="FH38" s="271">
        <f t="shared" si="0"/>
        <v>0</v>
      </c>
      <c r="FI38" s="275">
        <f>'[1]March - 2023'!$FR38</f>
        <v>0</v>
      </c>
      <c r="FJ38" s="271">
        <f t="shared" si="0"/>
        <v>0</v>
      </c>
      <c r="FK38" s="275">
        <f>'[1]March - 2023'!$FT38</f>
        <v>0</v>
      </c>
      <c r="FL38" s="271">
        <f t="shared" si="0"/>
        <v>0</v>
      </c>
      <c r="FM38" s="275">
        <f>'[1]March - 2023'!$FV38</f>
        <v>0</v>
      </c>
      <c r="FN38" s="271">
        <f t="shared" si="0"/>
        <v>0</v>
      </c>
      <c r="FO38" s="257">
        <f>'[1]March - 2023'!$FJ38</f>
        <v>0</v>
      </c>
      <c r="FP38" s="271">
        <f t="shared" si="2"/>
        <v>0</v>
      </c>
      <c r="FQ38" s="257">
        <f>'[1]March - 2023'!$FL38</f>
        <v>0</v>
      </c>
      <c r="FR38" s="253">
        <f t="shared" si="1"/>
        <v>0</v>
      </c>
    </row>
    <row r="39" spans="1:175" ht="30" customHeight="1" x14ac:dyDescent="0.25">
      <c r="A39" s="187">
        <v>44650</v>
      </c>
      <c r="B39" s="189">
        <f>'[1]March - 2023'!B39</f>
        <v>0</v>
      </c>
      <c r="C39" s="229">
        <f>'[1]March - 2023'!E39</f>
        <v>0</v>
      </c>
      <c r="D39" s="152">
        <f>'[1]March - 2023'!F39</f>
        <v>0</v>
      </c>
      <c r="E39" s="150">
        <f>'[1]March - 2023'!G39</f>
        <v>807</v>
      </c>
      <c r="F39" s="150">
        <f>'[1]March - 2023'!H39</f>
        <v>0</v>
      </c>
      <c r="G39" s="152">
        <f>'[1]March - 2023'!I39</f>
        <v>0</v>
      </c>
      <c r="H39" s="150">
        <f>'[1]March - 2023'!J39</f>
        <v>482</v>
      </c>
      <c r="I39" s="150">
        <f>'[1]March - 2023'!K39</f>
        <v>0</v>
      </c>
      <c r="J39" s="152">
        <f>'[1]March - 2023'!L39</f>
        <v>0</v>
      </c>
      <c r="K39" s="150">
        <f>'[1]March - 2023'!N39</f>
        <v>0</v>
      </c>
      <c r="L39" s="152">
        <f>'[1]March - 2023'!O39</f>
        <v>0</v>
      </c>
      <c r="M39" s="150">
        <f>'[1]March - 2023'!Q39</f>
        <v>0</v>
      </c>
      <c r="N39" s="152">
        <f>'[1]March - 2023'!R39</f>
        <v>0</v>
      </c>
      <c r="O39" s="150">
        <f>'[1]March - 2023'!U39</f>
        <v>0</v>
      </c>
      <c r="P39" s="152">
        <f>'[1]March - 2023'!V39</f>
        <v>0</v>
      </c>
      <c r="Q39" s="150">
        <f>'[1]March - 2023'!W39</f>
        <v>4.93</v>
      </c>
      <c r="R39" s="150">
        <f>'[1]March - 2023'!X39</f>
        <v>0</v>
      </c>
      <c r="S39" s="188">
        <f>'[1]March - 2023'!Y39</f>
        <v>0</v>
      </c>
      <c r="T39" s="484"/>
      <c r="U39" s="151">
        <f>'[1]March - 2023'!AE39</f>
        <v>0</v>
      </c>
      <c r="V39" s="218">
        <f>'[1]March - 2023'!AF39</f>
        <v>0</v>
      </c>
      <c r="W39" s="88">
        <f>'[1]March - 2023'!AF39</f>
        <v>0</v>
      </c>
      <c r="X39" s="233">
        <f>'[1]March - 2023'!AH39</f>
        <v>0</v>
      </c>
      <c r="Y39" s="218">
        <f>'[1]March - 2023'!AI39</f>
        <v>0</v>
      </c>
      <c r="Z39" s="88">
        <f>'[1]March - 2023'!AI39</f>
        <v>0</v>
      </c>
      <c r="AA39" s="233">
        <f>'[1]March - 2023'!AK39</f>
        <v>0</v>
      </c>
      <c r="AB39" s="218">
        <f>'[1]March - 2023'!AL39</f>
        <v>0</v>
      </c>
      <c r="AC39" s="88">
        <f>'[1]March - 2023'!AL39</f>
        <v>0</v>
      </c>
      <c r="AD39" s="233">
        <f>'[1]March - 2023'!AN39</f>
        <v>0</v>
      </c>
      <c r="AE39" s="218">
        <f>'[1]March - 2023'!AO39</f>
        <v>0</v>
      </c>
      <c r="AF39" s="88">
        <f>'[1]March - 2023'!AO39</f>
        <v>0</v>
      </c>
      <c r="AG39" s="233">
        <f>'[1]March - 2023'!AQ39</f>
        <v>0</v>
      </c>
      <c r="AH39" s="218">
        <f>'[1]March - 2023'!AR39</f>
        <v>0</v>
      </c>
      <c r="AI39" s="88">
        <f>'[1]March - 2023'!AR39</f>
        <v>0</v>
      </c>
      <c r="AJ39" s="233">
        <f>'[1]March - 2023'!AT39</f>
        <v>0</v>
      </c>
      <c r="AK39" s="218">
        <f>'[1]March - 2023'!AU39</f>
        <v>0</v>
      </c>
      <c r="AL39" s="88">
        <f>'[1]March - 2023'!AU39</f>
        <v>0</v>
      </c>
      <c r="AM39" s="233">
        <f>'[1]March - 2023'!AW39</f>
        <v>0</v>
      </c>
      <c r="AN39" s="218">
        <f>'[1]March - 2023'!AX39</f>
        <v>0</v>
      </c>
      <c r="AO39" s="88">
        <f>'[1]March - 2023'!AX39</f>
        <v>0</v>
      </c>
      <c r="AP39" s="233">
        <f>'[1]March - 2023'!AZ39</f>
        <v>0</v>
      </c>
      <c r="AQ39" s="218">
        <f>'[1]March - 2023'!BA39</f>
        <v>0</v>
      </c>
      <c r="AR39" s="88">
        <f>'[1]March - 2023'!BA39</f>
        <v>0</v>
      </c>
      <c r="AS39" s="233">
        <f>'[1]March - 2023'!BC39</f>
        <v>0</v>
      </c>
      <c r="AT39" s="218">
        <f>'[1]March - 2023'!BD39</f>
        <v>0</v>
      </c>
      <c r="AU39" s="88">
        <f>'[1]March - 2023'!BD39</f>
        <v>0</v>
      </c>
      <c r="AV39" s="233">
        <f>'[1]March - 2023'!BF39</f>
        <v>0</v>
      </c>
      <c r="AW39" s="230">
        <f>'[1]March - 2023'!BG39</f>
        <v>0</v>
      </c>
      <c r="AX39" s="231">
        <f>'[1]March - 2023'!BG39</f>
        <v>0</v>
      </c>
      <c r="AY39" s="501"/>
      <c r="AZ39" s="250">
        <f>'[1]March - 2023'!BM39</f>
        <v>0</v>
      </c>
      <c r="BA39" s="161">
        <f>'[1]March - 2023'!BN39</f>
        <v>0</v>
      </c>
      <c r="BB39" s="89">
        <f>'[1]March - 2023'!BN39</f>
        <v>0</v>
      </c>
      <c r="BC39" s="250">
        <f>'[1]March - 2023'!BP39</f>
        <v>0</v>
      </c>
      <c r="BD39" s="224">
        <f>'[1]March - 2023'!BQ39</f>
        <v>0</v>
      </c>
      <c r="BE39" s="89">
        <f>'[1]March - 2023'!BQ39</f>
        <v>0</v>
      </c>
      <c r="BF39" s="250">
        <f>'[1]March - 2023'!BS39</f>
        <v>0</v>
      </c>
      <c r="BG39" s="224">
        <f>'[1]March - 2023'!BT39</f>
        <v>0</v>
      </c>
      <c r="BH39" s="89">
        <f>'[1]March - 2023'!BT39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51">
        <f>'[1]March - 2023'!BV39</f>
        <v>0</v>
      </c>
      <c r="BT39" s="166">
        <f>'[1]March - 2023'!BW39</f>
        <v>0</v>
      </c>
      <c r="BU39" s="594"/>
      <c r="BV39" s="84">
        <f>'[1]March - 2023'!BY39</f>
        <v>0</v>
      </c>
      <c r="BW39" s="220">
        <f>'[1]March - 2023'!BZ39</f>
        <v>0</v>
      </c>
      <c r="BX39" s="84">
        <f>'[1]March - 2023'!BZ39</f>
        <v>0</v>
      </c>
      <c r="BY39" s="85">
        <f>'[1]March - 2023'!CB39</f>
        <v>0</v>
      </c>
      <c r="BZ39" s="172">
        <f>'[1]March - 2023'!CC39</f>
        <v>0</v>
      </c>
      <c r="CA39" s="85">
        <f>'[1]March - 2023'!CD39</f>
        <v>0</v>
      </c>
      <c r="CB39" s="172">
        <f>'[1]March - 2023'!CE39</f>
        <v>0</v>
      </c>
      <c r="CC39" s="85">
        <f>'[1]March - 2023'!CF39</f>
        <v>0</v>
      </c>
      <c r="CD39" s="172">
        <f>'[1]March - 2023'!CG39</f>
        <v>0</v>
      </c>
      <c r="CE39" s="85">
        <f>'[1]March - 2023'!CH39</f>
        <v>0</v>
      </c>
      <c r="CF39" s="172">
        <f>'[1]March - 2023'!CI39</f>
        <v>0</v>
      </c>
      <c r="CG39" s="85">
        <f>'[1]March - 2023'!CJ39</f>
        <v>0</v>
      </c>
      <c r="CH39" s="172">
        <f>'[1]March - 2023'!CK39</f>
        <v>0</v>
      </c>
      <c r="CI39" s="85">
        <f>'[1]March - 2023'!CL39</f>
        <v>0</v>
      </c>
      <c r="CJ39" s="172">
        <f>'[1]March - 2023'!CM39</f>
        <v>0</v>
      </c>
      <c r="CK39" s="85">
        <f>'[1]March - 2023'!CN39</f>
        <v>0</v>
      </c>
      <c r="CL39" s="225">
        <f>'[1]March - 2023'!CO39</f>
        <v>0</v>
      </c>
      <c r="CM39" s="85">
        <f>'[1]March - 2023'!CO39</f>
        <v>0</v>
      </c>
      <c r="CN39" s="85">
        <f>'[1]March - 2023'!CQ39</f>
        <v>0</v>
      </c>
      <c r="CO39" s="225">
        <f>'[1]March - 2023'!CR39</f>
        <v>0</v>
      </c>
      <c r="CP39" s="85">
        <f>'[1]March - 2023'!CR39</f>
        <v>0</v>
      </c>
      <c r="CQ39" s="85">
        <f>'[1]March - 2023'!CT39</f>
        <v>0</v>
      </c>
      <c r="CR39" s="225">
        <f>'[1]March - 2023'!CU39</f>
        <v>0</v>
      </c>
      <c r="CS39" s="85">
        <f>'[1]March - 2023'!CU39</f>
        <v>0</v>
      </c>
      <c r="CT39" s="85">
        <f>'[1]March - 2023'!CW39</f>
        <v>0</v>
      </c>
      <c r="CU39" s="172">
        <f>'[1]March - 2023'!CX39</f>
        <v>0</v>
      </c>
      <c r="CV39" s="519"/>
      <c r="CW39" s="234">
        <f>'[1]March - 2023'!CZ39</f>
        <v>0</v>
      </c>
      <c r="CX39" s="179">
        <f>'[1]March - 2023'!DA39</f>
        <v>0</v>
      </c>
      <c r="CY39" s="235">
        <f>'[1]March - 2023'!DB39</f>
        <v>0</v>
      </c>
      <c r="CZ39" s="179">
        <f>'[1]March - 2023'!DC39</f>
        <v>0</v>
      </c>
      <c r="DA39" s="235">
        <f>'[1]March - 2023'!DD39</f>
        <v>0</v>
      </c>
      <c r="DB39" s="179">
        <f>'[1]March - 2023'!DE39</f>
        <v>0</v>
      </c>
      <c r="DC39" s="235">
        <f>'[1]March - 2023'!DF39</f>
        <v>0</v>
      </c>
      <c r="DD39" s="179">
        <f>'[1]March - 2023'!DG39</f>
        <v>0</v>
      </c>
      <c r="DE39" s="235">
        <f>'[1]March - 2023'!DH39</f>
        <v>0</v>
      </c>
      <c r="DF39" s="179">
        <f>'[1]March - 2023'!DI39</f>
        <v>0</v>
      </c>
      <c r="DG39" s="235">
        <f>'[1]March - 2023'!DJ39</f>
        <v>0</v>
      </c>
      <c r="DH39" s="179">
        <f>'[1]March - 2023'!DK39</f>
        <v>0</v>
      </c>
      <c r="DI39" s="235">
        <f>'[1]March - 2023'!DL39</f>
        <v>0</v>
      </c>
      <c r="DJ39" s="179">
        <f>'[1]March - 2023'!DM39</f>
        <v>0</v>
      </c>
      <c r="DK39" s="235">
        <f>'[1]March - 2023'!DN39</f>
        <v>0</v>
      </c>
      <c r="DL39" s="179">
        <f>'[1]March - 2023'!DO39</f>
        <v>0</v>
      </c>
      <c r="DM39" s="235">
        <f>'[1]March - 2023'!DP39</f>
        <v>0</v>
      </c>
      <c r="DN39" s="179">
        <f>'[1]March - 2023'!DQ39</f>
        <v>0</v>
      </c>
      <c r="DO39" s="235">
        <f>'[1]March - 2023'!DR39</f>
        <v>0</v>
      </c>
      <c r="DP39" s="179">
        <f>'[1]March - 2023'!DS39</f>
        <v>0</v>
      </c>
      <c r="DQ39" s="235">
        <f>'[1]March - 2023'!DT39</f>
        <v>0</v>
      </c>
      <c r="DR39" s="186">
        <f>'[1]March - 2023'!DU39</f>
        <v>0</v>
      </c>
      <c r="DS39" s="535"/>
      <c r="DT39" s="190">
        <f>'[1]March - 2023'!DW39</f>
        <v>0</v>
      </c>
      <c r="DU39" s="201">
        <f>'[1]March - 2023'!DX39</f>
        <v>0</v>
      </c>
      <c r="DV39" s="87">
        <f>'[1]March - 2023'!DY39</f>
        <v>0</v>
      </c>
      <c r="DW39" s="195">
        <f>'[1]March - 2023'!DZ39</f>
        <v>0</v>
      </c>
      <c r="DX39" s="87">
        <f>'[1]March - 2023'!EA39</f>
        <v>0</v>
      </c>
      <c r="DY39" s="195">
        <f>'[1]March - 2023'!EB39</f>
        <v>0</v>
      </c>
      <c r="DZ39" s="87">
        <f>'[1]March - 2023'!EC39</f>
        <v>0</v>
      </c>
      <c r="EA39" s="195">
        <f>'[1]March - 2023'!ED39</f>
        <v>0</v>
      </c>
      <c r="EB39" s="87">
        <f>'[1]March - 2023'!EE39</f>
        <v>0</v>
      </c>
      <c r="EC39" s="195">
        <f>'[1]March - 2023'!EF39</f>
        <v>0</v>
      </c>
      <c r="ED39" s="87">
        <f>'[1]March - 2023'!EI39</f>
        <v>0</v>
      </c>
      <c r="EE39" s="208">
        <f>'[1]March - 2023'!EJ39</f>
        <v>0</v>
      </c>
      <c r="EF39" s="584"/>
      <c r="EG39" s="214">
        <f>'[1]March - 2023'!EL39</f>
        <v>0</v>
      </c>
      <c r="EH39" s="209">
        <f>'[1]March - 2023'!EM39</f>
        <v>0</v>
      </c>
      <c r="EI39" s="86">
        <f>'[1]March - 2023'!EN39</f>
        <v>0</v>
      </c>
      <c r="EJ39" s="209">
        <f>'[1]March - 2023'!EO39</f>
        <v>0</v>
      </c>
      <c r="EK39" s="86">
        <f>'[1]March - 2023'!EP39</f>
        <v>0</v>
      </c>
      <c r="EL39" s="209">
        <f>'[1]March - 2023'!EQ39</f>
        <v>0</v>
      </c>
      <c r="EM39" s="86">
        <f>'[1]March - 2023'!ER39</f>
        <v>0</v>
      </c>
      <c r="EN39" s="209">
        <f>'[1]March - 2023'!ES39</f>
        <v>0</v>
      </c>
      <c r="EO39" s="86">
        <f>'[1]March - 2023'!ET39</f>
        <v>0</v>
      </c>
      <c r="EP39" s="209">
        <f>'[1]March - 2023'!EU39</f>
        <v>0</v>
      </c>
      <c r="EQ39" s="86">
        <f>'[1]March - 2023'!EV39</f>
        <v>0</v>
      </c>
      <c r="ER39" s="209">
        <f>'[1]March - 2023'!EW39</f>
        <v>0</v>
      </c>
      <c r="ES39" s="562"/>
      <c r="ET39" s="256">
        <f>'[1]March - 2023'!EY39</f>
        <v>0</v>
      </c>
      <c r="EU39" s="253">
        <f>'[1]March - 2023'!EZ39</f>
        <v>0</v>
      </c>
      <c r="EV39" s="257">
        <f>'[1]March - 2023'!FA39</f>
        <v>0</v>
      </c>
      <c r="EW39" s="253">
        <f>'[1]March - 2023'!FB39</f>
        <v>0</v>
      </c>
      <c r="EX39" s="257">
        <f>'[1]March - 2023'!FC39</f>
        <v>0</v>
      </c>
      <c r="EY39" s="253">
        <f>'[1]March - 2023'!FD39</f>
        <v>0</v>
      </c>
      <c r="EZ39" s="257">
        <f>'[1]March - 2023'!FE39</f>
        <v>0</v>
      </c>
      <c r="FA39" s="253">
        <f>'[1]March - 2023'!FF39</f>
        <v>0</v>
      </c>
      <c r="FB39" s="257">
        <f>'[1]March - 2023'!FG39</f>
        <v>0</v>
      </c>
      <c r="FC39" s="254">
        <f>'[1]March - 2023'!FH39</f>
        <v>0</v>
      </c>
      <c r="FD39" s="562"/>
      <c r="FE39" s="256">
        <f>'[1]March - 2023'!$FN39</f>
        <v>0</v>
      </c>
      <c r="FF39" s="271">
        <f t="shared" si="0"/>
        <v>0</v>
      </c>
      <c r="FG39" s="270">
        <f>'[1]March - 2023'!$FP39</f>
        <v>0</v>
      </c>
      <c r="FH39" s="271">
        <f t="shared" si="0"/>
        <v>0</v>
      </c>
      <c r="FI39" s="275">
        <f>'[1]March - 2023'!$FR39</f>
        <v>0</v>
      </c>
      <c r="FJ39" s="271">
        <f t="shared" si="0"/>
        <v>0</v>
      </c>
      <c r="FK39" s="275">
        <f>'[1]March - 2023'!$FT39</f>
        <v>0</v>
      </c>
      <c r="FL39" s="271">
        <f t="shared" si="0"/>
        <v>0</v>
      </c>
      <c r="FM39" s="275">
        <f>'[1]March - 2023'!$FV39</f>
        <v>0</v>
      </c>
      <c r="FN39" s="271">
        <f t="shared" si="0"/>
        <v>0</v>
      </c>
      <c r="FO39" s="257">
        <f>'[1]March - 2023'!$FJ39</f>
        <v>0</v>
      </c>
      <c r="FP39" s="271">
        <f t="shared" si="2"/>
        <v>0</v>
      </c>
      <c r="FQ39" s="257">
        <f>'[1]March - 2023'!$FL39</f>
        <v>0</v>
      </c>
      <c r="FR39" s="253">
        <f t="shared" si="1"/>
        <v>0</v>
      </c>
    </row>
    <row r="40" spans="1:175" ht="30" customHeight="1" thickBot="1" x14ac:dyDescent="0.45">
      <c r="A40" s="187">
        <v>44651</v>
      </c>
      <c r="B40" s="266">
        <f>'[1]March - 2023'!B40</f>
        <v>0</v>
      </c>
      <c r="C40" s="229">
        <f>'[1]March - 2023'!E40</f>
        <v>0</v>
      </c>
      <c r="D40" s="152">
        <f>'[1]March - 2023'!F40</f>
        <v>0</v>
      </c>
      <c r="E40" s="150">
        <f>'[1]March - 2023'!G40</f>
        <v>774</v>
      </c>
      <c r="F40" s="150">
        <f>'[1]March - 2023'!H40</f>
        <v>0</v>
      </c>
      <c r="G40" s="152">
        <f>'[1]March - 2023'!I40</f>
        <v>0</v>
      </c>
      <c r="H40" s="150">
        <f>'[1]March - 2023'!J40</f>
        <v>444</v>
      </c>
      <c r="I40" s="150">
        <f>'[1]March - 2023'!K40</f>
        <v>0</v>
      </c>
      <c r="J40" s="152">
        <f>'[1]March - 2023'!L40</f>
        <v>0</v>
      </c>
      <c r="K40" s="150">
        <f>'[1]March - 2023'!N40</f>
        <v>0</v>
      </c>
      <c r="L40" s="152">
        <f>'[1]March - 2023'!O40</f>
        <v>0</v>
      </c>
      <c r="M40" s="150">
        <f>'[1]March - 2023'!Q40</f>
        <v>0</v>
      </c>
      <c r="N40" s="152">
        <f>'[1]March - 2023'!R40</f>
        <v>0</v>
      </c>
      <c r="O40" s="150">
        <f>'[1]March - 2023'!U40</f>
        <v>0</v>
      </c>
      <c r="P40" s="152">
        <f>'[1]March - 2023'!V40</f>
        <v>0</v>
      </c>
      <c r="Q40" s="150">
        <f>'[1]March - 2023'!W40</f>
        <v>4.9329999999999998</v>
      </c>
      <c r="R40" s="150">
        <f>'[1]March - 2023'!X40</f>
        <v>0</v>
      </c>
      <c r="S40" s="188">
        <f>'[1]March - 2023'!Y40</f>
        <v>0</v>
      </c>
      <c r="T40" s="259"/>
      <c r="U40" s="262">
        <f>'[1]March - 2023'!AE40</f>
        <v>0</v>
      </c>
      <c r="V40" s="263">
        <f>'[1]March - 2023'!AF40</f>
        <v>0</v>
      </c>
      <c r="W40" s="264">
        <f>'[1]March - 2023'!AF40</f>
        <v>0</v>
      </c>
      <c r="X40" s="265">
        <f>'[1]March - 2023'!AH40</f>
        <v>0</v>
      </c>
      <c r="Y40" s="263">
        <f>'[1]March - 2023'!AI40</f>
        <v>0</v>
      </c>
      <c r="Z40" s="264">
        <f>'[1]March - 2023'!AI40</f>
        <v>0</v>
      </c>
      <c r="AA40" s="265">
        <f>'[1]March - 2023'!AK40</f>
        <v>0</v>
      </c>
      <c r="AB40" s="263">
        <f>'[1]March - 2023'!AL40</f>
        <v>0</v>
      </c>
      <c r="AC40" s="264">
        <f>'[1]March - 2023'!AL40</f>
        <v>0</v>
      </c>
      <c r="AD40" s="265">
        <f>'[1]March - 2023'!AN40</f>
        <v>0</v>
      </c>
      <c r="AE40" s="263">
        <f>'[1]March - 2023'!AO40</f>
        <v>0</v>
      </c>
      <c r="AF40" s="264">
        <f>'[1]March - 2023'!AO40</f>
        <v>0</v>
      </c>
      <c r="AG40" s="265">
        <f>'[1]March - 2023'!AQ40</f>
        <v>0</v>
      </c>
      <c r="AH40" s="263">
        <f>'[1]March - 2023'!AR40</f>
        <v>0</v>
      </c>
      <c r="AI40" s="264">
        <f>'[1]March - 2023'!AR40</f>
        <v>0</v>
      </c>
      <c r="AJ40" s="265">
        <f>'[1]March - 2023'!AT40</f>
        <v>0</v>
      </c>
      <c r="AK40" s="263">
        <f>'[1]March - 2023'!AU40</f>
        <v>0</v>
      </c>
      <c r="AL40" s="264">
        <f>'[1]March - 2023'!AU40</f>
        <v>0</v>
      </c>
      <c r="AM40" s="265">
        <f>'[1]March - 2023'!AW40</f>
        <v>0</v>
      </c>
      <c r="AN40" s="263">
        <f>'[1]March - 2023'!AX40</f>
        <v>0</v>
      </c>
      <c r="AO40" s="264">
        <f>'[1]March - 2023'!AX40</f>
        <v>0</v>
      </c>
      <c r="AP40" s="265">
        <f>'[1]March - 2023'!AZ40</f>
        <v>0</v>
      </c>
      <c r="AQ40" s="263">
        <f>'[1]March - 2023'!BA40</f>
        <v>0</v>
      </c>
      <c r="AR40" s="264">
        <f>'[1]March - 2023'!BA40</f>
        <v>0</v>
      </c>
      <c r="AS40" s="265">
        <f>'[1]March - 2023'!BC40</f>
        <v>0</v>
      </c>
      <c r="AT40" s="263">
        <f>'[1]March - 2023'!BD40</f>
        <v>0</v>
      </c>
      <c r="AU40" s="264">
        <f>'[1]March - 2023'!BD40</f>
        <v>0</v>
      </c>
      <c r="AV40" s="265">
        <f>'[1]March - 2023'!BF40</f>
        <v>0</v>
      </c>
      <c r="AW40" s="230">
        <f>'[1]March - 2023'!BG40</f>
        <v>0</v>
      </c>
      <c r="AX40" s="231">
        <f>'[1]March - 2023'!BG40</f>
        <v>0</v>
      </c>
      <c r="AY40" s="260"/>
      <c r="AZ40" s="250">
        <f>'[1]March - 2023'!BM40</f>
        <v>0</v>
      </c>
      <c r="BA40" s="161">
        <f>'[1]March - 2023'!BN40</f>
        <v>0</v>
      </c>
      <c r="BB40" s="89">
        <f>'[1]March - 2023'!BN40</f>
        <v>0</v>
      </c>
      <c r="BC40" s="250">
        <f>'[1]March - 2023'!BP40</f>
        <v>0</v>
      </c>
      <c r="BD40" s="224">
        <f>'[1]March - 2023'!BQ40</f>
        <v>0</v>
      </c>
      <c r="BE40" s="89">
        <f>'[1]March - 2023'!BQ40</f>
        <v>0</v>
      </c>
      <c r="BF40" s="250">
        <f>'[1]March - 2023'!BS40</f>
        <v>0</v>
      </c>
      <c r="BG40" s="224">
        <f>'[1]March - 2023'!BT40</f>
        <v>0</v>
      </c>
      <c r="BH40" s="89">
        <f>'[1]March - 2023'!BT40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51">
        <f>'[1]March - 2023'!BV40</f>
        <v>0</v>
      </c>
      <c r="BT40" s="166">
        <f>'[1]March - 2023'!BW40</f>
        <v>0</v>
      </c>
      <c r="BU40" s="261"/>
      <c r="BV40" s="84">
        <f>'[1]March - 2023'!BY40</f>
        <v>0</v>
      </c>
      <c r="BW40" s="220">
        <f>'[1]March - 2023'!BZ40</f>
        <v>0</v>
      </c>
      <c r="BX40" s="84">
        <f>'[1]March - 2023'!BZ40</f>
        <v>0</v>
      </c>
      <c r="BY40" s="85">
        <f>'[1]March - 2023'!CB40</f>
        <v>0</v>
      </c>
      <c r="BZ40" s="172">
        <f>'[1]March - 2023'!CC40</f>
        <v>0</v>
      </c>
      <c r="CA40" s="85">
        <f>'[1]March - 2023'!CD40</f>
        <v>0</v>
      </c>
      <c r="CB40" s="172">
        <f>'[1]March - 2023'!CE40</f>
        <v>0</v>
      </c>
      <c r="CC40" s="85">
        <f>'[1]March - 2023'!CF40</f>
        <v>0</v>
      </c>
      <c r="CD40" s="172">
        <f>'[1]March - 2023'!CG40</f>
        <v>0</v>
      </c>
      <c r="CE40" s="85">
        <f>'[1]March - 2023'!CH40</f>
        <v>0</v>
      </c>
      <c r="CF40" s="172">
        <f>'[1]March - 2023'!CI40</f>
        <v>0</v>
      </c>
      <c r="CG40" s="85">
        <f>'[1]March - 2023'!CJ40</f>
        <v>0</v>
      </c>
      <c r="CH40" s="172">
        <f>'[1]March - 2023'!CK40</f>
        <v>0</v>
      </c>
      <c r="CI40" s="85">
        <f>'[1]March - 2023'!CL40</f>
        <v>0</v>
      </c>
      <c r="CJ40" s="172">
        <f>'[1]March - 2023'!CM40</f>
        <v>0</v>
      </c>
      <c r="CK40" s="85">
        <f>'[1]March - 2023'!CN40</f>
        <v>0</v>
      </c>
      <c r="CL40" s="225">
        <f>'[1]March - 2023'!CO40</f>
        <v>0</v>
      </c>
      <c r="CM40" s="85">
        <f>'[1]March - 2023'!CO40</f>
        <v>0</v>
      </c>
      <c r="CN40" s="85">
        <f>'[1]March - 2023'!CQ40</f>
        <v>0</v>
      </c>
      <c r="CO40" s="225">
        <f>'[1]March - 2023'!CR40</f>
        <v>0</v>
      </c>
      <c r="CP40" s="85">
        <f>'[1]March - 2023'!CR40</f>
        <v>0</v>
      </c>
      <c r="CQ40" s="85">
        <f>'[1]March - 2023'!CT40</f>
        <v>0</v>
      </c>
      <c r="CR40" s="225">
        <f>'[1]March - 2023'!CU40</f>
        <v>0</v>
      </c>
      <c r="CS40" s="85">
        <f>'[1]March - 2023'!CU40</f>
        <v>0</v>
      </c>
      <c r="CT40" s="85">
        <f>'[1]March - 2023'!CW40</f>
        <v>0</v>
      </c>
      <c r="CU40" s="172">
        <f>'[1]March - 2023'!CX40</f>
        <v>0</v>
      </c>
      <c r="CV40" s="519"/>
      <c r="CW40" s="234">
        <f>'[1]March - 2023'!CZ40</f>
        <v>0</v>
      </c>
      <c r="CX40" s="179">
        <f>'[1]March - 2023'!DA40</f>
        <v>0</v>
      </c>
      <c r="CY40" s="235">
        <f>'[1]March - 2023'!DB40</f>
        <v>0</v>
      </c>
      <c r="CZ40" s="179">
        <f>'[1]March - 2023'!DC40</f>
        <v>0</v>
      </c>
      <c r="DA40" s="235">
        <f>'[1]March - 2023'!DD40</f>
        <v>0</v>
      </c>
      <c r="DB40" s="179">
        <f>'[1]March - 2023'!DE40</f>
        <v>0</v>
      </c>
      <c r="DC40" s="235">
        <f>'[1]March - 2023'!DF40</f>
        <v>0</v>
      </c>
      <c r="DD40" s="179">
        <f>'[1]March - 2023'!DG40</f>
        <v>0</v>
      </c>
      <c r="DE40" s="235">
        <f>'[1]March - 2023'!DH40</f>
        <v>0</v>
      </c>
      <c r="DF40" s="179">
        <f>'[1]March - 2023'!DI40</f>
        <v>0</v>
      </c>
      <c r="DG40" s="235">
        <f>'[1]March - 2023'!DJ40</f>
        <v>0</v>
      </c>
      <c r="DH40" s="179">
        <f>'[1]March - 2023'!DK40</f>
        <v>0</v>
      </c>
      <c r="DI40" s="235">
        <f>'[1]March - 2023'!DL40</f>
        <v>0</v>
      </c>
      <c r="DJ40" s="179">
        <f>'[1]March - 2023'!DM40</f>
        <v>0</v>
      </c>
      <c r="DK40" s="235">
        <f>'[1]March - 2023'!DN40</f>
        <v>0</v>
      </c>
      <c r="DL40" s="179">
        <f>'[1]March - 2023'!DO40</f>
        <v>0</v>
      </c>
      <c r="DM40" s="235">
        <f>'[1]March - 2023'!DP40</f>
        <v>0</v>
      </c>
      <c r="DN40" s="179">
        <f>'[1]March - 2023'!DQ40</f>
        <v>0</v>
      </c>
      <c r="DO40" s="235">
        <f>'[1]March - 2023'!DR40</f>
        <v>0</v>
      </c>
      <c r="DP40" s="179">
        <f>'[1]March - 2023'!DS40</f>
        <v>0</v>
      </c>
      <c r="DQ40" s="235">
        <f>'[1]March - 2023'!DT40</f>
        <v>0</v>
      </c>
      <c r="DR40" s="186">
        <f>'[1]March - 2023'!DU40</f>
        <v>0</v>
      </c>
      <c r="DS40" s="535"/>
      <c r="DT40" s="190">
        <f>'[1]March - 2023'!DW40</f>
        <v>0</v>
      </c>
      <c r="DU40" s="201">
        <f>'[1]March - 2023'!DX40</f>
        <v>0</v>
      </c>
      <c r="DV40" s="87">
        <f>'[1]March - 2023'!DY40</f>
        <v>0</v>
      </c>
      <c r="DW40" s="195">
        <f>'[1]March - 2023'!DZ40</f>
        <v>0</v>
      </c>
      <c r="DX40" s="87">
        <f>'[1]March - 2023'!EA40</f>
        <v>0</v>
      </c>
      <c r="DY40" s="195">
        <f>'[1]March - 2023'!EB40</f>
        <v>0</v>
      </c>
      <c r="DZ40" s="87">
        <f>'[1]March - 2023'!EC40</f>
        <v>0</v>
      </c>
      <c r="EA40" s="195">
        <f>'[1]March - 2023'!ED40</f>
        <v>0</v>
      </c>
      <c r="EB40" s="87">
        <f>'[1]March - 2023'!EE40</f>
        <v>0</v>
      </c>
      <c r="EC40" s="195">
        <f>'[1]March - 2023'!EF40</f>
        <v>0</v>
      </c>
      <c r="ED40" s="87">
        <f>'[1]March - 2023'!EI40</f>
        <v>0</v>
      </c>
      <c r="EE40" s="208">
        <f>'[1]March - 2023'!EJ40</f>
        <v>0</v>
      </c>
      <c r="EF40" s="584"/>
      <c r="EG40" s="214">
        <f>'[1]March - 2023'!EL40</f>
        <v>0</v>
      </c>
      <c r="EH40" s="209">
        <f>'[1]March - 2023'!EM40</f>
        <v>0</v>
      </c>
      <c r="EI40" s="86">
        <f>'[1]March - 2023'!EN40</f>
        <v>0</v>
      </c>
      <c r="EJ40" s="209">
        <f>'[1]March - 2023'!EO40</f>
        <v>0</v>
      </c>
      <c r="EK40" s="86">
        <f>'[1]March - 2023'!EP40</f>
        <v>0</v>
      </c>
      <c r="EL40" s="209">
        <f>'[1]March - 2023'!EQ40</f>
        <v>0</v>
      </c>
      <c r="EM40" s="86">
        <f>'[1]March - 2023'!ER40</f>
        <v>0</v>
      </c>
      <c r="EN40" s="209">
        <f>'[1]March - 2023'!ES40</f>
        <v>0</v>
      </c>
      <c r="EO40" s="86">
        <f>'[1]March - 2023'!ET40</f>
        <v>0</v>
      </c>
      <c r="EP40" s="209">
        <f>'[1]March - 2023'!EU40</f>
        <v>0</v>
      </c>
      <c r="EQ40" s="86">
        <f>'[1]March - 2023'!EV40</f>
        <v>0</v>
      </c>
      <c r="ER40" s="209">
        <f>'[1]March - 2023'!EW40</f>
        <v>0</v>
      </c>
      <c r="ES40" s="563"/>
      <c r="ET40" s="256">
        <f>'[1]March - 2023'!EY40</f>
        <v>0</v>
      </c>
      <c r="EU40" s="253">
        <f>'[1]March - 2023'!EZ40</f>
        <v>0</v>
      </c>
      <c r="EV40" s="257">
        <f>'[1]March - 2023'!FA40</f>
        <v>0</v>
      </c>
      <c r="EW40" s="253">
        <f>'[1]March - 2023'!FB40</f>
        <v>0</v>
      </c>
      <c r="EX40" s="257">
        <f>'[1]March - 2023'!FC40</f>
        <v>0</v>
      </c>
      <c r="EY40" s="253">
        <f>'[1]March - 2023'!FD40</f>
        <v>0</v>
      </c>
      <c r="EZ40" s="257">
        <f>'[1]March - 2023'!FE40</f>
        <v>0</v>
      </c>
      <c r="FA40" s="253">
        <f>'[1]March - 2023'!FF40</f>
        <v>0</v>
      </c>
      <c r="FB40" s="257">
        <f>'[1]March - 2023'!FG40</f>
        <v>0</v>
      </c>
      <c r="FC40" s="254">
        <f>'[1]March - 2023'!FH40</f>
        <v>0</v>
      </c>
      <c r="FD40" s="563"/>
      <c r="FE40" s="256">
        <f>'[1]March - 2023'!$FN40</f>
        <v>0</v>
      </c>
      <c r="FF40" s="271">
        <f t="shared" si="0"/>
        <v>0</v>
      </c>
      <c r="FG40" s="270">
        <f>'[1]March - 2023'!$FP40</f>
        <v>0</v>
      </c>
      <c r="FH40" s="271">
        <f t="shared" si="0"/>
        <v>0</v>
      </c>
      <c r="FI40" s="275">
        <f>'[1]March - 2023'!$FR40</f>
        <v>0</v>
      </c>
      <c r="FJ40" s="271">
        <f t="shared" si="0"/>
        <v>0</v>
      </c>
      <c r="FK40" s="275">
        <f>'[1]March - 2023'!$FT40</f>
        <v>0</v>
      </c>
      <c r="FL40" s="271">
        <f t="shared" si="0"/>
        <v>0</v>
      </c>
      <c r="FM40" s="275">
        <f>'[1]March - 2023'!$FV40</f>
        <v>0</v>
      </c>
      <c r="FN40" s="271">
        <f t="shared" si="0"/>
        <v>0</v>
      </c>
      <c r="FO40" s="257">
        <f>'[1]March - 2023'!$FJ40</f>
        <v>0</v>
      </c>
      <c r="FP40" s="271">
        <f t="shared" si="2"/>
        <v>0</v>
      </c>
      <c r="FQ40" s="257">
        <f>'[1]March - 2023'!$FL40</f>
        <v>0</v>
      </c>
      <c r="FR40" s="253">
        <f t="shared" si="1"/>
        <v>0</v>
      </c>
    </row>
    <row r="41" spans="1:175" s="29" customFormat="1" ht="14.25" customHeight="1" thickBot="1" x14ac:dyDescent="0.35">
      <c r="A41" s="424"/>
      <c r="B41" s="425"/>
      <c r="C41" s="425"/>
      <c r="D41" s="425"/>
      <c r="E41" s="425"/>
      <c r="F41" s="425"/>
      <c r="G41" s="425"/>
      <c r="H41" s="425"/>
      <c r="I41" s="425"/>
      <c r="J41" s="425"/>
      <c r="K41" s="425"/>
      <c r="L41" s="425"/>
      <c r="M41" s="425"/>
      <c r="N41" s="425"/>
      <c r="O41" s="425"/>
      <c r="P41" s="425"/>
      <c r="Q41" s="425"/>
      <c r="R41" s="425"/>
      <c r="S41" s="425"/>
      <c r="T41" s="426"/>
      <c r="U41" s="425"/>
      <c r="V41" s="425"/>
      <c r="W41" s="425"/>
      <c r="X41" s="425"/>
      <c r="Y41" s="425"/>
      <c r="Z41" s="425"/>
      <c r="AA41" s="425"/>
      <c r="AB41" s="425"/>
      <c r="AC41" s="425"/>
      <c r="AD41" s="425"/>
      <c r="AE41" s="425"/>
      <c r="AF41" s="425"/>
      <c r="AG41" s="425"/>
      <c r="AH41" s="425"/>
      <c r="AI41" s="425"/>
      <c r="AJ41" s="425"/>
      <c r="AK41" s="425"/>
      <c r="AL41" s="425"/>
      <c r="AM41" s="425"/>
      <c r="AN41" s="425"/>
      <c r="AO41" s="425"/>
      <c r="AP41" s="425"/>
      <c r="AQ41" s="425"/>
      <c r="AR41" s="425"/>
      <c r="AS41" s="425"/>
      <c r="AT41" s="425"/>
      <c r="AU41" s="425"/>
      <c r="AV41" s="425"/>
      <c r="AW41" s="425"/>
      <c r="AX41" s="425"/>
      <c r="AY41" s="427"/>
      <c r="AZ41" s="425"/>
      <c r="BA41" s="425"/>
      <c r="BB41" s="425"/>
      <c r="BC41" s="425"/>
      <c r="BD41" s="425"/>
      <c r="BE41" s="425"/>
      <c r="BF41" s="425"/>
      <c r="BG41" s="425"/>
      <c r="BH41" s="425"/>
      <c r="BI41" s="425"/>
      <c r="BJ41" s="425"/>
      <c r="BK41" s="425"/>
      <c r="BL41" s="425"/>
      <c r="BM41" s="425"/>
      <c r="BN41" s="425"/>
      <c r="BO41" s="425"/>
      <c r="BP41" s="425"/>
      <c r="BQ41" s="425"/>
      <c r="BR41" s="425"/>
      <c r="BS41" s="425"/>
      <c r="BT41" s="425"/>
      <c r="BU41" s="428"/>
      <c r="BV41" s="425"/>
      <c r="BW41" s="425"/>
      <c r="BX41" s="425"/>
      <c r="BY41" s="425"/>
      <c r="BZ41" s="425"/>
      <c r="CA41" s="425"/>
      <c r="CB41" s="425"/>
      <c r="CC41" s="425"/>
      <c r="CD41" s="425"/>
      <c r="CE41" s="425"/>
      <c r="CF41" s="425"/>
      <c r="CG41" s="425"/>
      <c r="CH41" s="425"/>
      <c r="CI41" s="425"/>
      <c r="CJ41" s="425"/>
      <c r="CK41" s="425"/>
      <c r="CL41" s="425"/>
      <c r="CM41" s="425"/>
      <c r="CN41" s="425"/>
      <c r="CO41" s="425"/>
      <c r="CP41" s="425"/>
      <c r="CQ41" s="425"/>
      <c r="CR41" s="425"/>
      <c r="CS41" s="425"/>
      <c r="CT41" s="425"/>
      <c r="CU41" s="425"/>
      <c r="CV41" s="519"/>
      <c r="CW41" s="521"/>
      <c r="CX41" s="521"/>
      <c r="CY41" s="521"/>
      <c r="CZ41" s="521"/>
      <c r="DA41" s="521"/>
      <c r="DB41" s="521"/>
      <c r="DC41" s="521"/>
      <c r="DD41" s="521"/>
      <c r="DE41" s="521"/>
      <c r="DF41" s="521"/>
      <c r="DG41" s="521"/>
      <c r="DH41" s="521"/>
      <c r="DI41" s="521"/>
      <c r="DJ41" s="521"/>
      <c r="DK41" s="521"/>
      <c r="DL41" s="521"/>
      <c r="DM41" s="521"/>
      <c r="DN41" s="521"/>
      <c r="DO41" s="521"/>
      <c r="DP41" s="521"/>
      <c r="DQ41" s="521"/>
      <c r="DR41" s="522"/>
      <c r="DS41" s="536"/>
      <c r="DT41" s="537"/>
      <c r="DU41" s="538"/>
      <c r="DV41" s="538"/>
      <c r="DW41" s="538"/>
      <c r="DX41" s="538"/>
      <c r="DY41" s="538"/>
      <c r="DZ41" s="538"/>
      <c r="EA41" s="538"/>
      <c r="EB41" s="538"/>
      <c r="EC41" s="538"/>
      <c r="ED41" s="538"/>
      <c r="EE41" s="539"/>
      <c r="EF41" s="585"/>
      <c r="EG41" s="566"/>
      <c r="EH41" s="566"/>
      <c r="EI41" s="566"/>
      <c r="EJ41" s="566"/>
      <c r="EK41" s="566"/>
      <c r="EL41" s="566"/>
      <c r="EM41" s="566"/>
      <c r="EN41" s="566"/>
      <c r="EO41" s="566"/>
      <c r="EP41" s="566"/>
      <c r="EQ41" s="566"/>
      <c r="ER41" s="566"/>
      <c r="ES41" s="563"/>
      <c r="ET41" s="567"/>
      <c r="EU41" s="567"/>
      <c r="EV41" s="567"/>
      <c r="EW41" s="567"/>
      <c r="EX41" s="567"/>
      <c r="EY41" s="567"/>
      <c r="EZ41" s="567"/>
      <c r="FA41" s="567"/>
      <c r="FB41" s="567"/>
      <c r="FC41" s="567"/>
      <c r="FD41" s="563"/>
      <c r="FE41" s="28"/>
      <c r="FS41" s="28"/>
    </row>
    <row r="42" spans="1:175" ht="28.5" customHeight="1" thickBot="1" x14ac:dyDescent="0.35">
      <c r="A42" s="441" t="s">
        <v>181</v>
      </c>
      <c r="B42" s="442"/>
      <c r="C42" s="442"/>
      <c r="D42" s="442"/>
      <c r="E42" s="442"/>
      <c r="F42" s="442"/>
      <c r="G42" s="442"/>
      <c r="H42" s="442"/>
      <c r="I42" s="442"/>
      <c r="J42" s="442"/>
      <c r="K42" s="442"/>
      <c r="L42" s="442"/>
      <c r="M42" s="442"/>
      <c r="N42" s="442"/>
      <c r="O42" s="442"/>
      <c r="P42" s="442"/>
      <c r="Q42" s="442"/>
      <c r="R42" s="442"/>
      <c r="S42" s="443"/>
      <c r="T42" s="444"/>
      <c r="U42" s="447" t="s">
        <v>182</v>
      </c>
      <c r="V42" s="447"/>
      <c r="W42" s="447"/>
      <c r="X42" s="447"/>
      <c r="Y42" s="447"/>
      <c r="Z42" s="447"/>
      <c r="AA42" s="447"/>
      <c r="AB42" s="447"/>
      <c r="AC42" s="447"/>
      <c r="AD42" s="447"/>
      <c r="AE42" s="447"/>
      <c r="AF42" s="447"/>
      <c r="AG42" s="447"/>
      <c r="AH42" s="447"/>
      <c r="AI42" s="447"/>
      <c r="AJ42" s="447"/>
      <c r="AK42" s="447"/>
      <c r="AL42" s="447"/>
      <c r="AM42" s="447"/>
      <c r="AN42" s="447"/>
      <c r="AO42" s="447"/>
      <c r="AP42" s="447"/>
      <c r="AQ42" s="447"/>
      <c r="AR42" s="447"/>
      <c r="AS42" s="447"/>
      <c r="AT42" s="447"/>
      <c r="AU42" s="447"/>
      <c r="AV42" s="447"/>
      <c r="AW42" s="447"/>
      <c r="AX42" s="447"/>
      <c r="AY42" s="448"/>
      <c r="AZ42" s="449" t="s">
        <v>183</v>
      </c>
      <c r="BA42" s="450"/>
      <c r="BB42" s="450"/>
      <c r="BC42" s="450"/>
      <c r="BD42" s="450"/>
      <c r="BE42" s="450"/>
      <c r="BF42" s="450"/>
      <c r="BG42" s="450"/>
      <c r="BH42" s="451"/>
      <c r="BI42" s="415"/>
      <c r="BJ42" s="416"/>
      <c r="BK42" s="416"/>
      <c r="BL42" s="416"/>
      <c r="BM42" s="416"/>
      <c r="BN42" s="416"/>
      <c r="BO42" s="416"/>
      <c r="BP42" s="416"/>
      <c r="BQ42" s="416"/>
      <c r="BR42" s="417"/>
      <c r="BS42" s="418" t="s">
        <v>184</v>
      </c>
      <c r="BT42" s="419"/>
      <c r="BU42" s="30"/>
      <c r="BV42" s="578" t="s">
        <v>84</v>
      </c>
      <c r="BW42" s="579"/>
      <c r="BX42" s="579"/>
      <c r="BY42" s="579"/>
      <c r="BZ42" s="579"/>
      <c r="CA42" s="579"/>
      <c r="CB42" s="579"/>
      <c r="CC42" s="579"/>
      <c r="CD42" s="579"/>
      <c r="CE42" s="579"/>
      <c r="CF42" s="579"/>
      <c r="CG42" s="579"/>
      <c r="CH42" s="579"/>
      <c r="CI42" s="579"/>
      <c r="CJ42" s="579"/>
      <c r="CK42" s="579"/>
      <c r="CL42" s="579"/>
      <c r="CM42" s="579"/>
      <c r="CN42" s="579"/>
      <c r="CO42" s="579"/>
      <c r="CP42" s="579"/>
      <c r="CQ42" s="579"/>
      <c r="CR42" s="579"/>
      <c r="CS42" s="579"/>
      <c r="CT42" s="579"/>
      <c r="CU42" s="580"/>
      <c r="CV42" s="519"/>
      <c r="CW42" s="420"/>
      <c r="CX42" s="421"/>
      <c r="CY42" s="421"/>
      <c r="CZ42" s="421"/>
      <c r="DA42" s="421"/>
      <c r="DB42" s="421"/>
      <c r="DC42" s="421"/>
      <c r="DD42" s="421"/>
      <c r="DE42" s="421"/>
      <c r="DF42" s="421"/>
      <c r="DG42" s="421"/>
      <c r="DH42" s="421"/>
      <c r="DI42" s="421"/>
      <c r="DJ42" s="421"/>
      <c r="DK42" s="421"/>
      <c r="DL42" s="421"/>
      <c r="DM42" s="421"/>
      <c r="DN42" s="421"/>
      <c r="DO42" s="421"/>
      <c r="DP42" s="421"/>
      <c r="DQ42" s="421"/>
      <c r="DR42" s="422"/>
      <c r="DS42" s="536"/>
      <c r="DT42" s="9"/>
      <c r="DU42" s="161" t="s">
        <v>185</v>
      </c>
      <c r="DV42" s="9"/>
      <c r="DW42" s="196"/>
      <c r="DX42" s="9"/>
      <c r="DY42" s="161"/>
      <c r="DZ42" s="9"/>
      <c r="EA42" s="161"/>
      <c r="EB42" s="9"/>
      <c r="EC42" s="205"/>
      <c r="ED42" s="10"/>
      <c r="EE42" s="205"/>
      <c r="EF42" s="585"/>
      <c r="EG42" s="255"/>
      <c r="EH42" s="172"/>
      <c r="EI42" s="255"/>
      <c r="EJ42" s="210"/>
      <c r="EK42" s="85"/>
      <c r="EL42" s="172"/>
      <c r="EM42" s="255"/>
      <c r="EN42" s="172"/>
      <c r="EO42" s="255"/>
      <c r="EP42" s="172"/>
      <c r="EQ42" s="85"/>
      <c r="ER42" s="172"/>
      <c r="ES42" s="563"/>
      <c r="ET42" s="11"/>
      <c r="EU42" s="211"/>
      <c r="EV42" s="12"/>
      <c r="EW42" s="211"/>
      <c r="EX42" s="12"/>
      <c r="EY42" s="213"/>
      <c r="EZ42" s="12"/>
      <c r="FA42" s="211"/>
      <c r="FB42" s="90"/>
      <c r="FC42" s="212"/>
      <c r="FD42" s="563"/>
      <c r="FE42" s="11"/>
      <c r="FF42" s="211"/>
      <c r="FG42" s="211"/>
      <c r="FH42" s="211"/>
      <c r="FI42" s="211"/>
      <c r="FJ42" s="211"/>
      <c r="FK42" s="211"/>
      <c r="FL42" s="211"/>
      <c r="FM42" s="211"/>
      <c r="FN42" s="211"/>
      <c r="FO42" s="12"/>
      <c r="FP42" s="211"/>
      <c r="FQ42" s="12"/>
      <c r="FR42" s="211"/>
    </row>
    <row r="43" spans="1:175" ht="34.5" customHeight="1" thickBot="1" x14ac:dyDescent="0.35">
      <c r="A43" s="423" t="s">
        <v>186</v>
      </c>
      <c r="B43" s="423"/>
      <c r="C43" s="393" t="s">
        <v>187</v>
      </c>
      <c r="D43" s="393"/>
      <c r="E43" s="394"/>
      <c r="F43" s="392" t="s">
        <v>188</v>
      </c>
      <c r="G43" s="393"/>
      <c r="H43" s="394"/>
      <c r="I43" s="414" t="s">
        <v>189</v>
      </c>
      <c r="J43" s="414"/>
      <c r="K43" s="414" t="s">
        <v>190</v>
      </c>
      <c r="L43" s="414"/>
      <c r="M43" s="414"/>
      <c r="N43" s="414"/>
      <c r="O43" s="392" t="s">
        <v>191</v>
      </c>
      <c r="P43" s="393"/>
      <c r="Q43" s="393"/>
      <c r="R43" s="393"/>
      <c r="S43" s="393"/>
      <c r="T43" s="445"/>
      <c r="U43" s="392" t="s">
        <v>192</v>
      </c>
      <c r="V43" s="393"/>
      <c r="W43" s="394"/>
      <c r="X43" s="392" t="s">
        <v>193</v>
      </c>
      <c r="Y43" s="393"/>
      <c r="Z43" s="394"/>
      <c r="AA43" s="392" t="s">
        <v>194</v>
      </c>
      <c r="AB43" s="393"/>
      <c r="AC43" s="394"/>
      <c r="AD43" s="392" t="s">
        <v>195</v>
      </c>
      <c r="AE43" s="393"/>
      <c r="AF43" s="394"/>
      <c r="AG43" s="392" t="s">
        <v>196</v>
      </c>
      <c r="AH43" s="393"/>
      <c r="AI43" s="394"/>
      <c r="AJ43" s="392" t="s">
        <v>197</v>
      </c>
      <c r="AK43" s="393"/>
      <c r="AL43" s="394"/>
      <c r="AM43" s="392" t="s">
        <v>198</v>
      </c>
      <c r="AN43" s="393"/>
      <c r="AO43" s="394"/>
      <c r="AP43" s="392" t="s">
        <v>199</v>
      </c>
      <c r="AQ43" s="393"/>
      <c r="AR43" s="394"/>
      <c r="AS43" s="392" t="s">
        <v>200</v>
      </c>
      <c r="AT43" s="393"/>
      <c r="AU43" s="394"/>
      <c r="AV43" s="392" t="s">
        <v>201</v>
      </c>
      <c r="AW43" s="393"/>
      <c r="AX43" s="393"/>
      <c r="AY43" s="407"/>
      <c r="AZ43" s="581" t="s">
        <v>202</v>
      </c>
      <c r="BA43" s="582"/>
      <c r="BB43" s="582"/>
      <c r="BC43" s="582" t="s">
        <v>203</v>
      </c>
      <c r="BD43" s="582"/>
      <c r="BE43" s="582"/>
      <c r="BF43" s="582" t="s">
        <v>204</v>
      </c>
      <c r="BG43" s="582"/>
      <c r="BH43" s="582"/>
      <c r="BI43" s="294"/>
      <c r="BJ43" s="295"/>
      <c r="BK43" s="294"/>
      <c r="BL43" s="295"/>
      <c r="BM43" s="294"/>
      <c r="BN43" s="295"/>
      <c r="BO43" s="294"/>
      <c r="BP43" s="295"/>
      <c r="BQ43" s="294"/>
      <c r="BR43" s="295"/>
      <c r="BS43" s="294" t="s">
        <v>205</v>
      </c>
      <c r="BT43" s="295"/>
      <c r="BU43" s="379"/>
      <c r="BV43" s="380" t="s">
        <v>118</v>
      </c>
      <c r="BW43" s="381"/>
      <c r="BX43" s="91"/>
      <c r="BY43" s="382" t="s">
        <v>119</v>
      </c>
      <c r="BZ43" s="382"/>
      <c r="CA43" s="292" t="s">
        <v>120</v>
      </c>
      <c r="CB43" s="293"/>
      <c r="CC43" s="292" t="s">
        <v>121</v>
      </c>
      <c r="CD43" s="293"/>
      <c r="CE43" s="292" t="s">
        <v>122</v>
      </c>
      <c r="CF43" s="293"/>
      <c r="CG43" s="292" t="s">
        <v>123</v>
      </c>
      <c r="CH43" s="293"/>
      <c r="CI43" s="292" t="s">
        <v>124</v>
      </c>
      <c r="CJ43" s="293"/>
      <c r="CK43" s="342" t="s">
        <v>125</v>
      </c>
      <c r="CL43" s="343"/>
      <c r="CM43" s="344"/>
      <c r="CN43" s="385" t="s">
        <v>126</v>
      </c>
      <c r="CO43" s="386"/>
      <c r="CP43" s="387"/>
      <c r="CQ43" s="342" t="s">
        <v>206</v>
      </c>
      <c r="CR43" s="343"/>
      <c r="CS43" s="344"/>
      <c r="CT43" s="356" t="s">
        <v>207</v>
      </c>
      <c r="CU43" s="357"/>
      <c r="CV43" s="519"/>
      <c r="CW43" s="13"/>
      <c r="CX43" s="180"/>
      <c r="CY43" s="14"/>
      <c r="CZ43" s="180"/>
      <c r="DA43" s="14"/>
      <c r="DB43" s="180"/>
      <c r="DC43" s="14"/>
      <c r="DD43" s="180"/>
      <c r="DE43" s="14"/>
      <c r="DF43" s="180"/>
      <c r="DG43" s="14"/>
      <c r="DH43" s="180"/>
      <c r="DI43" s="14"/>
      <c r="DJ43" s="183"/>
      <c r="DK43" s="15"/>
      <c r="DL43" s="183"/>
      <c r="DM43" s="15"/>
      <c r="DN43" s="183"/>
      <c r="DO43" s="15"/>
      <c r="DP43" s="183"/>
      <c r="DQ43" s="15"/>
      <c r="DR43" s="183"/>
      <c r="DS43" s="536"/>
      <c r="DT43" s="9"/>
      <c r="DU43" s="161"/>
      <c r="DV43" s="9"/>
      <c r="DW43" s="196"/>
      <c r="DX43" s="9"/>
      <c r="DY43" s="161"/>
      <c r="DZ43" s="9"/>
      <c r="EA43" s="161"/>
      <c r="EB43" s="9"/>
      <c r="EC43" s="205"/>
      <c r="ED43" s="10"/>
      <c r="EE43" s="205"/>
      <c r="EF43" s="585"/>
      <c r="EG43" s="255"/>
      <c r="EH43" s="172"/>
      <c r="EI43" s="255"/>
      <c r="EJ43" s="210"/>
      <c r="EK43" s="85"/>
      <c r="EL43" s="172"/>
      <c r="EM43" s="255"/>
      <c r="EN43" s="172"/>
      <c r="EO43" s="255"/>
      <c r="EP43" s="172"/>
      <c r="EQ43" s="85"/>
      <c r="ER43" s="172"/>
      <c r="ES43" s="563"/>
      <c r="ET43" s="16"/>
      <c r="EU43" s="212"/>
      <c r="EV43" s="90"/>
      <c r="EW43" s="212"/>
      <c r="EX43" s="90"/>
      <c r="EY43" s="212"/>
      <c r="EZ43" s="90"/>
      <c r="FA43" s="212"/>
      <c r="FB43" s="90"/>
      <c r="FC43" s="212"/>
      <c r="FD43" s="563"/>
      <c r="FE43" s="16"/>
      <c r="FF43" s="212"/>
      <c r="FG43" s="212"/>
      <c r="FH43" s="212"/>
      <c r="FI43" s="212"/>
      <c r="FJ43" s="212"/>
      <c r="FK43" s="212"/>
      <c r="FL43" s="212"/>
      <c r="FM43" s="212"/>
      <c r="FN43" s="212"/>
      <c r="FO43" s="90"/>
      <c r="FP43" s="212"/>
      <c r="FQ43" s="90"/>
      <c r="FR43" s="212"/>
    </row>
    <row r="44" spans="1:175" ht="40.5" customHeight="1" x14ac:dyDescent="0.25">
      <c r="A44" s="429" t="s">
        <v>208</v>
      </c>
      <c r="B44" s="429"/>
      <c r="C44" s="430">
        <f>SUM(E9:E24)</f>
        <v>10267</v>
      </c>
      <c r="D44" s="431"/>
      <c r="E44" s="432"/>
      <c r="F44" s="433">
        <f>SUM(H9:H24)</f>
        <v>6875</v>
      </c>
      <c r="G44" s="434"/>
      <c r="H44" s="435"/>
      <c r="I44" s="433"/>
      <c r="J44" s="435"/>
      <c r="K44" s="436"/>
      <c r="L44" s="437"/>
      <c r="M44" s="438"/>
      <c r="N44" s="438"/>
      <c r="O44" s="433">
        <f>SUM(Q9:Q24)</f>
        <v>39.691000000000003</v>
      </c>
      <c r="P44" s="434"/>
      <c r="Q44" s="435"/>
      <c r="R44" s="439"/>
      <c r="S44" s="440"/>
      <c r="T44" s="445"/>
      <c r="U44" s="372">
        <f>SUM(W9:W24)</f>
        <v>39073.44000000041</v>
      </c>
      <c r="V44" s="373"/>
      <c r="W44" s="401"/>
      <c r="X44" s="372">
        <f>SUM(Z9:Z24)</f>
        <v>69474.719999998808</v>
      </c>
      <c r="Y44" s="373"/>
      <c r="Z44" s="401"/>
      <c r="AA44" s="372">
        <f>SUM(AC9:AC24)</f>
        <v>66307.919999999925</v>
      </c>
      <c r="AB44" s="373"/>
      <c r="AC44" s="401"/>
      <c r="AD44" s="372">
        <f>SUM(AF9:AF24)</f>
        <v>60266.640000000596</v>
      </c>
      <c r="AE44" s="373"/>
      <c r="AF44" s="401"/>
      <c r="AG44" s="372">
        <f>SUM(AI9:AI24)</f>
        <v>42045.359999999404</v>
      </c>
      <c r="AH44" s="373"/>
      <c r="AI44" s="401"/>
      <c r="AJ44" s="372">
        <f>SUM(AL9:AL24)</f>
        <v>82531.679999999702</v>
      </c>
      <c r="AK44" s="373"/>
      <c r="AL44" s="401"/>
      <c r="AM44" s="372">
        <f>SUM(AO9:AO24)</f>
        <v>59097.359999999404</v>
      </c>
      <c r="AN44" s="373"/>
      <c r="AO44" s="401"/>
      <c r="AP44" s="372">
        <f>SUM(AR9:AR24)</f>
        <v>66015.599999999627</v>
      </c>
      <c r="AQ44" s="373"/>
      <c r="AR44" s="401"/>
      <c r="AS44" s="372">
        <f>SUM(AU9:AU24)</f>
        <v>44968.560000000522</v>
      </c>
      <c r="AT44" s="373"/>
      <c r="AU44" s="401"/>
      <c r="AV44" s="372">
        <f>SUM(AX9:AX24)</f>
        <v>83944.560000002384</v>
      </c>
      <c r="AW44" s="373"/>
      <c r="AX44" s="373"/>
      <c r="AY44" s="407"/>
      <c r="AZ44" s="373">
        <f>SUM(BB9:BB24)</f>
        <v>376600</v>
      </c>
      <c r="BA44" s="373"/>
      <c r="BB44" s="373"/>
      <c r="BC44" s="372">
        <f>SUM(BE9:BE24)</f>
        <v>299500</v>
      </c>
      <c r="BD44" s="373"/>
      <c r="BE44" s="373"/>
      <c r="BF44" s="288">
        <f>SUM(BH9:BH24)</f>
        <v>183400</v>
      </c>
      <c r="BG44" s="288"/>
      <c r="BH44" s="288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7"/>
      <c r="BU44" s="379"/>
      <c r="BV44" s="221"/>
      <c r="BW44" s="91"/>
      <c r="BX44" s="94"/>
      <c r="BY44" s="95"/>
      <c r="BZ44" s="173"/>
      <c r="CA44" s="95"/>
      <c r="CB44" s="173"/>
      <c r="CC44" s="95"/>
      <c r="CD44" s="173"/>
      <c r="CE44" s="95"/>
      <c r="CF44" s="173"/>
      <c r="CG44" s="95"/>
      <c r="CH44" s="173"/>
      <c r="CI44" s="95"/>
      <c r="CJ44" s="173"/>
      <c r="CK44" s="288">
        <f>SUM(CM9:CM24)</f>
        <v>1213</v>
      </c>
      <c r="CL44" s="288"/>
      <c r="CM44" s="288"/>
      <c r="CN44" s="288">
        <f>SUM(CP9:CP24)</f>
        <v>1673</v>
      </c>
      <c r="CO44" s="288"/>
      <c r="CP44" s="288"/>
      <c r="CQ44" s="288">
        <f>SUM(CS9:CS24)</f>
        <v>2275</v>
      </c>
      <c r="CR44" s="288"/>
      <c r="CS44" s="288"/>
      <c r="CT44" s="96"/>
      <c r="CU44" s="177"/>
      <c r="CV44" s="519"/>
      <c r="CW44" s="97"/>
      <c r="CX44" s="181"/>
      <c r="CY44" s="98"/>
      <c r="CZ44" s="181"/>
      <c r="DA44" s="98"/>
      <c r="DB44" s="181"/>
      <c r="DC44" s="98"/>
      <c r="DD44" s="181"/>
      <c r="DE44" s="98"/>
      <c r="DF44" s="181"/>
      <c r="DG44" s="98"/>
      <c r="DH44" s="181"/>
      <c r="DI44" s="98"/>
      <c r="DJ44" s="184"/>
      <c r="DK44" s="99"/>
      <c r="DL44" s="184"/>
      <c r="DM44" s="99"/>
      <c r="DN44" s="184"/>
      <c r="DO44" s="99"/>
      <c r="DP44" s="184"/>
      <c r="DQ44" s="99"/>
      <c r="DR44" s="184"/>
      <c r="DS44" s="536"/>
      <c r="DT44" s="17"/>
      <c r="DU44" s="202"/>
      <c r="DV44" s="17"/>
      <c r="DW44" s="197"/>
      <c r="DX44" s="17"/>
      <c r="DY44" s="202"/>
      <c r="DZ44" s="17"/>
      <c r="EA44" s="202"/>
      <c r="EB44" s="17"/>
      <c r="EC44" s="206"/>
      <c r="ED44" s="18"/>
      <c r="EE44" s="206"/>
      <c r="EF44" s="585"/>
      <c r="EG44" s="255"/>
      <c r="EH44" s="172"/>
      <c r="EI44" s="255"/>
      <c r="EJ44" s="210"/>
      <c r="EK44" s="85"/>
      <c r="EL44" s="172"/>
      <c r="EM44" s="255"/>
      <c r="EN44" s="172"/>
      <c r="EO44" s="255"/>
      <c r="EP44" s="172"/>
      <c r="EQ44" s="85"/>
      <c r="ER44" s="172"/>
      <c r="ES44" s="563"/>
      <c r="ET44" s="16"/>
      <c r="EU44" s="212"/>
      <c r="EV44" s="90"/>
      <c r="EW44" s="212"/>
      <c r="EX44" s="90"/>
      <c r="EY44" s="212"/>
      <c r="EZ44" s="90"/>
      <c r="FA44" s="212"/>
      <c r="FB44" s="90"/>
      <c r="FC44" s="212"/>
      <c r="FD44" s="563"/>
      <c r="FE44" s="16"/>
      <c r="FF44" s="212"/>
      <c r="FG44" s="212"/>
      <c r="FH44" s="212"/>
      <c r="FI44" s="212"/>
      <c r="FJ44" s="212"/>
      <c r="FK44" s="212"/>
      <c r="FL44" s="212"/>
      <c r="FM44" s="212"/>
      <c r="FN44" s="212"/>
      <c r="FO44" s="90"/>
      <c r="FP44" s="212"/>
      <c r="FQ44" s="90"/>
      <c r="FR44" s="212"/>
    </row>
    <row r="45" spans="1:175" ht="39" customHeight="1" x14ac:dyDescent="0.3">
      <c r="A45" s="413" t="s">
        <v>208</v>
      </c>
      <c r="B45" s="413"/>
      <c r="C45" s="403">
        <f>SUM(D9:D24)</f>
        <v>9679</v>
      </c>
      <c r="D45" s="403"/>
      <c r="E45" s="404"/>
      <c r="F45" s="403">
        <f>SUM(G9:G24)</f>
        <v>7221</v>
      </c>
      <c r="G45" s="403"/>
      <c r="H45" s="404"/>
      <c r="I45" s="402"/>
      <c r="J45" s="402"/>
      <c r="K45" s="402"/>
      <c r="L45" s="402"/>
      <c r="M45" s="402"/>
      <c r="N45" s="402"/>
      <c r="O45" s="403">
        <f>SUM(P9:P24)</f>
        <v>1653</v>
      </c>
      <c r="P45" s="403"/>
      <c r="Q45" s="404"/>
      <c r="R45" s="405"/>
      <c r="S45" s="406"/>
      <c r="T45" s="446"/>
      <c r="U45" s="367">
        <f>SUM(V9:V24)</f>
        <v>39073.44000000041</v>
      </c>
      <c r="V45" s="367"/>
      <c r="W45" s="368"/>
      <c r="X45" s="367">
        <f>SUM(Y9:Y24)</f>
        <v>69474.719999998808</v>
      </c>
      <c r="Y45" s="367"/>
      <c r="Z45" s="368"/>
      <c r="AA45" s="367">
        <f>SUM(AB9:AB24)</f>
        <v>66307.919999999925</v>
      </c>
      <c r="AB45" s="367"/>
      <c r="AC45" s="368"/>
      <c r="AD45" s="367">
        <f>SUM(AE9:AE24)</f>
        <v>60266.640000000596</v>
      </c>
      <c r="AE45" s="367"/>
      <c r="AF45" s="368"/>
      <c r="AG45" s="367">
        <f>SUM(AH9:AH24)</f>
        <v>42045.359999999404</v>
      </c>
      <c r="AH45" s="367"/>
      <c r="AI45" s="368"/>
      <c r="AJ45" s="367">
        <f>SUM(AK9:AK24)</f>
        <v>82531.679999999702</v>
      </c>
      <c r="AK45" s="367"/>
      <c r="AL45" s="368"/>
      <c r="AM45" s="367">
        <f>SUM(AN9:AN24)</f>
        <v>59097.359999999404</v>
      </c>
      <c r="AN45" s="367"/>
      <c r="AO45" s="368"/>
      <c r="AP45" s="367">
        <f>SUM(AQ9:AQ24)</f>
        <v>66015.599999999627</v>
      </c>
      <c r="AQ45" s="367"/>
      <c r="AR45" s="368"/>
      <c r="AS45" s="367">
        <f>SUM(AT9:AT24)</f>
        <v>44968.560000000522</v>
      </c>
      <c r="AT45" s="367"/>
      <c r="AU45" s="368"/>
      <c r="AV45" s="367">
        <f>SUM(AW9:AW24)</f>
        <v>83944.560000002384</v>
      </c>
      <c r="AW45" s="367"/>
      <c r="AX45" s="367"/>
      <c r="AY45" s="407"/>
      <c r="AZ45" s="368">
        <f>SUM(BA9:BA24)</f>
        <v>376600</v>
      </c>
      <c r="BA45" s="288"/>
      <c r="BB45" s="288"/>
      <c r="BC45" s="288">
        <f>SUM(BD9:BD24)</f>
        <v>299500</v>
      </c>
      <c r="BD45" s="288"/>
      <c r="BE45" s="288"/>
      <c r="BF45" s="288">
        <f>SUM(BG9:BG24)</f>
        <v>183400</v>
      </c>
      <c r="BG45" s="288"/>
      <c r="BH45" s="288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7"/>
      <c r="BU45" s="379"/>
      <c r="BV45" s="221"/>
      <c r="BW45" s="91"/>
      <c r="BX45" s="94"/>
      <c r="BY45" s="100"/>
      <c r="BZ45" s="174"/>
      <c r="CA45" s="100"/>
      <c r="CB45" s="174"/>
      <c r="CC45" s="100"/>
      <c r="CD45" s="174"/>
      <c r="CE45" s="100"/>
      <c r="CF45" s="174"/>
      <c r="CG45" s="100"/>
      <c r="CH45" s="174"/>
      <c r="CI45" s="100"/>
      <c r="CJ45" s="174"/>
      <c r="CK45" s="288">
        <f>SUM(CL9:CL24)</f>
        <v>1213</v>
      </c>
      <c r="CL45" s="288"/>
      <c r="CM45" s="288"/>
      <c r="CN45" s="288">
        <f>SUM(CO9:CO24)</f>
        <v>1673</v>
      </c>
      <c r="CO45" s="288"/>
      <c r="CP45" s="288"/>
      <c r="CQ45" s="288">
        <f>SUM(CR9:CR24)</f>
        <v>2275</v>
      </c>
      <c r="CR45" s="288"/>
      <c r="CS45" s="288"/>
      <c r="CT45" s="101"/>
      <c r="CU45" s="178"/>
      <c r="CV45" s="519"/>
      <c r="CW45" s="102"/>
      <c r="CX45" s="182"/>
      <c r="CY45" s="103"/>
      <c r="CZ45" s="182"/>
      <c r="DA45" s="90"/>
      <c r="DB45" s="182"/>
      <c r="DC45" s="103"/>
      <c r="DD45" s="182"/>
      <c r="DE45" s="90"/>
      <c r="DF45" s="182"/>
      <c r="DG45" s="103"/>
      <c r="DH45" s="182"/>
      <c r="DI45" s="90"/>
      <c r="DJ45" s="185"/>
      <c r="DK45" s="104"/>
      <c r="DL45" s="19"/>
      <c r="DM45" s="105"/>
      <c r="DN45" s="19"/>
      <c r="DO45" s="105"/>
      <c r="DP45" s="19"/>
      <c r="DQ45" s="105"/>
      <c r="DR45" s="19"/>
      <c r="DS45" s="536"/>
      <c r="DT45" s="552" t="s">
        <v>209</v>
      </c>
      <c r="DU45" s="553"/>
      <c r="DV45" s="553"/>
      <c r="DW45" s="553"/>
      <c r="DX45" s="553"/>
      <c r="DY45" s="553"/>
      <c r="DZ45" s="553"/>
      <c r="EA45" s="553"/>
      <c r="EB45" s="553"/>
      <c r="EC45" s="553"/>
      <c r="ED45" s="553"/>
      <c r="EE45" s="553"/>
      <c r="EF45" s="553"/>
      <c r="EG45" s="553"/>
      <c r="EH45" s="553"/>
      <c r="EI45" s="553"/>
      <c r="EJ45" s="554"/>
      <c r="EK45" s="287"/>
      <c r="EL45" s="287"/>
      <c r="EM45" s="287"/>
      <c r="EN45" s="287"/>
      <c r="EO45" s="287"/>
      <c r="EP45" s="287"/>
      <c r="EQ45" s="287"/>
      <c r="ER45" s="287"/>
      <c r="ES45" s="19"/>
      <c r="ET45" s="20"/>
      <c r="EU45" s="212"/>
      <c r="EV45" s="90"/>
      <c r="EW45" s="212"/>
      <c r="EX45" s="90"/>
      <c r="EY45" s="212"/>
      <c r="EZ45" s="90"/>
      <c r="FA45" s="212"/>
      <c r="FB45" s="90"/>
      <c r="FC45" s="212"/>
      <c r="FD45" s="19"/>
      <c r="FE45" s="20"/>
      <c r="FF45" s="212"/>
      <c r="FG45" s="212"/>
      <c r="FH45" s="212"/>
      <c r="FI45" s="212"/>
      <c r="FJ45" s="212"/>
      <c r="FK45" s="212"/>
      <c r="FL45" s="212"/>
      <c r="FM45" s="212"/>
      <c r="FN45" s="212"/>
      <c r="FO45" s="90"/>
      <c r="FP45" s="212"/>
      <c r="FQ45" s="90"/>
      <c r="FR45" s="212"/>
    </row>
    <row r="46" spans="1:175" ht="24" customHeight="1" x14ac:dyDescent="0.25">
      <c r="A46" s="31" t="s">
        <v>210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407"/>
      <c r="AZ46" s="377">
        <f>AZ44-AZ45</f>
        <v>0</v>
      </c>
      <c r="BA46" s="378"/>
      <c r="BB46" s="378"/>
      <c r="BC46" s="377">
        <f>BC45-BC44</f>
        <v>0</v>
      </c>
      <c r="BD46" s="378"/>
      <c r="BE46" s="378"/>
      <c r="BF46" s="377">
        <f>BF45-BF44</f>
        <v>0</v>
      </c>
      <c r="BG46" s="378"/>
      <c r="BH46" s="378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8"/>
      <c r="BU46" s="379"/>
      <c r="BV46" s="383"/>
      <c r="BW46" s="383"/>
      <c r="BX46" s="383"/>
      <c r="BY46" s="383"/>
      <c r="BZ46" s="383"/>
      <c r="CA46" s="383"/>
      <c r="CB46" s="383"/>
      <c r="CC46" s="383"/>
      <c r="CD46" s="383"/>
      <c r="CE46" s="383"/>
      <c r="CF46" s="383"/>
      <c r="CG46" s="383"/>
      <c r="CH46" s="383"/>
      <c r="CI46" s="383"/>
      <c r="CJ46" s="383"/>
      <c r="CK46" s="383"/>
      <c r="CL46" s="383"/>
      <c r="CM46" s="383"/>
      <c r="CN46" s="383"/>
      <c r="CO46" s="383"/>
      <c r="CP46" s="383"/>
      <c r="CQ46" s="383"/>
      <c r="CR46" s="383"/>
      <c r="CS46" s="383"/>
      <c r="CT46" s="383"/>
      <c r="CU46" s="384"/>
      <c r="CV46" s="519"/>
    </row>
    <row r="47" spans="1:175" ht="33.75" customHeight="1" x14ac:dyDescent="0.25">
      <c r="A47" s="358" t="s">
        <v>211</v>
      </c>
      <c r="B47" s="358"/>
      <c r="C47" s="359">
        <f>SUM(E9:E39)</f>
        <v>21664</v>
      </c>
      <c r="D47" s="360"/>
      <c r="E47" s="361"/>
      <c r="F47" s="359">
        <f>SUM(H9:H39)</f>
        <v>14071</v>
      </c>
      <c r="G47" s="360"/>
      <c r="H47" s="361"/>
      <c r="I47" s="362">
        <v>7048.9</v>
      </c>
      <c r="J47" s="362"/>
      <c r="K47" s="362">
        <v>7702.2000000000116</v>
      </c>
      <c r="L47" s="362"/>
      <c r="M47" s="362"/>
      <c r="N47" s="362"/>
      <c r="O47" s="362">
        <f>SUM(Q9:Q39)</f>
        <v>109.67100000000002</v>
      </c>
      <c r="P47" s="362"/>
      <c r="Q47" s="362"/>
      <c r="R47" s="359">
        <v>476</v>
      </c>
      <c r="S47" s="360"/>
      <c r="T47" s="600"/>
      <c r="U47" s="366">
        <f>SUM(W9:W39)</f>
        <v>-8344420.5599999996</v>
      </c>
      <c r="V47" s="367"/>
      <c r="W47" s="368"/>
      <c r="X47" s="366">
        <f>SUM(Z9:Z39)</f>
        <v>-15846667.199999999</v>
      </c>
      <c r="Y47" s="367"/>
      <c r="Z47" s="368"/>
      <c r="AA47" s="366">
        <f>SUM(AC9:AC39)</f>
        <v>-15989319.360000001</v>
      </c>
      <c r="AB47" s="367"/>
      <c r="AC47" s="368"/>
      <c r="AD47" s="366">
        <f>SUM(AF9:AF39)</f>
        <v>-19147447.199999999</v>
      </c>
      <c r="AE47" s="367"/>
      <c r="AF47" s="368"/>
      <c r="AG47" s="366">
        <f>SUM(AI9:AI39)</f>
        <v>-19399914.239999998</v>
      </c>
      <c r="AH47" s="367"/>
      <c r="AI47" s="368"/>
      <c r="AJ47" s="366">
        <f>SUM(AL9:AL39)</f>
        <v>-18005304.239999998</v>
      </c>
      <c r="AK47" s="367"/>
      <c r="AL47" s="368"/>
      <c r="AM47" s="366">
        <f>SUM(AO9:AO39)</f>
        <v>-15118010.880000001</v>
      </c>
      <c r="AN47" s="367"/>
      <c r="AO47" s="368"/>
      <c r="AP47" s="366">
        <f>SUM(AR9:AR39)</f>
        <v>-14675535.84</v>
      </c>
      <c r="AQ47" s="367"/>
      <c r="AR47" s="368"/>
      <c r="AS47" s="366">
        <f>SUM(AU9:AU39)</f>
        <v>-11425570.799999999</v>
      </c>
      <c r="AT47" s="367"/>
      <c r="AU47" s="368"/>
      <c r="AV47" s="366">
        <f>SUM(AX9:AX39)</f>
        <v>-18159649.199999999</v>
      </c>
      <c r="AW47" s="367"/>
      <c r="AX47" s="367"/>
      <c r="AY47" s="407"/>
      <c r="AZ47" s="371">
        <v>347300</v>
      </c>
      <c r="BA47" s="371"/>
      <c r="BB47" s="348"/>
      <c r="BC47" s="347">
        <v>361100</v>
      </c>
      <c r="BD47" s="371"/>
      <c r="BE47" s="348"/>
      <c r="BF47" s="347">
        <v>558842</v>
      </c>
      <c r="BG47" s="371"/>
      <c r="BH47" s="348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374">
        <v>131110</v>
      </c>
      <c r="BT47" s="375"/>
      <c r="BU47" s="379"/>
      <c r="BV47" s="376"/>
      <c r="BW47" s="376"/>
      <c r="BX47" s="108"/>
      <c r="BY47" s="345">
        <v>718</v>
      </c>
      <c r="BZ47" s="346"/>
      <c r="CA47" s="345">
        <v>719</v>
      </c>
      <c r="CB47" s="346"/>
      <c r="CC47" s="345">
        <v>234</v>
      </c>
      <c r="CD47" s="346"/>
      <c r="CE47" s="345">
        <v>265</v>
      </c>
      <c r="CF47" s="346"/>
      <c r="CG47" s="345">
        <v>368</v>
      </c>
      <c r="CH47" s="346"/>
      <c r="CI47" s="345">
        <v>820</v>
      </c>
      <c r="CJ47" s="346"/>
      <c r="CK47" s="366">
        <f>SUM(CM9:CM39)</f>
        <v>-274245</v>
      </c>
      <c r="CL47" s="367"/>
      <c r="CM47" s="368"/>
      <c r="CN47" s="366">
        <f>SUM(CP9:CP39)</f>
        <v>-224360</v>
      </c>
      <c r="CO47" s="367"/>
      <c r="CP47" s="368"/>
      <c r="CQ47" s="366">
        <f>SUM(CS9:CS39)</f>
        <v>-376314</v>
      </c>
      <c r="CR47" s="367"/>
      <c r="CS47" s="368"/>
      <c r="CT47" s="389">
        <v>3894</v>
      </c>
      <c r="CU47" s="390"/>
      <c r="CV47" s="519"/>
      <c r="DJ47" s="4">
        <v>487.2</v>
      </c>
    </row>
    <row r="48" spans="1:175" ht="30" customHeight="1" x14ac:dyDescent="0.25">
      <c r="A48" s="604" t="s">
        <v>212</v>
      </c>
      <c r="B48" s="604"/>
      <c r="C48" s="359">
        <f>SUM(D10:D39)</f>
        <v>-260218</v>
      </c>
      <c r="D48" s="360"/>
      <c r="E48" s="361"/>
      <c r="F48" s="359">
        <f>SUM(G9:G39)</f>
        <v>-277903</v>
      </c>
      <c r="G48" s="360"/>
      <c r="H48" s="361"/>
      <c r="I48" s="359">
        <f>SUM(J10:J39)</f>
        <v>-22343</v>
      </c>
      <c r="J48" s="361"/>
      <c r="K48" s="359">
        <f>SUM(L9:L39)</f>
        <v>-936132</v>
      </c>
      <c r="L48" s="361"/>
      <c r="M48" s="359"/>
      <c r="N48" s="361"/>
      <c r="O48" s="359">
        <f>SUM(P9:P39)</f>
        <v>-122539</v>
      </c>
      <c r="P48" s="360"/>
      <c r="Q48" s="361"/>
      <c r="R48" s="359">
        <f>SUM(S9:S39)</f>
        <v>-6958</v>
      </c>
      <c r="S48" s="360"/>
      <c r="T48" s="600"/>
      <c r="U48" s="601">
        <f>SUM(V9:V39)</f>
        <v>-8344420.5599999996</v>
      </c>
      <c r="V48" s="602"/>
      <c r="W48" s="603"/>
      <c r="X48" s="601">
        <f>SUM(Y9:Y39)</f>
        <v>-15846667.199999999</v>
      </c>
      <c r="Y48" s="602"/>
      <c r="Z48" s="603"/>
      <c r="AA48" s="597">
        <f>SUM(AB9:AB39)</f>
        <v>-15989319.360000001</v>
      </c>
      <c r="AB48" s="598"/>
      <c r="AC48" s="599"/>
      <c r="AD48" s="597">
        <f>SUM(AE9:AE39)</f>
        <v>-19147447.199999999</v>
      </c>
      <c r="AE48" s="598"/>
      <c r="AF48" s="599"/>
      <c r="AG48" s="597">
        <f>SUM(AH9:AH39)</f>
        <v>-19399914.239999998</v>
      </c>
      <c r="AH48" s="598"/>
      <c r="AI48" s="599"/>
      <c r="AJ48" s="597">
        <f>SUM(AK9:AK39)</f>
        <v>-18005304.239999998</v>
      </c>
      <c r="AK48" s="598"/>
      <c r="AL48" s="599"/>
      <c r="AM48" s="597">
        <f>SUM(AN9:AN39)</f>
        <v>-15118010.880000001</v>
      </c>
      <c r="AN48" s="598"/>
      <c r="AO48" s="599"/>
      <c r="AP48" s="597">
        <f>SUM(AQ9:AQ39)</f>
        <v>-14675535.84</v>
      </c>
      <c r="AQ48" s="598"/>
      <c r="AR48" s="599"/>
      <c r="AS48" s="597">
        <f>SUM(AT9:AT39)</f>
        <v>-11425570.799999999</v>
      </c>
      <c r="AT48" s="598"/>
      <c r="AU48" s="599"/>
      <c r="AV48" s="597">
        <f>SUM(AW9:AW39)</f>
        <v>-18159649.199999999</v>
      </c>
      <c r="AW48" s="598"/>
      <c r="AX48" s="598"/>
      <c r="AY48" s="407"/>
      <c r="AZ48" s="371">
        <f>SUM(BA9:BA40)</f>
        <v>-78980400</v>
      </c>
      <c r="BA48" s="371"/>
      <c r="BB48" s="348"/>
      <c r="BC48" s="371">
        <f t="shared" ref="BC48" si="3">SUM(BD9:BD40)</f>
        <v>-81987800</v>
      </c>
      <c r="BD48" s="371"/>
      <c r="BE48" s="348"/>
      <c r="BF48" s="371">
        <f t="shared" ref="BF48" si="4">SUM(BG9:BG40)</f>
        <v>-75851600</v>
      </c>
      <c r="BG48" s="371"/>
      <c r="BH48" s="348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391">
        <f>SUM(BT9:BT39)</f>
        <v>-10777520</v>
      </c>
      <c r="BT48" s="391"/>
      <c r="BU48" s="379"/>
      <c r="BV48" s="395"/>
      <c r="BW48" s="396"/>
      <c r="BX48" s="111"/>
      <c r="BY48" s="345">
        <f>SUM(BZ9:BZ39)</f>
        <v>-65793</v>
      </c>
      <c r="BZ48" s="346"/>
      <c r="CA48" s="345">
        <f>SUM(CB9:CB39)</f>
        <v>-57015</v>
      </c>
      <c r="CB48" s="346"/>
      <c r="CC48" s="345">
        <f>SUM(CD9:CD39)</f>
        <v>-19252</v>
      </c>
      <c r="CD48" s="346"/>
      <c r="CE48" s="345">
        <f>SUM(CF9:CF39)</f>
        <v>-26376</v>
      </c>
      <c r="CF48" s="346"/>
      <c r="CG48" s="345">
        <f>SUM(CH9:CH39)</f>
        <v>-29678</v>
      </c>
      <c r="CH48" s="346"/>
      <c r="CI48" s="345">
        <f>SUM(CJ9:CJ39)</f>
        <v>-65373</v>
      </c>
      <c r="CJ48" s="346"/>
      <c r="CK48" s="345">
        <f>SUM(CL9:CL39)</f>
        <v>-274245</v>
      </c>
      <c r="CL48" s="397"/>
      <c r="CM48" s="346"/>
      <c r="CN48" s="345">
        <f>SUM(CO9:CO39)</f>
        <v>-224360</v>
      </c>
      <c r="CO48" s="397"/>
      <c r="CP48" s="346"/>
      <c r="CQ48" s="345">
        <f>SUM(CR9:CR39)</f>
        <v>-376314</v>
      </c>
      <c r="CR48" s="397"/>
      <c r="CS48" s="346"/>
      <c r="CT48" s="345">
        <f>SUM(CU9:CU39)</f>
        <v>-708909</v>
      </c>
      <c r="CU48" s="397"/>
      <c r="CV48" s="519"/>
    </row>
    <row r="49" spans="1:174" ht="30" customHeight="1" x14ac:dyDescent="0.25">
      <c r="A49" s="605" t="s">
        <v>210</v>
      </c>
      <c r="B49" s="605"/>
      <c r="C49" s="326">
        <f>C47-C48</f>
        <v>281882</v>
      </c>
      <c r="D49" s="370"/>
      <c r="E49" s="327"/>
      <c r="F49" s="326">
        <f>F47-F48</f>
        <v>291974</v>
      </c>
      <c r="G49" s="370"/>
      <c r="H49" s="327"/>
      <c r="I49" s="326">
        <f>I47-I48</f>
        <v>29391.9</v>
      </c>
      <c r="J49" s="327"/>
      <c r="K49" s="326">
        <f>K47-K48</f>
        <v>943834.2</v>
      </c>
      <c r="L49" s="327"/>
      <c r="M49" s="326"/>
      <c r="N49" s="327"/>
      <c r="O49" s="369">
        <f>O47-O48</f>
        <v>122648.671</v>
      </c>
      <c r="P49" s="369"/>
      <c r="Q49" s="369"/>
      <c r="R49" s="326">
        <f>R47-R48</f>
        <v>7434</v>
      </c>
      <c r="S49" s="370"/>
      <c r="T49" s="600"/>
      <c r="U49" s="408">
        <f>U48-U47</f>
        <v>0</v>
      </c>
      <c r="V49" s="409"/>
      <c r="W49" s="410"/>
      <c r="X49" s="408">
        <f>X47-X48</f>
        <v>0</v>
      </c>
      <c r="Y49" s="409"/>
      <c r="Z49" s="410"/>
      <c r="AA49" s="408">
        <f>AA47-AA48</f>
        <v>0</v>
      </c>
      <c r="AB49" s="409"/>
      <c r="AC49" s="410"/>
      <c r="AD49" s="408">
        <f>AD47-AD48</f>
        <v>0</v>
      </c>
      <c r="AE49" s="409"/>
      <c r="AF49" s="410"/>
      <c r="AG49" s="408">
        <f>AG47-AG48</f>
        <v>0</v>
      </c>
      <c r="AH49" s="409"/>
      <c r="AI49" s="410"/>
      <c r="AJ49" s="408">
        <f>AJ47-AJ48</f>
        <v>0</v>
      </c>
      <c r="AK49" s="409"/>
      <c r="AL49" s="410"/>
      <c r="AM49" s="408">
        <f>AM47-AM48</f>
        <v>0</v>
      </c>
      <c r="AN49" s="409"/>
      <c r="AO49" s="410"/>
      <c r="AP49" s="408">
        <f>AP47-AP48</f>
        <v>0</v>
      </c>
      <c r="AQ49" s="409"/>
      <c r="AR49" s="410"/>
      <c r="AS49" s="408">
        <f>AS47-AS48</f>
        <v>0</v>
      </c>
      <c r="AT49" s="409"/>
      <c r="AU49" s="410"/>
      <c r="AV49" s="408">
        <f>AV47-AV48</f>
        <v>0</v>
      </c>
      <c r="AW49" s="409"/>
      <c r="AX49" s="409"/>
      <c r="AY49" s="407"/>
      <c r="AZ49" s="371">
        <f>AZ48-AZ47</f>
        <v>-79327700</v>
      </c>
      <c r="BA49" s="371"/>
      <c r="BB49" s="348"/>
      <c r="BC49" s="371">
        <f t="shared" ref="BC49" si="5">BC48-BC47</f>
        <v>-82348900</v>
      </c>
      <c r="BD49" s="371"/>
      <c r="BE49" s="348"/>
      <c r="BF49" s="371">
        <f t="shared" ref="BF49" si="6">BF48-BF47</f>
        <v>-76410442</v>
      </c>
      <c r="BG49" s="371"/>
      <c r="BH49" s="348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47"/>
      <c r="BT49" s="348"/>
      <c r="BU49" s="379"/>
      <c r="BV49" s="349"/>
      <c r="BW49" s="350"/>
      <c r="BX49" s="112"/>
      <c r="BY49" s="113"/>
      <c r="BZ49" s="175"/>
      <c r="CA49" s="113"/>
      <c r="CB49" s="175"/>
      <c r="CC49" s="113"/>
      <c r="CD49" s="175"/>
      <c r="CE49" s="113"/>
      <c r="CF49" s="175"/>
      <c r="CG49" s="113"/>
      <c r="CH49" s="175"/>
      <c r="CI49" s="113"/>
      <c r="CJ49" s="175"/>
      <c r="CK49" s="351">
        <f>CK47-CK48</f>
        <v>0</v>
      </c>
      <c r="CL49" s="352"/>
      <c r="CM49" s="353"/>
      <c r="CN49" s="351">
        <f>CN47-CN48</f>
        <v>0</v>
      </c>
      <c r="CO49" s="352"/>
      <c r="CP49" s="353"/>
      <c r="CQ49" s="351">
        <f>CQ47-CQ48</f>
        <v>0</v>
      </c>
      <c r="CR49" s="352"/>
      <c r="CS49" s="353"/>
      <c r="CT49" s="606">
        <f>CT47-CT48</f>
        <v>712803</v>
      </c>
      <c r="CU49" s="351"/>
      <c r="CV49" s="519"/>
    </row>
    <row r="50" spans="1:174" ht="31.5" customHeight="1" thickBot="1" x14ac:dyDescent="0.3">
      <c r="A50" s="329" t="s">
        <v>213</v>
      </c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30" t="s">
        <v>214</v>
      </c>
      <c r="V50" s="331"/>
      <c r="W50" s="331"/>
      <c r="X50" s="331"/>
      <c r="Y50" s="331"/>
      <c r="Z50" s="332"/>
      <c r="AA50" s="305">
        <f>SUM(U47,X47,AA47,AD47,AG47,AJ47,AM47,AP47,AS47,AV47)</f>
        <v>-156111839.51999998</v>
      </c>
      <c r="AB50" s="306"/>
      <c r="AC50" s="306"/>
      <c r="AD50" s="306"/>
      <c r="AE50" s="306"/>
      <c r="AF50" s="307"/>
      <c r="AG50" s="333" t="s">
        <v>215</v>
      </c>
      <c r="AH50" s="334"/>
      <c r="AI50" s="334"/>
      <c r="AJ50" s="334"/>
      <c r="AK50" s="334"/>
      <c r="AL50" s="335"/>
      <c r="AM50" s="336">
        <f>SUM(U48,X48,AA48,AD48,AG48,AJ48,AM48,AP48,AS48,AV48)</f>
        <v>-156111839.51999998</v>
      </c>
      <c r="AN50" s="337"/>
      <c r="AO50" s="337"/>
      <c r="AP50" s="337"/>
      <c r="AQ50" s="337"/>
      <c r="AR50" s="338"/>
      <c r="AS50" s="312" t="s">
        <v>216</v>
      </c>
      <c r="AT50" s="313"/>
      <c r="AU50" s="314"/>
      <c r="AV50" s="312">
        <f>AA50-AM50</f>
        <v>0</v>
      </c>
      <c r="AW50" s="313"/>
      <c r="AX50" s="313"/>
      <c r="AY50" s="407"/>
      <c r="AZ50" s="398">
        <v>44577</v>
      </c>
      <c r="BA50" s="399"/>
      <c r="BB50" s="400"/>
      <c r="BC50" s="398">
        <v>44942</v>
      </c>
      <c r="BD50" s="399"/>
      <c r="BE50" s="400"/>
      <c r="BF50" s="315" t="s">
        <v>210</v>
      </c>
      <c r="BG50" s="316"/>
      <c r="BH50" s="317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354"/>
      <c r="BT50" s="355"/>
      <c r="BU50" s="379"/>
      <c r="BV50" s="349"/>
      <c r="BW50" s="350"/>
      <c r="BX50" s="112"/>
      <c r="BY50" s="113"/>
      <c r="BZ50" s="175"/>
      <c r="CA50" s="113"/>
      <c r="CB50" s="175"/>
      <c r="CC50" s="113"/>
      <c r="CD50" s="175"/>
      <c r="CE50" s="113"/>
      <c r="CF50" s="175"/>
      <c r="CG50" s="113"/>
      <c r="CH50" s="175"/>
      <c r="CI50" s="113"/>
      <c r="CJ50" s="175"/>
      <c r="CK50" s="349"/>
      <c r="CL50" s="388"/>
      <c r="CM50" s="350"/>
      <c r="CN50" s="349"/>
      <c r="CO50" s="388"/>
      <c r="CP50" s="350"/>
      <c r="CQ50" s="349"/>
      <c r="CR50" s="388"/>
      <c r="CS50" s="350"/>
      <c r="CT50" s="531"/>
      <c r="CU50" s="349"/>
      <c r="CV50" s="520"/>
    </row>
    <row r="51" spans="1:174" ht="27.75" customHeight="1" x14ac:dyDescent="0.3">
      <c r="A51" s="412"/>
      <c r="B51" s="412"/>
      <c r="C51" s="412"/>
      <c r="D51" s="412"/>
      <c r="E51" s="412"/>
      <c r="F51" s="412"/>
      <c r="G51" s="412"/>
      <c r="H51" s="412"/>
      <c r="I51" s="412"/>
      <c r="J51" s="412"/>
      <c r="K51" s="412"/>
      <c r="L51" s="412"/>
      <c r="M51" s="412"/>
      <c r="N51" s="412"/>
      <c r="O51" s="412"/>
      <c r="P51" s="412"/>
      <c r="Q51" s="412"/>
      <c r="R51" s="412"/>
      <c r="S51" s="412"/>
      <c r="T51" s="34"/>
      <c r="U51" s="302" t="s">
        <v>217</v>
      </c>
      <c r="V51" s="303"/>
      <c r="W51" s="303"/>
      <c r="X51" s="303"/>
      <c r="Y51" s="303"/>
      <c r="Z51" s="304"/>
      <c r="AA51" s="305">
        <f>SUM(U44:AX44)</f>
        <v>613725.84000000078</v>
      </c>
      <c r="AB51" s="306"/>
      <c r="AC51" s="306"/>
      <c r="AD51" s="306"/>
      <c r="AE51" s="306"/>
      <c r="AF51" s="307"/>
      <c r="AG51" s="308" t="s">
        <v>218</v>
      </c>
      <c r="AH51" s="309"/>
      <c r="AI51" s="309"/>
      <c r="AJ51" s="309"/>
      <c r="AK51" s="309"/>
      <c r="AL51" s="310"/>
      <c r="AM51" s="311">
        <f>SUM(U45:AX45)</f>
        <v>613725.84000000078</v>
      </c>
      <c r="AN51" s="311"/>
      <c r="AO51" s="311"/>
      <c r="AP51" s="311"/>
      <c r="AQ51" s="311"/>
      <c r="AR51" s="311"/>
      <c r="AS51" s="312" t="s">
        <v>216</v>
      </c>
      <c r="AT51" s="313"/>
      <c r="AU51" s="314"/>
      <c r="AV51" s="312">
        <f>AA51-AM51</f>
        <v>0</v>
      </c>
      <c r="AW51" s="313"/>
      <c r="AX51" s="314"/>
      <c r="AY51" s="407"/>
      <c r="AZ51" s="315">
        <f>SUM(AZ47,BC47,BF47)</f>
        <v>1267242</v>
      </c>
      <c r="BA51" s="316"/>
      <c r="BB51" s="317"/>
      <c r="BC51" s="315">
        <f>SUM(AZ48:BG48)</f>
        <v>-236819800</v>
      </c>
      <c r="BD51" s="316"/>
      <c r="BE51" s="317"/>
      <c r="BF51" s="315">
        <v>643100</v>
      </c>
      <c r="BG51" s="316"/>
      <c r="BH51" s="316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354"/>
      <c r="BT51" s="355"/>
      <c r="BU51" s="379"/>
      <c r="BV51" s="222"/>
      <c r="BW51" s="35"/>
      <c r="BX51" s="35"/>
      <c r="BY51" s="116"/>
      <c r="BZ51" s="170"/>
      <c r="CA51" s="116"/>
      <c r="CB51" s="170"/>
      <c r="CC51" s="116"/>
      <c r="CD51" s="170"/>
      <c r="CE51" s="116"/>
      <c r="CF51" s="170"/>
      <c r="CG51" s="116"/>
      <c r="CH51" s="170"/>
      <c r="CI51" s="116"/>
      <c r="CJ51" s="170"/>
      <c r="CK51" s="116"/>
      <c r="CL51" s="170"/>
      <c r="CM51" s="35"/>
      <c r="CN51" s="116"/>
      <c r="CO51" s="170"/>
      <c r="CP51" s="35"/>
      <c r="CQ51" s="1"/>
      <c r="CR51" s="170"/>
      <c r="CS51" s="35"/>
      <c r="CT51" s="116"/>
    </row>
    <row r="52" spans="1:174" ht="22.5" customHeight="1" x14ac:dyDescent="0.4">
      <c r="A52" s="363"/>
      <c r="B52" s="363"/>
      <c r="C52" s="363"/>
      <c r="D52" s="340"/>
      <c r="E52" s="340"/>
      <c r="F52" s="340"/>
      <c r="G52" s="339"/>
      <c r="H52" s="339"/>
      <c r="I52" s="339"/>
      <c r="J52" s="339"/>
      <c r="K52" s="117"/>
      <c r="L52" s="340"/>
      <c r="M52" s="340"/>
      <c r="N52" s="340"/>
      <c r="O52" s="340"/>
      <c r="P52" s="36"/>
      <c r="Q52" s="36"/>
      <c r="R52" s="118"/>
      <c r="S52" s="37"/>
      <c r="T52" s="38"/>
      <c r="U52" s="341"/>
      <c r="V52" s="341"/>
      <c r="W52" s="39"/>
      <c r="X52" s="411"/>
      <c r="Y52" s="411"/>
      <c r="Z52" s="7"/>
      <c r="AA52" s="119"/>
      <c r="AY52" s="407"/>
    </row>
    <row r="53" spans="1:174" ht="25.5" customHeight="1" x14ac:dyDescent="0.25">
      <c r="A53" s="319">
        <v>487.2</v>
      </c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319"/>
      <c r="BK53" s="319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19"/>
      <c r="CR53" s="319"/>
      <c r="CS53" s="319"/>
      <c r="CT53" s="319"/>
      <c r="CU53" s="319"/>
    </row>
    <row r="54" spans="1:174" s="1" customFormat="1" ht="12.75" customHeight="1" x14ac:dyDescent="0.4">
      <c r="A54" s="363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63"/>
      <c r="P54" s="363"/>
      <c r="Q54" s="40"/>
      <c r="R54" s="40"/>
      <c r="S54" s="149"/>
      <c r="T54" s="38"/>
      <c r="U54" s="364"/>
      <c r="V54" s="364"/>
      <c r="W54" s="364"/>
      <c r="X54" s="364"/>
      <c r="Y54" s="364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2"/>
      <c r="BB54"/>
      <c r="BC54"/>
      <c r="BD54" s="162"/>
      <c r="BE54"/>
      <c r="BF54"/>
      <c r="BG54" s="162"/>
      <c r="BH54"/>
      <c r="BI54"/>
      <c r="BJ54"/>
      <c r="BK54"/>
      <c r="BL54"/>
      <c r="BM54"/>
      <c r="BN54"/>
      <c r="BO54"/>
      <c r="BP54"/>
      <c r="BQ54"/>
      <c r="BR54"/>
      <c r="BS54"/>
      <c r="BT54" s="169"/>
      <c r="BU54"/>
      <c r="BV54" s="223"/>
      <c r="BW54"/>
      <c r="BX54"/>
      <c r="BY54"/>
      <c r="BZ54" s="169"/>
      <c r="CA54"/>
      <c r="CB54" s="169"/>
      <c r="CC54"/>
      <c r="CD54" s="169"/>
      <c r="CE54"/>
      <c r="CF54" s="169"/>
      <c r="CG54"/>
      <c r="CH54" s="169"/>
      <c r="CI54"/>
      <c r="CJ54" s="169"/>
      <c r="CK54"/>
      <c r="CL54" s="169"/>
      <c r="CM54"/>
      <c r="CN54"/>
      <c r="CO54" s="169"/>
      <c r="CP54"/>
      <c r="CQ54"/>
      <c r="CR54" s="169"/>
      <c r="CS54"/>
      <c r="CT54"/>
      <c r="CU54" s="171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3"/>
      <c r="DW54" s="199"/>
      <c r="DY54" s="203"/>
      <c r="EA54" s="203"/>
      <c r="EC54" s="203"/>
      <c r="EE54" s="203"/>
      <c r="EH54" s="171"/>
      <c r="EJ54" s="171"/>
      <c r="EL54" s="171"/>
      <c r="EN54" s="171"/>
      <c r="EP54" s="171"/>
      <c r="ER54" s="171"/>
      <c r="EU54" s="171"/>
      <c r="EW54" s="171"/>
      <c r="EY54" s="171"/>
      <c r="FA54" s="171"/>
      <c r="FC54" s="171"/>
      <c r="FF54" s="171"/>
      <c r="FG54" s="171"/>
      <c r="FH54" s="171"/>
      <c r="FI54" s="171"/>
      <c r="FJ54" s="171"/>
      <c r="FK54" s="171"/>
      <c r="FL54" s="171"/>
      <c r="FM54" s="171"/>
      <c r="FN54" s="171"/>
      <c r="FP54" s="171"/>
      <c r="FR54" s="171"/>
    </row>
    <row r="55" spans="1:174" s="1" customFormat="1" ht="24" customHeight="1" x14ac:dyDescent="0.25">
      <c r="A55" s="320"/>
      <c r="B55" s="320"/>
      <c r="C55" s="320"/>
      <c r="D55" s="320"/>
      <c r="E55" s="320"/>
      <c r="F55" s="320"/>
      <c r="G55" s="320"/>
      <c r="H55" s="320"/>
      <c r="I55" s="320"/>
      <c r="J55" s="320"/>
      <c r="K55" s="320"/>
      <c r="L55" s="320"/>
      <c r="M55" s="320"/>
      <c r="N55" s="320"/>
      <c r="O55" s="320"/>
      <c r="P55" s="320"/>
      <c r="Q55" s="320"/>
      <c r="R55" s="320"/>
      <c r="S55" s="320"/>
      <c r="T55" s="320"/>
      <c r="U55" s="320"/>
      <c r="V55" s="320"/>
      <c r="W55" s="320"/>
      <c r="X55" s="365"/>
      <c r="Y55" s="320"/>
      <c r="Z55" s="320"/>
      <c r="AA55" s="320"/>
      <c r="AB55" s="320"/>
      <c r="AC55" s="320"/>
      <c r="AD55" s="320"/>
      <c r="AE55" s="320"/>
      <c r="AF55" s="320"/>
      <c r="AG55" s="320"/>
      <c r="AH55" s="320"/>
      <c r="AI55" s="320"/>
      <c r="AJ55" s="320"/>
      <c r="AK55" s="321"/>
      <c r="AL55" s="320"/>
      <c r="AM55" s="320"/>
      <c r="AN55" s="320"/>
      <c r="AO55" s="320"/>
      <c r="AP55" s="320"/>
      <c r="AQ55" s="320"/>
      <c r="AR55" s="320"/>
      <c r="AS55" s="320"/>
      <c r="AT55" s="320"/>
      <c r="AU55" s="320"/>
      <c r="AV55" s="320"/>
      <c r="AW55" s="320"/>
      <c r="AX55" s="320"/>
      <c r="AY55" s="321"/>
      <c r="AZ55" s="321"/>
      <c r="BA55" s="321"/>
      <c r="BB55" s="321"/>
      <c r="BC55" s="321"/>
      <c r="BD55" s="321"/>
      <c r="BE55" s="321"/>
      <c r="BF55" s="321"/>
      <c r="BG55" s="321"/>
      <c r="BH55" s="321"/>
      <c r="BI55"/>
      <c r="BJ55"/>
      <c r="BK55"/>
      <c r="BL55"/>
      <c r="BM55"/>
      <c r="BN55"/>
      <c r="BO55"/>
      <c r="BP55"/>
      <c r="BQ55"/>
      <c r="BR55"/>
      <c r="BS55"/>
      <c r="BT55" s="169"/>
      <c r="BU55"/>
      <c r="BV55" s="223"/>
      <c r="BW55"/>
      <c r="BX55"/>
      <c r="BY55"/>
      <c r="BZ55" s="169"/>
      <c r="CA55"/>
      <c r="CB55" s="169"/>
      <c r="CC55"/>
      <c r="CD55" s="169"/>
      <c r="CE55"/>
      <c r="CF55" s="169"/>
      <c r="CG55"/>
      <c r="CH55" s="169"/>
      <c r="CI55"/>
      <c r="CJ55" s="169"/>
      <c r="CK55"/>
      <c r="CL55" s="169"/>
      <c r="CM55"/>
      <c r="CN55"/>
      <c r="CO55" s="169"/>
      <c r="CP55"/>
      <c r="CQ55"/>
      <c r="CR55" s="169"/>
      <c r="CS55"/>
      <c r="CT55"/>
      <c r="CU55" s="171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3"/>
      <c r="DW55" s="199"/>
      <c r="DY55" s="203"/>
      <c r="EA55" s="203"/>
      <c r="EC55" s="203"/>
      <c r="EE55" s="203"/>
      <c r="EH55" s="171"/>
      <c r="EJ55" s="171"/>
      <c r="EL55" s="171"/>
      <c r="EN55" s="171"/>
      <c r="EP55" s="171"/>
      <c r="ER55" s="171"/>
      <c r="EU55" s="171"/>
      <c r="EW55" s="171"/>
      <c r="EY55" s="171"/>
      <c r="FA55" s="171"/>
      <c r="FC55" s="171"/>
      <c r="FF55" s="171"/>
      <c r="FG55" s="171"/>
      <c r="FH55" s="171"/>
      <c r="FI55" s="171"/>
      <c r="FJ55" s="171"/>
      <c r="FK55" s="171"/>
      <c r="FL55" s="171"/>
      <c r="FM55" s="171"/>
      <c r="FN55" s="171"/>
      <c r="FP55" s="171"/>
      <c r="FR55" s="171"/>
    </row>
    <row r="56" spans="1:174" s="1" customFormat="1" ht="26.1" customHeight="1" x14ac:dyDescent="0.25">
      <c r="A56" s="299"/>
      <c r="B56" s="299"/>
      <c r="C56" s="299"/>
      <c r="D56" s="299"/>
      <c r="E56" s="299"/>
      <c r="F56" s="299"/>
      <c r="G56" s="299"/>
      <c r="H56" s="299"/>
      <c r="I56" s="299"/>
      <c r="J56" s="300"/>
      <c r="K56" s="300"/>
      <c r="L56" s="300"/>
      <c r="M56" s="300"/>
      <c r="N56" s="299"/>
      <c r="O56" s="299"/>
      <c r="P56" s="299"/>
      <c r="Q56" s="299"/>
      <c r="R56" s="299"/>
      <c r="S56" s="299"/>
      <c r="T56" s="299"/>
      <c r="U56" s="299"/>
      <c r="V56" s="328">
        <v>487.2</v>
      </c>
      <c r="W56" s="328"/>
      <c r="X56" s="365"/>
      <c r="Y56" s="298"/>
      <c r="Z56" s="298"/>
      <c r="AA56" s="298"/>
      <c r="AB56" s="298"/>
      <c r="AC56" s="298"/>
      <c r="AD56" s="298"/>
      <c r="AE56" s="298"/>
      <c r="AF56" s="298"/>
      <c r="AG56" s="298"/>
      <c r="AH56" s="298"/>
      <c r="AI56" s="298"/>
      <c r="AJ56" s="298"/>
      <c r="AK56" s="321"/>
      <c r="AL56" s="298"/>
      <c r="AM56" s="298"/>
      <c r="AN56" s="298"/>
      <c r="AO56" s="298"/>
      <c r="AP56" s="298"/>
      <c r="AQ56" s="298"/>
      <c r="AR56" s="298"/>
      <c r="AS56" s="298"/>
      <c r="AT56" s="298"/>
      <c r="AU56" s="298"/>
      <c r="AV56" s="298"/>
      <c r="AW56" s="298"/>
      <c r="AX56" s="320"/>
      <c r="AY56" s="286"/>
      <c r="AZ56" s="286"/>
      <c r="BA56" s="286"/>
      <c r="BB56" s="286"/>
      <c r="BC56" s="286"/>
      <c r="BD56" s="286"/>
      <c r="BE56" s="286"/>
      <c r="BF56" s="286"/>
      <c r="BG56" s="286"/>
      <c r="BH56" s="286"/>
      <c r="BI56"/>
      <c r="BJ56"/>
      <c r="BK56"/>
      <c r="BL56"/>
      <c r="BM56"/>
      <c r="BN56"/>
      <c r="BO56"/>
      <c r="BP56"/>
      <c r="BQ56"/>
      <c r="BR56"/>
      <c r="BS56"/>
      <c r="BT56" s="169"/>
      <c r="BU56"/>
      <c r="BV56" s="223"/>
      <c r="BW56"/>
      <c r="BX56"/>
      <c r="BY56"/>
      <c r="BZ56" s="169"/>
      <c r="CA56"/>
      <c r="CB56" s="169"/>
      <c r="CC56"/>
      <c r="CD56" s="169"/>
      <c r="CE56"/>
      <c r="CF56" s="169"/>
      <c r="CG56"/>
      <c r="CH56" s="169"/>
      <c r="CI56"/>
      <c r="CJ56" s="169"/>
      <c r="CK56"/>
      <c r="CL56" s="169"/>
      <c r="CM56"/>
      <c r="CN56"/>
      <c r="CO56" s="169"/>
      <c r="CP56"/>
      <c r="CQ56"/>
      <c r="CR56" s="169"/>
      <c r="CS56"/>
      <c r="CT56"/>
      <c r="CU56" s="171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3"/>
      <c r="DW56" s="199"/>
      <c r="DY56" s="203"/>
      <c r="EA56" s="203"/>
      <c r="EC56" s="203"/>
      <c r="EE56" s="203"/>
      <c r="EH56" s="171"/>
      <c r="EJ56" s="171"/>
      <c r="EL56" s="171"/>
      <c r="EN56" s="171"/>
      <c r="EP56" s="171"/>
      <c r="ER56" s="171"/>
      <c r="EU56" s="171"/>
      <c r="EW56" s="171"/>
      <c r="EY56" s="171"/>
      <c r="FA56" s="171"/>
      <c r="FC56" s="171"/>
      <c r="FF56" s="171"/>
      <c r="FG56" s="171"/>
      <c r="FH56" s="171"/>
      <c r="FI56" s="171"/>
      <c r="FJ56" s="171"/>
      <c r="FK56" s="171"/>
      <c r="FL56" s="171"/>
      <c r="FM56" s="171"/>
      <c r="FN56" s="171"/>
      <c r="FP56" s="171"/>
      <c r="FR56" s="171"/>
    </row>
    <row r="57" spans="1:174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365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321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320"/>
      <c r="AY57" s="41"/>
      <c r="AZ57" s="120"/>
      <c r="BA57" s="157"/>
      <c r="BB57" s="43"/>
      <c r="BC57" s="83"/>
      <c r="BD57" s="159"/>
      <c r="BE57" s="41"/>
      <c r="BF57" s="120"/>
      <c r="BG57" s="157"/>
      <c r="BH57" s="43"/>
      <c r="BI57"/>
      <c r="BJ57"/>
      <c r="BK57"/>
      <c r="BL57"/>
      <c r="BM57"/>
      <c r="BN57"/>
      <c r="BO57"/>
      <c r="BP57"/>
      <c r="BQ57"/>
      <c r="BR57"/>
      <c r="BS57"/>
      <c r="BT57" s="169"/>
      <c r="BU57"/>
      <c r="BV57" s="223"/>
      <c r="BW57"/>
      <c r="BX57"/>
      <c r="BY57"/>
      <c r="BZ57" s="169"/>
      <c r="CA57"/>
      <c r="CB57" s="169"/>
      <c r="CC57"/>
      <c r="CD57" s="169"/>
      <c r="CE57"/>
      <c r="CF57" s="169"/>
      <c r="CG57"/>
      <c r="CH57" s="169"/>
      <c r="CI57"/>
      <c r="CJ57" s="169"/>
      <c r="CK57"/>
      <c r="CL57" s="169"/>
      <c r="CM57"/>
      <c r="CN57"/>
      <c r="CO57" s="169"/>
      <c r="CP57"/>
      <c r="CQ57"/>
      <c r="CR57" s="169"/>
      <c r="CS57"/>
      <c r="CT57"/>
      <c r="CU57" s="171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3"/>
      <c r="DW57" s="199"/>
      <c r="DY57" s="203"/>
      <c r="EA57" s="203"/>
      <c r="EC57" s="203"/>
      <c r="EE57" s="203"/>
      <c r="EH57" s="171"/>
      <c r="EJ57" s="171"/>
      <c r="EL57" s="171"/>
      <c r="EN57" s="171"/>
      <c r="EP57" s="171"/>
      <c r="ER57" s="171"/>
      <c r="EU57" s="171"/>
      <c r="EW57" s="171"/>
      <c r="EY57" s="171"/>
      <c r="FA57" s="171"/>
      <c r="FC57" s="171"/>
      <c r="FF57" s="171"/>
      <c r="FG57" s="171"/>
      <c r="FH57" s="171"/>
      <c r="FI57" s="171"/>
      <c r="FJ57" s="171"/>
      <c r="FK57" s="171"/>
      <c r="FL57" s="171"/>
      <c r="FM57" s="171"/>
      <c r="FN57" s="171"/>
      <c r="FP57" s="171"/>
      <c r="FR57" s="171"/>
    </row>
    <row r="58" spans="1:174" s="1" customFormat="1" ht="26.1" customHeight="1" x14ac:dyDescent="0.3">
      <c r="A58" s="44"/>
      <c r="B58" s="138"/>
      <c r="C58" s="284"/>
      <c r="D58" s="143"/>
      <c r="E58" s="285"/>
      <c r="F58" s="45"/>
      <c r="G58" s="285"/>
      <c r="H58" s="46"/>
      <c r="I58" s="284"/>
      <c r="J58" s="146"/>
      <c r="K58" s="284"/>
      <c r="L58" s="48"/>
      <c r="M58" s="284"/>
      <c r="N58" s="146"/>
      <c r="O58" s="284"/>
      <c r="P58" s="146"/>
      <c r="Q58" s="285"/>
      <c r="R58" s="54"/>
      <c r="S58" s="47"/>
      <c r="T58" s="47"/>
      <c r="U58" s="54"/>
      <c r="V58" s="48"/>
      <c r="W58" s="285"/>
      <c r="X58" s="365"/>
      <c r="Y58" s="2"/>
      <c r="Z58" s="285"/>
      <c r="AB58" s="323"/>
      <c r="AC58" s="45"/>
      <c r="AD58" s="284"/>
      <c r="AE58" s="47"/>
      <c r="AF58" s="285"/>
      <c r="AG58" s="45"/>
      <c r="AH58" s="285"/>
      <c r="AI58" s="45"/>
      <c r="AJ58" s="284"/>
      <c r="AK58" s="321"/>
      <c r="AL58" s="49"/>
      <c r="AM58" s="284"/>
      <c r="AN58" s="153"/>
      <c r="AO58" s="285"/>
      <c r="AP58" s="50"/>
      <c r="AQ58" s="285"/>
      <c r="AS58" s="284"/>
      <c r="AT58" s="2"/>
      <c r="AU58" s="285"/>
      <c r="AV58" s="51"/>
      <c r="AW58" s="322"/>
      <c r="AX58" s="320"/>
      <c r="AY58" s="52"/>
      <c r="AZ58" s="284"/>
      <c r="BA58" s="160"/>
      <c r="BB58" s="285"/>
      <c r="BC58" s="53"/>
      <c r="BD58" s="301"/>
      <c r="BE58" s="53"/>
      <c r="BF58" s="284"/>
      <c r="BG58" s="160"/>
      <c r="BH58" s="285"/>
      <c r="BI58"/>
      <c r="BJ58"/>
      <c r="BK58"/>
      <c r="BL58"/>
      <c r="BM58"/>
      <c r="BN58"/>
      <c r="BO58"/>
      <c r="BP58"/>
      <c r="BQ58"/>
      <c r="BR58"/>
      <c r="BS58"/>
      <c r="BT58" s="169"/>
      <c r="BU58"/>
      <c r="BV58" s="223"/>
      <c r="BW58"/>
      <c r="BX58"/>
      <c r="BY58"/>
      <c r="BZ58" s="169"/>
      <c r="CA58"/>
      <c r="CB58" s="169"/>
      <c r="CC58"/>
      <c r="CD58" s="169"/>
      <c r="CE58"/>
      <c r="CF58" s="169"/>
      <c r="CG58"/>
      <c r="CH58" s="169"/>
      <c r="CI58"/>
      <c r="CJ58" s="169"/>
      <c r="CK58"/>
      <c r="CL58" s="169"/>
      <c r="CM58"/>
      <c r="CN58"/>
      <c r="CO58" s="169"/>
      <c r="CP58"/>
      <c r="CQ58"/>
      <c r="CR58" s="169"/>
      <c r="CS58"/>
      <c r="CT58"/>
      <c r="CU58" s="171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3"/>
      <c r="DW58" s="199"/>
      <c r="DY58" s="203"/>
      <c r="EA58" s="203"/>
      <c r="EC58" s="203"/>
      <c r="EE58" s="203"/>
      <c r="EH58" s="171"/>
      <c r="EJ58" s="171"/>
      <c r="EL58" s="171"/>
      <c r="EN58" s="171"/>
      <c r="EP58" s="171"/>
      <c r="ER58" s="171"/>
      <c r="EU58" s="171"/>
      <c r="EW58" s="171"/>
      <c r="EY58" s="171"/>
      <c r="FA58" s="171"/>
      <c r="FC58" s="171"/>
      <c r="FF58" s="171"/>
      <c r="FG58" s="171"/>
      <c r="FH58" s="171"/>
      <c r="FI58" s="171"/>
      <c r="FJ58" s="171"/>
      <c r="FK58" s="171"/>
      <c r="FL58" s="171"/>
      <c r="FM58" s="171"/>
      <c r="FN58" s="171"/>
      <c r="FP58" s="171"/>
      <c r="FR58" s="171"/>
    </row>
    <row r="59" spans="1:174" s="1" customFormat="1" ht="26.1" customHeight="1" x14ac:dyDescent="0.3">
      <c r="A59" s="44"/>
      <c r="B59" s="139"/>
      <c r="C59" s="284"/>
      <c r="D59" s="144"/>
      <c r="E59" s="285"/>
      <c r="F59" s="55"/>
      <c r="G59" s="285"/>
      <c r="H59" s="121"/>
      <c r="I59" s="284"/>
      <c r="J59" s="131"/>
      <c r="K59" s="284"/>
      <c r="L59" s="131"/>
      <c r="M59" s="284"/>
      <c r="N59" s="130"/>
      <c r="O59" s="284"/>
      <c r="P59" s="146"/>
      <c r="Q59" s="285"/>
      <c r="R59" s="54"/>
      <c r="S59" s="47"/>
      <c r="T59" s="47"/>
      <c r="U59" s="54"/>
      <c r="V59" s="48"/>
      <c r="W59" s="285"/>
      <c r="X59" s="365"/>
      <c r="Y59" s="131"/>
      <c r="Z59" s="285"/>
      <c r="AB59" s="323"/>
      <c r="AC59" s="55"/>
      <c r="AD59" s="284"/>
      <c r="AE59" s="47"/>
      <c r="AF59" s="285"/>
      <c r="AG59" s="55"/>
      <c r="AH59" s="285"/>
      <c r="AI59" s="55"/>
      <c r="AJ59" s="284"/>
      <c r="AK59" s="321"/>
      <c r="AL59" s="49"/>
      <c r="AM59" s="284"/>
      <c r="AN59" s="154"/>
      <c r="AO59" s="285"/>
      <c r="AP59" s="50"/>
      <c r="AQ59" s="285"/>
      <c r="AR59" s="56"/>
      <c r="AS59" s="284"/>
      <c r="AT59" s="154"/>
      <c r="AU59" s="285"/>
      <c r="AV59" s="57"/>
      <c r="AW59" s="323"/>
      <c r="AX59" s="320"/>
      <c r="AY59" s="58"/>
      <c r="AZ59" s="284"/>
      <c r="BA59" s="160"/>
      <c r="BB59" s="285"/>
      <c r="BC59" s="53"/>
      <c r="BD59" s="301"/>
      <c r="BE59" s="53"/>
      <c r="BF59" s="284"/>
      <c r="BG59" s="160"/>
      <c r="BH59" s="285"/>
      <c r="BI59"/>
      <c r="BJ59"/>
      <c r="BK59"/>
      <c r="BL59"/>
      <c r="BM59"/>
      <c r="BN59"/>
      <c r="BO59"/>
      <c r="BP59"/>
      <c r="BQ59"/>
      <c r="BR59"/>
      <c r="BS59"/>
      <c r="BT59" s="169"/>
      <c r="BU59"/>
      <c r="BV59" s="223"/>
      <c r="BW59"/>
      <c r="BX59"/>
      <c r="BY59"/>
      <c r="BZ59" s="169"/>
      <c r="CA59"/>
      <c r="CB59" s="169"/>
      <c r="CC59"/>
      <c r="CD59" s="169"/>
      <c r="CE59"/>
      <c r="CF59" s="169"/>
      <c r="CG59"/>
      <c r="CH59" s="169"/>
      <c r="CI59"/>
      <c r="CJ59" s="169"/>
      <c r="CK59"/>
      <c r="CL59" s="169"/>
      <c r="CM59"/>
      <c r="CN59"/>
      <c r="CO59" s="169"/>
      <c r="CP59"/>
      <c r="CQ59"/>
      <c r="CR59" s="169"/>
      <c r="CS59"/>
      <c r="CT59"/>
      <c r="CU59" s="171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3"/>
      <c r="DW59" s="199"/>
      <c r="DY59" s="203"/>
      <c r="EA59" s="203"/>
      <c r="EC59" s="203"/>
      <c r="EE59" s="203"/>
      <c r="EH59" s="171"/>
      <c r="EJ59" s="171"/>
      <c r="EL59" s="171"/>
      <c r="EN59" s="171"/>
      <c r="EP59" s="171"/>
      <c r="ER59" s="171"/>
      <c r="EU59" s="171"/>
      <c r="EW59" s="171"/>
      <c r="EY59" s="171"/>
      <c r="FA59" s="171"/>
      <c r="FC59" s="171"/>
      <c r="FF59" s="171"/>
      <c r="FG59" s="171"/>
      <c r="FH59" s="171"/>
      <c r="FI59" s="171"/>
      <c r="FJ59" s="171"/>
      <c r="FK59" s="171"/>
      <c r="FL59" s="171"/>
      <c r="FM59" s="171"/>
      <c r="FN59" s="171"/>
      <c r="FP59" s="171"/>
      <c r="FR59" s="171"/>
    </row>
    <row r="60" spans="1:174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365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321"/>
      <c r="AL60" s="49"/>
      <c r="AM60" s="124"/>
      <c r="AN60" s="153"/>
      <c r="AO60" s="61"/>
      <c r="AP60" s="50"/>
      <c r="AQ60" s="62"/>
      <c r="AS60" s="125"/>
      <c r="AT60" s="2"/>
      <c r="AU60" s="61"/>
      <c r="AV60" s="51"/>
      <c r="AW60" s="62"/>
      <c r="AX60" s="320"/>
      <c r="AY60" s="52"/>
      <c r="AZ60" s="126"/>
      <c r="BA60" s="160"/>
      <c r="BB60" s="63"/>
      <c r="BC60" s="53"/>
      <c r="BD60" s="160"/>
      <c r="BE60" s="53"/>
      <c r="BF60" s="126"/>
      <c r="BG60" s="160"/>
      <c r="BH60" s="63"/>
      <c r="BI60"/>
      <c r="BJ60"/>
      <c r="BK60"/>
      <c r="BL60"/>
      <c r="BM60"/>
      <c r="BN60"/>
      <c r="BO60"/>
      <c r="BP60"/>
      <c r="BQ60"/>
      <c r="BR60"/>
      <c r="BS60"/>
      <c r="BT60" s="169"/>
      <c r="BU60"/>
      <c r="BV60" s="223"/>
      <c r="BW60"/>
      <c r="BX60"/>
      <c r="BY60"/>
      <c r="BZ60" s="169"/>
      <c r="CA60"/>
      <c r="CB60" s="169"/>
      <c r="CC60"/>
      <c r="CD60" s="169"/>
      <c r="CE60"/>
      <c r="CF60" s="169"/>
      <c r="CG60"/>
      <c r="CH60" s="169"/>
      <c r="CI60"/>
      <c r="CJ60" s="169"/>
      <c r="CK60"/>
      <c r="CL60" s="169"/>
      <c r="CM60"/>
      <c r="CN60"/>
      <c r="CO60" s="169"/>
      <c r="CP60"/>
      <c r="CQ60"/>
      <c r="CR60" s="169"/>
      <c r="CS60"/>
      <c r="CT60"/>
      <c r="CU60" s="171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3"/>
      <c r="DW60" s="199"/>
      <c r="DY60" s="203"/>
      <c r="EA60" s="203"/>
      <c r="EC60" s="203"/>
      <c r="EE60" s="203"/>
      <c r="EH60" s="171"/>
      <c r="EJ60" s="171"/>
      <c r="EL60" s="171"/>
      <c r="EN60" s="171"/>
      <c r="EP60" s="171"/>
      <c r="ER60" s="171"/>
      <c r="EU60" s="171"/>
      <c r="EW60" s="171"/>
      <c r="EY60" s="171"/>
      <c r="FA60" s="171"/>
      <c r="FC60" s="171"/>
      <c r="FF60" s="171"/>
      <c r="FG60" s="171"/>
      <c r="FH60" s="171"/>
      <c r="FI60" s="171"/>
      <c r="FJ60" s="171"/>
      <c r="FK60" s="171"/>
      <c r="FL60" s="171"/>
      <c r="FM60" s="171"/>
      <c r="FN60" s="171"/>
      <c r="FP60" s="171"/>
      <c r="FR60" s="171"/>
    </row>
    <row r="61" spans="1:174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365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321"/>
      <c r="AL61" s="49"/>
      <c r="AM61" s="124"/>
      <c r="AN61" s="153"/>
      <c r="AO61" s="61"/>
      <c r="AP61" s="50"/>
      <c r="AQ61" s="62"/>
      <c r="AS61" s="125"/>
      <c r="AT61" s="2"/>
      <c r="AU61" s="61"/>
      <c r="AV61" s="51"/>
      <c r="AW61" s="62"/>
      <c r="AX61" s="320"/>
      <c r="AY61" s="58"/>
      <c r="AZ61" s="126"/>
      <c r="BA61" s="163"/>
      <c r="BB61" s="63"/>
      <c r="BC61" s="53"/>
      <c r="BD61" s="160"/>
      <c r="BE61" s="64"/>
      <c r="BF61" s="126"/>
      <c r="BG61" s="163"/>
      <c r="BH61" s="63"/>
      <c r="BI61"/>
      <c r="BJ61"/>
      <c r="BK61"/>
      <c r="BL61"/>
      <c r="BM61"/>
      <c r="BN61"/>
      <c r="BO61"/>
      <c r="BP61"/>
      <c r="BQ61"/>
      <c r="BR61"/>
      <c r="BS61"/>
      <c r="BT61" s="169"/>
      <c r="BU61"/>
      <c r="BV61" s="223"/>
      <c r="BW61"/>
      <c r="BX61"/>
      <c r="BY61"/>
      <c r="BZ61" s="169"/>
      <c r="CA61"/>
      <c r="CB61" s="169"/>
      <c r="CC61"/>
      <c r="CD61" s="169"/>
      <c r="CE61"/>
      <c r="CF61" s="169"/>
      <c r="CG61"/>
      <c r="CH61" s="169"/>
      <c r="CI61"/>
      <c r="CJ61" s="169"/>
      <c r="CK61"/>
      <c r="CL61" s="169"/>
      <c r="CM61"/>
      <c r="CN61"/>
      <c r="CO61" s="169"/>
      <c r="CP61"/>
      <c r="CQ61"/>
      <c r="CR61" s="169"/>
      <c r="CS61"/>
      <c r="CT61"/>
      <c r="CU61" s="171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3"/>
      <c r="DW61" s="199"/>
      <c r="DY61" s="203"/>
      <c r="EA61" s="203"/>
      <c r="EC61" s="203"/>
      <c r="EE61" s="203"/>
      <c r="EH61" s="171"/>
      <c r="EJ61" s="171"/>
      <c r="EL61" s="171"/>
      <c r="EN61" s="171"/>
      <c r="EP61" s="171"/>
      <c r="ER61" s="171"/>
      <c r="EU61" s="171"/>
      <c r="EW61" s="171"/>
      <c r="EY61" s="171"/>
      <c r="FA61" s="171"/>
      <c r="FC61" s="171"/>
      <c r="FF61" s="171"/>
      <c r="FG61" s="171"/>
      <c r="FH61" s="171"/>
      <c r="FI61" s="171"/>
      <c r="FJ61" s="171"/>
      <c r="FK61" s="171"/>
      <c r="FL61" s="171"/>
      <c r="FM61" s="171"/>
      <c r="FN61" s="171"/>
      <c r="FP61" s="171"/>
      <c r="FR61" s="171"/>
    </row>
    <row r="62" spans="1:174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365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321"/>
      <c r="AL62" s="49"/>
      <c r="AM62" s="124"/>
      <c r="AN62" s="153"/>
      <c r="AO62" s="61"/>
      <c r="AP62" s="50"/>
      <c r="AQ62" s="62"/>
      <c r="AS62" s="125"/>
      <c r="AT62" s="2"/>
      <c r="AU62" s="61"/>
      <c r="AV62" s="51"/>
      <c r="AW62" s="62"/>
      <c r="AX62" s="320"/>
      <c r="AY62" s="52"/>
      <c r="AZ62" s="126"/>
      <c r="BA62" s="160"/>
      <c r="BB62" s="63"/>
      <c r="BC62" s="53"/>
      <c r="BD62" s="160"/>
      <c r="BE62" s="53"/>
      <c r="BF62" s="126"/>
      <c r="BG62" s="160"/>
      <c r="BH62" s="63"/>
      <c r="BI62"/>
      <c r="BJ62"/>
      <c r="BK62"/>
      <c r="BL62"/>
      <c r="BM62"/>
      <c r="BN62"/>
      <c r="BO62"/>
      <c r="BP62"/>
      <c r="BQ62"/>
      <c r="BR62"/>
      <c r="BS62"/>
      <c r="BT62" s="169"/>
      <c r="BU62"/>
      <c r="BV62" s="223"/>
      <c r="BW62"/>
      <c r="BX62"/>
      <c r="BY62"/>
      <c r="BZ62" s="169"/>
      <c r="CA62"/>
      <c r="CB62" s="169"/>
      <c r="CC62"/>
      <c r="CD62" s="169"/>
      <c r="CE62"/>
      <c r="CF62" s="169"/>
      <c r="CG62"/>
      <c r="CH62" s="169"/>
      <c r="CI62"/>
      <c r="CJ62" s="169"/>
      <c r="CK62"/>
      <c r="CL62" s="169"/>
      <c r="CM62"/>
      <c r="CN62"/>
      <c r="CO62" s="169"/>
      <c r="CP62"/>
      <c r="CQ62"/>
      <c r="CR62" s="169"/>
      <c r="CS62"/>
      <c r="CT62"/>
      <c r="CU62" s="171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3"/>
      <c r="DW62" s="199"/>
      <c r="DY62" s="203"/>
      <c r="EA62" s="203"/>
      <c r="EC62" s="203"/>
      <c r="EE62" s="203"/>
      <c r="EH62" s="171"/>
      <c r="EJ62" s="171"/>
      <c r="EL62" s="171"/>
      <c r="EN62" s="171"/>
      <c r="EP62" s="171"/>
      <c r="ER62" s="171"/>
      <c r="EU62" s="171"/>
      <c r="EW62" s="171"/>
      <c r="EY62" s="171"/>
      <c r="FA62" s="171"/>
      <c r="FC62" s="171"/>
      <c r="FF62" s="171"/>
      <c r="FG62" s="171"/>
      <c r="FH62" s="171"/>
      <c r="FI62" s="171"/>
      <c r="FJ62" s="171"/>
      <c r="FK62" s="171"/>
      <c r="FL62" s="171"/>
      <c r="FM62" s="171"/>
      <c r="FN62" s="171"/>
      <c r="FP62" s="171"/>
      <c r="FR62" s="171"/>
    </row>
    <row r="63" spans="1:174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365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321"/>
      <c r="AL63" s="57"/>
      <c r="AM63" s="124"/>
      <c r="AN63" s="154"/>
      <c r="AO63" s="61"/>
      <c r="AP63" s="50"/>
      <c r="AQ63" s="62"/>
      <c r="AR63" s="56"/>
      <c r="AS63" s="125"/>
      <c r="AT63" s="154"/>
      <c r="AU63" s="61"/>
      <c r="AV63" s="57"/>
      <c r="AW63" s="62"/>
      <c r="AX63" s="320"/>
      <c r="AY63" s="52"/>
      <c r="AZ63" s="126"/>
      <c r="BA63" s="160"/>
      <c r="BB63" s="63"/>
      <c r="BC63" s="53"/>
      <c r="BD63" s="160"/>
      <c r="BE63" s="53"/>
      <c r="BF63" s="126"/>
      <c r="BG63" s="160"/>
      <c r="BH63" s="63"/>
      <c r="BI63"/>
      <c r="BJ63"/>
      <c r="BK63"/>
      <c r="BL63"/>
      <c r="BM63"/>
      <c r="BN63"/>
      <c r="BO63"/>
      <c r="BP63"/>
      <c r="BQ63"/>
      <c r="BR63"/>
      <c r="BS63"/>
      <c r="BT63" s="169"/>
      <c r="BU63"/>
      <c r="BV63" s="223"/>
      <c r="BW63"/>
      <c r="BX63"/>
      <c r="BY63"/>
      <c r="BZ63" s="169"/>
      <c r="CA63"/>
      <c r="CB63" s="169"/>
      <c r="CC63"/>
      <c r="CD63" s="169"/>
      <c r="CE63"/>
      <c r="CF63" s="169"/>
      <c r="CG63"/>
      <c r="CH63" s="169"/>
      <c r="CI63"/>
      <c r="CJ63" s="169"/>
      <c r="CK63"/>
      <c r="CL63" s="169"/>
      <c r="CM63"/>
      <c r="CN63"/>
      <c r="CO63" s="169"/>
      <c r="CP63"/>
      <c r="CQ63"/>
      <c r="CR63" s="169"/>
      <c r="CS63"/>
      <c r="CT63"/>
      <c r="CU63" s="171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3"/>
      <c r="DW63" s="199"/>
      <c r="DY63" s="203"/>
      <c r="EA63" s="203"/>
      <c r="EC63" s="203"/>
      <c r="EE63" s="203"/>
      <c r="EH63" s="171"/>
      <c r="EJ63" s="171"/>
      <c r="EL63" s="171"/>
      <c r="EN63" s="171"/>
      <c r="EP63" s="171"/>
      <c r="ER63" s="171"/>
      <c r="EU63" s="171"/>
      <c r="EW63" s="171"/>
      <c r="EY63" s="171"/>
      <c r="FA63" s="171"/>
      <c r="FC63" s="171"/>
      <c r="FF63" s="171"/>
      <c r="FG63" s="171"/>
      <c r="FH63" s="171"/>
      <c r="FI63" s="171"/>
      <c r="FJ63" s="171"/>
      <c r="FK63" s="171"/>
      <c r="FL63" s="171"/>
      <c r="FM63" s="171"/>
      <c r="FN63" s="171"/>
      <c r="FP63" s="171"/>
      <c r="FR63" s="171"/>
    </row>
    <row r="64" spans="1:174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365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321"/>
      <c r="AL64" s="57"/>
      <c r="AM64" s="124"/>
      <c r="AN64" s="154"/>
      <c r="AO64" s="61"/>
      <c r="AP64" s="50"/>
      <c r="AQ64" s="62"/>
      <c r="AR64" s="56"/>
      <c r="AS64" s="125"/>
      <c r="AT64" s="154"/>
      <c r="AU64" s="61"/>
      <c r="AV64" s="57"/>
      <c r="AW64" s="62"/>
      <c r="AX64" s="320"/>
      <c r="AY64" s="58"/>
      <c r="AZ64" s="126"/>
      <c r="BA64" s="163"/>
      <c r="BB64" s="63"/>
      <c r="BC64" s="53"/>
      <c r="BD64" s="160"/>
      <c r="BE64" s="64"/>
      <c r="BF64" s="126"/>
      <c r="BG64" s="163"/>
      <c r="BH64" s="63"/>
      <c r="BI64"/>
      <c r="BJ64"/>
      <c r="BK64"/>
      <c r="BL64"/>
      <c r="BM64"/>
      <c r="BN64"/>
      <c r="BO64"/>
      <c r="BP64"/>
      <c r="BQ64"/>
      <c r="BR64"/>
      <c r="BS64"/>
      <c r="BT64" s="169"/>
      <c r="BU64"/>
      <c r="BV64" s="223"/>
      <c r="BW64"/>
      <c r="BX64"/>
      <c r="BY64"/>
      <c r="BZ64" s="169"/>
      <c r="CA64"/>
      <c r="CB64" s="169"/>
      <c r="CC64"/>
      <c r="CD64" s="169"/>
      <c r="CE64"/>
      <c r="CF64" s="169"/>
      <c r="CG64"/>
      <c r="CH64" s="169"/>
      <c r="CI64"/>
      <c r="CJ64" s="169"/>
      <c r="CK64"/>
      <c r="CL64" s="169"/>
      <c r="CM64"/>
      <c r="CN64"/>
      <c r="CO64" s="169"/>
      <c r="CP64"/>
      <c r="CQ64"/>
      <c r="CR64" s="169"/>
      <c r="CS64"/>
      <c r="CT64"/>
      <c r="CU64" s="171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3"/>
      <c r="DW64" s="199"/>
      <c r="DY64" s="203"/>
      <c r="EA64" s="203"/>
      <c r="EC64" s="203"/>
      <c r="EE64" s="203"/>
      <c r="EH64" s="171"/>
      <c r="EJ64" s="171"/>
      <c r="EL64" s="171"/>
      <c r="EN64" s="171"/>
      <c r="EP64" s="171"/>
      <c r="ER64" s="171"/>
      <c r="EU64" s="171"/>
      <c r="EW64" s="171"/>
      <c r="EY64" s="171"/>
      <c r="FA64" s="171"/>
      <c r="FC64" s="171"/>
      <c r="FF64" s="171"/>
      <c r="FG64" s="171"/>
      <c r="FH64" s="171"/>
      <c r="FI64" s="171"/>
      <c r="FJ64" s="171"/>
      <c r="FK64" s="171"/>
      <c r="FL64" s="171"/>
      <c r="FM64" s="171"/>
      <c r="FN64" s="171"/>
      <c r="FP64" s="171"/>
      <c r="FR64" s="171"/>
    </row>
    <row r="65" spans="1:175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365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321"/>
      <c r="AL65" s="57"/>
      <c r="AM65" s="124"/>
      <c r="AN65" s="154"/>
      <c r="AO65" s="61"/>
      <c r="AP65" s="50"/>
      <c r="AQ65" s="62"/>
      <c r="AR65" s="56"/>
      <c r="AS65" s="125"/>
      <c r="AT65" s="154"/>
      <c r="AU65" s="61"/>
      <c r="AV65" s="57"/>
      <c r="AW65" s="62"/>
      <c r="AX65" s="320"/>
      <c r="AY65" s="58"/>
      <c r="AZ65" s="126"/>
      <c r="BA65" s="163"/>
      <c r="BB65" s="63"/>
      <c r="BC65" s="53"/>
      <c r="BD65" s="160"/>
      <c r="BE65" s="64"/>
      <c r="BF65" s="126"/>
      <c r="BG65" s="163"/>
      <c r="BH65" s="63"/>
      <c r="BI65"/>
      <c r="BJ65"/>
      <c r="BK65"/>
      <c r="BL65"/>
      <c r="BM65"/>
      <c r="BN65"/>
      <c r="BO65"/>
      <c r="BP65"/>
      <c r="BQ65"/>
      <c r="BR65"/>
      <c r="BS65"/>
      <c r="BT65" s="169"/>
      <c r="BU65"/>
      <c r="BV65" s="223"/>
      <c r="BW65"/>
      <c r="BX65"/>
      <c r="BY65"/>
      <c r="BZ65" s="169"/>
      <c r="CA65"/>
      <c r="CB65" s="169"/>
      <c r="CC65"/>
      <c r="CD65" s="169"/>
      <c r="CE65"/>
      <c r="CF65" s="169"/>
      <c r="CG65"/>
      <c r="CH65" s="169"/>
      <c r="CI65"/>
      <c r="CJ65" s="169"/>
      <c r="CK65"/>
      <c r="CL65" s="169"/>
      <c r="CM65"/>
      <c r="CN65"/>
      <c r="CO65" s="169"/>
      <c r="CP65"/>
      <c r="CQ65"/>
      <c r="CR65" s="169"/>
      <c r="CS65"/>
      <c r="CT65"/>
      <c r="CU65" s="171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3"/>
      <c r="DW65" s="199"/>
      <c r="DY65" s="203"/>
      <c r="EA65" s="203"/>
      <c r="EC65" s="203"/>
      <c r="EE65" s="203"/>
      <c r="EH65" s="171"/>
      <c r="EJ65" s="171"/>
      <c r="EL65" s="171"/>
      <c r="EN65" s="171"/>
      <c r="EP65" s="171"/>
      <c r="ER65" s="171"/>
      <c r="EU65" s="171"/>
      <c r="EW65" s="171"/>
      <c r="EY65" s="171"/>
      <c r="FA65" s="171"/>
      <c r="FC65" s="171"/>
      <c r="FF65" s="171"/>
      <c r="FG65" s="171"/>
      <c r="FH65" s="171"/>
      <c r="FI65" s="171"/>
      <c r="FJ65" s="171"/>
      <c r="FK65" s="171"/>
      <c r="FL65" s="171"/>
      <c r="FM65" s="171"/>
      <c r="FN65" s="171"/>
      <c r="FP65" s="171"/>
      <c r="FR65" s="171"/>
    </row>
    <row r="66" spans="1:175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365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321"/>
      <c r="AL66" s="57"/>
      <c r="AM66" s="124"/>
      <c r="AN66" s="154"/>
      <c r="AO66" s="61"/>
      <c r="AP66" s="50"/>
      <c r="AQ66" s="62"/>
      <c r="AR66" s="56"/>
      <c r="AS66" s="125"/>
      <c r="AT66" s="154"/>
      <c r="AU66" s="61"/>
      <c r="AV66" s="57"/>
      <c r="AW66" s="62"/>
      <c r="AX66" s="320"/>
      <c r="AY66" s="58"/>
      <c r="AZ66" s="126"/>
      <c r="BA66" s="163"/>
      <c r="BB66" s="63"/>
      <c r="BC66" s="53"/>
      <c r="BD66" s="160"/>
      <c r="BE66" s="64"/>
      <c r="BF66" s="126"/>
      <c r="BG66" s="163"/>
      <c r="BH66" s="63"/>
    </row>
    <row r="67" spans="1:175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365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321"/>
      <c r="AL67" s="57"/>
      <c r="AM67" s="124"/>
      <c r="AN67" s="154"/>
      <c r="AO67" s="61"/>
      <c r="AP67" s="50"/>
      <c r="AQ67" s="62"/>
      <c r="AR67" s="56"/>
      <c r="AS67" s="125"/>
      <c r="AT67" s="154"/>
      <c r="AU67" s="61"/>
      <c r="AV67" s="57"/>
      <c r="AW67" s="62"/>
      <c r="AX67" s="320"/>
      <c r="AY67" s="58"/>
      <c r="AZ67" s="126"/>
      <c r="BA67" s="163"/>
      <c r="BB67" s="63"/>
      <c r="BC67" s="53"/>
      <c r="BD67" s="160"/>
      <c r="BE67" s="64"/>
      <c r="BF67" s="126"/>
      <c r="BG67" s="163"/>
      <c r="BH67" s="63"/>
    </row>
    <row r="68" spans="1:175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365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321"/>
      <c r="AL68" s="57"/>
      <c r="AM68" s="124"/>
      <c r="AN68" s="154"/>
      <c r="AO68" s="61"/>
      <c r="AP68" s="50"/>
      <c r="AQ68" s="62"/>
      <c r="AR68" s="56"/>
      <c r="AS68" s="125"/>
      <c r="AT68" s="154"/>
      <c r="AU68" s="61"/>
      <c r="AV68" s="57"/>
      <c r="AW68" s="62"/>
      <c r="AX68" s="320"/>
      <c r="AY68" s="58"/>
      <c r="AZ68" s="126"/>
      <c r="BA68" s="163"/>
      <c r="BB68" s="63"/>
      <c r="BC68" s="53"/>
      <c r="BD68" s="160"/>
      <c r="BE68" s="64"/>
      <c r="BF68" s="126"/>
      <c r="BG68" s="163"/>
      <c r="BH68" s="63"/>
      <c r="BI68"/>
      <c r="BJ68"/>
      <c r="BK68"/>
      <c r="BL68"/>
      <c r="BM68"/>
      <c r="BN68"/>
      <c r="BO68"/>
      <c r="BP68"/>
      <c r="BQ68"/>
      <c r="BR68"/>
      <c r="BS68"/>
      <c r="BT68" s="169"/>
      <c r="BU68"/>
      <c r="BV68" s="223"/>
      <c r="BW68"/>
      <c r="BX68"/>
      <c r="BY68"/>
      <c r="BZ68" s="169"/>
      <c r="CA68"/>
      <c r="CB68" s="169"/>
      <c r="CC68"/>
      <c r="CD68" s="169"/>
      <c r="CE68"/>
      <c r="CF68" s="169"/>
      <c r="CG68"/>
      <c r="CH68" s="169"/>
      <c r="CI68"/>
      <c r="CJ68" s="169"/>
      <c r="CK68"/>
      <c r="CL68" s="169"/>
      <c r="CM68"/>
      <c r="CN68"/>
      <c r="CO68" s="169"/>
      <c r="CP68"/>
      <c r="CQ68"/>
      <c r="CR68" s="169"/>
      <c r="CS68"/>
      <c r="CT68"/>
      <c r="CU68" s="171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3"/>
      <c r="DW68" s="199"/>
      <c r="DY68" s="203"/>
      <c r="EA68" s="203"/>
      <c r="EC68" s="203"/>
      <c r="EE68" s="203"/>
      <c r="EH68" s="171"/>
      <c r="EJ68" s="171"/>
      <c r="EL68" s="171"/>
      <c r="EN68" s="171"/>
      <c r="EP68" s="171"/>
      <c r="ER68" s="171"/>
      <c r="EU68" s="171"/>
      <c r="EW68" s="171"/>
      <c r="EY68" s="171"/>
      <c r="FA68" s="171"/>
      <c r="FC68" s="171"/>
      <c r="FF68" s="171"/>
      <c r="FG68" s="171"/>
      <c r="FH68" s="171"/>
      <c r="FI68" s="171"/>
      <c r="FJ68" s="171"/>
      <c r="FK68" s="171"/>
      <c r="FL68" s="171"/>
      <c r="FM68" s="171"/>
      <c r="FN68" s="171"/>
      <c r="FP68" s="171"/>
      <c r="FR68" s="171"/>
    </row>
    <row r="69" spans="1:175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365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321"/>
      <c r="AL69" s="57"/>
      <c r="AM69" s="124"/>
      <c r="AN69" s="154"/>
      <c r="AO69" s="61"/>
      <c r="AP69" s="50"/>
      <c r="AQ69" s="62"/>
      <c r="AR69" s="56"/>
      <c r="AS69" s="125"/>
      <c r="AT69" s="154"/>
      <c r="AU69" s="61"/>
      <c r="AV69" s="57"/>
      <c r="AW69" s="62"/>
      <c r="AX69" s="320"/>
      <c r="AY69" s="58"/>
      <c r="AZ69" s="126"/>
      <c r="BA69" s="163"/>
      <c r="BB69" s="63"/>
      <c r="BC69" s="53"/>
      <c r="BD69" s="160"/>
      <c r="BE69" s="64"/>
      <c r="BF69" s="126"/>
      <c r="BG69" s="163"/>
      <c r="BH69" s="63"/>
      <c r="BI69"/>
      <c r="BJ69"/>
      <c r="BK69"/>
      <c r="BL69"/>
      <c r="BM69"/>
      <c r="BN69"/>
      <c r="BO69"/>
      <c r="BP69"/>
      <c r="BQ69"/>
      <c r="BR69"/>
      <c r="BS69"/>
      <c r="BT69" s="169"/>
      <c r="BU69"/>
      <c r="BV69" s="223"/>
      <c r="BW69"/>
      <c r="BX69"/>
      <c r="BY69"/>
      <c r="BZ69" s="169"/>
      <c r="CA69"/>
      <c r="CB69" s="169"/>
      <c r="CC69"/>
      <c r="CD69" s="169"/>
      <c r="CE69"/>
      <c r="CF69" s="169"/>
      <c r="CG69"/>
      <c r="CH69" s="169"/>
      <c r="CI69"/>
      <c r="CJ69" s="169"/>
      <c r="CK69"/>
      <c r="CL69" s="169"/>
      <c r="CM69"/>
      <c r="CN69"/>
      <c r="CO69" s="169"/>
      <c r="CP69"/>
      <c r="CQ69"/>
      <c r="CR69" s="169"/>
      <c r="CS69"/>
      <c r="CT69"/>
      <c r="CU69" s="171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2"/>
      <c r="DV69"/>
      <c r="DW69" s="198"/>
      <c r="DX69"/>
      <c r="DY69" s="162"/>
      <c r="DZ69"/>
      <c r="EA69" s="162"/>
      <c r="EB69"/>
      <c r="EC69" s="162"/>
      <c r="ED69"/>
      <c r="EE69" s="162"/>
      <c r="EF69"/>
      <c r="EG69"/>
      <c r="EH69" s="169"/>
      <c r="EI69"/>
      <c r="EJ69" s="169"/>
      <c r="EK69"/>
      <c r="EL69" s="169"/>
      <c r="EM69"/>
      <c r="EN69" s="169"/>
      <c r="EO69"/>
      <c r="EP69" s="169"/>
      <c r="EQ69"/>
      <c r="ER69" s="169"/>
      <c r="ES69"/>
      <c r="ET69"/>
      <c r="EU69" s="169"/>
      <c r="EV69"/>
      <c r="EW69" s="169"/>
      <c r="EX69"/>
      <c r="EY69" s="169"/>
      <c r="EZ69"/>
      <c r="FA69" s="169"/>
      <c r="FB69"/>
      <c r="FC69" s="169"/>
      <c r="FD69"/>
      <c r="FE69"/>
      <c r="FF69" s="169"/>
      <c r="FG69" s="169"/>
      <c r="FH69" s="169"/>
      <c r="FI69" s="169"/>
      <c r="FJ69" s="169"/>
      <c r="FK69" s="169"/>
      <c r="FL69" s="169"/>
      <c r="FM69" s="169"/>
      <c r="FN69" s="169"/>
      <c r="FO69"/>
      <c r="FP69" s="169"/>
      <c r="FQ69"/>
      <c r="FR69" s="169"/>
      <c r="FS69"/>
    </row>
    <row r="70" spans="1:175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365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321"/>
      <c r="AL70" s="57"/>
      <c r="AM70" s="124"/>
      <c r="AN70" s="154"/>
      <c r="AO70" s="61"/>
      <c r="AP70" s="50"/>
      <c r="AQ70" s="62"/>
      <c r="AR70" s="56"/>
      <c r="AS70" s="125"/>
      <c r="AT70" s="154"/>
      <c r="AU70" s="61"/>
      <c r="AV70" s="57"/>
      <c r="AW70" s="62"/>
      <c r="AX70" s="320"/>
      <c r="AY70" s="58"/>
      <c r="AZ70" s="126"/>
      <c r="BA70" s="163"/>
      <c r="BB70" s="63"/>
      <c r="BC70" s="53"/>
      <c r="BD70" s="160"/>
      <c r="BE70" s="64"/>
      <c r="BF70" s="126"/>
      <c r="BG70" s="163"/>
      <c r="BH70" s="63"/>
      <c r="BI70"/>
      <c r="BJ70"/>
      <c r="BK70"/>
      <c r="BL70"/>
      <c r="BM70"/>
      <c r="BN70"/>
      <c r="BO70"/>
      <c r="BP70"/>
      <c r="BQ70"/>
      <c r="BR70"/>
      <c r="BS70"/>
      <c r="BT70" s="169"/>
      <c r="BU70"/>
      <c r="BV70" s="223"/>
      <c r="BW70"/>
      <c r="BX70"/>
      <c r="BY70"/>
      <c r="BZ70" s="169"/>
      <c r="CA70"/>
      <c r="CB70" s="169"/>
      <c r="CC70"/>
      <c r="CD70" s="169"/>
      <c r="CE70"/>
      <c r="CF70" s="169"/>
      <c r="CG70"/>
      <c r="CH70" s="169"/>
      <c r="CI70"/>
      <c r="CJ70" s="169"/>
      <c r="CK70"/>
      <c r="CL70" s="169"/>
      <c r="CM70"/>
      <c r="CN70"/>
      <c r="CO70" s="169"/>
      <c r="CP70"/>
      <c r="CQ70"/>
      <c r="CR70" s="169"/>
      <c r="CS70"/>
      <c r="CT70"/>
      <c r="CU70" s="171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2"/>
      <c r="DV70"/>
      <c r="DW70" s="198"/>
      <c r="DX70"/>
      <c r="DY70" s="162"/>
      <c r="DZ70"/>
      <c r="EA70" s="162"/>
      <c r="EB70"/>
      <c r="EC70" s="162"/>
      <c r="ED70"/>
      <c r="EE70" s="162"/>
      <c r="EF70"/>
      <c r="EG70"/>
      <c r="EH70" s="169"/>
      <c r="EI70"/>
      <c r="EJ70" s="169"/>
      <c r="EK70"/>
      <c r="EL70" s="169"/>
      <c r="EM70"/>
      <c r="EN70" s="169"/>
      <c r="EO70"/>
      <c r="EP70" s="169"/>
      <c r="EQ70"/>
      <c r="ER70" s="169"/>
      <c r="ES70"/>
      <c r="ET70"/>
      <c r="EU70" s="169"/>
      <c r="EV70"/>
      <c r="EW70" s="169"/>
      <c r="EX70"/>
      <c r="EY70" s="169"/>
      <c r="EZ70"/>
      <c r="FA70" s="169"/>
      <c r="FB70"/>
      <c r="FC70" s="169"/>
      <c r="FD70"/>
      <c r="FE70"/>
      <c r="FF70" s="169"/>
      <c r="FG70" s="169"/>
      <c r="FH70" s="169"/>
      <c r="FI70" s="169"/>
      <c r="FJ70" s="169"/>
      <c r="FK70" s="169"/>
      <c r="FL70" s="169"/>
      <c r="FM70" s="169"/>
      <c r="FN70" s="169"/>
      <c r="FO70"/>
      <c r="FP70" s="169"/>
      <c r="FQ70"/>
      <c r="FR70" s="169"/>
      <c r="FS70"/>
    </row>
    <row r="71" spans="1:175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365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321"/>
      <c r="AL71" s="57"/>
      <c r="AM71" s="124"/>
      <c r="AN71" s="154"/>
      <c r="AO71" s="61"/>
      <c r="AP71" s="50"/>
      <c r="AQ71" s="62"/>
      <c r="AR71" s="56"/>
      <c r="AS71" s="125"/>
      <c r="AT71" s="154"/>
      <c r="AU71" s="61"/>
      <c r="AV71" s="57"/>
      <c r="AW71" s="62"/>
      <c r="AX71" s="320"/>
      <c r="AY71" s="58"/>
      <c r="AZ71" s="126"/>
      <c r="BA71" s="163"/>
      <c r="BB71" s="63"/>
      <c r="BC71" s="53"/>
      <c r="BD71" s="160"/>
      <c r="BE71" s="64"/>
      <c r="BF71" s="126"/>
      <c r="BG71" s="163"/>
      <c r="BH71" s="63"/>
      <c r="BI71"/>
      <c r="BJ71"/>
      <c r="BK71"/>
      <c r="BL71"/>
      <c r="BM71"/>
      <c r="BN71"/>
      <c r="BO71"/>
      <c r="BP71"/>
      <c r="BQ71"/>
      <c r="BR71"/>
      <c r="BS71"/>
      <c r="BT71" s="169"/>
      <c r="BU71"/>
      <c r="BV71" s="223"/>
      <c r="BW71"/>
      <c r="BX71"/>
      <c r="BY71"/>
      <c r="BZ71" s="169"/>
      <c r="CA71"/>
      <c r="CB71" s="169"/>
      <c r="CC71"/>
      <c r="CD71" s="169"/>
      <c r="CE71"/>
      <c r="CF71" s="169"/>
      <c r="CG71"/>
      <c r="CH71" s="169"/>
      <c r="CI71"/>
      <c r="CJ71" s="169"/>
      <c r="CK71"/>
      <c r="CL71" s="169"/>
      <c r="CM71"/>
      <c r="CN71"/>
      <c r="CO71" s="169"/>
      <c r="CP71"/>
      <c r="CQ71"/>
      <c r="CR71" s="169"/>
      <c r="CS71"/>
      <c r="CT71"/>
      <c r="CU71" s="171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2"/>
      <c r="DV71"/>
      <c r="DW71" s="198"/>
      <c r="DX71"/>
      <c r="DY71" s="162"/>
      <c r="DZ71"/>
      <c r="EA71" s="162"/>
      <c r="EB71"/>
      <c r="EC71" s="162"/>
      <c r="ED71"/>
      <c r="EE71" s="162"/>
      <c r="EF71"/>
      <c r="EG71"/>
      <c r="EH71" s="169"/>
      <c r="EI71"/>
      <c r="EJ71" s="169"/>
      <c r="EK71"/>
      <c r="EL71" s="169"/>
      <c r="EM71"/>
      <c r="EN71" s="169"/>
      <c r="EO71"/>
      <c r="EP71" s="169"/>
      <c r="EQ71"/>
      <c r="ER71" s="169"/>
      <c r="ES71"/>
      <c r="ET71"/>
      <c r="EU71" s="169"/>
      <c r="EV71"/>
      <c r="EW71" s="169"/>
      <c r="EX71"/>
      <c r="EY71" s="169"/>
      <c r="EZ71"/>
      <c r="FA71" s="169"/>
      <c r="FB71"/>
      <c r="FC71" s="169"/>
      <c r="FD71"/>
      <c r="FE71"/>
      <c r="FF71" s="169"/>
      <c r="FG71" s="169"/>
      <c r="FH71" s="169"/>
      <c r="FI71" s="169"/>
      <c r="FJ71" s="169"/>
      <c r="FK71" s="169"/>
      <c r="FL71" s="169"/>
      <c r="FM71" s="169"/>
      <c r="FN71" s="169"/>
      <c r="FO71"/>
      <c r="FP71" s="169"/>
      <c r="FQ71"/>
      <c r="FR71" s="169"/>
      <c r="FS71"/>
    </row>
    <row r="72" spans="1:175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365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321"/>
      <c r="AL72" s="57"/>
      <c r="AM72" s="124"/>
      <c r="AN72" s="154"/>
      <c r="AO72" s="61"/>
      <c r="AP72" s="50"/>
      <c r="AQ72" s="62"/>
      <c r="AR72" s="56"/>
      <c r="AS72" s="125"/>
      <c r="AT72" s="154"/>
      <c r="AU72" s="61"/>
      <c r="AV72" s="57"/>
      <c r="AW72" s="62"/>
      <c r="AX72" s="320"/>
      <c r="AY72" s="58"/>
      <c r="AZ72" s="126"/>
      <c r="BA72" s="163"/>
      <c r="BB72" s="63"/>
      <c r="BC72" s="53"/>
      <c r="BD72" s="160"/>
      <c r="BE72" s="64"/>
      <c r="BF72" s="126"/>
      <c r="BG72" s="163"/>
      <c r="BH72" s="63"/>
      <c r="BI72"/>
      <c r="BJ72"/>
      <c r="BK72"/>
      <c r="BL72"/>
      <c r="BM72"/>
      <c r="BN72"/>
      <c r="BO72"/>
      <c r="BP72"/>
      <c r="BQ72"/>
      <c r="BR72"/>
      <c r="BS72"/>
      <c r="BT72" s="169"/>
      <c r="BU72"/>
      <c r="BV72" s="223"/>
      <c r="BW72"/>
      <c r="BX72"/>
      <c r="BY72"/>
      <c r="BZ72" s="169"/>
      <c r="CA72"/>
      <c r="CB72" s="169"/>
      <c r="CC72"/>
      <c r="CD72" s="169"/>
      <c r="CE72"/>
      <c r="CF72" s="169"/>
      <c r="CG72"/>
      <c r="CH72" s="169"/>
      <c r="CI72"/>
      <c r="CJ72" s="169"/>
      <c r="CK72"/>
      <c r="CL72" s="169"/>
      <c r="CM72"/>
      <c r="CN72"/>
      <c r="CO72" s="169"/>
      <c r="CP72"/>
      <c r="CQ72"/>
      <c r="CR72" s="169"/>
      <c r="CS72"/>
      <c r="CT72"/>
      <c r="CU72" s="171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2"/>
      <c r="DV72"/>
      <c r="DW72" s="198"/>
      <c r="DX72"/>
      <c r="DY72" s="162"/>
      <c r="DZ72"/>
      <c r="EA72" s="162"/>
      <c r="EB72"/>
      <c r="EC72" s="162"/>
      <c r="ED72"/>
      <c r="EE72" s="162"/>
      <c r="EF72"/>
      <c r="EG72"/>
      <c r="EH72" s="169"/>
      <c r="EI72"/>
      <c r="EJ72" s="169"/>
      <c r="EK72"/>
      <c r="EL72" s="169"/>
      <c r="EM72"/>
      <c r="EN72" s="169"/>
      <c r="EO72"/>
      <c r="EP72" s="169"/>
      <c r="EQ72"/>
      <c r="ER72" s="169"/>
      <c r="ES72"/>
      <c r="ET72"/>
      <c r="EU72" s="169"/>
      <c r="EV72"/>
      <c r="EW72" s="169"/>
      <c r="EX72"/>
      <c r="EY72" s="169"/>
      <c r="EZ72"/>
      <c r="FA72" s="169"/>
      <c r="FB72"/>
      <c r="FC72" s="169"/>
      <c r="FD72"/>
      <c r="FE72"/>
      <c r="FF72" s="169"/>
      <c r="FG72" s="169"/>
      <c r="FH72" s="169"/>
      <c r="FI72" s="169"/>
      <c r="FJ72" s="169"/>
      <c r="FK72" s="169"/>
      <c r="FL72" s="169"/>
      <c r="FM72" s="169"/>
      <c r="FN72" s="169"/>
      <c r="FO72"/>
      <c r="FP72" s="169"/>
      <c r="FQ72"/>
      <c r="FR72" s="169"/>
      <c r="FS72"/>
    </row>
    <row r="73" spans="1:175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365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321"/>
      <c r="AL73" s="57"/>
      <c r="AM73" s="124"/>
      <c r="AN73" s="154"/>
      <c r="AO73" s="61"/>
      <c r="AP73" s="50"/>
      <c r="AQ73" s="62"/>
      <c r="AR73" s="56"/>
      <c r="AS73" s="125"/>
      <c r="AT73" s="154"/>
      <c r="AU73" s="61"/>
      <c r="AV73" s="57"/>
      <c r="AW73" s="62"/>
      <c r="AX73" s="320"/>
      <c r="AY73" s="58"/>
      <c r="AZ73" s="126"/>
      <c r="BA73" s="163"/>
      <c r="BB73" s="63"/>
      <c r="BC73" s="53"/>
      <c r="BD73" s="160"/>
      <c r="BE73" s="64"/>
      <c r="BF73" s="126"/>
      <c r="BG73" s="163"/>
      <c r="BH73" s="63"/>
      <c r="BI73"/>
      <c r="BJ73"/>
      <c r="BK73"/>
      <c r="BL73"/>
      <c r="BM73"/>
      <c r="BN73"/>
      <c r="BO73"/>
      <c r="BP73"/>
      <c r="BQ73"/>
      <c r="BR73"/>
      <c r="BS73"/>
      <c r="BT73" s="169"/>
      <c r="BU73"/>
      <c r="BV73" s="223"/>
      <c r="BW73"/>
      <c r="BX73"/>
      <c r="BY73"/>
      <c r="BZ73" s="169"/>
      <c r="CA73"/>
      <c r="CB73" s="169"/>
      <c r="CC73"/>
      <c r="CD73" s="169"/>
      <c r="CE73"/>
      <c r="CF73" s="169"/>
      <c r="CG73"/>
      <c r="CH73" s="169"/>
      <c r="CI73"/>
      <c r="CJ73" s="169"/>
      <c r="CK73"/>
      <c r="CL73" s="169"/>
      <c r="CM73"/>
      <c r="CN73"/>
      <c r="CO73" s="169"/>
      <c r="CP73"/>
      <c r="CQ73"/>
      <c r="CR73" s="169"/>
      <c r="CS73"/>
      <c r="CT73"/>
      <c r="CU73" s="171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2"/>
      <c r="DV73"/>
      <c r="DW73" s="198"/>
      <c r="DX73"/>
      <c r="DY73" s="162"/>
      <c r="DZ73"/>
      <c r="EA73" s="162"/>
      <c r="EB73"/>
      <c r="EC73" s="162"/>
      <c r="ED73"/>
      <c r="EE73" s="162"/>
      <c r="EF73"/>
      <c r="EG73"/>
      <c r="EH73" s="169"/>
      <c r="EI73"/>
      <c r="EJ73" s="169"/>
      <c r="EK73"/>
      <c r="EL73" s="169"/>
      <c r="EM73"/>
      <c r="EN73" s="169"/>
      <c r="EO73"/>
      <c r="EP73" s="169"/>
      <c r="EQ73"/>
      <c r="ER73" s="169"/>
      <c r="ES73"/>
      <c r="ET73"/>
      <c r="EU73" s="169"/>
      <c r="EV73"/>
      <c r="EW73" s="169"/>
      <c r="EX73"/>
      <c r="EY73" s="169"/>
      <c r="EZ73"/>
      <c r="FA73" s="169"/>
      <c r="FB73"/>
      <c r="FC73" s="169"/>
      <c r="FD73"/>
      <c r="FE73"/>
      <c r="FF73" s="169"/>
      <c r="FG73" s="169"/>
      <c r="FH73" s="169"/>
      <c r="FI73" s="169"/>
      <c r="FJ73" s="169"/>
      <c r="FK73" s="169"/>
      <c r="FL73" s="169"/>
      <c r="FM73" s="169"/>
      <c r="FN73" s="169"/>
      <c r="FO73"/>
      <c r="FP73" s="169"/>
      <c r="FQ73"/>
      <c r="FR73" s="169"/>
      <c r="FS73"/>
    </row>
    <row r="74" spans="1:175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365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321"/>
      <c r="AL74" s="65"/>
      <c r="AM74" s="124"/>
      <c r="AN74" s="155"/>
      <c r="AO74" s="61"/>
      <c r="AP74" s="50"/>
      <c r="AQ74" s="62"/>
      <c r="AR74" s="66"/>
      <c r="AS74" s="125"/>
      <c r="AT74" s="155"/>
      <c r="AU74" s="61"/>
      <c r="AV74" s="65"/>
      <c r="AW74" s="62"/>
      <c r="AX74" s="320"/>
      <c r="AY74" s="58"/>
      <c r="AZ74" s="126"/>
      <c r="BA74" s="163"/>
      <c r="BB74" s="63"/>
      <c r="BC74" s="53"/>
      <c r="BD74" s="160"/>
      <c r="BE74" s="64"/>
      <c r="BF74" s="126"/>
      <c r="BG74" s="163"/>
      <c r="BH74" s="63"/>
      <c r="BI74"/>
      <c r="BJ74"/>
      <c r="BK74"/>
      <c r="BL74"/>
      <c r="BM74"/>
      <c r="BN74"/>
      <c r="BO74"/>
      <c r="BP74"/>
      <c r="BQ74"/>
      <c r="BR74"/>
      <c r="BS74"/>
      <c r="BT74" s="169"/>
      <c r="BU74"/>
      <c r="BV74" s="223"/>
      <c r="BW74"/>
      <c r="BX74"/>
      <c r="BY74"/>
      <c r="BZ74" s="169"/>
      <c r="CA74"/>
      <c r="CB74" s="169"/>
      <c r="CC74"/>
      <c r="CD74" s="169"/>
      <c r="CE74"/>
      <c r="CF74" s="169"/>
      <c r="CG74"/>
      <c r="CH74" s="169"/>
      <c r="CI74"/>
      <c r="CJ74" s="169"/>
      <c r="CK74"/>
      <c r="CL74" s="169"/>
      <c r="CM74"/>
      <c r="CN74"/>
      <c r="CO74" s="169"/>
      <c r="CP74"/>
      <c r="CQ74"/>
      <c r="CR74" s="169"/>
      <c r="CS74"/>
      <c r="CT74"/>
      <c r="CU74" s="171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2"/>
      <c r="DV74"/>
      <c r="DW74" s="198"/>
      <c r="DX74"/>
      <c r="DY74" s="162"/>
      <c r="DZ74"/>
      <c r="EA74" s="162"/>
      <c r="EB74"/>
      <c r="EC74" s="162"/>
      <c r="ED74"/>
      <c r="EE74" s="162"/>
      <c r="EF74"/>
      <c r="EG74"/>
      <c r="EH74" s="169"/>
      <c r="EI74"/>
      <c r="EJ74" s="169"/>
      <c r="EK74"/>
      <c r="EL74" s="169"/>
      <c r="EM74"/>
      <c r="EN74" s="169"/>
      <c r="EO74"/>
      <c r="EP74" s="169"/>
      <c r="EQ74"/>
      <c r="ER74" s="169"/>
      <c r="ES74"/>
      <c r="ET74"/>
      <c r="EU74" s="169"/>
      <c r="EV74"/>
      <c r="EW74" s="169"/>
      <c r="EX74"/>
      <c r="EY74" s="169"/>
      <c r="EZ74"/>
      <c r="FA74" s="169"/>
      <c r="FB74"/>
      <c r="FC74" s="169"/>
      <c r="FD74"/>
      <c r="FE74"/>
      <c r="FF74" s="169"/>
      <c r="FG74" s="169"/>
      <c r="FH74" s="169"/>
      <c r="FI74" s="169"/>
      <c r="FJ74" s="169"/>
      <c r="FK74" s="169"/>
      <c r="FL74" s="169"/>
      <c r="FM74" s="169"/>
      <c r="FN74" s="169"/>
      <c r="FO74"/>
      <c r="FP74" s="169"/>
      <c r="FQ74"/>
      <c r="FR74" s="169"/>
      <c r="FS74"/>
    </row>
    <row r="75" spans="1:175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365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321"/>
      <c r="AL75" s="65"/>
      <c r="AM75" s="124"/>
      <c r="AN75" s="155"/>
      <c r="AO75" s="61"/>
      <c r="AP75" s="50"/>
      <c r="AQ75" s="62"/>
      <c r="AR75" s="66"/>
      <c r="AS75" s="125"/>
      <c r="AT75" s="155"/>
      <c r="AU75" s="61"/>
      <c r="AV75" s="65"/>
      <c r="AW75" s="62"/>
      <c r="AX75" s="320"/>
      <c r="AY75" s="58"/>
      <c r="AZ75" s="126"/>
      <c r="BA75" s="163"/>
      <c r="BB75" s="63"/>
      <c r="BC75" s="53"/>
      <c r="BD75" s="160"/>
      <c r="BE75" s="64"/>
      <c r="BF75" s="126"/>
      <c r="BG75" s="163"/>
      <c r="BH75" s="63"/>
      <c r="BI75"/>
      <c r="BJ75"/>
      <c r="BK75"/>
      <c r="BL75"/>
      <c r="BM75"/>
      <c r="BN75"/>
      <c r="BO75"/>
      <c r="BP75"/>
      <c r="BQ75"/>
      <c r="BR75"/>
      <c r="BS75"/>
      <c r="BT75" s="169"/>
      <c r="BU75"/>
      <c r="BV75" s="223"/>
      <c r="BW75"/>
      <c r="BX75"/>
      <c r="BY75"/>
      <c r="BZ75" s="169"/>
      <c r="CA75"/>
      <c r="CB75" s="169"/>
      <c r="CC75"/>
      <c r="CD75" s="169"/>
      <c r="CE75"/>
      <c r="CF75" s="169"/>
      <c r="CG75"/>
      <c r="CH75" s="169"/>
      <c r="CI75"/>
      <c r="CJ75" s="169"/>
      <c r="CK75"/>
      <c r="CL75" s="169"/>
      <c r="CM75"/>
      <c r="CN75"/>
      <c r="CO75" s="169"/>
      <c r="CP75"/>
      <c r="CQ75"/>
      <c r="CR75" s="169"/>
      <c r="CS75"/>
      <c r="CT75"/>
      <c r="CU75" s="171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2"/>
      <c r="DV75"/>
      <c r="DW75" s="198"/>
      <c r="DX75"/>
      <c r="DY75" s="162"/>
      <c r="DZ75"/>
      <c r="EA75" s="162"/>
      <c r="EB75"/>
      <c r="EC75" s="162"/>
      <c r="ED75"/>
      <c r="EE75" s="162"/>
      <c r="EF75"/>
      <c r="EG75"/>
      <c r="EH75" s="169"/>
      <c r="EI75"/>
      <c r="EJ75" s="169"/>
      <c r="EK75"/>
      <c r="EL75" s="169"/>
      <c r="EM75"/>
      <c r="EN75" s="169"/>
      <c r="EO75"/>
      <c r="EP75" s="169"/>
      <c r="EQ75"/>
      <c r="ER75" s="169"/>
      <c r="ES75"/>
      <c r="ET75"/>
      <c r="EU75" s="169"/>
      <c r="EV75"/>
      <c r="EW75" s="169"/>
      <c r="EX75"/>
      <c r="EY75" s="169"/>
      <c r="EZ75"/>
      <c r="FA75" s="169"/>
      <c r="FB75"/>
      <c r="FC75" s="169"/>
      <c r="FD75"/>
      <c r="FE75"/>
      <c r="FF75" s="169"/>
      <c r="FG75" s="169"/>
      <c r="FH75" s="169"/>
      <c r="FI75" s="169"/>
      <c r="FJ75" s="169"/>
      <c r="FK75" s="169"/>
      <c r="FL75" s="169"/>
      <c r="FM75" s="169"/>
      <c r="FN75" s="169"/>
      <c r="FO75"/>
      <c r="FP75" s="169"/>
      <c r="FQ75"/>
      <c r="FR75" s="169"/>
      <c r="FS75"/>
    </row>
    <row r="76" spans="1:175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365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321"/>
      <c r="AL76" s="65"/>
      <c r="AM76" s="124"/>
      <c r="AN76" s="155"/>
      <c r="AO76" s="61"/>
      <c r="AP76" s="50"/>
      <c r="AQ76" s="62"/>
      <c r="AR76" s="66"/>
      <c r="AS76" s="125"/>
      <c r="AT76" s="155"/>
      <c r="AU76" s="61"/>
      <c r="AV76" s="65"/>
      <c r="AW76" s="62"/>
      <c r="AX76" s="320"/>
      <c r="AY76" s="58"/>
      <c r="AZ76" s="126"/>
      <c r="BA76" s="163"/>
      <c r="BB76" s="63"/>
      <c r="BC76" s="53"/>
      <c r="BD76" s="160"/>
      <c r="BE76" s="64"/>
      <c r="BF76" s="126"/>
      <c r="BG76" s="163"/>
      <c r="BH76" s="63"/>
      <c r="BI76"/>
      <c r="BJ76"/>
      <c r="BK76"/>
      <c r="BL76"/>
      <c r="BM76"/>
      <c r="BN76"/>
      <c r="BO76"/>
      <c r="BP76"/>
      <c r="BQ76"/>
      <c r="BR76"/>
      <c r="BS76"/>
      <c r="BT76" s="169"/>
      <c r="BU76"/>
      <c r="BV76" s="223"/>
      <c r="BW76"/>
      <c r="BX76"/>
      <c r="BY76"/>
      <c r="BZ76" s="169"/>
      <c r="CA76"/>
      <c r="CB76" s="169"/>
      <c r="CC76"/>
      <c r="CD76" s="169"/>
      <c r="CE76"/>
      <c r="CF76" s="169"/>
      <c r="CG76"/>
      <c r="CH76" s="169"/>
      <c r="CI76"/>
      <c r="CJ76" s="169"/>
      <c r="CK76"/>
      <c r="CL76" s="169"/>
      <c r="CM76"/>
      <c r="CN76"/>
      <c r="CO76" s="169"/>
      <c r="CP76"/>
      <c r="CQ76"/>
      <c r="CR76" s="169"/>
      <c r="CS76"/>
      <c r="CT76"/>
      <c r="CU76" s="171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2"/>
      <c r="DV76"/>
      <c r="DW76" s="198"/>
      <c r="DX76"/>
      <c r="DY76" s="162"/>
      <c r="DZ76"/>
      <c r="EA76" s="162"/>
      <c r="EB76"/>
      <c r="EC76" s="162"/>
      <c r="ED76"/>
      <c r="EE76" s="162"/>
      <c r="EF76"/>
      <c r="EG76"/>
      <c r="EH76" s="169"/>
      <c r="EI76"/>
      <c r="EJ76" s="169"/>
      <c r="EK76"/>
      <c r="EL76" s="169"/>
      <c r="EM76"/>
      <c r="EN76" s="169"/>
      <c r="EO76"/>
      <c r="EP76" s="169"/>
      <c r="EQ76"/>
      <c r="ER76" s="169"/>
      <c r="ES76"/>
      <c r="ET76"/>
      <c r="EU76" s="169"/>
      <c r="EV76"/>
      <c r="EW76" s="169"/>
      <c r="EX76"/>
      <c r="EY76" s="169"/>
      <c r="EZ76"/>
      <c r="FA76" s="169"/>
      <c r="FB76"/>
      <c r="FC76" s="169"/>
      <c r="FD76"/>
      <c r="FE76"/>
      <c r="FF76" s="169"/>
      <c r="FG76" s="169"/>
      <c r="FH76" s="169"/>
      <c r="FI76" s="169"/>
      <c r="FJ76" s="169"/>
      <c r="FK76" s="169"/>
      <c r="FL76" s="169"/>
      <c r="FM76" s="169"/>
      <c r="FN76" s="169"/>
      <c r="FO76"/>
      <c r="FP76" s="169"/>
      <c r="FQ76"/>
      <c r="FR76" s="169"/>
      <c r="FS76"/>
    </row>
    <row r="77" spans="1:175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365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321"/>
      <c r="AL77" s="65"/>
      <c r="AM77" s="124"/>
      <c r="AN77" s="155"/>
      <c r="AO77" s="61"/>
      <c r="AP77" s="50"/>
      <c r="AQ77" s="62"/>
      <c r="AR77" s="66"/>
      <c r="AS77" s="125"/>
      <c r="AT77" s="155"/>
      <c r="AU77" s="61"/>
      <c r="AV77" s="65"/>
      <c r="AW77" s="62"/>
      <c r="AX77" s="320"/>
      <c r="AY77" s="58"/>
      <c r="AZ77" s="126"/>
      <c r="BA77" s="163"/>
      <c r="BB77" s="63"/>
      <c r="BC77" s="53"/>
      <c r="BD77" s="160"/>
      <c r="BE77" s="64"/>
      <c r="BF77" s="126"/>
      <c r="BG77" s="163"/>
      <c r="BH77" s="63"/>
      <c r="BI77"/>
      <c r="BJ77"/>
      <c r="BK77"/>
      <c r="BL77"/>
      <c r="BM77"/>
      <c r="BN77"/>
      <c r="BO77"/>
      <c r="BP77"/>
      <c r="BQ77"/>
      <c r="BR77"/>
      <c r="BS77"/>
      <c r="BT77" s="169"/>
      <c r="BU77"/>
      <c r="BV77" s="223"/>
      <c r="BW77"/>
      <c r="BX77"/>
      <c r="BY77"/>
      <c r="BZ77" s="169"/>
      <c r="CA77"/>
      <c r="CB77" s="169"/>
      <c r="CC77"/>
      <c r="CD77" s="169"/>
      <c r="CE77"/>
      <c r="CF77" s="169"/>
      <c r="CG77"/>
      <c r="CH77" s="169"/>
      <c r="CI77"/>
      <c r="CJ77" s="169"/>
      <c r="CK77"/>
      <c r="CL77" s="169"/>
      <c r="CM77"/>
      <c r="CN77"/>
      <c r="CO77" s="169"/>
      <c r="CP77"/>
      <c r="CQ77"/>
      <c r="CR77" s="169"/>
      <c r="CS77"/>
      <c r="CT77"/>
      <c r="CU77" s="171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2"/>
      <c r="DV77"/>
      <c r="DW77" s="198"/>
      <c r="DX77"/>
      <c r="DY77" s="162"/>
      <c r="DZ77"/>
      <c r="EA77" s="162"/>
      <c r="EB77"/>
      <c r="EC77" s="162"/>
      <c r="ED77"/>
      <c r="EE77" s="162"/>
      <c r="EF77"/>
      <c r="EG77"/>
      <c r="EH77" s="169"/>
      <c r="EI77"/>
      <c r="EJ77" s="169"/>
      <c r="EK77"/>
      <c r="EL77" s="169"/>
      <c r="EM77"/>
      <c r="EN77" s="169"/>
      <c r="EO77"/>
      <c r="EP77" s="169"/>
      <c r="EQ77"/>
      <c r="ER77" s="169"/>
      <c r="ES77"/>
      <c r="ET77"/>
      <c r="EU77" s="169"/>
      <c r="EV77"/>
      <c r="EW77" s="169"/>
      <c r="EX77"/>
      <c r="EY77" s="169"/>
      <c r="EZ77"/>
      <c r="FA77" s="169"/>
      <c r="FB77"/>
      <c r="FC77" s="169"/>
      <c r="FD77"/>
      <c r="FE77"/>
      <c r="FF77" s="169"/>
      <c r="FG77" s="169"/>
      <c r="FH77" s="169"/>
      <c r="FI77" s="169"/>
      <c r="FJ77" s="169"/>
      <c r="FK77" s="169"/>
      <c r="FL77" s="169"/>
      <c r="FM77" s="169"/>
      <c r="FN77" s="169"/>
      <c r="FO77"/>
      <c r="FP77" s="169"/>
      <c r="FQ77"/>
      <c r="FR77" s="169"/>
      <c r="FS77"/>
    </row>
    <row r="78" spans="1:175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365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321"/>
      <c r="AL78" s="65"/>
      <c r="AM78" s="124"/>
      <c r="AN78" s="155"/>
      <c r="AO78" s="61"/>
      <c r="AP78" s="50"/>
      <c r="AQ78" s="62"/>
      <c r="AR78" s="66"/>
      <c r="AS78" s="125"/>
      <c r="AT78" s="155"/>
      <c r="AU78" s="61"/>
      <c r="AV78" s="65"/>
      <c r="AW78" s="62"/>
      <c r="AX78" s="320"/>
      <c r="AY78" s="58"/>
      <c r="AZ78" s="126"/>
      <c r="BA78" s="163"/>
      <c r="BB78" s="63"/>
      <c r="BC78" s="53"/>
      <c r="BD78" s="160"/>
      <c r="BE78" s="64"/>
      <c r="BF78" s="126"/>
      <c r="BG78" s="163"/>
      <c r="BH78" s="63"/>
      <c r="BI78"/>
      <c r="BJ78"/>
      <c r="BK78"/>
      <c r="BL78"/>
      <c r="BM78"/>
      <c r="BN78"/>
      <c r="BO78"/>
      <c r="BP78"/>
      <c r="BQ78"/>
      <c r="BR78"/>
      <c r="BS78"/>
      <c r="BT78" s="169"/>
      <c r="BU78"/>
      <c r="BV78" s="223"/>
      <c r="BW78"/>
      <c r="BX78"/>
      <c r="BY78"/>
      <c r="BZ78" s="169"/>
      <c r="CA78"/>
      <c r="CB78" s="169"/>
      <c r="CC78"/>
      <c r="CD78" s="169"/>
      <c r="CE78"/>
      <c r="CF78" s="169"/>
      <c r="CG78"/>
      <c r="CH78" s="169"/>
      <c r="CI78"/>
      <c r="CJ78" s="169"/>
      <c r="CK78"/>
      <c r="CL78" s="169"/>
      <c r="CM78"/>
      <c r="CN78"/>
      <c r="CO78" s="169"/>
      <c r="CP78"/>
      <c r="CQ78"/>
      <c r="CR78" s="169"/>
      <c r="CS78"/>
      <c r="CT78"/>
      <c r="CU78" s="171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2"/>
      <c r="DV78"/>
      <c r="DW78" s="198"/>
      <c r="DX78"/>
      <c r="DY78" s="162"/>
      <c r="DZ78"/>
      <c r="EA78" s="162"/>
      <c r="EB78"/>
      <c r="EC78" s="162"/>
      <c r="ED78"/>
      <c r="EE78" s="162"/>
      <c r="EF78"/>
      <c r="EG78"/>
      <c r="EH78" s="169"/>
      <c r="EI78"/>
      <c r="EJ78" s="169"/>
      <c r="EK78"/>
      <c r="EL78" s="169"/>
      <c r="EM78"/>
      <c r="EN78" s="169"/>
      <c r="EO78"/>
      <c r="EP78" s="169"/>
      <c r="EQ78"/>
      <c r="ER78" s="169"/>
      <c r="ES78"/>
      <c r="ET78"/>
      <c r="EU78" s="169"/>
      <c r="EV78"/>
      <c r="EW78" s="169"/>
      <c r="EX78"/>
      <c r="EY78" s="169"/>
      <c r="EZ78"/>
      <c r="FA78" s="169"/>
      <c r="FB78"/>
      <c r="FC78" s="169"/>
      <c r="FD78"/>
      <c r="FE78"/>
      <c r="FF78" s="169"/>
      <c r="FG78" s="169"/>
      <c r="FH78" s="169"/>
      <c r="FI78" s="169"/>
      <c r="FJ78" s="169"/>
      <c r="FK78" s="169"/>
      <c r="FL78" s="169"/>
      <c r="FM78" s="169"/>
      <c r="FN78" s="169"/>
      <c r="FO78"/>
      <c r="FP78" s="169"/>
      <c r="FQ78"/>
      <c r="FR78" s="169"/>
      <c r="FS78"/>
    </row>
    <row r="79" spans="1:175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365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321"/>
      <c r="AL79" s="65"/>
      <c r="AM79" s="124"/>
      <c r="AN79" s="155"/>
      <c r="AO79" s="61"/>
      <c r="AP79" s="50"/>
      <c r="AQ79" s="62"/>
      <c r="AR79" s="66"/>
      <c r="AS79" s="125"/>
      <c r="AT79" s="155"/>
      <c r="AU79" s="61"/>
      <c r="AV79" s="65"/>
      <c r="AW79" s="62"/>
      <c r="AX79" s="320"/>
      <c r="AY79" s="58"/>
      <c r="AZ79" s="126"/>
      <c r="BA79" s="163"/>
      <c r="BB79" s="63"/>
      <c r="BC79" s="53"/>
      <c r="BD79" s="160"/>
      <c r="BE79" s="64"/>
      <c r="BF79" s="126"/>
      <c r="BG79" s="163"/>
      <c r="BH79" s="63"/>
      <c r="BI79"/>
      <c r="BJ79"/>
      <c r="BK79"/>
      <c r="BL79"/>
      <c r="BM79"/>
      <c r="BN79"/>
      <c r="BO79"/>
      <c r="BP79"/>
      <c r="BQ79"/>
      <c r="BR79"/>
      <c r="BS79"/>
      <c r="BT79" s="169"/>
      <c r="BU79"/>
      <c r="BV79" s="223"/>
      <c r="BW79"/>
      <c r="BX79"/>
      <c r="BY79"/>
      <c r="BZ79" s="169"/>
      <c r="CA79"/>
      <c r="CB79" s="169"/>
      <c r="CC79"/>
      <c r="CD79" s="169"/>
      <c r="CE79"/>
      <c r="CF79" s="169"/>
      <c r="CG79"/>
      <c r="CH79" s="169"/>
      <c r="CI79"/>
      <c r="CJ79" s="169"/>
      <c r="CK79"/>
      <c r="CL79" s="169"/>
      <c r="CM79"/>
      <c r="CN79"/>
      <c r="CO79" s="169"/>
      <c r="CP79"/>
      <c r="CQ79"/>
      <c r="CR79" s="169"/>
      <c r="CS79"/>
      <c r="CT79"/>
      <c r="CU79" s="171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2"/>
      <c r="DV79"/>
      <c r="DW79" s="198"/>
      <c r="DX79"/>
      <c r="DY79" s="162"/>
      <c r="DZ79"/>
      <c r="EA79" s="162"/>
      <c r="EB79"/>
      <c r="EC79" s="162"/>
      <c r="ED79"/>
      <c r="EE79" s="162"/>
      <c r="EF79"/>
      <c r="EG79"/>
      <c r="EH79" s="169"/>
      <c r="EI79"/>
      <c r="EJ79" s="169"/>
      <c r="EK79"/>
      <c r="EL79" s="169"/>
      <c r="EM79"/>
      <c r="EN79" s="169"/>
      <c r="EO79"/>
      <c r="EP79" s="169"/>
      <c r="EQ79"/>
      <c r="ER79" s="169"/>
      <c r="ES79"/>
      <c r="ET79"/>
      <c r="EU79" s="169"/>
      <c r="EV79"/>
      <c r="EW79" s="169"/>
      <c r="EX79"/>
      <c r="EY79" s="169"/>
      <c r="EZ79"/>
      <c r="FA79" s="169"/>
      <c r="FB79"/>
      <c r="FC79" s="169"/>
      <c r="FD79"/>
      <c r="FE79"/>
      <c r="FF79" s="169"/>
      <c r="FG79" s="169"/>
      <c r="FH79" s="169"/>
      <c r="FI79" s="169"/>
      <c r="FJ79" s="169"/>
      <c r="FK79" s="169"/>
      <c r="FL79" s="169"/>
      <c r="FM79" s="169"/>
      <c r="FN79" s="169"/>
      <c r="FO79"/>
      <c r="FP79" s="169"/>
      <c r="FQ79"/>
      <c r="FR79" s="169"/>
      <c r="FS79"/>
    </row>
    <row r="80" spans="1:175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365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321"/>
      <c r="AL80" s="65"/>
      <c r="AM80" s="124"/>
      <c r="AN80" s="155"/>
      <c r="AO80" s="61"/>
      <c r="AP80" s="50"/>
      <c r="AQ80" s="62"/>
      <c r="AR80" s="66"/>
      <c r="AS80" s="125"/>
      <c r="AT80" s="155"/>
      <c r="AU80" s="61"/>
      <c r="AV80" s="65"/>
      <c r="AW80" s="62"/>
      <c r="AX80" s="320"/>
      <c r="AY80" s="58"/>
      <c r="AZ80" s="126"/>
      <c r="BA80" s="163"/>
      <c r="BB80" s="63"/>
      <c r="BC80" s="53"/>
      <c r="BD80" s="160"/>
      <c r="BE80" s="64"/>
      <c r="BF80" s="126"/>
      <c r="BG80" s="163"/>
      <c r="BH80" s="63"/>
      <c r="BI80"/>
      <c r="BJ80"/>
      <c r="BK80"/>
      <c r="BL80"/>
      <c r="BM80"/>
      <c r="BN80"/>
      <c r="BO80"/>
      <c r="BP80"/>
      <c r="BQ80"/>
      <c r="BR80"/>
      <c r="BS80"/>
      <c r="BT80" s="169"/>
      <c r="BU80"/>
      <c r="BV80" s="223"/>
      <c r="BW80"/>
      <c r="BX80"/>
      <c r="BY80"/>
      <c r="BZ80" s="169"/>
      <c r="CA80"/>
      <c r="CB80" s="169"/>
      <c r="CC80"/>
      <c r="CD80" s="169"/>
      <c r="CE80"/>
      <c r="CF80" s="169"/>
      <c r="CG80"/>
      <c r="CH80" s="169"/>
      <c r="CI80"/>
      <c r="CJ80" s="169"/>
      <c r="CK80"/>
      <c r="CL80" s="169"/>
      <c r="CM80"/>
      <c r="CN80"/>
      <c r="CO80" s="169"/>
      <c r="CP80"/>
      <c r="CQ80"/>
      <c r="CR80" s="169"/>
      <c r="CS80"/>
      <c r="CT80"/>
      <c r="CU80" s="171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2"/>
      <c r="DV80"/>
      <c r="DW80" s="198"/>
      <c r="DX80"/>
      <c r="DY80" s="162"/>
      <c r="DZ80"/>
      <c r="EA80" s="162"/>
      <c r="EB80"/>
      <c r="EC80" s="162"/>
      <c r="ED80"/>
      <c r="EE80" s="162"/>
      <c r="EF80"/>
      <c r="EG80"/>
      <c r="EH80" s="169"/>
      <c r="EI80"/>
      <c r="EJ80" s="169"/>
      <c r="EK80"/>
      <c r="EL80" s="169"/>
      <c r="EM80"/>
      <c r="EN80" s="169"/>
      <c r="EO80"/>
      <c r="EP80" s="169"/>
      <c r="EQ80"/>
      <c r="ER80" s="169"/>
      <c r="ES80"/>
      <c r="ET80"/>
      <c r="EU80" s="169"/>
      <c r="EV80"/>
      <c r="EW80" s="169"/>
      <c r="EX80"/>
      <c r="EY80" s="169"/>
      <c r="EZ80"/>
      <c r="FA80" s="169"/>
      <c r="FB80"/>
      <c r="FC80" s="169"/>
      <c r="FD80"/>
      <c r="FE80"/>
      <c r="FF80" s="169"/>
      <c r="FG80" s="169"/>
      <c r="FH80" s="169"/>
      <c r="FI80" s="169"/>
      <c r="FJ80" s="169"/>
      <c r="FK80" s="169"/>
      <c r="FL80" s="169"/>
      <c r="FM80" s="169"/>
      <c r="FN80" s="169"/>
      <c r="FO80"/>
      <c r="FP80" s="169"/>
      <c r="FQ80"/>
      <c r="FR80" s="169"/>
      <c r="FS80"/>
    </row>
    <row r="81" spans="1:175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365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321"/>
      <c r="AL81" s="65"/>
      <c r="AM81" s="124"/>
      <c r="AN81" s="155"/>
      <c r="AO81" s="61"/>
      <c r="AP81" s="50"/>
      <c r="AQ81" s="62"/>
      <c r="AR81" s="66"/>
      <c r="AS81" s="125"/>
      <c r="AT81" s="155"/>
      <c r="AU81" s="61"/>
      <c r="AV81" s="65"/>
      <c r="AW81" s="62"/>
      <c r="AX81" s="320"/>
      <c r="AY81" s="58"/>
      <c r="AZ81" s="126"/>
      <c r="BA81" s="163"/>
      <c r="BB81" s="63"/>
      <c r="BC81" s="53"/>
      <c r="BD81" s="160"/>
      <c r="BE81" s="64"/>
      <c r="BF81" s="126"/>
      <c r="BG81" s="163"/>
      <c r="BH81" s="63"/>
      <c r="BI81"/>
      <c r="BJ81"/>
      <c r="BK81"/>
      <c r="BL81"/>
      <c r="BM81"/>
      <c r="BN81"/>
      <c r="BO81"/>
      <c r="BP81"/>
      <c r="BQ81"/>
      <c r="BR81"/>
      <c r="BS81"/>
      <c r="BT81" s="169"/>
      <c r="BU81"/>
      <c r="BV81" s="223"/>
      <c r="BW81"/>
      <c r="BX81"/>
      <c r="BY81"/>
      <c r="BZ81" s="169"/>
      <c r="CA81"/>
      <c r="CB81" s="169"/>
      <c r="CC81"/>
      <c r="CD81" s="169"/>
      <c r="CE81"/>
      <c r="CF81" s="169"/>
      <c r="CG81"/>
      <c r="CH81" s="169"/>
      <c r="CI81"/>
      <c r="CJ81" s="169"/>
      <c r="CK81"/>
      <c r="CL81" s="169"/>
      <c r="CM81"/>
      <c r="CN81"/>
      <c r="CO81" s="169"/>
      <c r="CP81"/>
      <c r="CQ81"/>
      <c r="CR81" s="169"/>
      <c r="CS81"/>
      <c r="CT81"/>
      <c r="CU81" s="171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2"/>
      <c r="DV81"/>
      <c r="DW81" s="198"/>
      <c r="DX81"/>
      <c r="DY81" s="162"/>
      <c r="DZ81"/>
      <c r="EA81" s="162"/>
      <c r="EB81"/>
      <c r="EC81" s="162"/>
      <c r="ED81"/>
      <c r="EE81" s="162"/>
      <c r="EF81"/>
      <c r="EG81"/>
      <c r="EH81" s="169"/>
      <c r="EI81"/>
      <c r="EJ81" s="169"/>
      <c r="EK81"/>
      <c r="EL81" s="169"/>
      <c r="EM81"/>
      <c r="EN81" s="169"/>
      <c r="EO81"/>
      <c r="EP81" s="169"/>
      <c r="EQ81"/>
      <c r="ER81" s="169"/>
      <c r="ES81"/>
      <c r="ET81"/>
      <c r="EU81" s="169"/>
      <c r="EV81"/>
      <c r="EW81" s="169"/>
      <c r="EX81"/>
      <c r="EY81" s="169"/>
      <c r="EZ81"/>
      <c r="FA81" s="169"/>
      <c r="FB81"/>
      <c r="FC81" s="169"/>
      <c r="FD81"/>
      <c r="FE81"/>
      <c r="FF81" s="169"/>
      <c r="FG81" s="169"/>
      <c r="FH81" s="169"/>
      <c r="FI81" s="169"/>
      <c r="FJ81" s="169"/>
      <c r="FK81" s="169"/>
      <c r="FL81" s="169"/>
      <c r="FM81" s="169"/>
      <c r="FN81" s="169"/>
      <c r="FO81"/>
      <c r="FP81" s="169"/>
      <c r="FQ81"/>
      <c r="FR81" s="169"/>
      <c r="FS81"/>
    </row>
    <row r="82" spans="1:175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365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321"/>
      <c r="AL82" s="65"/>
      <c r="AM82" s="124"/>
      <c r="AN82" s="155"/>
      <c r="AO82" s="61"/>
      <c r="AP82" s="50"/>
      <c r="AQ82" s="62"/>
      <c r="AR82" s="66"/>
      <c r="AS82" s="125"/>
      <c r="AT82" s="155"/>
      <c r="AU82" s="61"/>
      <c r="AV82" s="65"/>
      <c r="AW82" s="62"/>
      <c r="AX82" s="320"/>
      <c r="AY82" s="58"/>
      <c r="AZ82" s="126"/>
      <c r="BA82" s="163"/>
      <c r="BB82" s="63"/>
      <c r="BC82" s="53"/>
      <c r="BD82" s="160"/>
      <c r="BE82" s="64"/>
      <c r="BF82" s="126"/>
      <c r="BG82" s="163"/>
      <c r="BH82" s="63"/>
      <c r="BI82"/>
      <c r="BJ82"/>
      <c r="BK82"/>
      <c r="BL82"/>
      <c r="BM82"/>
      <c r="BN82"/>
      <c r="BO82"/>
      <c r="BP82"/>
      <c r="BQ82"/>
      <c r="BR82"/>
      <c r="BS82"/>
      <c r="BT82" s="169"/>
      <c r="BU82"/>
      <c r="BV82" s="223"/>
      <c r="BW82"/>
      <c r="BX82"/>
      <c r="BY82"/>
      <c r="BZ82" s="169"/>
      <c r="CA82"/>
      <c r="CB82" s="169"/>
      <c r="CC82"/>
      <c r="CD82" s="169"/>
      <c r="CE82"/>
      <c r="CF82" s="169"/>
      <c r="CG82"/>
      <c r="CH82" s="169"/>
      <c r="CI82"/>
      <c r="CJ82" s="169"/>
      <c r="CK82"/>
      <c r="CL82" s="169"/>
      <c r="CM82"/>
      <c r="CN82"/>
      <c r="CO82" s="169"/>
      <c r="CP82"/>
      <c r="CQ82"/>
      <c r="CR82" s="169"/>
      <c r="CS82"/>
      <c r="CT82"/>
      <c r="CU82" s="171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2"/>
      <c r="DV82"/>
      <c r="DW82" s="198"/>
      <c r="DX82"/>
      <c r="DY82" s="162"/>
      <c r="DZ82"/>
      <c r="EA82" s="162"/>
      <c r="EB82"/>
      <c r="EC82" s="162"/>
      <c r="ED82"/>
      <c r="EE82" s="162"/>
      <c r="EF82"/>
      <c r="EG82"/>
      <c r="EH82" s="169"/>
      <c r="EI82"/>
      <c r="EJ82" s="169"/>
      <c r="EK82"/>
      <c r="EL82" s="169"/>
      <c r="EM82"/>
      <c r="EN82" s="169"/>
      <c r="EO82"/>
      <c r="EP82" s="169"/>
      <c r="EQ82"/>
      <c r="ER82" s="169"/>
      <c r="ES82"/>
      <c r="ET82"/>
      <c r="EU82" s="169"/>
      <c r="EV82"/>
      <c r="EW82" s="169"/>
      <c r="EX82"/>
      <c r="EY82" s="169"/>
      <c r="EZ82"/>
      <c r="FA82" s="169"/>
      <c r="FB82"/>
      <c r="FC82" s="169"/>
      <c r="FD82"/>
      <c r="FE82"/>
      <c r="FF82" s="169"/>
      <c r="FG82" s="169"/>
      <c r="FH82" s="169"/>
      <c r="FI82" s="169"/>
      <c r="FJ82" s="169"/>
      <c r="FK82" s="169"/>
      <c r="FL82" s="169"/>
      <c r="FM82" s="169"/>
      <c r="FN82" s="169"/>
      <c r="FO82"/>
      <c r="FP82" s="169"/>
      <c r="FQ82"/>
      <c r="FR82" s="169"/>
      <c r="FS82"/>
    </row>
    <row r="83" spans="1:175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365"/>
      <c r="Y83" s="2"/>
      <c r="Z83" s="48"/>
      <c r="AB83" s="48"/>
      <c r="AD83" s="123"/>
      <c r="AE83" s="60"/>
      <c r="AF83" s="60"/>
      <c r="AH83" s="60"/>
      <c r="AJ83" s="123"/>
      <c r="AK83" s="321"/>
      <c r="AL83" s="65"/>
      <c r="AM83" s="124"/>
      <c r="AN83" s="153"/>
      <c r="AO83" s="61"/>
      <c r="AP83" s="50"/>
      <c r="AQ83" s="62"/>
      <c r="AS83" s="125"/>
      <c r="AT83" s="2"/>
      <c r="AU83" s="61"/>
      <c r="AV83" s="51"/>
      <c r="AW83" s="62"/>
      <c r="AX83" s="320"/>
      <c r="AY83" s="52"/>
      <c r="AZ83" s="126"/>
      <c r="BA83" s="160"/>
      <c r="BB83" s="63"/>
      <c r="BC83" s="53"/>
      <c r="BD83" s="160"/>
      <c r="BE83" s="53"/>
      <c r="BF83" s="126"/>
      <c r="BG83" s="160"/>
      <c r="BH83" s="63"/>
      <c r="BI83"/>
      <c r="BJ83"/>
      <c r="BK83"/>
      <c r="BL83"/>
      <c r="BM83"/>
      <c r="BN83"/>
      <c r="BO83"/>
      <c r="BP83"/>
      <c r="BQ83"/>
      <c r="BR83"/>
      <c r="BS83"/>
      <c r="BT83" s="169"/>
      <c r="BU83"/>
      <c r="BV83" s="223"/>
      <c r="BW83"/>
      <c r="BX83"/>
      <c r="BY83"/>
      <c r="BZ83" s="169"/>
      <c r="CA83"/>
      <c r="CB83" s="169"/>
      <c r="CC83"/>
      <c r="CD83" s="169"/>
      <c r="CE83"/>
      <c r="CF83" s="169"/>
      <c r="CG83"/>
      <c r="CH83" s="169"/>
      <c r="CI83"/>
      <c r="CJ83" s="169"/>
      <c r="CK83"/>
      <c r="CL83" s="169"/>
      <c r="CM83"/>
      <c r="CN83"/>
      <c r="CO83" s="169"/>
      <c r="CP83"/>
      <c r="CQ83"/>
      <c r="CR83" s="169"/>
      <c r="CS83"/>
      <c r="CT83"/>
      <c r="CU83" s="171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2"/>
      <c r="DV83"/>
      <c r="DW83" s="198"/>
      <c r="DX83"/>
      <c r="DY83" s="162"/>
      <c r="DZ83"/>
      <c r="EA83" s="162"/>
      <c r="EB83"/>
      <c r="EC83" s="162"/>
      <c r="ED83"/>
      <c r="EE83" s="162"/>
      <c r="EF83"/>
      <c r="EG83"/>
      <c r="EH83" s="169"/>
      <c r="EI83"/>
      <c r="EJ83" s="169"/>
      <c r="EK83"/>
      <c r="EL83" s="169"/>
      <c r="EM83"/>
      <c r="EN83" s="169"/>
      <c r="EO83"/>
      <c r="EP83" s="169"/>
      <c r="EQ83"/>
      <c r="ER83" s="169"/>
      <c r="ES83"/>
      <c r="ET83"/>
      <c r="EU83" s="169"/>
      <c r="EV83"/>
      <c r="EW83" s="169"/>
      <c r="EX83"/>
      <c r="EY83" s="169"/>
      <c r="EZ83"/>
      <c r="FA83" s="169"/>
      <c r="FB83"/>
      <c r="FC83" s="169"/>
      <c r="FD83"/>
      <c r="FE83"/>
      <c r="FF83" s="169"/>
      <c r="FG83" s="169"/>
      <c r="FH83" s="169"/>
      <c r="FI83" s="169"/>
      <c r="FJ83" s="169"/>
      <c r="FK83" s="169"/>
      <c r="FL83" s="169"/>
      <c r="FM83" s="169"/>
      <c r="FN83" s="169"/>
      <c r="FO83"/>
      <c r="FP83" s="169"/>
      <c r="FQ83"/>
      <c r="FR83" s="169"/>
      <c r="FS83"/>
    </row>
    <row r="84" spans="1:175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365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321"/>
      <c r="AL84" s="49"/>
      <c r="AM84" s="124"/>
      <c r="AN84" s="153"/>
      <c r="AO84" s="61"/>
      <c r="AP84" s="50"/>
      <c r="AQ84" s="62"/>
      <c r="AR84" s="1"/>
      <c r="AS84" s="125"/>
      <c r="AU84" s="61"/>
      <c r="AV84" s="51"/>
      <c r="AW84" s="62"/>
      <c r="AX84" s="320"/>
      <c r="AY84" s="52"/>
      <c r="AZ84" s="126"/>
      <c r="BA84" s="160"/>
      <c r="BB84" s="63"/>
      <c r="BC84" s="53"/>
      <c r="BD84" s="160"/>
      <c r="BE84" s="53"/>
      <c r="BF84" s="126"/>
      <c r="BG84" s="160"/>
      <c r="BH84" s="63"/>
    </row>
    <row r="85" spans="1:175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365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321"/>
      <c r="AL85" s="49"/>
      <c r="AM85" s="124"/>
      <c r="AN85" s="153"/>
      <c r="AO85" s="61"/>
      <c r="AP85" s="50"/>
      <c r="AQ85" s="62"/>
      <c r="AR85" s="1"/>
      <c r="AS85" s="125"/>
      <c r="AU85" s="61"/>
      <c r="AV85" s="51"/>
      <c r="AW85" s="62"/>
      <c r="AX85" s="320"/>
      <c r="AY85" s="52"/>
      <c r="AZ85" s="126"/>
      <c r="BA85" s="160"/>
      <c r="BB85" s="63"/>
      <c r="BC85" s="53"/>
      <c r="BD85" s="160"/>
      <c r="BE85" s="53"/>
      <c r="BF85" s="126"/>
      <c r="BG85" s="160"/>
      <c r="BH85" s="63"/>
    </row>
    <row r="86" spans="1:175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365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321"/>
      <c r="AL86" s="49"/>
      <c r="AM86" s="124"/>
      <c r="AN86" s="153"/>
      <c r="AO86" s="61"/>
      <c r="AP86" s="50"/>
      <c r="AQ86" s="62"/>
      <c r="AR86" s="1"/>
      <c r="AS86" s="125"/>
      <c r="AU86" s="61"/>
      <c r="AV86" s="51"/>
      <c r="AW86" s="62"/>
      <c r="AX86" s="320"/>
      <c r="AY86" s="52"/>
      <c r="AZ86" s="126"/>
      <c r="BA86" s="160"/>
      <c r="BB86" s="63"/>
      <c r="BC86" s="53"/>
      <c r="BD86" s="160"/>
      <c r="BE86" s="53"/>
      <c r="BF86" s="126"/>
      <c r="BG86" s="160"/>
      <c r="BH86" s="63"/>
    </row>
    <row r="87" spans="1:175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365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321"/>
      <c r="AL87" s="49"/>
      <c r="AM87" s="124"/>
      <c r="AN87" s="153"/>
      <c r="AO87" s="61"/>
      <c r="AP87" s="50"/>
      <c r="AQ87" s="62"/>
      <c r="AR87" s="1"/>
      <c r="AS87" s="125"/>
      <c r="AU87" s="61"/>
      <c r="AV87" s="51"/>
      <c r="AW87" s="62"/>
      <c r="AX87" s="320"/>
      <c r="AY87" s="52"/>
      <c r="AZ87" s="126"/>
      <c r="BA87" s="160"/>
      <c r="BB87" s="63"/>
      <c r="BC87" s="53"/>
      <c r="BD87" s="160"/>
      <c r="BE87" s="53"/>
      <c r="BF87" s="126"/>
      <c r="BG87" s="160"/>
      <c r="BH87" s="63"/>
    </row>
    <row r="88" spans="1:175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365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321"/>
      <c r="AL88" s="49"/>
      <c r="AM88" s="124"/>
      <c r="AN88" s="153"/>
      <c r="AO88" s="61"/>
      <c r="AP88" s="50"/>
      <c r="AQ88" s="62"/>
      <c r="AR88" s="1"/>
      <c r="AS88" s="125"/>
      <c r="AU88" s="61"/>
      <c r="AV88" s="51"/>
      <c r="AW88" s="62"/>
      <c r="AX88" s="320"/>
      <c r="AY88" s="52"/>
      <c r="AZ88" s="126"/>
      <c r="BA88" s="160"/>
      <c r="BB88" s="63"/>
      <c r="BC88" s="53"/>
      <c r="BD88" s="160"/>
      <c r="BE88" s="53"/>
      <c r="BF88" s="126"/>
      <c r="BG88" s="160"/>
      <c r="BH88" s="63"/>
    </row>
    <row r="89" spans="1:175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365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321"/>
      <c r="AL89" s="49"/>
      <c r="AM89" s="124"/>
      <c r="AN89" s="153"/>
      <c r="AO89" s="61"/>
      <c r="AP89" s="50"/>
      <c r="AQ89" s="62"/>
      <c r="AR89" s="1"/>
      <c r="AS89" s="125"/>
      <c r="AU89" s="61"/>
      <c r="AV89" s="51"/>
      <c r="AW89" s="62"/>
      <c r="AX89" s="320"/>
      <c r="AY89" s="52"/>
      <c r="AZ89" s="126"/>
      <c r="BA89" s="160"/>
      <c r="BB89" s="63"/>
      <c r="BC89" s="53"/>
      <c r="BD89" s="160"/>
      <c r="BE89" s="53"/>
      <c r="BF89" s="126"/>
    </row>
    <row r="90" spans="1:175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365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321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320"/>
      <c r="AY90" s="52"/>
      <c r="AZ90" s="129"/>
      <c r="BA90" s="158"/>
      <c r="BB90" s="128"/>
      <c r="BC90" s="129"/>
      <c r="BD90" s="158"/>
      <c r="BE90" s="128"/>
      <c r="BF90" s="129"/>
    </row>
    <row r="91" spans="1:175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365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321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320"/>
      <c r="AY91" s="52"/>
      <c r="AZ91" s="53"/>
      <c r="BA91" s="164"/>
      <c r="BB91" s="68"/>
      <c r="BC91" s="68"/>
      <c r="BD91" s="158"/>
      <c r="BE91" s="68"/>
      <c r="BF91" s="68"/>
    </row>
    <row r="92" spans="1:175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365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321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320"/>
      <c r="AY92" s="69"/>
    </row>
    <row r="93" spans="1:175" x14ac:dyDescent="0.3">
      <c r="A93" s="67"/>
      <c r="B93" s="141"/>
      <c r="F93" s="1"/>
      <c r="I93" s="1"/>
      <c r="O93" s="1"/>
      <c r="T93" s="1"/>
      <c r="W93" s="1"/>
      <c r="X93" s="365"/>
      <c r="AA93" s="1"/>
      <c r="AD93" s="1"/>
      <c r="AG93" s="1"/>
      <c r="AJ93" s="1"/>
      <c r="AK93" s="321"/>
      <c r="AL93" s="1"/>
      <c r="AM93" s="1"/>
      <c r="AO93" s="61"/>
      <c r="AP93" s="49"/>
      <c r="AR93" s="1"/>
      <c r="AS93" s="1"/>
      <c r="AU93" s="1"/>
      <c r="AV93" s="49"/>
      <c r="AX93" s="320"/>
      <c r="AY93" s="69"/>
    </row>
    <row r="94" spans="1:175" ht="18.75" x14ac:dyDescent="0.3">
      <c r="A94" s="70"/>
      <c r="B94" s="141"/>
      <c r="I94" s="1"/>
      <c r="J94" s="4"/>
      <c r="N94" s="4"/>
      <c r="P94" s="4"/>
      <c r="T94" s="1"/>
      <c r="W94" s="1"/>
      <c r="X94" s="365"/>
      <c r="Y94" s="324"/>
      <c r="Z94" s="324"/>
      <c r="AA94" s="324"/>
      <c r="AB94" s="324"/>
      <c r="AC94" s="324"/>
      <c r="AD94" s="324"/>
      <c r="AE94" s="324"/>
      <c r="AF94" s="324"/>
      <c r="AG94" s="324"/>
      <c r="AH94" s="324"/>
      <c r="AI94" s="324"/>
      <c r="AJ94" s="324"/>
      <c r="AK94" s="324"/>
      <c r="AL94" s="324"/>
      <c r="AM94" s="324"/>
      <c r="AN94" s="324"/>
      <c r="AO94" s="324"/>
      <c r="AP94" s="325"/>
      <c r="AQ94" s="325"/>
      <c r="AR94" s="325"/>
      <c r="AS94" s="325"/>
      <c r="AT94" s="325"/>
      <c r="AU94" s="325"/>
      <c r="AV94" s="325"/>
      <c r="AW94" s="325"/>
      <c r="AY94" s="71"/>
    </row>
  </sheetData>
  <mergeCells count="469">
    <mergeCell ref="A48:B48"/>
    <mergeCell ref="AD49:AF49"/>
    <mergeCell ref="AG49:AI49"/>
    <mergeCell ref="AJ49:AL49"/>
    <mergeCell ref="FD6:FD44"/>
    <mergeCell ref="FE7:FF7"/>
    <mergeCell ref="FO7:FP7"/>
    <mergeCell ref="FF9:FF10"/>
    <mergeCell ref="FP9:FP10"/>
    <mergeCell ref="AV49:AX49"/>
    <mergeCell ref="A49:B49"/>
    <mergeCell ref="C49:E49"/>
    <mergeCell ref="F49:H49"/>
    <mergeCell ref="I49:J49"/>
    <mergeCell ref="K49:L49"/>
    <mergeCell ref="CT49:CU49"/>
    <mergeCell ref="AS48:AU48"/>
    <mergeCell ref="AV48:AX48"/>
    <mergeCell ref="AZ48:BB48"/>
    <mergeCell ref="CC48:CD48"/>
    <mergeCell ref="CT48:CU48"/>
    <mergeCell ref="BC48:BE48"/>
    <mergeCell ref="BF46:BH46"/>
    <mergeCell ref="C48:E48"/>
    <mergeCell ref="F48:H48"/>
    <mergeCell ref="I48:J48"/>
    <mergeCell ref="K48:L48"/>
    <mergeCell ref="M48:N48"/>
    <mergeCell ref="T47:T49"/>
    <mergeCell ref="U47:W47"/>
    <mergeCell ref="X47:Z47"/>
    <mergeCell ref="AA47:AC47"/>
    <mergeCell ref="R48:S48"/>
    <mergeCell ref="U48:W48"/>
    <mergeCell ref="X48:Z48"/>
    <mergeCell ref="AA48:AC48"/>
    <mergeCell ref="U49:W49"/>
    <mergeCell ref="X49:Z49"/>
    <mergeCell ref="AA49:AC49"/>
    <mergeCell ref="O47:Q47"/>
    <mergeCell ref="R47:S47"/>
    <mergeCell ref="CK47:CM47"/>
    <mergeCell ref="CN47:CP47"/>
    <mergeCell ref="CG47:CH47"/>
    <mergeCell ref="CI47:CJ47"/>
    <mergeCell ref="BY47:BZ47"/>
    <mergeCell ref="AD48:AF48"/>
    <mergeCell ref="AG48:AI48"/>
    <mergeCell ref="AJ48:AL48"/>
    <mergeCell ref="AM48:AO48"/>
    <mergeCell ref="AP48:AR48"/>
    <mergeCell ref="AM47:AO47"/>
    <mergeCell ref="AP47:AR47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J9:DJ10"/>
    <mergeCell ref="CQ45:CS45"/>
    <mergeCell ref="CK45:CM45"/>
    <mergeCell ref="CN45:CP45"/>
    <mergeCell ref="CT50:CU5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DT45:EJ45"/>
    <mergeCell ref="EG7:EH7"/>
    <mergeCell ref="EH9:EH10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M44:N44"/>
    <mergeCell ref="O44:Q44"/>
    <mergeCell ref="R44:S44"/>
    <mergeCell ref="U44:W44"/>
    <mergeCell ref="X44:Z44"/>
    <mergeCell ref="AJ43:AL43"/>
    <mergeCell ref="AM43:AO43"/>
    <mergeCell ref="AD44:AF44"/>
    <mergeCell ref="AJ44:AL44"/>
    <mergeCell ref="AM44:AO44"/>
    <mergeCell ref="A42:S42"/>
    <mergeCell ref="T42:T45"/>
    <mergeCell ref="U42:AY42"/>
    <mergeCell ref="AZ42:BH42"/>
    <mergeCell ref="BI42:BR42"/>
    <mergeCell ref="AD45:AF45"/>
    <mergeCell ref="AG45:AI45"/>
    <mergeCell ref="AA45:AC45"/>
    <mergeCell ref="AV45:AX45"/>
    <mergeCell ref="AZ45:BB45"/>
    <mergeCell ref="BF45:BH45"/>
    <mergeCell ref="AM45:AO45"/>
    <mergeCell ref="AP45:AR45"/>
    <mergeCell ref="AS45:AU45"/>
    <mergeCell ref="AJ45:AL45"/>
    <mergeCell ref="BC45:BE45"/>
    <mergeCell ref="BI43:BJ43"/>
    <mergeCell ref="BK43:BL43"/>
    <mergeCell ref="BM43:BN43"/>
    <mergeCell ref="A45:B45"/>
    <mergeCell ref="C45:E45"/>
    <mergeCell ref="F45:H45"/>
    <mergeCell ref="I45:J45"/>
    <mergeCell ref="C43:E43"/>
    <mergeCell ref="F43:H43"/>
    <mergeCell ref="I43:J43"/>
    <mergeCell ref="K43:L43"/>
    <mergeCell ref="M43:N43"/>
    <mergeCell ref="O43:S43"/>
    <mergeCell ref="AZ46:BB46"/>
    <mergeCell ref="AP44:AR44"/>
    <mergeCell ref="AA44:AC44"/>
    <mergeCell ref="AS44:AU44"/>
    <mergeCell ref="AV44:AX44"/>
    <mergeCell ref="AZ44:BB44"/>
    <mergeCell ref="X45:Z45"/>
    <mergeCell ref="K45:L45"/>
    <mergeCell ref="M45:N45"/>
    <mergeCell ref="O45:Q45"/>
    <mergeCell ref="R45:S45"/>
    <mergeCell ref="U45:W45"/>
    <mergeCell ref="AV43:AX43"/>
    <mergeCell ref="AY43:AY52"/>
    <mergeCell ref="AS47:AU47"/>
    <mergeCell ref="AV47:AX47"/>
    <mergeCell ref="AZ47:BB47"/>
    <mergeCell ref="AM49:AO49"/>
    <mergeCell ref="AP49:AR49"/>
    <mergeCell ref="AS49:AU49"/>
    <mergeCell ref="AS43:AU43"/>
    <mergeCell ref="X52:Y52"/>
    <mergeCell ref="A51:S51"/>
    <mergeCell ref="CK50:CM50"/>
    <mergeCell ref="CN50:CP50"/>
    <mergeCell ref="CQ50:CS50"/>
    <mergeCell ref="BC49:BE49"/>
    <mergeCell ref="CT47:CU47"/>
    <mergeCell ref="BF48:BH48"/>
    <mergeCell ref="BS48:BT48"/>
    <mergeCell ref="U43:W43"/>
    <mergeCell ref="X43:Z43"/>
    <mergeCell ref="AZ49:BB49"/>
    <mergeCell ref="AA43:AC43"/>
    <mergeCell ref="AD43:AF43"/>
    <mergeCell ref="AG43:AI43"/>
    <mergeCell ref="AP43:AR43"/>
    <mergeCell ref="CQ47:CS47"/>
    <mergeCell ref="BV48:BW48"/>
    <mergeCell ref="BY48:BZ48"/>
    <mergeCell ref="CK49:CM49"/>
    <mergeCell ref="CK48:CM48"/>
    <mergeCell ref="CN48:CP48"/>
    <mergeCell ref="CQ48:CS48"/>
    <mergeCell ref="CE48:CF48"/>
    <mergeCell ref="AZ50:BB50"/>
    <mergeCell ref="BC50:BE50"/>
    <mergeCell ref="Z58:Z59"/>
    <mergeCell ref="AB58:AB59"/>
    <mergeCell ref="AD58:AD59"/>
    <mergeCell ref="A56:E56"/>
    <mergeCell ref="A52:C52"/>
    <mergeCell ref="D52:F52"/>
    <mergeCell ref="CA43:CB43"/>
    <mergeCell ref="CC43:CD43"/>
    <mergeCell ref="CE43:CF43"/>
    <mergeCell ref="BF49:BH49"/>
    <mergeCell ref="BF51:BH51"/>
    <mergeCell ref="BC44:BE44"/>
    <mergeCell ref="BF44:BH44"/>
    <mergeCell ref="BF50:BH50"/>
    <mergeCell ref="BS50:BT50"/>
    <mergeCell ref="BV50:BW50"/>
    <mergeCell ref="BF47:BH47"/>
    <mergeCell ref="BS47:BT47"/>
    <mergeCell ref="BV47:BW47"/>
    <mergeCell ref="CC47:CD47"/>
    <mergeCell ref="CE47:CF47"/>
    <mergeCell ref="BC46:BE46"/>
    <mergeCell ref="BC47:BE47"/>
    <mergeCell ref="CA48:CB48"/>
    <mergeCell ref="BV49:BW49"/>
    <mergeCell ref="CN49:CP49"/>
    <mergeCell ref="CQ49:CS49"/>
    <mergeCell ref="BS51:BT51"/>
    <mergeCell ref="CI48:CJ48"/>
    <mergeCell ref="CT43:CU43"/>
    <mergeCell ref="A47:B47"/>
    <mergeCell ref="C47:E47"/>
    <mergeCell ref="F47:H47"/>
    <mergeCell ref="I47:J47"/>
    <mergeCell ref="K47:L47"/>
    <mergeCell ref="M47:N47"/>
    <mergeCell ref="AD47:AF47"/>
    <mergeCell ref="AG47:AI47"/>
    <mergeCell ref="AJ47:AL47"/>
    <mergeCell ref="O49:Q49"/>
    <mergeCell ref="O48:Q48"/>
    <mergeCell ref="R49:S49"/>
    <mergeCell ref="BU43:BU51"/>
    <mergeCell ref="BV43:BW43"/>
    <mergeCell ref="BY43:BZ43"/>
    <mergeCell ref="BV46:CU46"/>
    <mergeCell ref="CA47:CB47"/>
    <mergeCell ref="CN43:CP43"/>
    <mergeCell ref="Y94:AO94"/>
    <mergeCell ref="AP94:AW94"/>
    <mergeCell ref="M49:N49"/>
    <mergeCell ref="R56:U56"/>
    <mergeCell ref="V56:W56"/>
    <mergeCell ref="Y56:Z56"/>
    <mergeCell ref="AA56:AB56"/>
    <mergeCell ref="AL55:AW55"/>
    <mergeCell ref="AC56:AD56"/>
    <mergeCell ref="AE56:AF56"/>
    <mergeCell ref="AG56:AH56"/>
    <mergeCell ref="AI56:AJ56"/>
    <mergeCell ref="AL56:AM56"/>
    <mergeCell ref="AN56:AO56"/>
    <mergeCell ref="A50:T50"/>
    <mergeCell ref="U50:Z50"/>
    <mergeCell ref="AA50:AF50"/>
    <mergeCell ref="AG50:AL50"/>
    <mergeCell ref="AM50:AR50"/>
    <mergeCell ref="AS50:AU50"/>
    <mergeCell ref="AV50:AX50"/>
    <mergeCell ref="G52:J52"/>
    <mergeCell ref="L52:O52"/>
    <mergeCell ref="U52:V52"/>
    <mergeCell ref="FQ7:FR7"/>
    <mergeCell ref="FR9:FR10"/>
    <mergeCell ref="A53:CU53"/>
    <mergeCell ref="BE56:BF56"/>
    <mergeCell ref="BG56:BH56"/>
    <mergeCell ref="AR56:AS56"/>
    <mergeCell ref="AX55:AX93"/>
    <mergeCell ref="AY55:BH55"/>
    <mergeCell ref="BB58:BB59"/>
    <mergeCell ref="BA56:BB56"/>
    <mergeCell ref="BH58:BH59"/>
    <mergeCell ref="AK55:AK93"/>
    <mergeCell ref="AT56:AU56"/>
    <mergeCell ref="AV56:AW56"/>
    <mergeCell ref="AY56:AZ56"/>
    <mergeCell ref="AU58:AU59"/>
    <mergeCell ref="AW58:AW59"/>
    <mergeCell ref="AZ58:AZ59"/>
    <mergeCell ref="C58:C59"/>
    <mergeCell ref="E58:E59"/>
    <mergeCell ref="G58:G59"/>
    <mergeCell ref="I58:I59"/>
    <mergeCell ref="K58:K59"/>
    <mergeCell ref="M58:M59"/>
    <mergeCell ref="AF58:AF59"/>
    <mergeCell ref="AM58:AM59"/>
    <mergeCell ref="AO58:AO59"/>
    <mergeCell ref="F56:I56"/>
    <mergeCell ref="J56:M56"/>
    <mergeCell ref="N56:Q56"/>
    <mergeCell ref="Q58:Q59"/>
    <mergeCell ref="BD58:BD59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J58:AJ59"/>
    <mergeCell ref="O58:O59"/>
    <mergeCell ref="A54:P54"/>
    <mergeCell ref="U54:Y54"/>
    <mergeCell ref="A55:W55"/>
    <mergeCell ref="X55:X94"/>
    <mergeCell ref="Y55:AJ55"/>
    <mergeCell ref="W58:W59"/>
    <mergeCell ref="BF58:BF59"/>
    <mergeCell ref="AH58:AH59"/>
    <mergeCell ref="AS58:AS59"/>
    <mergeCell ref="AQ58:AQ59"/>
    <mergeCell ref="BC56:BD56"/>
    <mergeCell ref="EK45:ER45"/>
    <mergeCell ref="CK44:CM44"/>
    <mergeCell ref="CN44:CP44"/>
    <mergeCell ref="CC7:CD7"/>
    <mergeCell ref="CE7:CF7"/>
    <mergeCell ref="CG7:CH7"/>
    <mergeCell ref="BI7:BJ7"/>
    <mergeCell ref="CG43:CH43"/>
    <mergeCell ref="BO43:BP43"/>
    <mergeCell ref="BQ43:BR43"/>
    <mergeCell ref="BS43:BT43"/>
    <mergeCell ref="BK7:BL7"/>
    <mergeCell ref="BM7:BN7"/>
    <mergeCell ref="BO7:BP7"/>
    <mergeCell ref="BQ7:BR7"/>
    <mergeCell ref="AP56:AQ56"/>
    <mergeCell ref="CQ43:CS43"/>
    <mergeCell ref="CG48:CH48"/>
    <mergeCell ref="BS49:BT49"/>
    <mergeCell ref="FE6:FN6"/>
    <mergeCell ref="FG7:FH7"/>
    <mergeCell ref="FI7:FJ7"/>
    <mergeCell ref="FK7:FL7"/>
    <mergeCell ref="FM7:FN7"/>
    <mergeCell ref="FH9:FH10"/>
    <mergeCell ref="FJ9:FJ10"/>
    <mergeCell ref="FL9:FL10"/>
    <mergeCell ref="FN9:FN10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11" ma:contentTypeDescription="Create a new document." ma:contentTypeScope="" ma:versionID="aa848f052b2d46ed58e6ce5d59baa157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954c4662cf5bf7292db1b28f78d09f10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8BB4B1-C04F-41A0-B59A-A0A913D9DC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3B222F-D815-4986-9292-7905088998A8}">
  <ds:schemaRefs>
    <ds:schemaRef ds:uri="http://schemas.microsoft.com/office/2006/metadata/properties"/>
    <ds:schemaRef ds:uri="http://schemas.microsoft.com/office/infopath/2007/PartnerControls"/>
    <ds:schemaRef ds:uri="1885d109-012e-42b6-a9dd-364c8f09ca7f"/>
  </ds:schemaRefs>
</ds:datastoreItem>
</file>

<file path=customXml/itemProps3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Reggy Agus Abdul Malik Ridwan</cp:lastModifiedBy>
  <cp:revision/>
  <dcterms:created xsi:type="dcterms:W3CDTF">2017-05-03T09:23:30Z</dcterms:created>
  <dcterms:modified xsi:type="dcterms:W3CDTF">2023-03-22T07:48:21Z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  <property fmtid="{D5CDD505-2E9C-101B-9397-08002B2CF9AE}" pid="4" name="MediaServiceImageTags">
    <vt:lpwstr/>
  </property>
</Properties>
</file>