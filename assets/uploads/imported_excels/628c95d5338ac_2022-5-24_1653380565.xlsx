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<sst xmlns="http://schemas.openxmlformats.org/spreadsheetml/2006/main" count="606" uniqueCount="76">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</sst>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10" workbookViewId="0">
      <selection activeCell="P130" sqref="P130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32"/>
      <c r="G145" s="4" t="str">
        <f>'Gas Water'!M148</f>
        <v/>
      </c>
      <c r="H145" s="132"/>
      <c r="I145" s="2" t="str">
        <f>'Gas Water'!L148</f>
        <v/>
      </c>
      <c r="J145" s="132"/>
      <c r="K145" s="5"/>
      <c r="L145" s="5"/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32"/>
      <c r="G146" s="4" t="str">
        <f>'Gas Water'!M149</f>
        <v/>
      </c>
      <c r="H146" s="132"/>
      <c r="I146" s="2" t="str">
        <f>'Gas Water'!L149</f>
        <v/>
      </c>
      <c r="J146" s="132"/>
      <c r="K146" s="5"/>
      <c r="L146" s="5"/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32"/>
      <c r="G147" s="4" t="str">
        <f>'Gas Water'!M150</f>
        <v/>
      </c>
      <c r="H147" s="132"/>
      <c r="I147" s="2" t="str">
        <f>'Gas Water'!L150</f>
        <v/>
      </c>
      <c r="J147" s="132"/>
      <c r="K147" s="5"/>
      <c r="L147" s="5"/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2"/>
      <c r="G148" s="4" t="str">
        <f>'Gas Water'!M151</f>
        <v/>
      </c>
      <c r="H148" s="132"/>
      <c r="I148" s="2" t="str">
        <f>'Gas Water'!L151</f>
        <v/>
      </c>
      <c r="J148" s="132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2"/>
      <c r="G149" s="4" t="str">
        <f>'Gas Water'!M152</f>
        <v/>
      </c>
      <c r="H149" s="132"/>
      <c r="I149" s="2" t="str">
        <f>'Gas Water'!L152</f>
        <v/>
      </c>
      <c r="J149" s="132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2"/>
      <c r="G150" s="4" t="str">
        <f>'Gas Water'!M153</f>
        <v/>
      </c>
      <c r="H150" s="132"/>
      <c r="I150" s="2" t="str">
        <f>'Gas Water'!L153</f>
        <v/>
      </c>
      <c r="J150" s="132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09" workbookViewId="0">
      <selection activeCell="K150" sqref="K15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64" t="s">
        <v>25</v>
      </c>
      <c r="O145" s="164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65"/>
      <c r="O146" s="165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66"/>
      <c r="O147" s="166"/>
      <c r="Q147" s="19">
        <f>IF(L147="",1,0)</f>
        <v>0</v>
      </c>
    </row>
    <row r="148" spans="2:18" ht="12.95" customHeight="1" thickBot="1" x14ac:dyDescent="0.25">
      <c r="B148" s="21">
        <v>44340</v>
      </c>
      <c r="C148" s="39"/>
      <c r="D148" s="22"/>
      <c r="E148" s="23"/>
      <c r="F148" s="24"/>
      <c r="G148" s="25"/>
      <c r="H148" s="26" t="str">
        <f t="shared" si="88"/>
        <v/>
      </c>
      <c r="I148" s="26" t="str">
        <f t="shared" si="88"/>
        <v/>
      </c>
      <c r="J148" s="26" t="str">
        <f t="shared" si="88"/>
        <v/>
      </c>
      <c r="K148" s="26" t="str">
        <f t="shared" si="88"/>
        <v/>
      </c>
      <c r="L148" s="27" t="str">
        <f t="shared" si="91"/>
        <v/>
      </c>
      <c r="M148" s="28" t="str">
        <f>IF(H148="","",+(H148+I148+J148+K148))</f>
        <v/>
      </c>
      <c r="N148" s="30">
        <f>SUM(L125:L155)</f>
        <v>6759</v>
      </c>
      <c r="O148" s="30">
        <f>SUM(M12:M155)</f>
        <v>409286</v>
      </c>
      <c r="Q148" s="19">
        <f>IF(L148="",1,0)</f>
        <v>1</v>
      </c>
    </row>
    <row r="149" spans="2:18" ht="12.95" customHeight="1" x14ac:dyDescent="0.2">
      <c r="B149" s="21">
        <v>44341</v>
      </c>
      <c r="C149" s="39"/>
      <c r="D149" s="22"/>
      <c r="E149" s="23"/>
      <c r="F149" s="24"/>
      <c r="G149" s="25"/>
      <c r="H149" s="26" t="str">
        <f t="shared" si="88"/>
        <v/>
      </c>
      <c r="I149" s="26" t="str">
        <f t="shared" si="88"/>
        <v/>
      </c>
      <c r="J149" s="26" t="str">
        <f t="shared" si="88"/>
        <v/>
      </c>
      <c r="K149" s="26" t="str">
        <f t="shared" si="88"/>
        <v/>
      </c>
      <c r="L149" s="27" t="str">
        <f t="shared" si="91"/>
        <v/>
      </c>
      <c r="M149" s="28" t="str">
        <f>IF(H149="","",+(H149+I149+J149+K149))</f>
        <v/>
      </c>
      <c r="N149" s="164" t="s">
        <v>27</v>
      </c>
      <c r="O149" s="164" t="s">
        <v>28</v>
      </c>
      <c r="Q149" s="19">
        <f>IF(L149="",1,0)</f>
        <v>1</v>
      </c>
    </row>
    <row r="150" spans="2:18" ht="12.95" customHeight="1" thickBot="1" x14ac:dyDescent="0.25">
      <c r="B150" s="21">
        <v>44342</v>
      </c>
      <c r="C150" s="39"/>
      <c r="D150" s="22"/>
      <c r="E150" s="23"/>
      <c r="F150" s="24"/>
      <c r="G150" s="25"/>
      <c r="H150" s="26" t="str">
        <f t="shared" si="88"/>
        <v/>
      </c>
      <c r="I150" s="26" t="str">
        <f t="shared" si="88"/>
        <v/>
      </c>
      <c r="J150" s="26" t="str">
        <f t="shared" si="88"/>
        <v/>
      </c>
      <c r="K150" s="26" t="str">
        <f t="shared" si="88"/>
        <v/>
      </c>
      <c r="L150" s="27" t="str">
        <f t="shared" si="91"/>
        <v/>
      </c>
      <c r="M150" s="28" t="str">
        <f>IF(H150="","",+(H150+I150+J150+K150))</f>
        <v/>
      </c>
      <c r="N150" s="166"/>
      <c r="O150" s="166"/>
      <c r="Q150" s="19">
        <f>IF(L150="",1,0)</f>
        <v>1</v>
      </c>
    </row>
    <row r="151" spans="2:18" ht="12.95" customHeight="1" thickBot="1" x14ac:dyDescent="0.25">
      <c r="B151" s="21">
        <v>44343</v>
      </c>
      <c r="C151" s="39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>
        <f>AVERAGE(L125:L155)</f>
        <v>293.86956521739131</v>
      </c>
      <c r="O151" s="30">
        <f>AVERAGE(M125:M155)</f>
        <v>2234.7391304347825</v>
      </c>
      <c r="Q151" s="19">
        <f>IF(L151="",1,0)</f>
        <v>1</v>
      </c>
    </row>
    <row r="152" spans="2:18" ht="12.95" customHeight="1" x14ac:dyDescent="0.2">
      <c r="B152" s="21">
        <v>44344</v>
      </c>
      <c r="C152" s="39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39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12" workbookViewId="0">
      <selection activeCell="U131" sqref="U131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1.9807611998329609E-2</v>
      </c>
      <c r="Q145" s="66">
        <f>IF(L124="",0,+SUM(L124:L154)/SUM(I124:I154))</f>
        <v>1.9807611998329609E-2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/>
      <c r="E147" s="137"/>
      <c r="F147" s="138"/>
      <c r="G147" s="56"/>
      <c r="H147" s="56">
        <v>4140</v>
      </c>
      <c r="I147" s="56" t="str">
        <f t="shared" si="75"/>
        <v/>
      </c>
      <c r="J147" s="56" t="str">
        <f t="shared" si="75"/>
        <v/>
      </c>
      <c r="K147" s="57" t="str">
        <f t="shared" si="72"/>
        <v/>
      </c>
      <c r="L147" s="56" t="str">
        <f t="shared" si="73"/>
        <v/>
      </c>
      <c r="M147" s="57" t="str">
        <f t="shared" si="74"/>
        <v/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/>
      <c r="E148" s="137"/>
      <c r="F148" s="138"/>
      <c r="G148" s="56"/>
      <c r="H148" s="56">
        <v>4140</v>
      </c>
      <c r="I148" s="56" t="str">
        <f t="shared" si="75"/>
        <v/>
      </c>
      <c r="J148" s="56" t="str">
        <f t="shared" si="75"/>
        <v/>
      </c>
      <c r="K148" s="57" t="str">
        <f t="shared" si="72"/>
        <v/>
      </c>
      <c r="L148" s="56" t="str">
        <f t="shared" si="73"/>
        <v/>
      </c>
      <c r="M148" s="57" t="str">
        <f t="shared" si="74"/>
        <v/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/>
      <c r="E149" s="137"/>
      <c r="F149" s="138"/>
      <c r="G149" s="56"/>
      <c r="H149" s="56">
        <v>4140</v>
      </c>
      <c r="I149" s="56" t="str">
        <f t="shared" si="75"/>
        <v/>
      </c>
      <c r="J149" s="56" t="str">
        <f t="shared" si="75"/>
        <v/>
      </c>
      <c r="K149" s="57" t="str">
        <f t="shared" si="72"/>
        <v/>
      </c>
      <c r="L149" s="56" t="str">
        <f t="shared" si="73"/>
        <v/>
      </c>
      <c r="M149" s="57" t="str">
        <f t="shared" si="74"/>
        <v/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/>
      <c r="E150" s="137"/>
      <c r="F150" s="138"/>
      <c r="G150" s="56"/>
      <c r="H150" s="56">
        <v>4140</v>
      </c>
      <c r="I150" s="56" t="str">
        <f t="shared" si="75"/>
        <v/>
      </c>
      <c r="J150" s="56" t="str">
        <f t="shared" si="75"/>
        <v/>
      </c>
      <c r="K150" s="57" t="str">
        <f t="shared" si="72"/>
        <v/>
      </c>
      <c r="L150" s="56" t="str">
        <f t="shared" si="73"/>
        <v/>
      </c>
      <c r="M150" s="57" t="str">
        <f t="shared" si="74"/>
        <v/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/>
      <c r="E151" s="137"/>
      <c r="F151" s="138"/>
      <c r="G151" s="56"/>
      <c r="H151" s="56">
        <v>4140</v>
      </c>
      <c r="I151" s="56" t="str">
        <f t="shared" si="75"/>
        <v/>
      </c>
      <c r="J151" s="56" t="str">
        <f t="shared" si="75"/>
        <v/>
      </c>
      <c r="K151" s="57" t="str">
        <f t="shared" si="72"/>
        <v/>
      </c>
      <c r="L151" s="56" t="str">
        <f t="shared" si="73"/>
        <v/>
      </c>
      <c r="M151" s="57" t="str">
        <f t="shared" si="74"/>
        <v/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/>
      <c r="E152" s="137"/>
      <c r="F152" s="138"/>
      <c r="G152" s="56"/>
      <c r="H152" s="56">
        <v>4140</v>
      </c>
      <c r="I152" s="56" t="str">
        <f t="shared" si="75"/>
        <v/>
      </c>
      <c r="J152" s="56" t="str">
        <f t="shared" si="75"/>
        <v/>
      </c>
      <c r="K152" s="57" t="str">
        <f t="shared" si="72"/>
        <v/>
      </c>
      <c r="L152" s="56" t="str">
        <f t="shared" si="73"/>
        <v/>
      </c>
      <c r="M152" s="57" t="str">
        <f t="shared" si="74"/>
        <v/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d07fdfd0-8ece-48a6-a46c-61dc91b6cdb1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2022-05-24T08:22:14Z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