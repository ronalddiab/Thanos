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3-ENG-UTILITIES CONSOMMATION\Consommation 2020\Utilities Consumption  2020\"/>
    </mc:Choice>
  </mc:AlternateContent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62913"/>
</workbook>
</file>

<file path=xl/calcChain.xml><?xml version="1.0" encoding="utf-8"?>
<calcChain xmlns="http://schemas.openxmlformats.org/spreadsheetml/2006/main">
  <c r="Y31" i="1" l="1"/>
  <c r="M13" i="10" l="1"/>
  <c r="M14" i="10"/>
  <c r="M15" i="10"/>
  <c r="M16" i="10"/>
  <c r="M17" i="10"/>
  <c r="M18" i="10"/>
  <c r="M19" i="10"/>
  <c r="M20" i="10"/>
  <c r="M21" i="10"/>
  <c r="M22" i="10"/>
  <c r="M24" i="10"/>
  <c r="M25" i="10"/>
  <c r="M26" i="10"/>
  <c r="M27" i="10"/>
  <c r="M28" i="10"/>
  <c r="M29" i="10"/>
  <c r="M30" i="10"/>
  <c r="M31" i="10"/>
  <c r="M32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5" i="10"/>
  <c r="K26" i="10"/>
  <c r="K27" i="10"/>
  <c r="K28" i="10"/>
  <c r="K29" i="10"/>
  <c r="K30" i="10"/>
  <c r="K31" i="10"/>
  <c r="K3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25" i="10"/>
  <c r="I26" i="10"/>
  <c r="I27" i="10"/>
  <c r="I28" i="10"/>
  <c r="I29" i="10"/>
  <c r="I30" i="10"/>
  <c r="I31" i="10"/>
  <c r="I3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5" i="10"/>
  <c r="G26" i="10"/>
  <c r="G27" i="10"/>
  <c r="G28" i="10"/>
  <c r="G29" i="10"/>
  <c r="G30" i="10"/>
  <c r="G31" i="10"/>
  <c r="G3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5" i="10"/>
  <c r="E26" i="10"/>
  <c r="E27" i="10"/>
  <c r="E28" i="10"/>
  <c r="E29" i="10"/>
  <c r="E30" i="10"/>
  <c r="E31" i="10"/>
  <c r="E32" i="10"/>
  <c r="C27" i="4"/>
  <c r="C29" i="4"/>
  <c r="E29" i="4"/>
  <c r="G29" i="4"/>
  <c r="C30" i="4"/>
  <c r="E30" i="4"/>
  <c r="G30" i="4"/>
  <c r="C32" i="4"/>
  <c r="E32" i="4"/>
  <c r="G32" i="4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M25" i="4"/>
  <c r="J25" i="4"/>
  <c r="K25" i="4" s="1"/>
  <c r="M24" i="4"/>
  <c r="J24" i="4"/>
  <c r="K24" i="4" s="1"/>
  <c r="G28" i="6" l="1"/>
  <c r="E28" i="6"/>
  <c r="C28" i="6"/>
  <c r="G27" i="6" l="1"/>
  <c r="E27" i="6"/>
  <c r="C27" i="6"/>
  <c r="G26" i="6" l="1"/>
  <c r="E26" i="6"/>
  <c r="C26" i="6"/>
  <c r="G25" i="6"/>
  <c r="E25" i="6"/>
  <c r="C25" i="6"/>
  <c r="G24" i="6" l="1"/>
  <c r="E24" i="6"/>
  <c r="C24" i="6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8" i="6" l="1"/>
  <c r="E18" i="6"/>
  <c r="C18" i="6"/>
  <c r="G17" i="6" l="1"/>
  <c r="K11" i="1" s="1"/>
  <c r="E17" i="6"/>
  <c r="J11" i="1" s="1"/>
  <c r="C17" i="6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3" i="1"/>
  <c r="D34" i="1"/>
  <c r="D37" i="1"/>
  <c r="D38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8" i="1"/>
  <c r="J30" i="1"/>
  <c r="J33" i="1"/>
  <c r="J34" i="1"/>
  <c r="K34" i="1"/>
  <c r="J35" i="1"/>
  <c r="K35" i="1"/>
  <c r="K36" i="1"/>
  <c r="J37" i="1"/>
  <c r="J38" i="1"/>
  <c r="K38" i="1"/>
  <c r="J39" i="1"/>
  <c r="K39" i="1"/>
  <c r="K40" i="1"/>
  <c r="C33" i="6"/>
  <c r="E33" i="6"/>
  <c r="G33" i="6"/>
  <c r="K27" i="1" s="1"/>
  <c r="C34" i="6"/>
  <c r="E34" i="6"/>
  <c r="J28" i="1" s="1"/>
  <c r="G34" i="6"/>
  <c r="C35" i="6"/>
  <c r="E35" i="6"/>
  <c r="J29" i="1" s="1"/>
  <c r="G35" i="6"/>
  <c r="K29" i="1" s="1"/>
  <c r="C36" i="6"/>
  <c r="E36" i="6"/>
  <c r="G36" i="6"/>
  <c r="K30" i="1" s="1"/>
  <c r="C37" i="6"/>
  <c r="D31" i="1" s="1"/>
  <c r="K23" i="10" s="1"/>
  <c r="E37" i="6"/>
  <c r="J31" i="1" s="1"/>
  <c r="G37" i="6"/>
  <c r="K31" i="1" s="1"/>
  <c r="C38" i="6"/>
  <c r="D32" i="1" s="1"/>
  <c r="K24" i="10" s="1"/>
  <c r="E38" i="6"/>
  <c r="J32" i="1" s="1"/>
  <c r="G38" i="6"/>
  <c r="K32" i="1" s="1"/>
  <c r="C39" i="6"/>
  <c r="E39" i="6"/>
  <c r="G39" i="6"/>
  <c r="K33" i="1" s="1"/>
  <c r="C40" i="6"/>
  <c r="E40" i="6"/>
  <c r="G40" i="6"/>
  <c r="C41" i="6"/>
  <c r="D35" i="1" s="1"/>
  <c r="E41" i="6"/>
  <c r="G41" i="6"/>
  <c r="C42" i="6"/>
  <c r="D36" i="1" s="1"/>
  <c r="E42" i="6"/>
  <c r="J36" i="1" s="1"/>
  <c r="G42" i="6"/>
  <c r="C43" i="6"/>
  <c r="E43" i="6"/>
  <c r="G43" i="6"/>
  <c r="K37" i="1" s="1"/>
  <c r="C44" i="6"/>
  <c r="E44" i="6"/>
  <c r="G44" i="6"/>
  <c r="C45" i="6"/>
  <c r="D39" i="1" s="1"/>
  <c r="E45" i="6"/>
  <c r="G45" i="6"/>
  <c r="C46" i="6"/>
  <c r="D40" i="1" s="1"/>
  <c r="E46" i="6"/>
  <c r="J40" i="1" s="1"/>
  <c r="G46" i="6"/>
  <c r="I17" i="6"/>
  <c r="L11" i="1" s="1"/>
  <c r="I16" i="6"/>
  <c r="L10" i="1" s="1"/>
  <c r="G16" i="6"/>
  <c r="K10" i="1" s="1"/>
  <c r="E16" i="6"/>
  <c r="J10" i="1" s="1"/>
  <c r="C16" i="6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 s="1"/>
  <c r="A13" i="6" s="1"/>
  <c r="A14" i="6" s="1"/>
  <c r="A15" i="6" s="1"/>
  <c r="A16" i="6" s="1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8" i="6" l="1"/>
  <c r="D10" i="1"/>
  <c r="D41" i="1" s="1"/>
  <c r="E48" i="6"/>
  <c r="G48" i="6"/>
  <c r="I47" i="6"/>
  <c r="G47" i="6"/>
  <c r="E47" i="6"/>
  <c r="C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J14" i="4"/>
  <c r="K14" i="4" s="1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F11" i="1"/>
  <c r="K4" i="10"/>
  <c r="F14" i="1"/>
  <c r="K7" i="10"/>
  <c r="K8" i="10"/>
  <c r="F19" i="1"/>
  <c r="F28" i="1"/>
  <c r="F30" i="1"/>
  <c r="F35" i="1"/>
  <c r="F37" i="1"/>
  <c r="J41" i="1"/>
  <c r="F27" i="1"/>
  <c r="K6" i="10"/>
  <c r="Y35" i="1"/>
  <c r="Z35" i="1" s="1"/>
  <c r="Y36" i="1"/>
  <c r="F18" i="1"/>
  <c r="F13" i="1"/>
  <c r="M13" i="1"/>
  <c r="M16" i="1"/>
  <c r="M18" i="1"/>
  <c r="M19" i="1"/>
  <c r="M20" i="1"/>
  <c r="M24" i="1"/>
  <c r="M25" i="1"/>
  <c r="M28" i="1"/>
  <c r="Y28" i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Y37" i="1"/>
  <c r="Y34" i="1"/>
  <c r="Z34" i="1" s="1"/>
  <c r="Y33" i="1"/>
  <c r="Y32" i="1"/>
  <c r="Y30" i="1"/>
  <c r="Y29" i="1"/>
  <c r="Y27" i="1"/>
  <c r="Y26" i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Z32" i="1" l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E31" i="4"/>
  <c r="G31" i="4"/>
  <c r="C31" i="4"/>
  <c r="E28" i="4"/>
  <c r="G28" i="4"/>
  <c r="C28" i="4"/>
  <c r="E41" i="4"/>
  <c r="C41" i="4"/>
  <c r="G41" i="4"/>
  <c r="E13" i="4"/>
  <c r="C13" i="4"/>
  <c r="G13" i="4"/>
  <c r="E27" i="4"/>
  <c r="G27" i="4"/>
  <c r="E23" i="4"/>
  <c r="C23" i="4"/>
  <c r="G23" i="4"/>
  <c r="E19" i="4"/>
  <c r="C19" i="4"/>
  <c r="G19" i="4"/>
  <c r="G15" i="4"/>
  <c r="E15" i="4"/>
  <c r="C15" i="4"/>
  <c r="C20" i="4"/>
  <c r="E20" i="4"/>
  <c r="G20" i="4"/>
  <c r="E16" i="4"/>
  <c r="C16" i="4"/>
  <c r="G16" i="4"/>
  <c r="E12" i="4"/>
  <c r="C12" i="4"/>
  <c r="G12" i="4"/>
  <c r="C26" i="4"/>
  <c r="E26" i="4"/>
  <c r="E22" i="4"/>
  <c r="C22" i="4"/>
  <c r="G22" i="4"/>
  <c r="I25" i="4"/>
  <c r="G25" i="4"/>
  <c r="E25" i="4"/>
  <c r="L25" i="4"/>
  <c r="N25" i="4" s="1"/>
  <c r="O25" i="4" s="1"/>
  <c r="C25" i="4"/>
  <c r="I24" i="4"/>
  <c r="G24" i="4"/>
  <c r="C24" i="4"/>
  <c r="E24" i="4"/>
  <c r="L24" i="4"/>
  <c r="N24" i="4" s="1"/>
  <c r="O24" i="4" s="1"/>
  <c r="C21" i="4"/>
  <c r="G21" i="4"/>
  <c r="E21" i="4"/>
  <c r="E17" i="4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G38" i="4"/>
  <c r="C38" i="4"/>
  <c r="E38" i="4"/>
  <c r="G34" i="4"/>
  <c r="C34" i="4"/>
  <c r="E34" i="4"/>
  <c r="C39" i="4"/>
  <c r="E39" i="4"/>
  <c r="G39" i="4"/>
  <c r="C35" i="4"/>
  <c r="E35" i="4"/>
  <c r="G35" i="4"/>
  <c r="C40" i="4"/>
  <c r="E40" i="4"/>
  <c r="G40" i="4"/>
  <c r="C36" i="4"/>
  <c r="E36" i="4"/>
  <c r="G36" i="4"/>
  <c r="E37" i="4"/>
  <c r="G37" i="4"/>
  <c r="C37" i="4"/>
  <c r="E33" i="4"/>
  <c r="G33" i="4"/>
  <c r="C33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I26" i="4"/>
  <c r="L26" i="4"/>
  <c r="N26" i="4" s="1"/>
  <c r="O26" i="4" s="1"/>
  <c r="L39" i="4"/>
  <c r="N39" i="4" s="1"/>
  <c r="O39" i="4" s="1"/>
  <c r="I39" i="4"/>
  <c r="I31" i="4"/>
  <c r="L31" i="4"/>
  <c r="N31" i="4" s="1"/>
  <c r="O31" i="4" s="1"/>
  <c r="I23" i="4"/>
  <c r="L23" i="4"/>
  <c r="N23" i="4" s="1"/>
  <c r="O23" i="4" s="1"/>
  <c r="I15" i="4"/>
  <c r="L15" i="4"/>
  <c r="N15" i="4" s="1"/>
  <c r="O15" i="4" s="1"/>
  <c r="I40" i="4"/>
  <c r="L40" i="4"/>
  <c r="N40" i="4" s="1"/>
  <c r="O40" i="4" s="1"/>
  <c r="I36" i="4"/>
  <c r="L36" i="4"/>
  <c r="N36" i="4" s="1"/>
  <c r="O36" i="4" s="1"/>
  <c r="I32" i="4"/>
  <c r="L32" i="4"/>
  <c r="N32" i="4" s="1"/>
  <c r="O32" i="4" s="1"/>
  <c r="L28" i="4"/>
  <c r="N28" i="4" s="1"/>
  <c r="O28" i="4" s="1"/>
  <c r="I28" i="4"/>
  <c r="L20" i="4"/>
  <c r="N20" i="4" s="1"/>
  <c r="O20" i="4" s="1"/>
  <c r="I20" i="4"/>
  <c r="L16" i="4"/>
  <c r="N16" i="4" s="1"/>
  <c r="O16" i="4" s="1"/>
  <c r="I16" i="4"/>
  <c r="L38" i="4"/>
  <c r="N38" i="4" s="1"/>
  <c r="O38" i="4" s="1"/>
  <c r="I38" i="4"/>
  <c r="I30" i="4"/>
  <c r="L30" i="4"/>
  <c r="N30" i="4" s="1"/>
  <c r="O30" i="4" s="1"/>
  <c r="I22" i="4"/>
  <c r="L22" i="4"/>
  <c r="N22" i="4" s="1"/>
  <c r="O22" i="4" s="1"/>
  <c r="I14" i="4"/>
  <c r="L14" i="4"/>
  <c r="N14" i="4" s="1"/>
  <c r="O14" i="4" s="1"/>
  <c r="L35" i="4"/>
  <c r="N35" i="4" s="1"/>
  <c r="O35" i="4" s="1"/>
  <c r="I35" i="4"/>
  <c r="L27" i="4"/>
  <c r="N27" i="4" s="1"/>
  <c r="O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I37" i="4"/>
  <c r="L37" i="4"/>
  <c r="N37" i="4" s="1"/>
  <c r="O37" i="4" s="1"/>
  <c r="I33" i="4"/>
  <c r="L33" i="4"/>
  <c r="N33" i="4" s="1"/>
  <c r="O33" i="4" s="1"/>
  <c r="I29" i="4"/>
  <c r="L29" i="4"/>
  <c r="N29" i="4" s="1"/>
  <c r="O29" i="4" s="1"/>
  <c r="I21" i="4"/>
  <c r="L21" i="4"/>
  <c r="N21" i="4" s="1"/>
  <c r="O21" i="4" s="1"/>
  <c r="I13" i="4"/>
  <c r="L13" i="4"/>
  <c r="N13" i="4" s="1"/>
  <c r="O13" i="4" s="1"/>
  <c r="Z40" i="1"/>
  <c r="M39" i="1"/>
  <c r="Z39" i="1"/>
  <c r="M37" i="1"/>
  <c r="O37" i="1" s="1"/>
  <c r="M38" i="1"/>
  <c r="Z36" i="1"/>
  <c r="Z37" i="1"/>
  <c r="M34" i="1"/>
  <c r="M35" i="1"/>
  <c r="O35" i="1" s="1"/>
  <c r="Z33" i="1"/>
  <c r="M31" i="1"/>
  <c r="E23" i="10" s="1"/>
  <c r="M32" i="1"/>
  <c r="E24" i="10" s="1"/>
  <c r="M27" i="1"/>
  <c r="Z25" i="1"/>
  <c r="M22" i="1"/>
  <c r="M17" i="1"/>
  <c r="M15" i="1"/>
  <c r="O15" i="1" s="1"/>
  <c r="Z18" i="1"/>
  <c r="Y41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F16" i="1"/>
  <c r="F23" i="1"/>
  <c r="M33" i="1"/>
  <c r="O33" i="1" s="1"/>
  <c r="M23" i="1"/>
  <c r="F39" i="1"/>
  <c r="M40" i="1"/>
  <c r="M14" i="1"/>
  <c r="O14" i="1" s="1"/>
  <c r="F24" i="1"/>
  <c r="K3" i="10"/>
  <c r="K41" i="1"/>
  <c r="G44" i="1" s="1"/>
  <c r="J44" i="1" s="1"/>
  <c r="M26" i="1"/>
  <c r="O26" i="1" s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G46" i="1"/>
  <c r="J46" i="1" s="1"/>
  <c r="L46" i="1" s="1"/>
  <c r="G43" i="1"/>
  <c r="J43" i="1" s="1"/>
  <c r="M30" i="1"/>
  <c r="F31" i="1"/>
  <c r="F33" i="1"/>
  <c r="P33" i="4" l="1"/>
  <c r="U32" i="1"/>
  <c r="G24" i="10" s="1"/>
  <c r="P41" i="4"/>
  <c r="U40" i="1"/>
  <c r="P35" i="4"/>
  <c r="U34" i="1"/>
  <c r="P38" i="4"/>
  <c r="U37" i="1"/>
  <c r="P30" i="4"/>
  <c r="U29" i="1"/>
  <c r="W29" i="1" s="1"/>
  <c r="P36" i="4"/>
  <c r="U35" i="1"/>
  <c r="W35" i="1" s="1"/>
  <c r="P31" i="4"/>
  <c r="U30" i="1"/>
  <c r="P29" i="4"/>
  <c r="U28" i="1"/>
  <c r="W28" i="1" s="1"/>
  <c r="P37" i="4"/>
  <c r="U36" i="1"/>
  <c r="P28" i="4"/>
  <c r="U27" i="1"/>
  <c r="W27" i="1" s="1"/>
  <c r="P32" i="4"/>
  <c r="U31" i="1"/>
  <c r="G23" i="10" s="1"/>
  <c r="P40" i="4"/>
  <c r="U39" i="1"/>
  <c r="W39" i="1" s="1"/>
  <c r="P34" i="4"/>
  <c r="U33" i="1"/>
  <c r="P39" i="4"/>
  <c r="U38" i="1"/>
  <c r="W38" i="1" s="1"/>
  <c r="P27" i="4"/>
  <c r="U26" i="1"/>
  <c r="P26" i="4"/>
  <c r="U25" i="1"/>
  <c r="W25" i="1" s="1"/>
  <c r="P24" i="4"/>
  <c r="U23" i="1"/>
  <c r="P25" i="4"/>
  <c r="U24" i="1"/>
  <c r="W24" i="1" s="1"/>
  <c r="P23" i="4"/>
  <c r="U22" i="1"/>
  <c r="W22" i="1" s="1"/>
  <c r="P22" i="4"/>
  <c r="U21" i="1"/>
  <c r="W21" i="1" s="1"/>
  <c r="P20" i="4"/>
  <c r="U19" i="1"/>
  <c r="W19" i="1" s="1"/>
  <c r="P21" i="4"/>
  <c r="U20" i="1"/>
  <c r="W20" i="1" s="1"/>
  <c r="P19" i="4"/>
  <c r="U18" i="1"/>
  <c r="W18" i="1" s="1"/>
  <c r="P18" i="4"/>
  <c r="U17" i="1"/>
  <c r="W17" i="1" s="1"/>
  <c r="U16" i="1"/>
  <c r="P16" i="4"/>
  <c r="U15" i="1"/>
  <c r="P15" i="4"/>
  <c r="U14" i="1"/>
  <c r="W14" i="1" s="1"/>
  <c r="P14" i="4"/>
  <c r="U13" i="1"/>
  <c r="W13" i="1" s="1"/>
  <c r="P13" i="4"/>
  <c r="U12" i="1"/>
  <c r="W12" i="1" s="1"/>
  <c r="P12" i="4"/>
  <c r="U11" i="1"/>
  <c r="O38" i="1"/>
  <c r="O22" i="1"/>
  <c r="G43" i="4"/>
  <c r="C43" i="4"/>
  <c r="I43" i="4"/>
  <c r="E43" i="4"/>
  <c r="N43" i="4"/>
  <c r="O17" i="1"/>
  <c r="O11" i="1"/>
  <c r="O27" i="1"/>
  <c r="O31" i="1"/>
  <c r="L41" i="1"/>
  <c r="G45" i="1" s="1"/>
  <c r="J45" i="1" s="1"/>
  <c r="L43" i="1" s="1"/>
  <c r="W15" i="1"/>
  <c r="W16" i="1"/>
  <c r="O39" i="1"/>
  <c r="O40" i="1"/>
  <c r="W40" i="1"/>
  <c r="W36" i="1"/>
  <c r="W37" i="1"/>
  <c r="O34" i="1"/>
  <c r="W34" i="1"/>
  <c r="W33" i="1"/>
  <c r="W30" i="1"/>
  <c r="W23" i="1"/>
  <c r="O32" i="1"/>
  <c r="O29" i="1"/>
  <c r="O23" i="1"/>
  <c r="O10" i="1"/>
  <c r="F41" i="1"/>
  <c r="O36" i="1"/>
  <c r="Z41" i="1"/>
  <c r="M41" i="1"/>
  <c r="O30" i="1"/>
  <c r="W32" i="1" l="1"/>
  <c r="W31" i="1"/>
  <c r="O13" i="10"/>
  <c r="O5" i="10"/>
  <c r="O10" i="10"/>
  <c r="O4" i="10"/>
  <c r="U10" i="1"/>
  <c r="W10" i="1" s="1"/>
  <c r="O17" i="10"/>
  <c r="W11" i="1"/>
  <c r="O18" i="10"/>
  <c r="W26" i="1"/>
  <c r="O28" i="10"/>
  <c r="O14" i="10"/>
  <c r="O22" i="10"/>
  <c r="O11" i="10"/>
  <c r="O29" i="10"/>
  <c r="O21" i="10"/>
  <c r="O15" i="10"/>
  <c r="O41" i="1"/>
  <c r="O6" i="10"/>
  <c r="O7" i="10"/>
  <c r="O12" i="10"/>
  <c r="O16" i="10"/>
  <c r="O9" i="10"/>
  <c r="O19" i="10"/>
  <c r="O8" i="10"/>
  <c r="O20" i="10"/>
  <c r="O26" i="10"/>
  <c r="O25" i="10"/>
  <c r="K47" i="4"/>
  <c r="O43" i="4"/>
  <c r="P43" i="4" s="1"/>
  <c r="O27" i="10"/>
  <c r="O24" i="10"/>
  <c r="O23" i="10"/>
  <c r="G2" i="10" l="1"/>
  <c r="O2" i="10" s="1"/>
  <c r="O3" i="10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<sst xmlns="http://schemas.openxmlformats.org/spreadsheetml/2006/main" count="125" uniqueCount="82">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</sst>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8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26" fillId="17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3 2" xfId="3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480</c:v>
                </c:pt>
                <c:pt idx="9">
                  <c:v>440</c:v>
                </c:pt>
                <c:pt idx="10">
                  <c:v>450</c:v>
                </c:pt>
                <c:pt idx="11">
                  <c:v>540</c:v>
                </c:pt>
                <c:pt idx="12">
                  <c:v>450</c:v>
                </c:pt>
                <c:pt idx="13">
                  <c:v>450</c:v>
                </c:pt>
                <c:pt idx="14">
                  <c:v>400</c:v>
                </c:pt>
                <c:pt idx="15">
                  <c:v>460</c:v>
                </c:pt>
                <c:pt idx="16">
                  <c:v>530</c:v>
                </c:pt>
                <c:pt idx="17">
                  <c:v>500</c:v>
                </c:pt>
                <c:pt idx="18">
                  <c:v>510</c:v>
                </c:pt>
                <c:pt idx="19">
                  <c:v>470</c:v>
                </c:pt>
                <c:pt idx="20">
                  <c:v>520</c:v>
                </c:pt>
                <c:pt idx="21">
                  <c:v>430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57440"/>
        <c:axId val="166958976"/>
      </c:lineChart>
      <c:dateAx>
        <c:axId val="1669574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8976"/>
        <c:crosses val="autoZero"/>
        <c:auto val="1"/>
        <c:lblOffset val="100"/>
        <c:baseTimeUnit val="days"/>
      </c:dateAx>
      <c:valAx>
        <c:axId val="16695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74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4213</c:v>
                </c:pt>
                <c:pt idx="9">
                  <c:v>4256</c:v>
                </c:pt>
                <c:pt idx="10">
                  <c:v>4190</c:v>
                </c:pt>
                <c:pt idx="11">
                  <c:v>4171</c:v>
                </c:pt>
                <c:pt idx="12">
                  <c:v>4518</c:v>
                </c:pt>
                <c:pt idx="13">
                  <c:v>4490</c:v>
                </c:pt>
                <c:pt idx="14">
                  <c:v>4181</c:v>
                </c:pt>
                <c:pt idx="15">
                  <c:v>4219</c:v>
                </c:pt>
                <c:pt idx="16">
                  <c:v>4486</c:v>
                </c:pt>
                <c:pt idx="17">
                  <c:v>4414</c:v>
                </c:pt>
                <c:pt idx="18">
                  <c:v>4430</c:v>
                </c:pt>
                <c:pt idx="19">
                  <c:v>4777</c:v>
                </c:pt>
                <c:pt idx="20">
                  <c:v>4844</c:v>
                </c:pt>
                <c:pt idx="21">
                  <c:v>4769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6518</c:v>
                </c:pt>
                <c:pt idx="9">
                  <c:v>6550</c:v>
                </c:pt>
                <c:pt idx="10">
                  <c:v>6334</c:v>
                </c:pt>
                <c:pt idx="11">
                  <c:v>6084</c:v>
                </c:pt>
                <c:pt idx="12">
                  <c:v>6674</c:v>
                </c:pt>
                <c:pt idx="13">
                  <c:v>6613</c:v>
                </c:pt>
                <c:pt idx="14">
                  <c:v>6551</c:v>
                </c:pt>
                <c:pt idx="15">
                  <c:v>6531</c:v>
                </c:pt>
                <c:pt idx="16">
                  <c:v>6703</c:v>
                </c:pt>
                <c:pt idx="17">
                  <c:v>6650</c:v>
                </c:pt>
                <c:pt idx="18">
                  <c:v>6520</c:v>
                </c:pt>
                <c:pt idx="19">
                  <c:v>6725</c:v>
                </c:pt>
                <c:pt idx="20">
                  <c:v>7099</c:v>
                </c:pt>
                <c:pt idx="21">
                  <c:v>6786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3151</c:v>
                </c:pt>
                <c:pt idx="9">
                  <c:v>2942</c:v>
                </c:pt>
                <c:pt idx="10">
                  <c:v>2895</c:v>
                </c:pt>
                <c:pt idx="11">
                  <c:v>2875</c:v>
                </c:pt>
                <c:pt idx="12">
                  <c:v>3045</c:v>
                </c:pt>
                <c:pt idx="13">
                  <c:v>2883</c:v>
                </c:pt>
                <c:pt idx="14">
                  <c:v>2675</c:v>
                </c:pt>
                <c:pt idx="15">
                  <c:v>2899</c:v>
                </c:pt>
                <c:pt idx="16">
                  <c:v>3335</c:v>
                </c:pt>
                <c:pt idx="17">
                  <c:v>2967</c:v>
                </c:pt>
                <c:pt idx="18">
                  <c:v>2869</c:v>
                </c:pt>
                <c:pt idx="19">
                  <c:v>3166</c:v>
                </c:pt>
                <c:pt idx="20">
                  <c:v>3199</c:v>
                </c:pt>
                <c:pt idx="21">
                  <c:v>3067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1600"/>
        <c:axId val="163723136"/>
      </c:lineChart>
      <c:dateAx>
        <c:axId val="1637216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3136"/>
        <c:crosses val="autoZero"/>
        <c:auto val="1"/>
        <c:lblOffset val="100"/>
        <c:baseTimeUnit val="days"/>
      </c:dateAx>
      <c:valAx>
        <c:axId val="163723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2448.6</c:v>
                </c:pt>
                <c:pt idx="10">
                  <c:v>1484</c:v>
                </c:pt>
                <c:pt idx="11">
                  <c:v>2374.4</c:v>
                </c:pt>
                <c:pt idx="12">
                  <c:v>2077.6</c:v>
                </c:pt>
                <c:pt idx="13">
                  <c:v>1224.3</c:v>
                </c:pt>
                <c:pt idx="14">
                  <c:v>1929.2</c:v>
                </c:pt>
                <c:pt idx="15">
                  <c:v>1113</c:v>
                </c:pt>
                <c:pt idx="16">
                  <c:v>1001.7</c:v>
                </c:pt>
                <c:pt idx="17">
                  <c:v>1558.2</c:v>
                </c:pt>
                <c:pt idx="18">
                  <c:v>2003.4</c:v>
                </c:pt>
                <c:pt idx="19">
                  <c:v>2782.5</c:v>
                </c:pt>
                <c:pt idx="20">
                  <c:v>1743.7</c:v>
                </c:pt>
                <c:pt idx="21">
                  <c:v>2337.3000000000002</c:v>
                </c:pt>
                <c:pt idx="22">
                  <c:v>1669.5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39904"/>
        <c:axId val="163741696"/>
      </c:lineChart>
      <c:dateAx>
        <c:axId val="16373990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1696"/>
        <c:crosses val="autoZero"/>
        <c:auto val="1"/>
        <c:lblOffset val="100"/>
        <c:baseTimeUnit val="days"/>
      </c:dateAx>
      <c:valAx>
        <c:axId val="163741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4" sqref="N24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9.36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42436.32399999992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9.36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39027.989999999692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9.36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44371.341999999844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9.36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40629.476000000541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9.36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41072.525999999925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9.36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42531.845999999969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9.36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37970.451999999728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9.36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39431.070000000342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13882</v>
      </c>
      <c r="F10" s="108">
        <v>1.002</v>
      </c>
      <c r="G10" s="108">
        <f>'Consommation du 01.01 au 31.01'!U18</f>
        <v>2448.6</v>
      </c>
      <c r="H10" s="108">
        <v>9.36</v>
      </c>
      <c r="I10" s="108">
        <f>'Consommation du 01.01 au 31.01'!Y18*1000</f>
        <v>2049.9999999992724</v>
      </c>
      <c r="J10" s="108">
        <v>0.53</v>
      </c>
      <c r="K10" s="108">
        <f>'Consommation du 01.01 au 31.01'!D18</f>
        <v>480</v>
      </c>
      <c r="L10" s="108">
        <v>12.67</v>
      </c>
      <c r="M10" s="122">
        <f>'Consommation du 01.01 au 31.01'!AC18</f>
        <v>135</v>
      </c>
      <c r="N10" s="122">
        <v>225</v>
      </c>
      <c r="O10" s="108">
        <f t="shared" si="0"/>
        <v>43996.759999999609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13748</v>
      </c>
      <c r="F11" s="108">
        <v>1.002</v>
      </c>
      <c r="G11" s="108">
        <f>'Consommation du 01.01 au 31.01'!U19</f>
        <v>1484</v>
      </c>
      <c r="H11" s="108">
        <v>9.36</v>
      </c>
      <c r="I11" s="108">
        <f>'Consommation du 01.01 au 31.01'!Y19*1000</f>
        <v>13230.000000001382</v>
      </c>
      <c r="J11" s="108">
        <v>0.53</v>
      </c>
      <c r="K11" s="108">
        <f>'Consommation du 01.01 au 31.01'!D19</f>
        <v>440</v>
      </c>
      <c r="L11" s="108">
        <v>12.67</v>
      </c>
      <c r="M11" s="122">
        <f>'Consommation du 01.01 au 31.01'!AC19</f>
        <v>77</v>
      </c>
      <c r="N11" s="122">
        <v>156</v>
      </c>
      <c r="O11" s="108">
        <f t="shared" si="0"/>
        <v>40252.436000000729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13419</v>
      </c>
      <c r="F12" s="108">
        <v>1.002</v>
      </c>
      <c r="G12" s="108">
        <f>'Consommation du 01.01 au 31.01'!U20</f>
        <v>2374.4</v>
      </c>
      <c r="H12" s="108">
        <v>9.36</v>
      </c>
      <c r="I12" s="108">
        <f>'Consommation du 01.01 au 31.01'!Y20*1000</f>
        <v>12049.999999999272</v>
      </c>
      <c r="J12" s="108">
        <v>0.53</v>
      </c>
      <c r="K12" s="108">
        <f>'Consommation du 01.01 au 31.01'!D20</f>
        <v>450</v>
      </c>
      <c r="L12" s="108">
        <v>12.67</v>
      </c>
      <c r="M12" s="122">
        <f>'Consommation du 01.01 au 31.01'!AC20</f>
        <v>90</v>
      </c>
      <c r="N12" s="122">
        <v>191</v>
      </c>
      <c r="O12" s="108">
        <f t="shared" si="0"/>
        <v>47758.221999999609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13130</v>
      </c>
      <c r="F13" s="108">
        <v>1.002</v>
      </c>
      <c r="G13" s="108">
        <f>'Consommation du 01.01 au 31.01'!U21</f>
        <v>2077.6</v>
      </c>
      <c r="H13" s="108">
        <v>9.36</v>
      </c>
      <c r="I13" s="108">
        <f>'Consommation du 01.01 au 31.01'!Y21*1000</f>
        <v>9299.9999999992724</v>
      </c>
      <c r="J13" s="108">
        <v>0.53</v>
      </c>
      <c r="K13" s="108">
        <f>'Consommation du 01.01 au 31.01'!D21</f>
        <v>540</v>
      </c>
      <c r="L13" s="108">
        <v>12.67</v>
      </c>
      <c r="M13" s="122">
        <f>'Consommation du 01.01 au 31.01'!AC21</f>
        <v>60</v>
      </c>
      <c r="N13" s="122">
        <v>122</v>
      </c>
      <c r="O13" s="108">
        <f t="shared" si="0"/>
        <v>44373.395999999615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14237</v>
      </c>
      <c r="F14" s="108">
        <v>1.002</v>
      </c>
      <c r="G14" s="108">
        <f>'Consommation du 01.01 au 31.01'!U22</f>
        <v>1224.3</v>
      </c>
      <c r="H14" s="108">
        <v>9.36</v>
      </c>
      <c r="I14" s="108">
        <f>'Consommation du 01.01 au 31.01'!Y22*1000</f>
        <v>11440.000000000509</v>
      </c>
      <c r="J14" s="108">
        <v>0.53</v>
      </c>
      <c r="K14" s="108">
        <f>'Consommation du 01.01 au 31.01'!D22</f>
        <v>450</v>
      </c>
      <c r="L14" s="108">
        <v>12.67</v>
      </c>
      <c r="M14" s="122">
        <f>'Consommation du 01.01 au 31.01'!AC22</f>
        <v>50</v>
      </c>
      <c r="N14" s="122">
        <v>108</v>
      </c>
      <c r="O14" s="108">
        <f t="shared" si="0"/>
        <v>37489.622000000265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13986</v>
      </c>
      <c r="F15" s="108">
        <v>1.002</v>
      </c>
      <c r="G15" s="108">
        <f>'Consommation du 01.01 au 31.01'!U23</f>
        <v>1929.2</v>
      </c>
      <c r="H15" s="108">
        <v>9.36</v>
      </c>
      <c r="I15" s="108">
        <f>'Consommation du 01.01 au 31.01'!Y23*1000</f>
        <v>15530.000000000655</v>
      </c>
      <c r="J15" s="108">
        <v>0.53</v>
      </c>
      <c r="K15" s="108">
        <f>'Consommation du 01.01 au 31.01'!D23</f>
        <v>450</v>
      </c>
      <c r="L15" s="108">
        <v>12.67</v>
      </c>
      <c r="M15" s="122">
        <f>'Consommation du 01.01 au 31.01'!AC23</f>
        <v>52</v>
      </c>
      <c r="N15" s="122">
        <v>106</v>
      </c>
      <c r="O15" s="108">
        <f t="shared" si="0"/>
        <v>46003.684000000343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13407</v>
      </c>
      <c r="F16" s="108">
        <v>1.002</v>
      </c>
      <c r="G16" s="108">
        <f>'Consommation du 01.01 au 31.01'!U24</f>
        <v>1113</v>
      </c>
      <c r="H16" s="108">
        <v>9.36</v>
      </c>
      <c r="I16" s="108">
        <f>'Consommation du 01.01 au 31.01'!Y24*1000</f>
        <v>16449.999999998909</v>
      </c>
      <c r="J16" s="108">
        <v>0.53</v>
      </c>
      <c r="K16" s="108">
        <f>'Consommation du 01.01 au 31.01'!D24</f>
        <v>400</v>
      </c>
      <c r="L16" s="108">
        <v>12.67</v>
      </c>
      <c r="M16" s="122">
        <f>'Consommation du 01.01 au 31.01'!AC24</f>
        <v>49</v>
      </c>
      <c r="N16" s="122">
        <v>95</v>
      </c>
      <c r="O16" s="108">
        <f t="shared" si="0"/>
        <v>37637.993999999424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13649</v>
      </c>
      <c r="F17" s="108">
        <v>1.002</v>
      </c>
      <c r="G17" s="108">
        <f>'Consommation du 01.01 au 31.01'!U25</f>
        <v>1001.7</v>
      </c>
      <c r="H17" s="108">
        <v>9.36</v>
      </c>
      <c r="I17" s="108">
        <f>'Consommation du 01.01 au 31.01'!Y25*1000</f>
        <v>17409.999999999854</v>
      </c>
      <c r="J17" s="108">
        <v>0.53</v>
      </c>
      <c r="K17" s="108">
        <f>'Consommation du 01.01 au 31.01'!D25</f>
        <v>460</v>
      </c>
      <c r="L17" s="108">
        <v>12.67</v>
      </c>
      <c r="M17" s="122">
        <f>'Consommation du 01.01 au 31.01'!AC25</f>
        <v>50</v>
      </c>
      <c r="N17" s="122">
        <v>91</v>
      </c>
      <c r="O17" s="108">
        <f t="shared" si="0"/>
        <v>38107.709999999919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14524</v>
      </c>
      <c r="F18" s="108">
        <v>1.002</v>
      </c>
      <c r="G18" s="108">
        <f>'Consommation du 01.01 au 31.01'!U26</f>
        <v>1558.2</v>
      </c>
      <c r="H18" s="108">
        <v>9.36</v>
      </c>
      <c r="I18" s="108">
        <f>'Consommation du 01.01 au 31.01'!Y26*1000</f>
        <v>16960.000000000946</v>
      </c>
      <c r="J18" s="108">
        <v>0.53</v>
      </c>
      <c r="K18" s="108">
        <f>'Consommation du 01.01 au 31.01'!D26</f>
        <v>530</v>
      </c>
      <c r="L18" s="108">
        <v>12.67</v>
      </c>
      <c r="M18" s="122">
        <f>'Consommation du 01.01 au 31.01'!AC26</f>
        <v>130</v>
      </c>
      <c r="N18" s="122">
        <v>253</v>
      </c>
      <c r="O18" s="108">
        <f t="shared" si="0"/>
        <v>44841.700000000499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14031</v>
      </c>
      <c r="F19" s="108">
        <v>1.002</v>
      </c>
      <c r="G19" s="108">
        <f>'Consommation du 01.01 au 31.01'!U27</f>
        <v>2003.4</v>
      </c>
      <c r="H19" s="108">
        <v>9.36</v>
      </c>
      <c r="I19" s="108">
        <f>'Consommation du 01.01 au 31.01'!Y27*1000</f>
        <v>7430.000000000291</v>
      </c>
      <c r="J19" s="108">
        <v>0.53</v>
      </c>
      <c r="K19" s="108">
        <f>'Consommation du 01.01 au 31.01'!D27</f>
        <v>500</v>
      </c>
      <c r="L19" s="108">
        <v>12.67</v>
      </c>
      <c r="M19" s="122">
        <f>'Consommation du 01.01 au 31.01'!AC27</f>
        <v>127</v>
      </c>
      <c r="N19" s="122">
        <v>249</v>
      </c>
      <c r="O19" s="108">
        <f t="shared" si="0"/>
        <v>43083.786000000153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13819</v>
      </c>
      <c r="F20" s="108">
        <v>1.002</v>
      </c>
      <c r="G20" s="108">
        <f>'Consommation du 01.01 au 31.01'!U28</f>
        <v>2782.5</v>
      </c>
      <c r="H20" s="108">
        <v>9.36</v>
      </c>
      <c r="I20" s="108">
        <f>'Consommation du 01.01 au 31.01'!Y28*1000</f>
        <v>3609.9999999987631</v>
      </c>
      <c r="J20" s="108">
        <v>0.53</v>
      </c>
      <c r="K20" s="108">
        <f>'Consommation du 01.01 au 31.01'!D28</f>
        <v>510</v>
      </c>
      <c r="L20" s="108">
        <v>12.67</v>
      </c>
      <c r="M20" s="122">
        <f>'Consommation du 01.01 au 31.01'!AC28</f>
        <v>129</v>
      </c>
      <c r="N20" s="122">
        <v>250</v>
      </c>
      <c r="O20" s="108">
        <f t="shared" si="0"/>
        <v>48265.837999999334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14668</v>
      </c>
      <c r="F21" s="108">
        <v>1.002</v>
      </c>
      <c r="G21" s="108">
        <f>'Consommation du 01.01 au 31.01'!U29</f>
        <v>1743.7</v>
      </c>
      <c r="H21" s="108">
        <v>9.36</v>
      </c>
      <c r="I21" s="108">
        <f>'Consommation du 01.01 au 31.01'!Y29*1000</f>
        <v>11600.000000000364</v>
      </c>
      <c r="J21" s="108">
        <v>0.53</v>
      </c>
      <c r="K21" s="108">
        <f>'Consommation du 01.01 au 31.01'!D29</f>
        <v>470</v>
      </c>
      <c r="L21" s="108">
        <v>12.67</v>
      </c>
      <c r="M21" s="122">
        <f>'Consommation du 01.01 au 31.01'!AC29</f>
        <v>123</v>
      </c>
      <c r="N21" s="122">
        <v>242</v>
      </c>
      <c r="O21" s="108">
        <f t="shared" si="0"/>
        <v>43121.268000000193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15142</v>
      </c>
      <c r="F22" s="108">
        <v>1.002</v>
      </c>
      <c r="G22" s="108">
        <f>'Consommation du 01.01 au 31.01'!U30</f>
        <v>2337.3000000000002</v>
      </c>
      <c r="H22" s="108">
        <v>9.36</v>
      </c>
      <c r="I22" s="108">
        <f>'Consommation du 01.01 au 31.01'!Y30*1000</f>
        <v>10069.999999999709</v>
      </c>
      <c r="J22" s="108">
        <v>0.53</v>
      </c>
      <c r="K22" s="108">
        <f>'Consommation du 01.01 au 31.01'!D30</f>
        <v>520</v>
      </c>
      <c r="L22" s="108">
        <v>12.67</v>
      </c>
      <c r="M22" s="122">
        <f>'Consommation du 01.01 au 31.01'!AC30</f>
        <v>114</v>
      </c>
      <c r="N22" s="122">
        <v>151</v>
      </c>
      <c r="O22" s="108">
        <f t="shared" si="0"/>
        <v>48974.911999999844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14622</v>
      </c>
      <c r="F23" s="108">
        <v>1.002</v>
      </c>
      <c r="G23" s="108">
        <f>'Consommation du 01.01 au 31.01'!U31</f>
        <v>1669.5</v>
      </c>
      <c r="H23" s="108">
        <v>9.36</v>
      </c>
      <c r="I23" s="108">
        <f>'Consommation du 01.01 au 31.01'!Y31*1000</f>
        <v>10130.000000001019</v>
      </c>
      <c r="J23" s="108">
        <v>0.53</v>
      </c>
      <c r="K23" s="108">
        <f>'Consommation du 01.01 au 31.01'!D31</f>
        <v>430</v>
      </c>
      <c r="L23" s="108">
        <v>12.67</v>
      </c>
      <c r="M23" s="122">
        <v>117</v>
      </c>
      <c r="N23" s="122">
        <v>157</v>
      </c>
      <c r="O23" s="108">
        <f t="shared" si="0"/>
        <v>41094.764000000541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9.36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9.36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9.36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9.36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9.36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9.36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9.36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9.36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9.36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35" sqref="X3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18"/>
      <c r="B2" s="219"/>
      <c r="C2" s="219"/>
      <c r="D2" s="219"/>
      <c r="E2" s="219"/>
      <c r="F2" s="220"/>
      <c r="G2" s="207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9"/>
      <c r="AD2" s="183"/>
      <c r="AE2" s="183"/>
      <c r="AF2" s="183"/>
      <c r="AJ2" s="63"/>
    </row>
    <row r="3" spans="1:37" ht="1.5" customHeight="1" x14ac:dyDescent="0.2"/>
    <row r="4" spans="1:37" ht="39" hidden="1" customHeight="1" x14ac:dyDescent="0.2">
      <c r="A4" s="221"/>
      <c r="B4" s="221"/>
      <c r="C4" s="221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1"/>
      <c r="B5" s="221"/>
      <c r="C5" s="221"/>
      <c r="D5" s="6"/>
      <c r="E5" s="6"/>
      <c r="F5" s="6"/>
      <c r="G5" s="6"/>
      <c r="H5" s="6"/>
      <c r="I5" s="6"/>
      <c r="J5" s="6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3"/>
      <c r="E7" s="163"/>
      <c r="F7" s="163"/>
      <c r="G7" s="163"/>
      <c r="H7" s="163"/>
      <c r="I7" s="163"/>
      <c r="J7" s="163"/>
      <c r="K7" s="163"/>
      <c r="L7" s="164"/>
      <c r="M7" s="164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4"/>
      <c r="AC7" s="14"/>
      <c r="AI7" s="6"/>
      <c r="AJ7" s="6"/>
      <c r="AK7" s="6"/>
    </row>
    <row r="8" spans="1:37" ht="2.25" customHeight="1" thickBot="1" x14ac:dyDescent="0.25">
      <c r="A8" s="163"/>
      <c r="B8" s="223" t="s">
        <v>1</v>
      </c>
      <c r="C8" s="4"/>
      <c r="D8" s="224" t="s">
        <v>4</v>
      </c>
      <c r="E8" s="5"/>
      <c r="F8" s="210" t="s">
        <v>12</v>
      </c>
      <c r="G8" s="211"/>
      <c r="H8" s="212"/>
      <c r="I8" s="5"/>
      <c r="J8" s="167" t="s">
        <v>3</v>
      </c>
      <c r="K8" s="167"/>
      <c r="L8" s="167"/>
      <c r="M8" s="167" t="s">
        <v>2</v>
      </c>
      <c r="N8" s="5"/>
      <c r="O8" s="216" t="s">
        <v>12</v>
      </c>
      <c r="P8" s="5"/>
      <c r="Q8" s="216" t="s">
        <v>5</v>
      </c>
      <c r="R8" s="5"/>
      <c r="S8" s="216" t="s">
        <v>6</v>
      </c>
      <c r="T8" s="5"/>
      <c r="U8" s="165" t="s">
        <v>39</v>
      </c>
      <c r="V8" s="5"/>
      <c r="W8" s="216" t="s">
        <v>12</v>
      </c>
      <c r="X8" s="70"/>
      <c r="Y8" s="70"/>
      <c r="Z8" s="70"/>
      <c r="AA8" s="228"/>
      <c r="AB8" s="226" t="s">
        <v>80</v>
      </c>
      <c r="AC8" s="216" t="s">
        <v>75</v>
      </c>
      <c r="AD8" s="233" t="s">
        <v>54</v>
      </c>
      <c r="AE8" s="231" t="s">
        <v>59</v>
      </c>
      <c r="AF8" s="231" t="s">
        <v>60</v>
      </c>
      <c r="AG8" s="229" t="s">
        <v>61</v>
      </c>
      <c r="AH8" s="229" t="s">
        <v>62</v>
      </c>
      <c r="AI8" s="74"/>
      <c r="AJ8" s="74"/>
      <c r="AK8" s="74"/>
    </row>
    <row r="9" spans="1:37" ht="116.25" customHeight="1" thickBot="1" x14ac:dyDescent="0.25">
      <c r="A9" s="163"/>
      <c r="B9" s="223"/>
      <c r="C9" s="4"/>
      <c r="D9" s="225"/>
      <c r="E9" s="5"/>
      <c r="F9" s="213"/>
      <c r="G9" s="214"/>
      <c r="H9" s="215"/>
      <c r="I9" s="5"/>
      <c r="J9" s="86" t="s">
        <v>7</v>
      </c>
      <c r="K9" s="86" t="s">
        <v>8</v>
      </c>
      <c r="L9" s="86" t="s">
        <v>9</v>
      </c>
      <c r="M9" s="167"/>
      <c r="N9" s="5"/>
      <c r="O9" s="217"/>
      <c r="P9" s="5"/>
      <c r="Q9" s="217"/>
      <c r="R9" s="5"/>
      <c r="S9" s="217"/>
      <c r="T9" s="5"/>
      <c r="U9" s="166"/>
      <c r="V9" s="5"/>
      <c r="W9" s="217"/>
      <c r="X9" s="132" t="s">
        <v>81</v>
      </c>
      <c r="Y9" s="101" t="s">
        <v>55</v>
      </c>
      <c r="Z9" s="102" t="s">
        <v>56</v>
      </c>
      <c r="AA9" s="228"/>
      <c r="AB9" s="227"/>
      <c r="AC9" s="222"/>
      <c r="AD9" s="234"/>
      <c r="AE9" s="232"/>
      <c r="AF9" s="232"/>
      <c r="AG9" s="230"/>
      <c r="AH9" s="230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157">
        <f>D10*12.67</f>
        <v>5701.5</v>
      </c>
      <c r="G10" s="157"/>
      <c r="H10" s="158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157">
        <f t="shared" ref="F11:F40" si="0">D11*12.67</f>
        <v>7095.2</v>
      </c>
      <c r="G11" s="157"/>
      <c r="H11" s="158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157">
        <f t="shared" si="0"/>
        <v>6461.7</v>
      </c>
      <c r="G12" s="157"/>
      <c r="H12" s="158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157">
        <f t="shared" si="0"/>
        <v>5701.5</v>
      </c>
      <c r="G13" s="157"/>
      <c r="H13" s="158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157">
        <f t="shared" si="0"/>
        <v>5954.9</v>
      </c>
      <c r="G14" s="157"/>
      <c r="H14" s="158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157">
        <f t="shared" si="0"/>
        <v>5954.9</v>
      </c>
      <c r="G15" s="157"/>
      <c r="H15" s="158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157">
        <f t="shared" si="0"/>
        <v>6208.3</v>
      </c>
      <c r="G16" s="157"/>
      <c r="H16" s="158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157">
        <f t="shared" si="0"/>
        <v>5701.5</v>
      </c>
      <c r="G17" s="157"/>
      <c r="H17" s="158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480</v>
      </c>
      <c r="E18" s="112"/>
      <c r="F18" s="157">
        <f t="shared" si="0"/>
        <v>6081.6</v>
      </c>
      <c r="G18" s="157"/>
      <c r="H18" s="158"/>
      <c r="I18" s="93"/>
      <c r="J18" s="117">
        <f>'Suivi EAU-ELEC'!E24</f>
        <v>4213</v>
      </c>
      <c r="K18" s="118">
        <f>'Suivi EAU-ELEC'!G24</f>
        <v>6518</v>
      </c>
      <c r="L18" s="118">
        <f>'Suivi EAU-ELEC'!I24</f>
        <v>3151</v>
      </c>
      <c r="M18" s="119">
        <f t="shared" si="1"/>
        <v>13882</v>
      </c>
      <c r="N18" s="92"/>
      <c r="O18" s="95">
        <f t="shared" si="2"/>
        <v>13909.763999999999</v>
      </c>
      <c r="P18" s="91"/>
      <c r="Q18" s="90"/>
      <c r="R18" s="89"/>
      <c r="S18" s="90"/>
      <c r="T18" s="97"/>
      <c r="U18" s="96">
        <f>'Suvi Gaz'!O19</f>
        <v>2448.6</v>
      </c>
      <c r="V18" s="93"/>
      <c r="W18" s="95">
        <f t="shared" si="3"/>
        <v>21556.984680000001</v>
      </c>
      <c r="X18" s="138">
        <v>16111.76</v>
      </c>
      <c r="Y18" s="99">
        <f t="shared" si="4"/>
        <v>2.0499999999992724</v>
      </c>
      <c r="Z18" s="100">
        <f t="shared" si="5"/>
        <v>1086.4999999996144</v>
      </c>
      <c r="AA18" s="98"/>
      <c r="AB18" s="115">
        <v>14</v>
      </c>
      <c r="AC18" s="129">
        <v>135</v>
      </c>
      <c r="AD18" s="125">
        <v>0.97119999999999995</v>
      </c>
      <c r="AE18" s="137">
        <v>27</v>
      </c>
      <c r="AF18" s="137">
        <v>28</v>
      </c>
      <c r="AG18" s="135">
        <v>26</v>
      </c>
      <c r="AH18" s="136">
        <v>27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440</v>
      </c>
      <c r="E19" s="112"/>
      <c r="F19" s="157">
        <f t="shared" si="0"/>
        <v>5574.8</v>
      </c>
      <c r="G19" s="157"/>
      <c r="H19" s="158"/>
      <c r="I19" s="93"/>
      <c r="J19" s="117">
        <f>'Suivi EAU-ELEC'!E25</f>
        <v>4256</v>
      </c>
      <c r="K19" s="118">
        <f>'Suivi EAU-ELEC'!G25</f>
        <v>6550</v>
      </c>
      <c r="L19" s="118">
        <f>'Suivi EAU-ELEC'!I25</f>
        <v>2942</v>
      </c>
      <c r="M19" s="119">
        <f t="shared" si="1"/>
        <v>13748</v>
      </c>
      <c r="N19" s="92"/>
      <c r="O19" s="95">
        <f t="shared" si="2"/>
        <v>13775.495999999999</v>
      </c>
      <c r="P19" s="91"/>
      <c r="Q19" s="90"/>
      <c r="R19" s="89"/>
      <c r="S19" s="90"/>
      <c r="T19" s="97"/>
      <c r="U19" s="96">
        <f>'Suvi Gaz'!O20</f>
        <v>1484</v>
      </c>
      <c r="V19" s="93"/>
      <c r="W19" s="95">
        <f t="shared" si="3"/>
        <v>13064.8392</v>
      </c>
      <c r="X19" s="138">
        <v>16113.81</v>
      </c>
      <c r="Y19" s="99">
        <f t="shared" si="4"/>
        <v>13.230000000001382</v>
      </c>
      <c r="Z19" s="100">
        <f t="shared" si="5"/>
        <v>7011.9000000007336</v>
      </c>
      <c r="AA19" s="98"/>
      <c r="AB19" s="115">
        <v>14</v>
      </c>
      <c r="AC19" s="129">
        <v>77</v>
      </c>
      <c r="AD19" s="125">
        <v>0.58779999999999999</v>
      </c>
      <c r="AE19" s="137">
        <v>27.4</v>
      </c>
      <c r="AF19" s="137">
        <v>28</v>
      </c>
      <c r="AG19" s="135">
        <v>26.8</v>
      </c>
      <c r="AH19" s="136">
        <v>27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450</v>
      </c>
      <c r="E20" s="112"/>
      <c r="F20" s="157">
        <f t="shared" si="0"/>
        <v>5701.5</v>
      </c>
      <c r="G20" s="157"/>
      <c r="H20" s="158"/>
      <c r="I20" s="93"/>
      <c r="J20" s="117">
        <f>'Suivi EAU-ELEC'!E26</f>
        <v>4190</v>
      </c>
      <c r="K20" s="118">
        <f>'Suivi EAU-ELEC'!G26</f>
        <v>6334</v>
      </c>
      <c r="L20" s="118">
        <f>'Suivi EAU-ELEC'!I26</f>
        <v>2895</v>
      </c>
      <c r="M20" s="119">
        <f t="shared" si="1"/>
        <v>13419</v>
      </c>
      <c r="N20" s="92"/>
      <c r="O20" s="95">
        <f t="shared" si="2"/>
        <v>13445.838</v>
      </c>
      <c r="P20" s="91"/>
      <c r="Q20" s="90"/>
      <c r="R20" s="89"/>
      <c r="S20" s="90"/>
      <c r="T20" s="97"/>
      <c r="U20" s="96">
        <f>'Suvi Gaz'!O21</f>
        <v>2374.4</v>
      </c>
      <c r="V20" s="93"/>
      <c r="W20" s="95">
        <f t="shared" si="3"/>
        <v>20903.742720000002</v>
      </c>
      <c r="X20" s="138">
        <v>16127.04</v>
      </c>
      <c r="Y20" s="99">
        <f t="shared" si="4"/>
        <v>12.049999999999272</v>
      </c>
      <c r="Z20" s="100">
        <f t="shared" si="5"/>
        <v>6386.4999999996144</v>
      </c>
      <c r="AA20" s="98">
        <v>14</v>
      </c>
      <c r="AB20" s="115">
        <v>12</v>
      </c>
      <c r="AC20" s="129">
        <v>90</v>
      </c>
      <c r="AD20" s="125">
        <v>0.66669999999999996</v>
      </c>
      <c r="AE20" s="137">
        <v>27</v>
      </c>
      <c r="AF20" s="137">
        <v>27</v>
      </c>
      <c r="AG20" s="135">
        <v>26.6</v>
      </c>
      <c r="AH20" s="136">
        <v>26.8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540</v>
      </c>
      <c r="E21" s="112"/>
      <c r="F21" s="157">
        <f t="shared" si="0"/>
        <v>6841.8</v>
      </c>
      <c r="G21" s="157"/>
      <c r="H21" s="158"/>
      <c r="I21" s="93"/>
      <c r="J21" s="117">
        <f>'Suivi EAU-ELEC'!E27</f>
        <v>4171</v>
      </c>
      <c r="K21" s="118">
        <f>'Suivi EAU-ELEC'!G27</f>
        <v>6084</v>
      </c>
      <c r="L21" s="118">
        <f>'Suivi EAU-ELEC'!I27</f>
        <v>2875</v>
      </c>
      <c r="M21" s="119">
        <f t="shared" si="1"/>
        <v>13130</v>
      </c>
      <c r="N21" s="92"/>
      <c r="O21" s="95">
        <f t="shared" si="2"/>
        <v>13156.26</v>
      </c>
      <c r="P21" s="91"/>
      <c r="Q21" s="90"/>
      <c r="R21" s="89"/>
      <c r="S21" s="90"/>
      <c r="T21" s="97"/>
      <c r="U21" s="96">
        <f>'Suvi Gaz'!O22</f>
        <v>2077.6</v>
      </c>
      <c r="V21" s="93"/>
      <c r="W21" s="95">
        <f t="shared" si="3"/>
        <v>18290.774880000001</v>
      </c>
      <c r="X21" s="138">
        <v>16139.09</v>
      </c>
      <c r="Y21" s="99">
        <f t="shared" si="4"/>
        <v>9.2999999999992724</v>
      </c>
      <c r="Z21" s="100">
        <f t="shared" si="5"/>
        <v>4928.9999999996144</v>
      </c>
      <c r="AA21" s="98">
        <v>14</v>
      </c>
      <c r="AB21" s="115">
        <v>16</v>
      </c>
      <c r="AC21" s="129">
        <v>60</v>
      </c>
      <c r="AD21" s="125">
        <v>0.45800000000000002</v>
      </c>
      <c r="AE21" s="137">
        <v>26.5</v>
      </c>
      <c r="AF21" s="130">
        <v>26.5</v>
      </c>
      <c r="AG21" s="135">
        <v>26</v>
      </c>
      <c r="AH21" s="136">
        <v>26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450</v>
      </c>
      <c r="E22" s="112"/>
      <c r="F22" s="157">
        <f t="shared" si="0"/>
        <v>5701.5</v>
      </c>
      <c r="G22" s="157"/>
      <c r="H22" s="158"/>
      <c r="I22" s="93"/>
      <c r="J22" s="117">
        <f>'Suivi EAU-ELEC'!E28</f>
        <v>4518</v>
      </c>
      <c r="K22" s="118">
        <f>'Suivi EAU-ELEC'!G28</f>
        <v>6674</v>
      </c>
      <c r="L22" s="118">
        <f>'Suivi EAU-ELEC'!I28</f>
        <v>3045</v>
      </c>
      <c r="M22" s="119">
        <f t="shared" si="1"/>
        <v>14237</v>
      </c>
      <c r="N22" s="92"/>
      <c r="O22" s="95">
        <f t="shared" si="2"/>
        <v>14265.474</v>
      </c>
      <c r="P22" s="91"/>
      <c r="Q22" s="90"/>
      <c r="R22" s="89"/>
      <c r="S22" s="90"/>
      <c r="T22" s="97"/>
      <c r="U22" s="96">
        <f>'Suvi Gaz'!O23</f>
        <v>1224.3</v>
      </c>
      <c r="V22" s="93"/>
      <c r="W22" s="95">
        <f t="shared" si="3"/>
        <v>10778.492340000001</v>
      </c>
      <c r="X22" s="138">
        <v>16148.39</v>
      </c>
      <c r="Y22" s="99">
        <f t="shared" si="4"/>
        <v>11.440000000000509</v>
      </c>
      <c r="Z22" s="100">
        <f t="shared" si="5"/>
        <v>6063.2000000002699</v>
      </c>
      <c r="AA22" s="93"/>
      <c r="AB22" s="115">
        <v>16</v>
      </c>
      <c r="AC22" s="129">
        <v>50</v>
      </c>
      <c r="AD22" s="125">
        <v>0.37040000000000001</v>
      </c>
      <c r="AE22" s="137">
        <v>26</v>
      </c>
      <c r="AF22" s="130">
        <v>26.5</v>
      </c>
      <c r="AG22" s="135">
        <v>25.6</v>
      </c>
      <c r="AH22" s="136">
        <v>26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450</v>
      </c>
      <c r="E23" s="112"/>
      <c r="F23" s="157">
        <f t="shared" si="0"/>
        <v>5701.5</v>
      </c>
      <c r="G23" s="157"/>
      <c r="H23" s="158"/>
      <c r="I23" s="93"/>
      <c r="J23" s="117">
        <f>'Suivi EAU-ELEC'!E29</f>
        <v>4490</v>
      </c>
      <c r="K23" s="118">
        <f>'Suivi EAU-ELEC'!G29</f>
        <v>6613</v>
      </c>
      <c r="L23" s="118">
        <f>'Suivi EAU-ELEC'!I29</f>
        <v>2883</v>
      </c>
      <c r="M23" s="119">
        <f t="shared" si="1"/>
        <v>13986</v>
      </c>
      <c r="N23" s="92"/>
      <c r="O23" s="95">
        <f t="shared" si="2"/>
        <v>14013.972</v>
      </c>
      <c r="P23" s="91"/>
      <c r="Q23" s="90"/>
      <c r="R23" s="89"/>
      <c r="S23" s="90"/>
      <c r="T23" s="97"/>
      <c r="U23" s="96">
        <f>'Suvi Gaz'!O24</f>
        <v>1929.2</v>
      </c>
      <c r="V23" s="93"/>
      <c r="W23" s="95">
        <f t="shared" si="3"/>
        <v>16984.290960000002</v>
      </c>
      <c r="X23" s="138">
        <v>16159.83</v>
      </c>
      <c r="Y23" s="99">
        <f t="shared" si="4"/>
        <v>15.530000000000655</v>
      </c>
      <c r="Z23" s="100">
        <f t="shared" si="5"/>
        <v>8230.9000000003489</v>
      </c>
      <c r="AA23" s="93"/>
      <c r="AB23" s="115">
        <v>18</v>
      </c>
      <c r="AC23" s="129">
        <v>52</v>
      </c>
      <c r="AD23" s="125">
        <v>0.38519999999999999</v>
      </c>
      <c r="AE23" s="137">
        <v>26</v>
      </c>
      <c r="AF23" s="130">
        <v>26.5</v>
      </c>
      <c r="AG23" s="135">
        <v>25</v>
      </c>
      <c r="AH23" s="136">
        <v>25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400</v>
      </c>
      <c r="E24" s="112"/>
      <c r="F24" s="157">
        <f t="shared" si="0"/>
        <v>5068</v>
      </c>
      <c r="G24" s="157"/>
      <c r="H24" s="158"/>
      <c r="I24" s="93"/>
      <c r="J24" s="117">
        <f>'Suivi EAU-ELEC'!E30</f>
        <v>4181</v>
      </c>
      <c r="K24" s="118">
        <f>'Suivi EAU-ELEC'!G30</f>
        <v>6551</v>
      </c>
      <c r="L24" s="118">
        <f>'Suivi EAU-ELEC'!I30</f>
        <v>2675</v>
      </c>
      <c r="M24" s="119">
        <f t="shared" si="1"/>
        <v>13407</v>
      </c>
      <c r="N24" s="92"/>
      <c r="O24" s="95">
        <f t="shared" si="2"/>
        <v>13433.814</v>
      </c>
      <c r="P24" s="91"/>
      <c r="Q24" s="90"/>
      <c r="R24" s="89"/>
      <c r="S24" s="90"/>
      <c r="T24" s="97"/>
      <c r="U24" s="96">
        <f>'Suvi Gaz'!O25</f>
        <v>1113</v>
      </c>
      <c r="V24" s="93"/>
      <c r="W24" s="95">
        <f t="shared" si="3"/>
        <v>9798.6294000000016</v>
      </c>
      <c r="X24" s="138">
        <v>16175.36</v>
      </c>
      <c r="Y24" s="99">
        <f t="shared" si="4"/>
        <v>16.449999999998909</v>
      </c>
      <c r="Z24" s="100">
        <f t="shared" si="5"/>
        <v>8718.4999999994216</v>
      </c>
      <c r="AA24" s="93"/>
      <c r="AB24" s="115">
        <v>15</v>
      </c>
      <c r="AC24" s="129">
        <v>49</v>
      </c>
      <c r="AD24" s="125">
        <v>0.36299999999999999</v>
      </c>
      <c r="AE24" s="137">
        <v>26</v>
      </c>
      <c r="AF24" s="137">
        <v>26.5</v>
      </c>
      <c r="AG24" s="135">
        <v>25</v>
      </c>
      <c r="AH24" s="136">
        <v>25.5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460</v>
      </c>
      <c r="E25" s="112"/>
      <c r="F25" s="157">
        <f t="shared" si="0"/>
        <v>5828.2</v>
      </c>
      <c r="G25" s="157"/>
      <c r="H25" s="158"/>
      <c r="I25" s="93"/>
      <c r="J25" s="117">
        <f>'Suivi EAU-ELEC'!E31</f>
        <v>4219</v>
      </c>
      <c r="K25" s="118">
        <f>'Suivi EAU-ELEC'!G31</f>
        <v>6531</v>
      </c>
      <c r="L25" s="118">
        <f>'Suivi EAU-ELEC'!I31</f>
        <v>2899</v>
      </c>
      <c r="M25" s="119">
        <f t="shared" si="1"/>
        <v>13649</v>
      </c>
      <c r="N25" s="92"/>
      <c r="O25" s="95">
        <f t="shared" si="2"/>
        <v>13676.298000000001</v>
      </c>
      <c r="P25" s="91"/>
      <c r="Q25" s="90"/>
      <c r="R25" s="89"/>
      <c r="S25" s="90"/>
      <c r="T25" s="97"/>
      <c r="U25" s="96">
        <f>'Suvi Gaz'!O26</f>
        <v>1001.7</v>
      </c>
      <c r="V25" s="93"/>
      <c r="W25" s="95">
        <f t="shared" si="3"/>
        <v>8818.7664600000007</v>
      </c>
      <c r="X25" s="138">
        <v>16191.81</v>
      </c>
      <c r="Y25" s="99">
        <f t="shared" si="4"/>
        <v>17.409999999999854</v>
      </c>
      <c r="Z25" s="100">
        <f t="shared" si="5"/>
        <v>9227.2999999999229</v>
      </c>
      <c r="AA25" s="93"/>
      <c r="AB25" s="115">
        <v>17</v>
      </c>
      <c r="AC25" s="129">
        <v>50</v>
      </c>
      <c r="AD25" s="125">
        <v>0.37040000000000001</v>
      </c>
      <c r="AE25" s="137">
        <v>25.8</v>
      </c>
      <c r="AF25" s="137">
        <v>26.5</v>
      </c>
      <c r="AG25" s="135">
        <v>25</v>
      </c>
      <c r="AH25" s="136">
        <v>25.6</v>
      </c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v>530</v>
      </c>
      <c r="E26" s="113"/>
      <c r="F26" s="157">
        <f t="shared" si="0"/>
        <v>6715.1</v>
      </c>
      <c r="G26" s="157"/>
      <c r="H26" s="158"/>
      <c r="I26" s="93"/>
      <c r="J26" s="117">
        <f>'Suivi EAU-ELEC'!E32</f>
        <v>4486</v>
      </c>
      <c r="K26" s="118">
        <f>'Suivi EAU-ELEC'!G32</f>
        <v>6703</v>
      </c>
      <c r="L26" s="118">
        <f>'Suivi EAU-ELEC'!I32</f>
        <v>3335</v>
      </c>
      <c r="M26" s="119">
        <f t="shared" si="1"/>
        <v>14524</v>
      </c>
      <c r="N26" s="92"/>
      <c r="O26" s="95">
        <f t="shared" si="2"/>
        <v>14553.048000000001</v>
      </c>
      <c r="P26" s="91"/>
      <c r="Q26" s="90"/>
      <c r="R26" s="89"/>
      <c r="S26" s="90"/>
      <c r="T26" s="97"/>
      <c r="U26" s="96">
        <f>'Suvi Gaz'!O27</f>
        <v>1558.2</v>
      </c>
      <c r="V26" s="94"/>
      <c r="W26" s="95">
        <f t="shared" si="3"/>
        <v>13718.081160000002</v>
      </c>
      <c r="X26" s="138">
        <v>16209.22</v>
      </c>
      <c r="Y26" s="99">
        <f t="shared" si="4"/>
        <v>16.960000000000946</v>
      </c>
      <c r="Z26" s="100">
        <f t="shared" si="5"/>
        <v>8988.8000000005013</v>
      </c>
      <c r="AA26" s="94"/>
      <c r="AB26" s="115"/>
      <c r="AC26" s="129">
        <v>130</v>
      </c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v>500</v>
      </c>
      <c r="E27" s="113"/>
      <c r="F27" s="157">
        <f t="shared" si="0"/>
        <v>6335</v>
      </c>
      <c r="G27" s="157"/>
      <c r="H27" s="158"/>
      <c r="I27" s="93"/>
      <c r="J27" s="117">
        <f>'Suivi EAU-ELEC'!E33</f>
        <v>4414</v>
      </c>
      <c r="K27" s="118">
        <f>'Suivi EAU-ELEC'!G33</f>
        <v>6650</v>
      </c>
      <c r="L27" s="118">
        <f>'Suivi EAU-ELEC'!I33</f>
        <v>2967</v>
      </c>
      <c r="M27" s="119">
        <f t="shared" si="1"/>
        <v>14031</v>
      </c>
      <c r="N27" s="92"/>
      <c r="O27" s="95">
        <f>M27*1.002</f>
        <v>14059.062</v>
      </c>
      <c r="P27" s="91"/>
      <c r="Q27" s="90"/>
      <c r="R27" s="89"/>
      <c r="S27" s="90"/>
      <c r="T27" s="97"/>
      <c r="U27" s="96">
        <f>'Suvi Gaz'!O28</f>
        <v>2003.4</v>
      </c>
      <c r="V27" s="94"/>
      <c r="W27" s="95">
        <f t="shared" si="3"/>
        <v>17637.532920000001</v>
      </c>
      <c r="X27" s="138">
        <v>16226.18</v>
      </c>
      <c r="Y27" s="99">
        <f t="shared" si="4"/>
        <v>7.430000000000291</v>
      </c>
      <c r="Z27" s="100">
        <f t="shared" si="5"/>
        <v>3937.9000000001547</v>
      </c>
      <c r="AA27" s="94"/>
      <c r="AB27" s="115"/>
      <c r="AC27" s="129">
        <v>127</v>
      </c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v>510</v>
      </c>
      <c r="E28" s="113"/>
      <c r="F28" s="157">
        <f t="shared" si="0"/>
        <v>6461.7</v>
      </c>
      <c r="G28" s="157"/>
      <c r="H28" s="158"/>
      <c r="I28" s="94"/>
      <c r="J28" s="117">
        <f>'Suivi EAU-ELEC'!E34</f>
        <v>4430</v>
      </c>
      <c r="K28" s="118">
        <f>'Suivi EAU-ELEC'!G34</f>
        <v>6520</v>
      </c>
      <c r="L28" s="118">
        <f>'Suivi EAU-ELEC'!I34</f>
        <v>2869</v>
      </c>
      <c r="M28" s="119">
        <f t="shared" si="1"/>
        <v>13819</v>
      </c>
      <c r="N28" s="92"/>
      <c r="O28" s="95">
        <f t="shared" si="2"/>
        <v>13846.638000000001</v>
      </c>
      <c r="P28" s="91"/>
      <c r="Q28" s="90"/>
      <c r="R28" s="89"/>
      <c r="S28" s="90"/>
      <c r="T28" s="97"/>
      <c r="U28" s="96">
        <f>'Suvi Gaz'!O29</f>
        <v>2782.5</v>
      </c>
      <c r="V28" s="94"/>
      <c r="W28" s="95">
        <f t="shared" si="3"/>
        <v>24496.573500000002</v>
      </c>
      <c r="X28" s="138">
        <v>16233.61</v>
      </c>
      <c r="Y28" s="99">
        <f t="shared" si="4"/>
        <v>3.6099999999987631</v>
      </c>
      <c r="Z28" s="100">
        <f t="shared" si="5"/>
        <v>1913.2999999993444</v>
      </c>
      <c r="AA28" s="94"/>
      <c r="AB28" s="115"/>
      <c r="AC28" s="129">
        <v>129</v>
      </c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v>470</v>
      </c>
      <c r="E29" s="113"/>
      <c r="F29" s="157">
        <f t="shared" si="0"/>
        <v>5954.9</v>
      </c>
      <c r="G29" s="157"/>
      <c r="H29" s="158"/>
      <c r="I29" s="94"/>
      <c r="J29" s="117">
        <f>'Suivi EAU-ELEC'!E35</f>
        <v>4777</v>
      </c>
      <c r="K29" s="118">
        <f>'Suivi EAU-ELEC'!G35</f>
        <v>6725</v>
      </c>
      <c r="L29" s="118">
        <f>'Suivi EAU-ELEC'!I35</f>
        <v>3166</v>
      </c>
      <c r="M29" s="119">
        <f t="shared" si="1"/>
        <v>14668</v>
      </c>
      <c r="N29" s="92"/>
      <c r="O29" s="95">
        <f t="shared" si="2"/>
        <v>14697.335999999999</v>
      </c>
      <c r="P29" s="91"/>
      <c r="Q29" s="90"/>
      <c r="R29" s="89"/>
      <c r="S29" s="90"/>
      <c r="T29" s="97"/>
      <c r="U29" s="96">
        <f>'Suvi Gaz'!O30</f>
        <v>1743.7</v>
      </c>
      <c r="V29" s="94"/>
      <c r="W29" s="95">
        <f t="shared" si="3"/>
        <v>15351.186060000002</v>
      </c>
      <c r="X29" s="138">
        <v>16237.22</v>
      </c>
      <c r="Y29" s="99">
        <f t="shared" si="4"/>
        <v>11.600000000000364</v>
      </c>
      <c r="Z29" s="100">
        <f t="shared" si="5"/>
        <v>6148.0000000001937</v>
      </c>
      <c r="AA29" s="94"/>
      <c r="AB29" s="115"/>
      <c r="AC29" s="129">
        <v>123</v>
      </c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v>520</v>
      </c>
      <c r="E30" s="113"/>
      <c r="F30" s="157">
        <f t="shared" si="0"/>
        <v>6588.4</v>
      </c>
      <c r="G30" s="157"/>
      <c r="H30" s="158"/>
      <c r="I30" s="94"/>
      <c r="J30" s="117">
        <f>'Suivi EAU-ELEC'!E36</f>
        <v>4844</v>
      </c>
      <c r="K30" s="118">
        <f>'Suivi EAU-ELEC'!G36</f>
        <v>7099</v>
      </c>
      <c r="L30" s="118">
        <f>'Suivi EAU-ELEC'!I36</f>
        <v>3199</v>
      </c>
      <c r="M30" s="119">
        <f t="shared" si="1"/>
        <v>15142</v>
      </c>
      <c r="N30" s="92"/>
      <c r="O30" s="95">
        <f t="shared" si="2"/>
        <v>15172.284</v>
      </c>
      <c r="P30" s="91"/>
      <c r="Q30" s="90"/>
      <c r="R30" s="89"/>
      <c r="S30" s="90"/>
      <c r="T30" s="97"/>
      <c r="U30" s="96">
        <f>'Suvi Gaz'!O31</f>
        <v>2337.3000000000002</v>
      </c>
      <c r="V30" s="94"/>
      <c r="W30" s="95">
        <f t="shared" si="3"/>
        <v>20577.121740000002</v>
      </c>
      <c r="X30" s="138">
        <v>16248.82</v>
      </c>
      <c r="Y30" s="99">
        <f t="shared" si="4"/>
        <v>10.069999999999709</v>
      </c>
      <c r="Z30" s="100">
        <f t="shared" si="5"/>
        <v>5337.0999999998457</v>
      </c>
      <c r="AA30" s="94"/>
      <c r="AB30" s="115"/>
      <c r="AC30" s="129">
        <v>114</v>
      </c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430</v>
      </c>
      <c r="E31" s="89"/>
      <c r="F31" s="157">
        <f t="shared" si="0"/>
        <v>5448.1</v>
      </c>
      <c r="G31" s="157"/>
      <c r="H31" s="158"/>
      <c r="I31" s="92"/>
      <c r="J31" s="117">
        <f>'Suivi EAU-ELEC'!E37</f>
        <v>4769</v>
      </c>
      <c r="K31" s="118">
        <f>'Suivi EAU-ELEC'!G37</f>
        <v>6786</v>
      </c>
      <c r="L31" s="118">
        <f>'Suivi EAU-ELEC'!I37</f>
        <v>3067</v>
      </c>
      <c r="M31" s="119">
        <f t="shared" si="1"/>
        <v>14622</v>
      </c>
      <c r="N31" s="92"/>
      <c r="O31" s="95">
        <f t="shared" si="2"/>
        <v>14651.244000000001</v>
      </c>
      <c r="P31" s="91"/>
      <c r="Q31" s="90"/>
      <c r="R31" s="89"/>
      <c r="S31" s="90"/>
      <c r="T31" s="97"/>
      <c r="U31" s="96">
        <f>'Suvi Gaz'!O32</f>
        <v>1669.5</v>
      </c>
      <c r="V31" s="92"/>
      <c r="W31" s="95">
        <f t="shared" si="3"/>
        <v>14697.944100000001</v>
      </c>
      <c r="X31" s="138">
        <v>16258.89</v>
      </c>
      <c r="Y31" s="287">
        <f t="shared" si="4"/>
        <v>10.130000000001019</v>
      </c>
      <c r="Z31" s="100">
        <f t="shared" si="5"/>
        <v>5368.9000000005399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157">
        <f t="shared" si="0"/>
        <v>0</v>
      </c>
      <c r="G32" s="157"/>
      <c r="H32" s="158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>
        <v>16269.02</v>
      </c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157">
        <f t="shared" si="0"/>
        <v>0</v>
      </c>
      <c r="G33" s="157"/>
      <c r="H33" s="158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157">
        <f t="shared" si="0"/>
        <v>0</v>
      </c>
      <c r="G34" s="157"/>
      <c r="H34" s="158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157">
        <f t="shared" si="0"/>
        <v>0</v>
      </c>
      <c r="G35" s="157"/>
      <c r="H35" s="158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157">
        <f t="shared" si="0"/>
        <v>0</v>
      </c>
      <c r="G36" s="157"/>
      <c r="H36" s="158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157">
        <f t="shared" si="0"/>
        <v>0</v>
      </c>
      <c r="G37" s="157"/>
      <c r="H37" s="158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157">
        <f t="shared" si="0"/>
        <v>0</v>
      </c>
      <c r="G38" s="157"/>
      <c r="H38" s="158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157">
        <f t="shared" si="0"/>
        <v>0</v>
      </c>
      <c r="G39" s="157"/>
      <c r="H39" s="158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157">
        <f t="shared" si="0"/>
        <v>0</v>
      </c>
      <c r="G40" s="157"/>
      <c r="H40" s="158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10480</v>
      </c>
      <c r="E41" s="1"/>
      <c r="F41" s="174">
        <f>SUM(F10:H40)</f>
        <v>132781.6</v>
      </c>
      <c r="G41" s="175"/>
      <c r="H41" s="176"/>
      <c r="I41" s="1"/>
      <c r="J41" s="87">
        <f>SUM(J10:J40)</f>
        <v>95543</v>
      </c>
      <c r="K41" s="87">
        <f t="shared" ref="K41:M41" si="7">SUM(K10:K40)</f>
        <v>144278</v>
      </c>
      <c r="L41" s="87">
        <f t="shared" si="7"/>
        <v>65584</v>
      </c>
      <c r="M41" s="87">
        <f t="shared" si="7"/>
        <v>305405</v>
      </c>
      <c r="N41" s="28"/>
      <c r="O41" s="174">
        <f>SUM(O10:Q40)</f>
        <v>306015.81000000006</v>
      </c>
      <c r="P41" s="175"/>
      <c r="Q41" s="176"/>
      <c r="R41" s="28"/>
      <c r="S41" s="88">
        <f>SUM(S10:S40)</f>
        <v>0</v>
      </c>
      <c r="T41" s="28"/>
      <c r="U41" s="87">
        <f>SUM(U10:U40)</f>
        <v>38695.300000000003</v>
      </c>
      <c r="V41" s="28"/>
      <c r="W41" s="87">
        <f>SUM(W10:W40)</f>
        <v>340665.68214000011</v>
      </c>
      <c r="X41" s="128"/>
      <c r="Y41" s="87">
        <f>SUM(Y10:Y40)</f>
        <v>248.09000000000015</v>
      </c>
      <c r="Z41" s="87">
        <f>SUM(Z10:Z40)</f>
        <v>131487.7000000001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0"/>
      <c r="G42" s="170"/>
      <c r="H42" s="17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77" t="s">
        <v>10</v>
      </c>
      <c r="B43" s="178"/>
      <c r="C43" s="179"/>
      <c r="D43" s="19" t="s">
        <v>7</v>
      </c>
      <c r="E43" s="53"/>
      <c r="F43" s="20">
        <v>1.002</v>
      </c>
      <c r="G43" s="159">
        <f>J41</f>
        <v>95543</v>
      </c>
      <c r="H43" s="160"/>
      <c r="I43" s="161"/>
      <c r="J43" s="168">
        <f>G43*F43</f>
        <v>95734.085999999996</v>
      </c>
      <c r="K43" s="169"/>
      <c r="L43" s="198">
        <f>J43+J44+J45</f>
        <v>306015.81</v>
      </c>
      <c r="M43" s="199"/>
      <c r="N43" s="199"/>
      <c r="O43" s="199"/>
      <c r="P43" s="199"/>
      <c r="Q43" s="199"/>
      <c r="R43" s="199"/>
      <c r="S43" s="199"/>
      <c r="T43" s="199"/>
      <c r="U43" s="200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0"/>
      <c r="B44" s="181"/>
      <c r="C44" s="182"/>
      <c r="D44" s="17" t="s">
        <v>8</v>
      </c>
      <c r="E44" s="53"/>
      <c r="F44" s="20">
        <v>1.002</v>
      </c>
      <c r="G44" s="159">
        <f>K41</f>
        <v>144278</v>
      </c>
      <c r="H44" s="160"/>
      <c r="I44" s="161"/>
      <c r="J44" s="168">
        <f>G44*F44</f>
        <v>144566.55600000001</v>
      </c>
      <c r="K44" s="169"/>
      <c r="L44" s="201"/>
      <c r="M44" s="202"/>
      <c r="N44" s="202"/>
      <c r="O44" s="202"/>
      <c r="P44" s="202"/>
      <c r="Q44" s="202"/>
      <c r="R44" s="202"/>
      <c r="S44" s="202"/>
      <c r="T44" s="202"/>
      <c r="U44" s="20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0"/>
      <c r="B45" s="181"/>
      <c r="C45" s="182"/>
      <c r="D45" s="23" t="s">
        <v>9</v>
      </c>
      <c r="E45" s="54"/>
      <c r="F45" s="20">
        <v>1.002</v>
      </c>
      <c r="G45" s="159">
        <f>L41</f>
        <v>65584</v>
      </c>
      <c r="H45" s="160"/>
      <c r="I45" s="161"/>
      <c r="J45" s="168">
        <f>G45*F45</f>
        <v>65715.168000000005</v>
      </c>
      <c r="K45" s="169"/>
      <c r="L45" s="204"/>
      <c r="M45" s="205"/>
      <c r="N45" s="205"/>
      <c r="O45" s="205"/>
      <c r="P45" s="205"/>
      <c r="Q45" s="205"/>
      <c r="R45" s="205"/>
      <c r="S45" s="205"/>
      <c r="T45" s="205"/>
      <c r="U45" s="20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1" t="s">
        <v>11</v>
      </c>
      <c r="B46" s="172"/>
      <c r="C46" s="172"/>
      <c r="D46" s="173"/>
      <c r="E46" s="53"/>
      <c r="F46" s="24">
        <v>12.67</v>
      </c>
      <c r="G46" s="171">
        <f>D41</f>
        <v>10480</v>
      </c>
      <c r="H46" s="172"/>
      <c r="I46" s="173"/>
      <c r="J46" s="184">
        <f>G46*F46</f>
        <v>132781.6</v>
      </c>
      <c r="K46" s="185"/>
      <c r="L46" s="192">
        <f>J46</f>
        <v>132781.6</v>
      </c>
      <c r="M46" s="193"/>
      <c r="N46" s="193"/>
      <c r="O46" s="193"/>
      <c r="P46" s="193"/>
      <c r="Q46" s="193"/>
      <c r="R46" s="193"/>
      <c r="S46" s="193"/>
      <c r="T46" s="193"/>
      <c r="U46" s="194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89" t="s">
        <v>13</v>
      </c>
      <c r="B47" s="190"/>
      <c r="C47" s="190"/>
      <c r="D47" s="191"/>
      <c r="E47" s="53"/>
      <c r="F47" s="26">
        <v>8.8038000000000007</v>
      </c>
      <c r="G47" s="186">
        <f>U41</f>
        <v>38695.300000000003</v>
      </c>
      <c r="H47" s="187"/>
      <c r="I47" s="188"/>
      <c r="J47" s="186">
        <f>G47*F47</f>
        <v>340665.68214000005</v>
      </c>
      <c r="K47" s="188"/>
      <c r="L47" s="195">
        <f>J47</f>
        <v>340665.68214000005</v>
      </c>
      <c r="M47" s="196"/>
      <c r="N47" s="196"/>
      <c r="O47" s="196"/>
      <c r="P47" s="196"/>
      <c r="Q47" s="196"/>
      <c r="R47" s="196"/>
      <c r="S47" s="196"/>
      <c r="T47" s="196"/>
      <c r="U47" s="197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H34" sqref="H34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5" t="s">
        <v>0</v>
      </c>
      <c r="B1" s="235"/>
      <c r="C1" s="236"/>
      <c r="D1" s="237" t="s">
        <v>57</v>
      </c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9"/>
      <c r="AA1" s="240"/>
      <c r="AB1" s="241"/>
      <c r="AC1" s="241"/>
    </row>
    <row r="2" spans="1:31" ht="41.25" customHeight="1" thickBot="1" x14ac:dyDescent="0.4">
      <c r="A2" s="79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5"/>
      <c r="Q2" s="242">
        <v>803</v>
      </c>
      <c r="R2" s="243"/>
      <c r="S2" s="243"/>
      <c r="T2" s="243">
        <v>519</v>
      </c>
      <c r="U2" s="243"/>
      <c r="V2" s="243"/>
      <c r="W2" s="243">
        <v>800</v>
      </c>
      <c r="X2" s="243"/>
      <c r="Y2" s="243"/>
      <c r="Z2" s="243">
        <v>802</v>
      </c>
      <c r="AA2" s="243"/>
      <c r="AB2" s="24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26" si="0">IF(AC4&gt;0,((B4-R4)+(S4-B5)),IF(B5=0, ,(B4-B5)))</f>
        <v>5</v>
      </c>
      <c r="D4" s="139">
        <v>68</v>
      </c>
      <c r="E4" s="140">
        <f t="shared" ref="E4:E27" si="1">IF(AC4&gt;0,((D4-U4)+(V4-D5)),IF(D5=0, ,(D4-D5)))</f>
        <v>6</v>
      </c>
      <c r="F4" s="139">
        <v>63</v>
      </c>
      <c r="G4" s="140">
        <f t="shared" ref="G4:G25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16</v>
      </c>
      <c r="D19" s="139">
        <v>68</v>
      </c>
      <c r="E19" s="140">
        <f t="shared" si="1"/>
        <v>18</v>
      </c>
      <c r="F19" s="139">
        <v>62</v>
      </c>
      <c r="G19" s="140">
        <f t="shared" si="2"/>
        <v>17</v>
      </c>
      <c r="H19" s="139">
        <v>65</v>
      </c>
      <c r="I19" s="140">
        <f t="shared" si="16"/>
        <v>15</v>
      </c>
      <c r="J19" s="140">
        <f t="shared" si="17"/>
        <v>261</v>
      </c>
      <c r="K19" s="140">
        <f t="shared" si="18"/>
        <v>65.25</v>
      </c>
      <c r="L19" s="140">
        <f t="shared" si="19"/>
        <v>16.5</v>
      </c>
      <c r="M19" s="140">
        <f t="shared" si="7"/>
        <v>28000</v>
      </c>
      <c r="N19" s="140">
        <f t="shared" si="20"/>
        <v>4620</v>
      </c>
      <c r="O19" s="140">
        <f t="shared" si="21"/>
        <v>2448.6</v>
      </c>
      <c r="P19" s="38">
        <f t="shared" si="22"/>
        <v>21556.984680000001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>
        <v>50</v>
      </c>
      <c r="C20" s="140">
        <f t="shared" si="0"/>
        <v>10</v>
      </c>
      <c r="D20" s="139">
        <v>50</v>
      </c>
      <c r="E20" s="140">
        <f t="shared" si="1"/>
        <v>10</v>
      </c>
      <c r="F20" s="139">
        <v>45</v>
      </c>
      <c r="G20" s="140">
        <f t="shared" si="2"/>
        <v>9</v>
      </c>
      <c r="H20" s="139">
        <v>50</v>
      </c>
      <c r="I20" s="140">
        <f t="shared" si="16"/>
        <v>11</v>
      </c>
      <c r="J20" s="140">
        <f t="shared" si="17"/>
        <v>195</v>
      </c>
      <c r="K20" s="140">
        <f t="shared" si="18"/>
        <v>48.75</v>
      </c>
      <c r="L20" s="140">
        <f t="shared" si="19"/>
        <v>10</v>
      </c>
      <c r="M20" s="140">
        <f t="shared" si="7"/>
        <v>28000</v>
      </c>
      <c r="N20" s="140">
        <f t="shared" si="20"/>
        <v>2800</v>
      </c>
      <c r="O20" s="140">
        <f t="shared" si="21"/>
        <v>1484</v>
      </c>
      <c r="P20" s="38">
        <f t="shared" si="22"/>
        <v>13064.8392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>
        <v>40</v>
      </c>
      <c r="C21" s="140">
        <f t="shared" si="0"/>
        <v>20</v>
      </c>
      <c r="D21" s="139">
        <v>40</v>
      </c>
      <c r="E21" s="140">
        <f t="shared" si="1"/>
        <v>4</v>
      </c>
      <c r="F21" s="139">
        <v>36</v>
      </c>
      <c r="G21" s="140">
        <f t="shared" si="2"/>
        <v>21</v>
      </c>
      <c r="H21" s="139">
        <v>39</v>
      </c>
      <c r="I21" s="140">
        <f t="shared" si="16"/>
        <v>19</v>
      </c>
      <c r="J21" s="140">
        <f t="shared" si="17"/>
        <v>155</v>
      </c>
      <c r="K21" s="140">
        <f t="shared" si="18"/>
        <v>38.75</v>
      </c>
      <c r="L21" s="140">
        <f t="shared" si="19"/>
        <v>16</v>
      </c>
      <c r="M21" s="140">
        <f t="shared" si="7"/>
        <v>28000</v>
      </c>
      <c r="N21" s="140">
        <f t="shared" si="20"/>
        <v>4480</v>
      </c>
      <c r="O21" s="140">
        <f t="shared" si="21"/>
        <v>2374.4</v>
      </c>
      <c r="P21" s="38">
        <f t="shared" si="22"/>
        <v>20903.742720000002</v>
      </c>
      <c r="Q21" s="140">
        <v>2201</v>
      </c>
      <c r="R21" s="140">
        <v>30</v>
      </c>
      <c r="S21" s="140">
        <v>65</v>
      </c>
      <c r="T21" s="140">
        <v>2096</v>
      </c>
      <c r="U21" s="140">
        <v>38</v>
      </c>
      <c r="V21" s="140">
        <v>62</v>
      </c>
      <c r="W21" s="140">
        <v>2206</v>
      </c>
      <c r="X21" s="140">
        <v>30</v>
      </c>
      <c r="Y21" s="140">
        <v>65</v>
      </c>
      <c r="Z21" s="140">
        <v>2292</v>
      </c>
      <c r="AA21" s="140">
        <v>30</v>
      </c>
      <c r="AB21" s="140">
        <v>65</v>
      </c>
      <c r="AC21" s="35">
        <f t="shared" si="13"/>
        <v>8795</v>
      </c>
      <c r="AD21" s="80">
        <f t="shared" si="14"/>
        <v>32</v>
      </c>
      <c r="AE21" s="80">
        <f t="shared" si="15"/>
        <v>64.25</v>
      </c>
    </row>
    <row r="22" spans="1:31" ht="32.25" customHeight="1" x14ac:dyDescent="0.3">
      <c r="A22" s="36">
        <f t="shared" si="12"/>
        <v>43842</v>
      </c>
      <c r="B22" s="139">
        <v>55</v>
      </c>
      <c r="C22" s="140">
        <f t="shared" si="0"/>
        <v>14</v>
      </c>
      <c r="D22" s="139">
        <v>60</v>
      </c>
      <c r="E22" s="140">
        <f t="shared" si="1"/>
        <v>17</v>
      </c>
      <c r="F22" s="139">
        <v>50</v>
      </c>
      <c r="G22" s="140">
        <f t="shared" si="2"/>
        <v>10</v>
      </c>
      <c r="H22" s="139">
        <v>55</v>
      </c>
      <c r="I22" s="140">
        <f t="shared" si="16"/>
        <v>15</v>
      </c>
      <c r="J22" s="140">
        <f t="shared" si="17"/>
        <v>220</v>
      </c>
      <c r="K22" s="140">
        <f t="shared" si="18"/>
        <v>55</v>
      </c>
      <c r="L22" s="140">
        <f t="shared" si="19"/>
        <v>14</v>
      </c>
      <c r="M22" s="140">
        <f t="shared" si="7"/>
        <v>28000</v>
      </c>
      <c r="N22" s="140">
        <f t="shared" si="20"/>
        <v>3920</v>
      </c>
      <c r="O22" s="140">
        <f t="shared" si="21"/>
        <v>2077.6</v>
      </c>
      <c r="P22" s="38">
        <f t="shared" si="22"/>
        <v>18290.774880000001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>
        <v>41</v>
      </c>
      <c r="C23" s="140">
        <f t="shared" si="0"/>
        <v>7</v>
      </c>
      <c r="D23" s="139">
        <v>43</v>
      </c>
      <c r="E23" s="140">
        <f t="shared" si="1"/>
        <v>8</v>
      </c>
      <c r="F23" s="139">
        <v>40</v>
      </c>
      <c r="G23" s="140">
        <f t="shared" si="2"/>
        <v>10</v>
      </c>
      <c r="H23" s="139">
        <v>40</v>
      </c>
      <c r="I23" s="140">
        <f t="shared" si="16"/>
        <v>8</v>
      </c>
      <c r="J23" s="140">
        <f t="shared" si="17"/>
        <v>164</v>
      </c>
      <c r="K23" s="140">
        <f t="shared" si="18"/>
        <v>41</v>
      </c>
      <c r="L23" s="140">
        <f t="shared" si="19"/>
        <v>8.25</v>
      </c>
      <c r="M23" s="140">
        <f t="shared" si="7"/>
        <v>28000</v>
      </c>
      <c r="N23" s="140">
        <f t="shared" si="20"/>
        <v>2310</v>
      </c>
      <c r="O23" s="140">
        <f t="shared" si="21"/>
        <v>1224.3</v>
      </c>
      <c r="P23" s="38">
        <f t="shared" si="22"/>
        <v>10778.492340000001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>
        <v>34</v>
      </c>
      <c r="C24" s="140">
        <f t="shared" si="0"/>
        <v>13</v>
      </c>
      <c r="D24" s="139">
        <v>35</v>
      </c>
      <c r="E24" s="140">
        <f t="shared" si="1"/>
        <v>12</v>
      </c>
      <c r="F24" s="139">
        <v>30</v>
      </c>
      <c r="G24" s="140">
        <f t="shared" si="2"/>
        <v>14</v>
      </c>
      <c r="H24" s="139">
        <v>32</v>
      </c>
      <c r="I24" s="140">
        <f t="shared" si="16"/>
        <v>13</v>
      </c>
      <c r="J24" s="140">
        <f t="shared" si="17"/>
        <v>131</v>
      </c>
      <c r="K24" s="140">
        <f t="shared" si="18"/>
        <v>32.75</v>
      </c>
      <c r="L24" s="140">
        <f t="shared" si="19"/>
        <v>13</v>
      </c>
      <c r="M24" s="140">
        <f t="shared" si="7"/>
        <v>28000</v>
      </c>
      <c r="N24" s="140">
        <f t="shared" si="20"/>
        <v>3640</v>
      </c>
      <c r="O24" s="140">
        <f t="shared" si="21"/>
        <v>1929.2</v>
      </c>
      <c r="P24" s="38">
        <f t="shared" si="22"/>
        <v>16984.290960000002</v>
      </c>
      <c r="Q24" s="140">
        <v>3900</v>
      </c>
      <c r="R24" s="140">
        <v>26</v>
      </c>
      <c r="S24" s="140">
        <v>77</v>
      </c>
      <c r="T24" s="140">
        <v>3904</v>
      </c>
      <c r="U24" s="140">
        <v>30</v>
      </c>
      <c r="V24" s="140">
        <v>79</v>
      </c>
      <c r="W24" s="140">
        <v>3900</v>
      </c>
      <c r="X24" s="140">
        <v>25</v>
      </c>
      <c r="Y24" s="140">
        <v>77</v>
      </c>
      <c r="Z24" s="140">
        <v>3900</v>
      </c>
      <c r="AA24" s="140">
        <v>25</v>
      </c>
      <c r="AB24" s="140">
        <v>74</v>
      </c>
      <c r="AC24" s="35">
        <f t="shared" si="13"/>
        <v>15604</v>
      </c>
      <c r="AD24" s="80">
        <f t="shared" si="14"/>
        <v>26.5</v>
      </c>
      <c r="AE24" s="80">
        <f t="shared" si="15"/>
        <v>76.75</v>
      </c>
    </row>
    <row r="25" spans="1:31" ht="32.25" customHeight="1" x14ac:dyDescent="0.3">
      <c r="A25" s="36">
        <f t="shared" si="12"/>
        <v>43845</v>
      </c>
      <c r="B25" s="139">
        <v>72</v>
      </c>
      <c r="C25" s="140">
        <f t="shared" si="0"/>
        <v>10</v>
      </c>
      <c r="D25" s="139">
        <v>72</v>
      </c>
      <c r="E25" s="140">
        <f t="shared" si="1"/>
        <v>6</v>
      </c>
      <c r="F25" s="139">
        <v>68</v>
      </c>
      <c r="G25" s="140">
        <f t="shared" si="2"/>
        <v>8</v>
      </c>
      <c r="H25" s="139">
        <v>68</v>
      </c>
      <c r="I25" s="140">
        <f t="shared" si="16"/>
        <v>6</v>
      </c>
      <c r="J25" s="140">
        <f t="shared" si="17"/>
        <v>280</v>
      </c>
      <c r="K25" s="140">
        <f t="shared" si="18"/>
        <v>70</v>
      </c>
      <c r="L25" s="140">
        <f t="shared" si="19"/>
        <v>7.5</v>
      </c>
      <c r="M25" s="140">
        <f t="shared" si="7"/>
        <v>28000</v>
      </c>
      <c r="N25" s="140">
        <f t="shared" si="20"/>
        <v>2100</v>
      </c>
      <c r="O25" s="140">
        <f t="shared" si="21"/>
        <v>1113</v>
      </c>
      <c r="P25" s="38">
        <f t="shared" si="22"/>
        <v>9798.6294000000016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>
        <v>62</v>
      </c>
      <c r="C26" s="140">
        <f t="shared" si="0"/>
        <v>4</v>
      </c>
      <c r="D26" s="139">
        <v>66</v>
      </c>
      <c r="E26" s="140">
        <f t="shared" si="1"/>
        <v>6</v>
      </c>
      <c r="F26" s="139">
        <v>60</v>
      </c>
      <c r="G26" s="140"/>
      <c r="H26" s="139">
        <v>62</v>
      </c>
      <c r="I26" s="140">
        <f t="shared" si="16"/>
        <v>7</v>
      </c>
      <c r="J26" s="140">
        <f t="shared" si="17"/>
        <v>250</v>
      </c>
      <c r="K26" s="140">
        <f t="shared" si="18"/>
        <v>62.5</v>
      </c>
      <c r="L26" s="140">
        <f t="shared" si="19"/>
        <v>6.75</v>
      </c>
      <c r="M26" s="140">
        <f t="shared" si="7"/>
        <v>28000</v>
      </c>
      <c r="N26" s="140">
        <f t="shared" si="20"/>
        <v>1890</v>
      </c>
      <c r="O26" s="140">
        <f t="shared" si="21"/>
        <v>1001.7</v>
      </c>
      <c r="P26" s="38">
        <f t="shared" si="22"/>
        <v>8818.7664600000007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>
        <v>58</v>
      </c>
      <c r="C27" s="140">
        <f>IF(AC27&gt;0,((B27-R27)+(S27-B28)),IF(B28=0, ,(B27-B28)))</f>
        <v>12</v>
      </c>
      <c r="D27" s="139">
        <v>60</v>
      </c>
      <c r="E27" s="140">
        <f t="shared" si="1"/>
        <v>10</v>
      </c>
      <c r="F27" s="139">
        <v>50</v>
      </c>
      <c r="G27" s="140">
        <f t="shared" ref="G27" si="23">IF(AC27&gt;0,((F27-X27)+(Y27-F28)),IF(F28=0, ,(F27-F28)))</f>
        <v>10</v>
      </c>
      <c r="H27" s="139">
        <v>55</v>
      </c>
      <c r="I27" s="140">
        <f t="shared" si="16"/>
        <v>10</v>
      </c>
      <c r="J27" s="140">
        <f t="shared" si="17"/>
        <v>223</v>
      </c>
      <c r="K27" s="140">
        <f t="shared" si="18"/>
        <v>55.75</v>
      </c>
      <c r="L27" s="140">
        <f t="shared" si="19"/>
        <v>10.5</v>
      </c>
      <c r="M27" s="140">
        <f t="shared" si="7"/>
        <v>28000</v>
      </c>
      <c r="N27" s="140">
        <f t="shared" si="20"/>
        <v>2940</v>
      </c>
      <c r="O27" s="140">
        <f t="shared" si="21"/>
        <v>1558.2</v>
      </c>
      <c r="P27" s="38">
        <f t="shared" si="22"/>
        <v>13718.081160000002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>
        <v>46</v>
      </c>
      <c r="C28" s="140">
        <f t="shared" ref="C28:C41" si="24">IF(AC28&gt;0,((B28-R28)+(S28-B29)),IF(B29=0, ,(B28-B29)))</f>
        <v>17</v>
      </c>
      <c r="D28" s="139">
        <v>50</v>
      </c>
      <c r="E28" s="140">
        <f t="shared" ref="E28:E41" si="25">IF(AC28&gt;0,((D28-U28)+(V28-D29)),IF(D29=0, ,(D28-D29)))</f>
        <v>20</v>
      </c>
      <c r="F28" s="139">
        <v>40</v>
      </c>
      <c r="G28" s="140">
        <f t="shared" ref="G28:G41" si="26">IF(AC28&gt;0,((F28-X28)+(Y28-F29)),IF(F29=0, ,(F28-F29)))</f>
        <v>5</v>
      </c>
      <c r="H28" s="139">
        <v>45</v>
      </c>
      <c r="I28" s="140">
        <f t="shared" si="16"/>
        <v>12</v>
      </c>
      <c r="J28" s="140">
        <f t="shared" si="17"/>
        <v>181</v>
      </c>
      <c r="K28" s="140">
        <f t="shared" si="18"/>
        <v>45.25</v>
      </c>
      <c r="L28" s="140">
        <f t="shared" si="19"/>
        <v>13.5</v>
      </c>
      <c r="M28" s="140">
        <f t="shared" si="7"/>
        <v>28000</v>
      </c>
      <c r="N28" s="140">
        <f t="shared" si="20"/>
        <v>3780</v>
      </c>
      <c r="O28" s="140">
        <f t="shared" si="21"/>
        <v>2003.4</v>
      </c>
      <c r="P28" s="38">
        <f t="shared" si="22"/>
        <v>17637.532920000001</v>
      </c>
      <c r="Q28" s="140">
        <v>2254</v>
      </c>
      <c r="R28" s="140">
        <v>43</v>
      </c>
      <c r="S28" s="140">
        <v>75</v>
      </c>
      <c r="T28" s="140">
        <v>2227</v>
      </c>
      <c r="U28" s="140">
        <v>45</v>
      </c>
      <c r="V28" s="140">
        <v>79</v>
      </c>
      <c r="W28" s="140">
        <v>2245</v>
      </c>
      <c r="X28" s="140">
        <v>40</v>
      </c>
      <c r="Y28" s="140">
        <v>65</v>
      </c>
      <c r="Z28" s="140">
        <v>2244</v>
      </c>
      <c r="AA28" s="140">
        <v>42</v>
      </c>
      <c r="AB28" s="140">
        <v>70</v>
      </c>
      <c r="AC28" s="35">
        <f t="shared" si="13"/>
        <v>8970</v>
      </c>
      <c r="AD28" s="80">
        <f t="shared" si="14"/>
        <v>42.5</v>
      </c>
      <c r="AE28" s="80">
        <f t="shared" si="15"/>
        <v>72.25</v>
      </c>
    </row>
    <row r="29" spans="1:31" ht="32.25" customHeight="1" x14ac:dyDescent="0.3">
      <c r="A29" s="36">
        <f t="shared" si="12"/>
        <v>43849</v>
      </c>
      <c r="B29" s="139">
        <v>61</v>
      </c>
      <c r="C29" s="140">
        <f t="shared" si="24"/>
        <v>20</v>
      </c>
      <c r="D29" s="139">
        <v>64</v>
      </c>
      <c r="E29" s="140">
        <f t="shared" si="25"/>
        <v>14</v>
      </c>
      <c r="F29" s="139">
        <v>60</v>
      </c>
      <c r="G29" s="140">
        <f t="shared" si="26"/>
        <v>20</v>
      </c>
      <c r="H29" s="139">
        <v>61</v>
      </c>
      <c r="I29" s="140">
        <f t="shared" si="16"/>
        <v>21</v>
      </c>
      <c r="J29" s="140">
        <f t="shared" si="17"/>
        <v>246</v>
      </c>
      <c r="K29" s="140">
        <f t="shared" si="18"/>
        <v>61.5</v>
      </c>
      <c r="L29" s="140">
        <f t="shared" si="19"/>
        <v>18.75</v>
      </c>
      <c r="M29" s="140">
        <f t="shared" si="7"/>
        <v>28000</v>
      </c>
      <c r="N29" s="140">
        <f t="shared" si="20"/>
        <v>5250</v>
      </c>
      <c r="O29" s="140">
        <f t="shared" si="21"/>
        <v>2782.5</v>
      </c>
      <c r="P29" s="38">
        <f t="shared" si="22"/>
        <v>24496.573500000002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>
        <v>41</v>
      </c>
      <c r="C30" s="140">
        <f t="shared" si="24"/>
        <v>11</v>
      </c>
      <c r="D30" s="139">
        <v>50</v>
      </c>
      <c r="E30" s="140">
        <f t="shared" si="25"/>
        <v>15</v>
      </c>
      <c r="F30" s="139">
        <v>40</v>
      </c>
      <c r="G30" s="140">
        <f t="shared" si="26"/>
        <v>10</v>
      </c>
      <c r="H30" s="139">
        <v>40</v>
      </c>
      <c r="I30" s="140">
        <f t="shared" si="16"/>
        <v>11</v>
      </c>
      <c r="J30" s="140">
        <f t="shared" si="17"/>
        <v>171</v>
      </c>
      <c r="K30" s="140">
        <f t="shared" si="18"/>
        <v>42.75</v>
      </c>
      <c r="L30" s="140">
        <f t="shared" si="19"/>
        <v>11.75</v>
      </c>
      <c r="M30" s="140">
        <f t="shared" si="7"/>
        <v>28000</v>
      </c>
      <c r="N30" s="140">
        <f t="shared" si="20"/>
        <v>3290</v>
      </c>
      <c r="O30" s="140">
        <f t="shared" si="21"/>
        <v>1743.7</v>
      </c>
      <c r="P30" s="38">
        <f t="shared" si="22"/>
        <v>15351.186060000002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>
        <v>30</v>
      </c>
      <c r="C31" s="140">
        <f t="shared" si="24"/>
        <v>25</v>
      </c>
      <c r="D31" s="139">
        <v>35</v>
      </c>
      <c r="E31" s="140">
        <f t="shared" si="25"/>
        <v>18</v>
      </c>
      <c r="F31" s="139">
        <v>30</v>
      </c>
      <c r="G31" s="140">
        <f t="shared" si="26"/>
        <v>12</v>
      </c>
      <c r="H31" s="139">
        <v>29</v>
      </c>
      <c r="I31" s="140">
        <f t="shared" si="16"/>
        <v>8</v>
      </c>
      <c r="J31" s="140">
        <f t="shared" si="17"/>
        <v>124</v>
      </c>
      <c r="K31" s="140">
        <f t="shared" si="18"/>
        <v>31</v>
      </c>
      <c r="L31" s="140">
        <f t="shared" si="19"/>
        <v>15.75</v>
      </c>
      <c r="M31" s="140">
        <f t="shared" si="7"/>
        <v>28000</v>
      </c>
      <c r="N31" s="140">
        <f t="shared" si="20"/>
        <v>4410</v>
      </c>
      <c r="O31" s="140">
        <f t="shared" si="21"/>
        <v>2337.3000000000002</v>
      </c>
      <c r="P31" s="38">
        <f t="shared" si="22"/>
        <v>20577.121740000002</v>
      </c>
      <c r="Q31" s="140">
        <v>4521</v>
      </c>
      <c r="R31" s="140">
        <v>20</v>
      </c>
      <c r="S31" s="140">
        <v>85</v>
      </c>
      <c r="T31" s="140">
        <v>3800</v>
      </c>
      <c r="U31" s="140">
        <v>25</v>
      </c>
      <c r="V31" s="140">
        <v>80</v>
      </c>
      <c r="W31" s="140">
        <v>3800</v>
      </c>
      <c r="X31" s="140">
        <v>25</v>
      </c>
      <c r="Y31" s="140">
        <v>75</v>
      </c>
      <c r="Z31" s="140">
        <v>4039</v>
      </c>
      <c r="AA31" s="140">
        <v>25</v>
      </c>
      <c r="AB31" s="140">
        <v>72</v>
      </c>
      <c r="AC31" s="35">
        <f t="shared" si="13"/>
        <v>16160</v>
      </c>
      <c r="AD31" s="80">
        <f t="shared" si="14"/>
        <v>23.75</v>
      </c>
      <c r="AE31" s="80">
        <f t="shared" si="15"/>
        <v>78</v>
      </c>
    </row>
    <row r="32" spans="1:31" ht="32.25" customHeight="1" x14ac:dyDescent="0.3">
      <c r="A32" s="36">
        <f t="shared" si="12"/>
        <v>43852</v>
      </c>
      <c r="B32" s="139">
        <v>70</v>
      </c>
      <c r="C32" s="140">
        <f t="shared" si="24"/>
        <v>10</v>
      </c>
      <c r="D32" s="139">
        <v>72</v>
      </c>
      <c r="E32" s="140">
        <f t="shared" si="25"/>
        <v>10</v>
      </c>
      <c r="F32" s="139">
        <v>68</v>
      </c>
      <c r="G32" s="140">
        <f t="shared" si="26"/>
        <v>13</v>
      </c>
      <c r="H32" s="139">
        <v>68</v>
      </c>
      <c r="I32" s="140">
        <f t="shared" si="16"/>
        <v>12</v>
      </c>
      <c r="J32" s="140">
        <f t="shared" si="17"/>
        <v>278</v>
      </c>
      <c r="K32" s="140">
        <f t="shared" si="18"/>
        <v>69.5</v>
      </c>
      <c r="L32" s="140">
        <f t="shared" si="19"/>
        <v>11.25</v>
      </c>
      <c r="M32" s="140">
        <f t="shared" si="7"/>
        <v>28000</v>
      </c>
      <c r="N32" s="140">
        <f t="shared" si="20"/>
        <v>3150</v>
      </c>
      <c r="O32" s="140">
        <f t="shared" si="21"/>
        <v>1669.5</v>
      </c>
      <c r="P32" s="38">
        <f t="shared" si="22"/>
        <v>14697.944100000001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>
        <v>60</v>
      </c>
      <c r="C33" s="140">
        <f t="shared" si="24"/>
        <v>0</v>
      </c>
      <c r="D33" s="139">
        <v>62</v>
      </c>
      <c r="E33" s="140">
        <f t="shared" si="25"/>
        <v>0</v>
      </c>
      <c r="F33" s="139">
        <v>55</v>
      </c>
      <c r="G33" s="140">
        <f t="shared" si="26"/>
        <v>0</v>
      </c>
      <c r="H33" s="139">
        <v>56</v>
      </c>
      <c r="I33" s="140">
        <f t="shared" si="16"/>
        <v>0</v>
      </c>
      <c r="J33" s="140">
        <f t="shared" si="17"/>
        <v>233</v>
      </c>
      <c r="K33" s="140">
        <f t="shared" si="18"/>
        <v>58.25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4"/>
        <v>0</v>
      </c>
      <c r="D34" s="139"/>
      <c r="E34" s="140">
        <f t="shared" si="25"/>
        <v>0</v>
      </c>
      <c r="F34" s="139"/>
      <c r="G34" s="140">
        <f t="shared" si="26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4"/>
        <v>0</v>
      </c>
      <c r="D35" s="139"/>
      <c r="E35" s="140">
        <f t="shared" si="25"/>
        <v>0</v>
      </c>
      <c r="F35" s="139"/>
      <c r="G35" s="140">
        <f t="shared" si="26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4"/>
        <v>0</v>
      </c>
      <c r="D36" s="139"/>
      <c r="E36" s="140">
        <f t="shared" si="25"/>
        <v>0</v>
      </c>
      <c r="F36" s="139"/>
      <c r="G36" s="140">
        <f t="shared" si="26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4"/>
        <v>0</v>
      </c>
      <c r="D37" s="139"/>
      <c r="E37" s="140">
        <f t="shared" si="25"/>
        <v>0</v>
      </c>
      <c r="F37" s="139"/>
      <c r="G37" s="140">
        <f t="shared" si="26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4"/>
        <v>0</v>
      </c>
      <c r="D38" s="139"/>
      <c r="E38" s="140">
        <f t="shared" si="25"/>
        <v>0</v>
      </c>
      <c r="F38" s="139"/>
      <c r="G38" s="140">
        <f t="shared" si="26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4"/>
        <v>0</v>
      </c>
      <c r="D39" s="139"/>
      <c r="E39" s="140">
        <f t="shared" si="25"/>
        <v>0</v>
      </c>
      <c r="F39" s="139"/>
      <c r="G39" s="140">
        <f t="shared" si="26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4"/>
        <v>0</v>
      </c>
      <c r="D40" s="139"/>
      <c r="E40" s="140">
        <f t="shared" si="25"/>
        <v>0</v>
      </c>
      <c r="F40" s="139"/>
      <c r="G40" s="140">
        <f t="shared" si="26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4"/>
        <v>0</v>
      </c>
      <c r="D41" s="139"/>
      <c r="E41" s="140">
        <f t="shared" si="25"/>
        <v>0</v>
      </c>
      <c r="F41" s="139"/>
      <c r="G41" s="140">
        <f t="shared" si="26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7">IF(AC42&gt;0,((B42-R42)+(S42-B43)),IF(B43=0, ,(B42-B43)))</f>
        <v>0</v>
      </c>
      <c r="D42" s="139"/>
      <c r="E42" s="140">
        <f t="shared" ref="E42" si="28">IF(AC42&gt;0,((D42-U42)+(V42-D43)),IF(D43=0, ,(D42-D43)))</f>
        <v>0</v>
      </c>
      <c r="F42" s="139"/>
      <c r="G42" s="140">
        <f t="shared" ref="G42" si="29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280</v>
      </c>
      <c r="D43" s="37"/>
      <c r="E43" s="140">
        <f>SUM(E11:E41)</f>
        <v>258</v>
      </c>
      <c r="F43" s="37"/>
      <c r="G43" s="140">
        <f>SUM(G11:G41)</f>
        <v>251</v>
      </c>
      <c r="H43" s="37"/>
      <c r="I43" s="140">
        <f>SUM(I11:I41)</f>
        <v>244</v>
      </c>
      <c r="J43" s="33"/>
      <c r="K43" s="33"/>
      <c r="L43" s="33"/>
      <c r="M43" s="33"/>
      <c r="N43" s="140">
        <f>SUM(N11:N41)</f>
        <v>73010</v>
      </c>
      <c r="O43" s="35">
        <f>N43*0.53</f>
        <v>38695.300000000003</v>
      </c>
      <c r="P43" s="38">
        <f>O43*8.8038</f>
        <v>340665.68214000005</v>
      </c>
      <c r="Q43" s="250">
        <f>SUM(Q11:Q41)</f>
        <v>18242</v>
      </c>
      <c r="R43" s="251"/>
      <c r="S43" s="252"/>
      <c r="T43" s="253">
        <f>SUM(T11:T41)</f>
        <v>17469</v>
      </c>
      <c r="U43" s="251"/>
      <c r="V43" s="252"/>
      <c r="W43" s="253">
        <f>SUM(W11:W41)</f>
        <v>17852</v>
      </c>
      <c r="X43" s="251"/>
      <c r="Y43" s="252"/>
      <c r="Z43" s="253">
        <f>SUM(Z11:Z41)</f>
        <v>17115</v>
      </c>
      <c r="AA43" s="251"/>
      <c r="AB43" s="252"/>
      <c r="AC43" s="35">
        <f>SUM(AC11:AC41)</f>
        <v>70678</v>
      </c>
      <c r="AD43" s="33"/>
      <c r="AE43" s="33"/>
    </row>
    <row r="44" spans="1:31" ht="35.25" customHeight="1" thickBot="1" x14ac:dyDescent="0.35">
      <c r="B44" s="254"/>
      <c r="C44" s="255"/>
      <c r="D44" s="255"/>
      <c r="E44" s="255"/>
      <c r="F44" s="255"/>
      <c r="G44" s="255"/>
      <c r="H44" s="255"/>
      <c r="I44" s="256"/>
      <c r="J44" s="33"/>
      <c r="K44" s="33"/>
      <c r="L44" s="33"/>
      <c r="M44" s="33"/>
      <c r="N44" s="33"/>
      <c r="O44" s="33"/>
      <c r="P44" s="33"/>
      <c r="Q44" s="257">
        <f>Q43+T43+W43+Z43</f>
        <v>70678</v>
      </c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9"/>
      <c r="AC44" s="35">
        <f>Q43+T43+W43+Z43</f>
        <v>70678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0" t="s">
        <v>37</v>
      </c>
      <c r="I47" s="261"/>
      <c r="J47" s="262"/>
      <c r="K47" s="45">
        <f>N43</f>
        <v>73010</v>
      </c>
      <c r="L47" s="46">
        <f>O43</f>
        <v>38695.300000000003</v>
      </c>
      <c r="M47" s="46">
        <f>P43</f>
        <v>340665.68214000005</v>
      </c>
    </row>
    <row r="48" spans="1:31" ht="54.75" customHeight="1" thickBot="1" x14ac:dyDescent="0.35">
      <c r="H48" s="247" t="s">
        <v>38</v>
      </c>
      <c r="I48" s="248"/>
      <c r="J48" s="249"/>
      <c r="K48" s="43">
        <f>AC43</f>
        <v>70678</v>
      </c>
      <c r="L48" s="44">
        <f>K48*0.53</f>
        <v>37459.340000000004</v>
      </c>
      <c r="M48" s="44">
        <f>L48*8.8038</f>
        <v>329784.53749200003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E41" sqref="E41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32" si="0">IF(B10&lt;B9,0,B10-B9)*10</f>
        <v>510</v>
      </c>
      <c r="D9" s="143">
        <v>17970206</v>
      </c>
      <c r="E9" s="142">
        <f t="shared" ref="E9:E32" si="1">IF(D10&lt;D9,0,D10-D9)</f>
        <v>4797</v>
      </c>
      <c r="F9" s="143">
        <v>32439245</v>
      </c>
      <c r="G9" s="142">
        <f t="shared" ref="G9:G32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480</v>
      </c>
      <c r="D24" s="143">
        <v>18036573</v>
      </c>
      <c r="E24" s="142">
        <f t="shared" si="1"/>
        <v>4213</v>
      </c>
      <c r="F24" s="143">
        <v>32539798</v>
      </c>
      <c r="G24" s="142">
        <f t="shared" si="2"/>
        <v>6518</v>
      </c>
      <c r="H24" s="143">
        <v>14391345</v>
      </c>
      <c r="I24" s="142">
        <f t="shared" si="5"/>
        <v>3151</v>
      </c>
    </row>
    <row r="25" spans="1:9" ht="21" thickTop="1" thickBot="1" x14ac:dyDescent="0.35">
      <c r="A25" s="59">
        <f t="shared" si="4"/>
        <v>43840</v>
      </c>
      <c r="B25" s="141">
        <v>118583</v>
      </c>
      <c r="C25" s="142">
        <f t="shared" si="0"/>
        <v>440</v>
      </c>
      <c r="D25" s="143">
        <v>18040786</v>
      </c>
      <c r="E25" s="142">
        <f t="shared" si="1"/>
        <v>4256</v>
      </c>
      <c r="F25" s="143">
        <v>32546316</v>
      </c>
      <c r="G25" s="142">
        <f t="shared" si="2"/>
        <v>6550</v>
      </c>
      <c r="H25" s="143">
        <v>14394496</v>
      </c>
      <c r="I25" s="142">
        <f t="shared" si="5"/>
        <v>2942</v>
      </c>
    </row>
    <row r="26" spans="1:9" ht="21" thickTop="1" thickBot="1" x14ac:dyDescent="0.35">
      <c r="A26" s="59">
        <f t="shared" si="4"/>
        <v>43841</v>
      </c>
      <c r="B26" s="141">
        <v>118627</v>
      </c>
      <c r="C26" s="142">
        <f t="shared" si="0"/>
        <v>450</v>
      </c>
      <c r="D26" s="143">
        <v>18045042</v>
      </c>
      <c r="E26" s="142">
        <f t="shared" si="1"/>
        <v>4190</v>
      </c>
      <c r="F26" s="143">
        <v>32552866</v>
      </c>
      <c r="G26" s="142">
        <f t="shared" si="2"/>
        <v>6334</v>
      </c>
      <c r="H26" s="143">
        <v>14397438</v>
      </c>
      <c r="I26" s="142">
        <f t="shared" si="5"/>
        <v>2895</v>
      </c>
    </row>
    <row r="27" spans="1:9" ht="21" thickTop="1" thickBot="1" x14ac:dyDescent="0.35">
      <c r="A27" s="59">
        <f t="shared" si="4"/>
        <v>43842</v>
      </c>
      <c r="B27" s="141">
        <v>118672</v>
      </c>
      <c r="C27" s="142">
        <f t="shared" si="0"/>
        <v>540</v>
      </c>
      <c r="D27" s="143">
        <v>18049232</v>
      </c>
      <c r="E27" s="142">
        <f t="shared" si="1"/>
        <v>4171</v>
      </c>
      <c r="F27" s="143">
        <v>32559200</v>
      </c>
      <c r="G27" s="142">
        <f t="shared" si="2"/>
        <v>6084</v>
      </c>
      <c r="H27" s="143">
        <v>14400333</v>
      </c>
      <c r="I27" s="142">
        <f t="shared" si="5"/>
        <v>2875</v>
      </c>
    </row>
    <row r="28" spans="1:9" ht="21" thickTop="1" thickBot="1" x14ac:dyDescent="0.35">
      <c r="A28" s="59">
        <f t="shared" si="4"/>
        <v>43843</v>
      </c>
      <c r="B28" s="141">
        <v>118726</v>
      </c>
      <c r="C28" s="142">
        <f t="shared" si="0"/>
        <v>450</v>
      </c>
      <c r="D28" s="143">
        <v>18053403</v>
      </c>
      <c r="E28" s="142">
        <f t="shared" si="1"/>
        <v>4518</v>
      </c>
      <c r="F28" s="143">
        <v>32565284</v>
      </c>
      <c r="G28" s="142">
        <f t="shared" si="2"/>
        <v>6674</v>
      </c>
      <c r="H28" s="143">
        <v>14403208</v>
      </c>
      <c r="I28" s="142">
        <f t="shared" si="5"/>
        <v>3045</v>
      </c>
    </row>
    <row r="29" spans="1:9" ht="21" thickTop="1" thickBot="1" x14ac:dyDescent="0.35">
      <c r="A29" s="59">
        <f t="shared" si="4"/>
        <v>43844</v>
      </c>
      <c r="B29" s="141">
        <v>118771</v>
      </c>
      <c r="C29" s="142">
        <f t="shared" si="0"/>
        <v>450</v>
      </c>
      <c r="D29" s="143">
        <v>18057921</v>
      </c>
      <c r="E29" s="142">
        <f t="shared" si="1"/>
        <v>4490</v>
      </c>
      <c r="F29" s="143">
        <v>32571958</v>
      </c>
      <c r="G29" s="142">
        <f t="shared" si="2"/>
        <v>6613</v>
      </c>
      <c r="H29" s="143">
        <v>14406253</v>
      </c>
      <c r="I29" s="142">
        <f t="shared" si="5"/>
        <v>2883</v>
      </c>
    </row>
    <row r="30" spans="1:9" ht="21" thickTop="1" thickBot="1" x14ac:dyDescent="0.35">
      <c r="A30" s="59">
        <f t="shared" si="4"/>
        <v>43845</v>
      </c>
      <c r="B30" s="141">
        <v>118816</v>
      </c>
      <c r="C30" s="142">
        <f t="shared" si="0"/>
        <v>400</v>
      </c>
      <c r="D30" s="143">
        <v>18062411</v>
      </c>
      <c r="E30" s="142">
        <f t="shared" si="1"/>
        <v>4181</v>
      </c>
      <c r="F30" s="143">
        <v>32578571</v>
      </c>
      <c r="G30" s="142">
        <f t="shared" si="2"/>
        <v>6551</v>
      </c>
      <c r="H30" s="143">
        <v>14409136</v>
      </c>
      <c r="I30" s="142">
        <f t="shared" si="5"/>
        <v>2675</v>
      </c>
    </row>
    <row r="31" spans="1:9" ht="21" thickTop="1" thickBot="1" x14ac:dyDescent="0.35">
      <c r="A31" s="59">
        <f>A30+1</f>
        <v>43846</v>
      </c>
      <c r="B31" s="141">
        <v>118856</v>
      </c>
      <c r="C31" s="142">
        <f t="shared" si="0"/>
        <v>460</v>
      </c>
      <c r="D31" s="143">
        <v>18066592</v>
      </c>
      <c r="E31" s="142">
        <f t="shared" si="1"/>
        <v>4219</v>
      </c>
      <c r="F31" s="143">
        <v>32585122</v>
      </c>
      <c r="G31" s="142">
        <f t="shared" si="2"/>
        <v>6531</v>
      </c>
      <c r="H31" s="143">
        <v>14411811</v>
      </c>
      <c r="I31" s="142">
        <f t="shared" si="5"/>
        <v>2899</v>
      </c>
    </row>
    <row r="32" spans="1:9" ht="21" thickTop="1" thickBot="1" x14ac:dyDescent="0.35">
      <c r="A32" s="59">
        <f t="shared" si="4"/>
        <v>43847</v>
      </c>
      <c r="B32" s="141">
        <v>118902</v>
      </c>
      <c r="C32" s="142">
        <f t="shared" si="0"/>
        <v>530</v>
      </c>
      <c r="D32" s="143">
        <v>18070811</v>
      </c>
      <c r="E32" s="142">
        <f t="shared" si="1"/>
        <v>4486</v>
      </c>
      <c r="F32" s="143">
        <v>32591653</v>
      </c>
      <c r="G32" s="142">
        <f t="shared" si="2"/>
        <v>6703</v>
      </c>
      <c r="H32" s="143">
        <v>14414710</v>
      </c>
      <c r="I32" s="142">
        <f t="shared" si="5"/>
        <v>3335</v>
      </c>
    </row>
    <row r="33" spans="1:9" ht="21" thickTop="1" thickBot="1" x14ac:dyDescent="0.35">
      <c r="A33" s="59">
        <f t="shared" si="4"/>
        <v>43848</v>
      </c>
      <c r="B33" s="141">
        <v>118955</v>
      </c>
      <c r="C33" s="142">
        <f t="shared" ref="C33:C46" si="6">IF(B34&lt;B33,0,B34-B33)*10</f>
        <v>500</v>
      </c>
      <c r="D33" s="143">
        <v>18075297</v>
      </c>
      <c r="E33" s="142">
        <f t="shared" ref="E33:E46" si="7">IF(D34&lt;D33,0,D34-D33)</f>
        <v>4414</v>
      </c>
      <c r="F33" s="143">
        <v>32598356</v>
      </c>
      <c r="G33" s="142">
        <f t="shared" ref="G33:G46" si="8">IF(F34&lt;F33,0,F34-F33)</f>
        <v>6650</v>
      </c>
      <c r="H33" s="143">
        <v>14418045</v>
      </c>
      <c r="I33" s="142">
        <f t="shared" si="5"/>
        <v>2967</v>
      </c>
    </row>
    <row r="34" spans="1:9" ht="21" thickTop="1" thickBot="1" x14ac:dyDescent="0.35">
      <c r="A34" s="59">
        <f t="shared" si="4"/>
        <v>43849</v>
      </c>
      <c r="B34" s="141">
        <v>119005</v>
      </c>
      <c r="C34" s="142">
        <f t="shared" si="6"/>
        <v>510</v>
      </c>
      <c r="D34" s="143">
        <v>18079711</v>
      </c>
      <c r="E34" s="142">
        <f t="shared" si="7"/>
        <v>4430</v>
      </c>
      <c r="F34" s="143">
        <v>32605006</v>
      </c>
      <c r="G34" s="142">
        <f t="shared" si="8"/>
        <v>6520</v>
      </c>
      <c r="H34" s="143">
        <v>14421012</v>
      </c>
      <c r="I34" s="142">
        <f t="shared" si="5"/>
        <v>2869</v>
      </c>
    </row>
    <row r="35" spans="1:9" ht="21" thickTop="1" thickBot="1" x14ac:dyDescent="0.35">
      <c r="A35" s="59">
        <f t="shared" si="4"/>
        <v>43850</v>
      </c>
      <c r="B35" s="141">
        <v>119056</v>
      </c>
      <c r="C35" s="142">
        <f t="shared" si="6"/>
        <v>470</v>
      </c>
      <c r="D35" s="143">
        <v>18084141</v>
      </c>
      <c r="E35" s="142">
        <f t="shared" si="7"/>
        <v>4777</v>
      </c>
      <c r="F35" s="143">
        <v>32611526</v>
      </c>
      <c r="G35" s="142">
        <f t="shared" si="8"/>
        <v>6725</v>
      </c>
      <c r="H35" s="143">
        <v>14423881</v>
      </c>
      <c r="I35" s="142">
        <f t="shared" si="5"/>
        <v>3166</v>
      </c>
    </row>
    <row r="36" spans="1:9" ht="21" thickTop="1" thickBot="1" x14ac:dyDescent="0.35">
      <c r="A36" s="59">
        <f t="shared" si="4"/>
        <v>43851</v>
      </c>
      <c r="B36" s="141">
        <v>119103</v>
      </c>
      <c r="C36" s="142">
        <f t="shared" si="6"/>
        <v>520</v>
      </c>
      <c r="D36" s="143">
        <v>18088918</v>
      </c>
      <c r="E36" s="142">
        <f t="shared" si="7"/>
        <v>4844</v>
      </c>
      <c r="F36" s="143">
        <v>32618251</v>
      </c>
      <c r="G36" s="142">
        <f t="shared" si="8"/>
        <v>7099</v>
      </c>
      <c r="H36" s="143">
        <v>14427047</v>
      </c>
      <c r="I36" s="142">
        <f t="shared" si="5"/>
        <v>3199</v>
      </c>
    </row>
    <row r="37" spans="1:9" ht="21" thickTop="1" thickBot="1" x14ac:dyDescent="0.35">
      <c r="A37" s="59">
        <f t="shared" si="4"/>
        <v>43852</v>
      </c>
      <c r="B37" s="141">
        <v>119155</v>
      </c>
      <c r="C37" s="142">
        <f t="shared" si="6"/>
        <v>430</v>
      </c>
      <c r="D37" s="143">
        <v>18093762</v>
      </c>
      <c r="E37" s="142">
        <f t="shared" si="7"/>
        <v>4769</v>
      </c>
      <c r="F37" s="143">
        <v>32625350</v>
      </c>
      <c r="G37" s="142">
        <f t="shared" si="8"/>
        <v>6786</v>
      </c>
      <c r="H37" s="143">
        <v>14430246</v>
      </c>
      <c r="I37" s="142">
        <f t="shared" si="5"/>
        <v>3067</v>
      </c>
    </row>
    <row r="38" spans="1:9" ht="21" thickTop="1" thickBot="1" x14ac:dyDescent="0.35">
      <c r="A38" s="59">
        <f t="shared" si="4"/>
        <v>43853</v>
      </c>
      <c r="B38" s="141">
        <v>119198</v>
      </c>
      <c r="C38" s="142">
        <f t="shared" si="6"/>
        <v>0</v>
      </c>
      <c r="D38" s="143">
        <v>18098531</v>
      </c>
      <c r="E38" s="142">
        <f t="shared" si="7"/>
        <v>0</v>
      </c>
      <c r="F38" s="143">
        <v>32632136</v>
      </c>
      <c r="G38" s="142">
        <f t="shared" si="8"/>
        <v>0</v>
      </c>
      <c r="H38" s="143">
        <v>14433313</v>
      </c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10480</v>
      </c>
      <c r="E48" s="142">
        <f>SUM(E16:E46)</f>
        <v>95543</v>
      </c>
      <c r="F48" s="84"/>
      <c r="G48" s="142">
        <f>SUM(G16:G46)</f>
        <v>144278</v>
      </c>
      <c r="H48" s="84"/>
      <c r="I48" s="142">
        <f>SUM(I16:I46)</f>
        <v>65584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8" priority="2970" stopIfTrue="1" operator="lessThanOrEqual">
      <formula>0</formula>
    </cfRule>
  </conditionalFormatting>
  <conditionalFormatting sqref="C48">
    <cfRule type="cellIs" dxfId="67" priority="80" stopIfTrue="1" operator="lessThanOrEqual">
      <formula>0</formula>
    </cfRule>
  </conditionalFormatting>
  <conditionalFormatting sqref="C48">
    <cfRule type="cellIs" dxfId="66" priority="79" stopIfTrue="1" operator="lessThanOrEqual">
      <formula>0</formula>
    </cfRule>
  </conditionalFormatting>
  <conditionalFormatting sqref="C48">
    <cfRule type="cellIs" dxfId="65" priority="78" stopIfTrue="1" operator="lessThanOrEqual">
      <formula>0</formula>
    </cfRule>
  </conditionalFormatting>
  <conditionalFormatting sqref="C48">
    <cfRule type="cellIs" dxfId="64" priority="77" stopIfTrue="1" operator="lessThanOrEqual">
      <formula>0</formula>
    </cfRule>
  </conditionalFormatting>
  <conditionalFormatting sqref="C47">
    <cfRule type="cellIs" dxfId="63" priority="76" stopIfTrue="1" operator="lessThanOrEqual">
      <formula>0</formula>
    </cfRule>
  </conditionalFormatting>
  <conditionalFormatting sqref="C47">
    <cfRule type="cellIs" dxfId="62" priority="75" stopIfTrue="1" operator="lessThanOrEqual">
      <formula>0</formula>
    </cfRule>
  </conditionalFormatting>
  <conditionalFormatting sqref="C47">
    <cfRule type="cellIs" dxfId="61" priority="74" stopIfTrue="1" operator="lessThanOrEqual">
      <formula>0</formula>
    </cfRule>
  </conditionalFormatting>
  <conditionalFormatting sqref="C47">
    <cfRule type="cellIs" dxfId="60" priority="73" stopIfTrue="1" operator="lessThanOrEqual">
      <formula>0</formula>
    </cfRule>
  </conditionalFormatting>
  <conditionalFormatting sqref="C9:C15 C33:C46">
    <cfRule type="cellIs" dxfId="59" priority="68" stopIfTrue="1" operator="lessThanOrEqual">
      <formula>0</formula>
    </cfRule>
  </conditionalFormatting>
  <conditionalFormatting sqref="C9:C15 C33:C46">
    <cfRule type="cellIs" dxfId="58" priority="67" stopIfTrue="1" operator="lessThanOrEqual">
      <formula>0</formula>
    </cfRule>
  </conditionalFormatting>
  <conditionalFormatting sqref="C9:C15 C33:C46">
    <cfRule type="cellIs" dxfId="57" priority="66" stopIfTrue="1" operator="lessThanOrEqual">
      <formula>0</formula>
    </cfRule>
  </conditionalFormatting>
  <conditionalFormatting sqref="C9:C15 C33:C46">
    <cfRule type="cellIs" dxfId="56" priority="65" stopIfTrue="1" operator="lessThanOrEqual">
      <formula>0</formula>
    </cfRule>
  </conditionalFormatting>
  <conditionalFormatting sqref="C16">
    <cfRule type="cellIs" dxfId="55" priority="64" stopIfTrue="1" operator="lessThanOrEqual">
      <formula>0</formula>
    </cfRule>
  </conditionalFormatting>
  <conditionalFormatting sqref="C16">
    <cfRule type="cellIs" dxfId="54" priority="63" stopIfTrue="1" operator="lessThanOrEqual">
      <formula>0</formula>
    </cfRule>
  </conditionalFormatting>
  <conditionalFormatting sqref="C16">
    <cfRule type="cellIs" dxfId="53" priority="62" stopIfTrue="1" operator="lessThanOrEqual">
      <formula>0</formula>
    </cfRule>
  </conditionalFormatting>
  <conditionalFormatting sqref="C16">
    <cfRule type="cellIs" dxfId="52" priority="61" stopIfTrue="1" operator="lessThanOrEqual">
      <formula>0</formula>
    </cfRule>
  </conditionalFormatting>
  <conditionalFormatting sqref="I48 G48 E48">
    <cfRule type="cellIs" dxfId="51" priority="52" stopIfTrue="1" operator="lessThanOrEqual">
      <formula>0</formula>
    </cfRule>
  </conditionalFormatting>
  <conditionalFormatting sqref="I48 G48 E48">
    <cfRule type="cellIs" dxfId="50" priority="51" stopIfTrue="1" operator="lessThanOrEqual">
      <formula>0</formula>
    </cfRule>
  </conditionalFormatting>
  <conditionalFormatting sqref="I48 G48 E48">
    <cfRule type="cellIs" dxfId="49" priority="50" stopIfTrue="1" operator="lessThanOrEqual">
      <formula>0</formula>
    </cfRule>
  </conditionalFormatting>
  <conditionalFormatting sqref="I48 G48 E48">
    <cfRule type="cellIs" dxfId="48" priority="49" stopIfTrue="1" operator="lessThanOrEqual">
      <formula>0</formula>
    </cfRule>
  </conditionalFormatting>
  <conditionalFormatting sqref="C17">
    <cfRule type="cellIs" dxfId="47" priority="48" stopIfTrue="1" operator="lessThanOrEqual">
      <formula>0</formula>
    </cfRule>
  </conditionalFormatting>
  <conditionalFormatting sqref="C17">
    <cfRule type="cellIs" dxfId="46" priority="47" stopIfTrue="1" operator="lessThanOrEqual">
      <formula>0</formula>
    </cfRule>
  </conditionalFormatting>
  <conditionalFormatting sqref="C17">
    <cfRule type="cellIs" dxfId="45" priority="46" stopIfTrue="1" operator="lessThanOrEqual">
      <formula>0</formula>
    </cfRule>
  </conditionalFormatting>
  <conditionalFormatting sqref="C17">
    <cfRule type="cellIs" dxfId="44" priority="45" stopIfTrue="1" operator="lessThanOrEqual">
      <formula>0</formula>
    </cfRule>
  </conditionalFormatting>
  <conditionalFormatting sqref="C18">
    <cfRule type="cellIs" dxfId="43" priority="44" stopIfTrue="1" operator="lessThanOrEqual">
      <formula>0</formula>
    </cfRule>
  </conditionalFormatting>
  <conditionalFormatting sqref="C18">
    <cfRule type="cellIs" dxfId="42" priority="43" stopIfTrue="1" operator="lessThanOrEqual">
      <formula>0</formula>
    </cfRule>
  </conditionalFormatting>
  <conditionalFormatting sqref="C18">
    <cfRule type="cellIs" dxfId="41" priority="42" stopIfTrue="1" operator="lessThanOrEqual">
      <formula>0</formula>
    </cfRule>
  </conditionalFormatting>
  <conditionalFormatting sqref="C18">
    <cfRule type="cellIs" dxfId="40" priority="41" stopIfTrue="1" operator="lessThanOrEqual">
      <formula>0</formula>
    </cfRule>
  </conditionalFormatting>
  <conditionalFormatting sqref="C19:C21">
    <cfRule type="cellIs" dxfId="39" priority="40" stopIfTrue="1" operator="lessThanOrEqual">
      <formula>0</formula>
    </cfRule>
  </conditionalFormatting>
  <conditionalFormatting sqref="C19:C21">
    <cfRule type="cellIs" dxfId="38" priority="39" stopIfTrue="1" operator="lessThanOrEqual">
      <formula>0</formula>
    </cfRule>
  </conditionalFormatting>
  <conditionalFormatting sqref="C19:C21">
    <cfRule type="cellIs" dxfId="37" priority="38" stopIfTrue="1" operator="lessThanOrEqual">
      <formula>0</formula>
    </cfRule>
  </conditionalFormatting>
  <conditionalFormatting sqref="C19:C21">
    <cfRule type="cellIs" dxfId="36" priority="37" stopIfTrue="1" operator="lessThanOrEqual">
      <formula>0</formula>
    </cfRule>
  </conditionalFormatting>
  <conditionalFormatting sqref="C22">
    <cfRule type="cellIs" dxfId="35" priority="36" stopIfTrue="1" operator="lessThanOrEqual">
      <formula>0</formula>
    </cfRule>
  </conditionalFormatting>
  <conditionalFormatting sqref="C22">
    <cfRule type="cellIs" dxfId="34" priority="35" stopIfTrue="1" operator="lessThanOrEqual">
      <formula>0</formula>
    </cfRule>
  </conditionalFormatting>
  <conditionalFormatting sqref="C22">
    <cfRule type="cellIs" dxfId="33" priority="34" stopIfTrue="1" operator="lessThanOrEqual">
      <formula>0</formula>
    </cfRule>
  </conditionalFormatting>
  <conditionalFormatting sqref="C22">
    <cfRule type="cellIs" dxfId="32" priority="33" stopIfTrue="1" operator="lessThanOrEqual">
      <formula>0</formula>
    </cfRule>
  </conditionalFormatting>
  <conditionalFormatting sqref="C23">
    <cfRule type="cellIs" dxfId="31" priority="32" stopIfTrue="1" operator="lessThanOrEqual">
      <formula>0</formula>
    </cfRule>
  </conditionalFormatting>
  <conditionalFormatting sqref="C23">
    <cfRule type="cellIs" dxfId="30" priority="31" stopIfTrue="1" operator="lessThanOrEqual">
      <formula>0</formula>
    </cfRule>
  </conditionalFormatting>
  <conditionalFormatting sqref="C23">
    <cfRule type="cellIs" dxfId="29" priority="30" stopIfTrue="1" operator="lessThanOrEqual">
      <formula>0</formula>
    </cfRule>
  </conditionalFormatting>
  <conditionalFormatting sqref="C23">
    <cfRule type="cellIs" dxfId="28" priority="29" stopIfTrue="1" operator="lessThanOrEqual">
      <formula>0</formula>
    </cfRule>
  </conditionalFormatting>
  <conditionalFormatting sqref="C24">
    <cfRule type="cellIs" dxfId="27" priority="28" stopIfTrue="1" operator="lessThanOrEqual">
      <formula>0</formula>
    </cfRule>
  </conditionalFormatting>
  <conditionalFormatting sqref="C24">
    <cfRule type="cellIs" dxfId="26" priority="27" stopIfTrue="1" operator="lessThanOrEqual">
      <formula>0</formula>
    </cfRule>
  </conditionalFormatting>
  <conditionalFormatting sqref="C24">
    <cfRule type="cellIs" dxfId="25" priority="26" stopIfTrue="1" operator="lessThanOrEqual">
      <formula>0</formula>
    </cfRule>
  </conditionalFormatting>
  <conditionalFormatting sqref="C24">
    <cfRule type="cellIs" dxfId="24" priority="25" stopIfTrue="1" operator="lessThanOrEqual">
      <formula>0</formula>
    </cfRule>
  </conditionalFormatting>
  <conditionalFormatting sqref="C25:C26">
    <cfRule type="cellIs" dxfId="23" priority="24" stopIfTrue="1" operator="lessThanOrEqual">
      <formula>0</formula>
    </cfRule>
  </conditionalFormatting>
  <conditionalFormatting sqref="C25:C26">
    <cfRule type="cellIs" dxfId="22" priority="23" stopIfTrue="1" operator="lessThanOrEqual">
      <formula>0</formula>
    </cfRule>
  </conditionalFormatting>
  <conditionalFormatting sqref="C25:C26">
    <cfRule type="cellIs" dxfId="21" priority="22" stopIfTrue="1" operator="lessThanOrEqual">
      <formula>0</formula>
    </cfRule>
  </conditionalFormatting>
  <conditionalFormatting sqref="C25:C26">
    <cfRule type="cellIs" dxfId="20" priority="21" stopIfTrue="1" operator="lessThanOrEqual">
      <formula>0</formula>
    </cfRule>
  </conditionalFormatting>
  <conditionalFormatting sqref="C27">
    <cfRule type="cellIs" dxfId="19" priority="20" stopIfTrue="1" operator="lessThanOrEqual">
      <formula>0</formula>
    </cfRule>
  </conditionalFormatting>
  <conditionalFormatting sqref="C27">
    <cfRule type="cellIs" dxfId="18" priority="19" stopIfTrue="1" operator="lessThanOrEqual">
      <formula>0</formula>
    </cfRule>
  </conditionalFormatting>
  <conditionalFormatting sqref="C27">
    <cfRule type="cellIs" dxfId="17" priority="18" stopIfTrue="1" operator="lessThanOrEqual">
      <formula>0</formula>
    </cfRule>
  </conditionalFormatting>
  <conditionalFormatting sqref="C27">
    <cfRule type="cellIs" dxfId="16" priority="17" stopIfTrue="1" operator="lessThanOrEqual">
      <formula>0</formula>
    </cfRule>
  </conditionalFormatting>
  <conditionalFormatting sqref="C28">
    <cfRule type="cellIs" dxfId="15" priority="16" stopIfTrue="1" operator="lessThanOrEqual">
      <formula>0</formula>
    </cfRule>
  </conditionalFormatting>
  <conditionalFormatting sqref="C28">
    <cfRule type="cellIs" dxfId="14" priority="15" stopIfTrue="1" operator="lessThanOrEqual">
      <formula>0</formula>
    </cfRule>
  </conditionalFormatting>
  <conditionalFormatting sqref="C28">
    <cfRule type="cellIs" dxfId="13" priority="14" stopIfTrue="1" operator="lessThanOrEqual">
      <formula>0</formula>
    </cfRule>
  </conditionalFormatting>
  <conditionalFormatting sqref="C28">
    <cfRule type="cellIs" dxfId="12" priority="13" stopIfTrue="1" operator="lessThanOrEqual">
      <formula>0</formula>
    </cfRule>
  </conditionalFormatting>
  <conditionalFormatting sqref="C29:C30">
    <cfRule type="cellIs" dxfId="11" priority="12" stopIfTrue="1" operator="lessThanOrEqual">
      <formula>0</formula>
    </cfRule>
  </conditionalFormatting>
  <conditionalFormatting sqref="C29:C30">
    <cfRule type="cellIs" dxfId="10" priority="11" stopIfTrue="1" operator="lessThanOrEqual">
      <formula>0</formula>
    </cfRule>
  </conditionalFormatting>
  <conditionalFormatting sqref="C29:C30">
    <cfRule type="cellIs" dxfId="9" priority="10" stopIfTrue="1" operator="lessThanOrEqual">
      <formula>0</formula>
    </cfRule>
  </conditionalFormatting>
  <conditionalFormatting sqref="C29:C30">
    <cfRule type="cellIs" dxfId="8" priority="9" stopIfTrue="1" operator="lessThanOrEqual">
      <formula>0</formula>
    </cfRule>
  </conditionalFormatting>
  <conditionalFormatting sqref="C31">
    <cfRule type="cellIs" dxfId="7" priority="8" stopIfTrue="1" operator="lessThanOrEqual">
      <formula>0</formula>
    </cfRule>
  </conditionalFormatting>
  <conditionalFormatting sqref="C31">
    <cfRule type="cellIs" dxfId="6" priority="7" stopIfTrue="1" operator="lessThanOrEqual">
      <formula>0</formula>
    </cfRule>
  </conditionalFormatting>
  <conditionalFormatting sqref="C31">
    <cfRule type="cellIs" dxfId="5" priority="6" stopIfTrue="1" operator="lessThanOrEqual">
      <formula>0</formula>
    </cfRule>
  </conditionalFormatting>
  <conditionalFormatting sqref="C31">
    <cfRule type="cellIs" dxfId="4" priority="5" stopIfTrue="1" operator="lessThanOrEqual">
      <formula>0</formula>
    </cfRule>
  </conditionalFormatting>
  <conditionalFormatting sqref="C32">
    <cfRule type="cellIs" dxfId="3" priority="4" stopIfTrue="1" operator="lessThanOrEqual">
      <formula>0</formula>
    </cfRule>
  </conditionalFormatting>
  <conditionalFormatting sqref="C32">
    <cfRule type="cellIs" dxfId="2" priority="3" stopIfTrue="1" operator="lessThanOrEqual">
      <formula>0</formula>
    </cfRule>
  </conditionalFormatting>
  <conditionalFormatting sqref="C32">
    <cfRule type="cellIs" dxfId="1" priority="2" stopIfTrue="1" operator="lessThanOrEqual">
      <formula>0</formula>
    </cfRule>
  </conditionalFormatting>
  <conditionalFormatting sqref="C32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Mathieu Saumonneau</cp:lastModifiedBy>
  <cp:lastPrinted>2016-11-26T06:58:46Z</cp:lastPrinted>
  <dcterms:created xsi:type="dcterms:W3CDTF">1996-10-21T11:03:58Z</dcterms:created>
  <dcterms:modified xsi:type="dcterms:W3CDTF">2020-01-23T15:01:27Z</dcterms:modified>
</cp:coreProperties>
</file>