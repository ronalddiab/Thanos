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623" documentId="8_{5B502D95-7A37-4D5A-8B6B-374537CC2F26}" xr6:coauthVersionLast="47" xr6:coauthVersionMax="47" xr10:uidLastSave="{3347EA29-C165-4C6F-A880-A8C867E04808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4" i="2" l="1"/>
  <c r="N35" i="2"/>
  <c r="M35" i="2"/>
  <c r="L35" i="2"/>
  <c r="F35" i="2"/>
  <c r="K34" i="6"/>
  <c r="I34" i="6"/>
  <c r="G34" i="6"/>
  <c r="E34" i="6"/>
  <c r="C34" i="6"/>
  <c r="V33" i="2"/>
  <c r="N34" i="2"/>
  <c r="M34" i="2"/>
  <c r="L34" i="2"/>
  <c r="F34" i="2"/>
  <c r="K33" i="6"/>
  <c r="I33" i="6"/>
  <c r="G33" i="6"/>
  <c r="E33" i="6"/>
  <c r="C33" i="6"/>
  <c r="V32" i="2"/>
  <c r="N33" i="2"/>
  <c r="M33" i="2"/>
  <c r="L33" i="2"/>
  <c r="F33" i="2"/>
  <c r="K32" i="6"/>
  <c r="I32" i="6"/>
  <c r="G32" i="6"/>
  <c r="E32" i="6"/>
  <c r="C32" i="6"/>
  <c r="V31" i="2"/>
  <c r="K31" i="6"/>
  <c r="N32" i="2" s="1"/>
  <c r="I31" i="6"/>
  <c r="M32" i="2" s="1"/>
  <c r="G31" i="6"/>
  <c r="L32" i="2" s="1"/>
  <c r="E31" i="6"/>
  <c r="F32" i="2" s="1"/>
  <c r="C31" i="6"/>
  <c r="V29" i="2"/>
  <c r="V30" i="2"/>
  <c r="K29" i="6"/>
  <c r="N30" i="2" s="1"/>
  <c r="K30" i="6"/>
  <c r="N31" i="2" s="1"/>
  <c r="I29" i="6"/>
  <c r="M30" i="2" s="1"/>
  <c r="I30" i="6"/>
  <c r="M31" i="2" s="1"/>
  <c r="G29" i="6"/>
  <c r="L30" i="2" s="1"/>
  <c r="G30" i="6"/>
  <c r="L31" i="2" s="1"/>
  <c r="E29" i="6"/>
  <c r="F30" i="2" s="1"/>
  <c r="E30" i="6"/>
  <c r="F31" i="2" s="1"/>
  <c r="C29" i="6"/>
  <c r="C30" i="6"/>
  <c r="V28" i="2"/>
  <c r="K28" i="6"/>
  <c r="N29" i="2" s="1"/>
  <c r="I28" i="6"/>
  <c r="M29" i="2" s="1"/>
  <c r="G28" i="6"/>
  <c r="L29" i="2" s="1"/>
  <c r="E28" i="6"/>
  <c r="F29" i="2" s="1"/>
  <c r="C28" i="6"/>
  <c r="V27" i="2"/>
  <c r="K27" i="6"/>
  <c r="N28" i="2" s="1"/>
  <c r="I27" i="6"/>
  <c r="M28" i="2" s="1"/>
  <c r="G27" i="6"/>
  <c r="L28" i="2" s="1"/>
  <c r="E27" i="6"/>
  <c r="F28" i="2" s="1"/>
  <c r="C27" i="6"/>
  <c r="V21" i="2"/>
  <c r="V22" i="2"/>
  <c r="V23" i="2"/>
  <c r="V24" i="2"/>
  <c r="V25" i="2"/>
  <c r="V26" i="2"/>
  <c r="K26" i="6"/>
  <c r="N27" i="2" s="1"/>
  <c r="I26" i="6"/>
  <c r="M27" i="2" s="1"/>
  <c r="G26" i="6"/>
  <c r="L27" i="2" s="1"/>
  <c r="E26" i="6"/>
  <c r="F27" i="2" s="1"/>
  <c r="C26" i="6"/>
  <c r="I25" i="6"/>
  <c r="M26" i="2" s="1"/>
  <c r="E25" i="6"/>
  <c r="F26" i="2" s="1"/>
  <c r="C25" i="6"/>
  <c r="K24" i="6"/>
  <c r="N25" i="2" s="1"/>
  <c r="K25" i="6"/>
  <c r="N26" i="2" s="1"/>
  <c r="I24" i="6"/>
  <c r="M25" i="2" s="1"/>
  <c r="G24" i="6"/>
  <c r="L25" i="2" s="1"/>
  <c r="G25" i="6"/>
  <c r="L26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V20" i="2"/>
  <c r="K20" i="6"/>
  <c r="N21" i="2" s="1"/>
  <c r="I20" i="6"/>
  <c r="M21" i="2" s="1"/>
  <c r="G20" i="6"/>
  <c r="L21" i="2" s="1"/>
  <c r="E20" i="6"/>
  <c r="F21" i="2" s="1"/>
  <c r="C20" i="6"/>
  <c r="V18" i="2"/>
  <c r="V19" i="2"/>
  <c r="K19" i="6"/>
  <c r="N20" i="2" s="1"/>
  <c r="I19" i="6"/>
  <c r="M20" i="2" s="1"/>
  <c r="G19" i="6"/>
  <c r="L20" i="2" s="1"/>
  <c r="E19" i="6"/>
  <c r="F20" i="2" s="1"/>
  <c r="C19" i="6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4" i="2"/>
  <c r="V15" i="2"/>
  <c r="V16" i="2"/>
  <c r="K16" i="6"/>
  <c r="N17" i="2" s="1"/>
  <c r="I16" i="6"/>
  <c r="M17" i="2" s="1"/>
  <c r="G16" i="6"/>
  <c r="L17" i="2" s="1"/>
  <c r="E16" i="6"/>
  <c r="F17" i="2" s="1"/>
  <c r="C16" i="6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V12" i="2"/>
  <c r="V13" i="2"/>
  <c r="K12" i="6"/>
  <c r="N13" i="2" s="1"/>
  <c r="K13" i="6"/>
  <c r="N14" i="2" s="1"/>
  <c r="I12" i="6"/>
  <c r="M13" i="2" s="1"/>
  <c r="I13" i="6"/>
  <c r="M14" i="2" s="1"/>
  <c r="G12" i="6"/>
  <c r="L13" i="2" s="1"/>
  <c r="G13" i="6"/>
  <c r="L14" i="2" s="1"/>
  <c r="E12" i="6"/>
  <c r="F13" i="2" s="1"/>
  <c r="E13" i="6"/>
  <c r="F14" i="2" s="1"/>
  <c r="C12" i="6"/>
  <c r="C13" i="6"/>
  <c r="P5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1" i="2"/>
  <c r="K11" i="6"/>
  <c r="N12" i="2" s="1"/>
  <c r="I11" i="6"/>
  <c r="M12" i="2" s="1"/>
  <c r="G11" i="6"/>
  <c r="L12" i="2" s="1"/>
  <c r="E11" i="6"/>
  <c r="F12" i="2" s="1"/>
  <c r="C11" i="6"/>
  <c r="V10" i="2"/>
  <c r="K10" i="6"/>
  <c r="N11" i="2" s="1"/>
  <c r="I10" i="6"/>
  <c r="M11" i="2" s="1"/>
  <c r="G10" i="6"/>
  <c r="L11" i="2" s="1"/>
  <c r="E10" i="6"/>
  <c r="F11" i="2" s="1"/>
  <c r="C10" i="6"/>
  <c r="N10" i="2"/>
  <c r="M10" i="2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B31" i="21"/>
  <c r="B32" i="21"/>
  <c r="B31" i="22"/>
  <c r="B32" i="22"/>
  <c r="G32" i="21"/>
  <c r="F32" i="21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2" i="21" l="1"/>
  <c r="E32" i="22" s="1"/>
  <c r="Q40" i="2"/>
  <c r="O40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<sst xmlns="http://schemas.openxmlformats.org/spreadsheetml/2006/main" count="484" uniqueCount="187">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</sst>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  <c:pt idx="9">
                  <c:v>168.29999999998836</c:v>
                </c:pt>
                <c:pt idx="10">
                  <c:v>202.70000000001164</c:v>
                </c:pt>
                <c:pt idx="11">
                  <c:v>196.89999999999418</c:v>
                </c:pt>
                <c:pt idx="12">
                  <c:v>160.39999999999418</c:v>
                </c:pt>
                <c:pt idx="13">
                  <c:v>198.89999999999418</c:v>
                </c:pt>
                <c:pt idx="14">
                  <c:v>152.90000000002328</c:v>
                </c:pt>
                <c:pt idx="15">
                  <c:v>165.69999999998254</c:v>
                </c:pt>
                <c:pt idx="16">
                  <c:v>160.39999999999418</c:v>
                </c:pt>
                <c:pt idx="17">
                  <c:v>166.60000000000582</c:v>
                </c:pt>
                <c:pt idx="18">
                  <c:v>151.80000000001746</c:v>
                </c:pt>
                <c:pt idx="19">
                  <c:v>164</c:v>
                </c:pt>
                <c:pt idx="20">
                  <c:v>188.29999999998836</c:v>
                </c:pt>
                <c:pt idx="21">
                  <c:v>172.20000000001164</c:v>
                </c:pt>
                <c:pt idx="22">
                  <c:v>160.5</c:v>
                </c:pt>
                <c:pt idx="23">
                  <c:v>152.79999999998836</c:v>
                </c:pt>
                <c:pt idx="24">
                  <c:v>134.5</c:v>
                </c:pt>
                <c:pt idx="25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  <c:pt idx="9">
                  <c:v>5602</c:v>
                </c:pt>
                <c:pt idx="10">
                  <c:v>5702</c:v>
                </c:pt>
                <c:pt idx="11">
                  <c:v>5763</c:v>
                </c:pt>
                <c:pt idx="12">
                  <c:v>6727</c:v>
                </c:pt>
                <c:pt idx="13">
                  <c:v>6218</c:v>
                </c:pt>
                <c:pt idx="14">
                  <c:v>5558</c:v>
                </c:pt>
                <c:pt idx="15">
                  <c:v>5705</c:v>
                </c:pt>
                <c:pt idx="16">
                  <c:v>5393</c:v>
                </c:pt>
                <c:pt idx="17">
                  <c:v>4592</c:v>
                </c:pt>
                <c:pt idx="18">
                  <c:v>4995</c:v>
                </c:pt>
                <c:pt idx="19">
                  <c:v>5253</c:v>
                </c:pt>
                <c:pt idx="20">
                  <c:v>7287</c:v>
                </c:pt>
                <c:pt idx="21">
                  <c:v>7194</c:v>
                </c:pt>
                <c:pt idx="22">
                  <c:v>5559</c:v>
                </c:pt>
                <c:pt idx="23">
                  <c:v>5583</c:v>
                </c:pt>
                <c:pt idx="24">
                  <c:v>5373</c:v>
                </c:pt>
                <c:pt idx="25">
                  <c:v>5855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  <c:pt idx="9">
                  <c:v>10234</c:v>
                </c:pt>
                <c:pt idx="10">
                  <c:v>10256</c:v>
                </c:pt>
                <c:pt idx="11">
                  <c:v>9879</c:v>
                </c:pt>
                <c:pt idx="12">
                  <c:v>10558</c:v>
                </c:pt>
                <c:pt idx="13">
                  <c:v>10241</c:v>
                </c:pt>
                <c:pt idx="14">
                  <c:v>10451</c:v>
                </c:pt>
                <c:pt idx="15">
                  <c:v>10092</c:v>
                </c:pt>
                <c:pt idx="16">
                  <c:v>10282</c:v>
                </c:pt>
                <c:pt idx="17">
                  <c:v>10336</c:v>
                </c:pt>
                <c:pt idx="18">
                  <c:v>8781</c:v>
                </c:pt>
                <c:pt idx="19">
                  <c:v>9439</c:v>
                </c:pt>
                <c:pt idx="20">
                  <c:v>11993</c:v>
                </c:pt>
                <c:pt idx="21">
                  <c:v>10716</c:v>
                </c:pt>
                <c:pt idx="22">
                  <c:v>10749</c:v>
                </c:pt>
                <c:pt idx="23">
                  <c:v>10762</c:v>
                </c:pt>
                <c:pt idx="24">
                  <c:v>10289</c:v>
                </c:pt>
                <c:pt idx="25">
                  <c:v>9605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  <c:pt idx="9">
                  <c:v>4509</c:v>
                </c:pt>
                <c:pt idx="10">
                  <c:v>4304</c:v>
                </c:pt>
                <c:pt idx="11">
                  <c:v>4378</c:v>
                </c:pt>
                <c:pt idx="12">
                  <c:v>4660</c:v>
                </c:pt>
                <c:pt idx="13">
                  <c:v>4379</c:v>
                </c:pt>
                <c:pt idx="14">
                  <c:v>4221</c:v>
                </c:pt>
                <c:pt idx="15">
                  <c:v>4422</c:v>
                </c:pt>
                <c:pt idx="16">
                  <c:v>4376</c:v>
                </c:pt>
                <c:pt idx="17">
                  <c:v>3912</c:v>
                </c:pt>
                <c:pt idx="18">
                  <c:v>3892</c:v>
                </c:pt>
                <c:pt idx="19">
                  <c:v>4149</c:v>
                </c:pt>
                <c:pt idx="20">
                  <c:v>5380</c:v>
                </c:pt>
                <c:pt idx="21">
                  <c:v>4754</c:v>
                </c:pt>
                <c:pt idx="22">
                  <c:v>4532</c:v>
                </c:pt>
                <c:pt idx="23">
                  <c:v>4709</c:v>
                </c:pt>
                <c:pt idx="24">
                  <c:v>4705</c:v>
                </c:pt>
                <c:pt idx="25">
                  <c:v>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224.4179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191.99526</c:v>
                </c:pt>
                <c:pt idx="9">
                  <c:v>95.997630000000001</c:v>
                </c:pt>
                <c:pt idx="10">
                  <c:v>159.99605</c:v>
                </c:pt>
                <c:pt idx="11">
                  <c:v>351.99131</c:v>
                </c:pt>
                <c:pt idx="12">
                  <c:v>95.997630000000001</c:v>
                </c:pt>
                <c:pt idx="13">
                  <c:v>63.998420000000003</c:v>
                </c:pt>
                <c:pt idx="14">
                  <c:v>159.99605</c:v>
                </c:pt>
                <c:pt idx="15">
                  <c:v>383.99052</c:v>
                </c:pt>
                <c:pt idx="16">
                  <c:v>95.997630000000001</c:v>
                </c:pt>
                <c:pt idx="17">
                  <c:v>287.99288999999999</c:v>
                </c:pt>
                <c:pt idx="18">
                  <c:v>287.99288999999999</c:v>
                </c:pt>
                <c:pt idx="19">
                  <c:v>223.99447000000001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159.99605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H2" workbookViewId="0">
      <selection activeCell="H2" sqref="H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12.94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22678</v>
      </c>
      <c r="F3" s="134">
        <v>1.05</v>
      </c>
      <c r="G3" s="134">
        <f>'Consommation mensuel énergie'!V11</f>
        <v>127.99684000000001</v>
      </c>
      <c r="H3" s="134">
        <v>12.94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1.05</v>
      </c>
      <c r="G4" s="134">
        <f>'Consommation mensuel énergie'!V12</f>
        <v>127.99684000000001</v>
      </c>
      <c r="H4" s="134">
        <v>12.94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1.05</v>
      </c>
      <c r="G5" s="134">
        <f>'Consommation mensuel énergie'!V13</f>
        <v>224.4179</v>
      </c>
      <c r="H5" s="134">
        <v>12.94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1.05</v>
      </c>
      <c r="G6" s="134">
        <f>'Consommation mensuel énergie'!V14</f>
        <v>287.99288999999999</v>
      </c>
      <c r="H6" s="134">
        <v>12.94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1.05</v>
      </c>
      <c r="G7" s="134">
        <f>'Consommation mensuel énergie'!V15</f>
        <v>159.99605</v>
      </c>
      <c r="H7" s="134">
        <v>12.94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1.05</v>
      </c>
      <c r="G8" s="134">
        <f>'Consommation mensuel énergie'!V16</f>
        <v>287.99288999999999</v>
      </c>
      <c r="H8" s="134">
        <v>12.94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1.05</v>
      </c>
      <c r="G9" s="134">
        <f>'Consommation mensuel énergie'!V17</f>
        <v>127.99684000000001</v>
      </c>
      <c r="H9" s="134">
        <v>12.94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1.05</v>
      </c>
      <c r="G10" s="134">
        <f>'Consommation mensuel énergie'!V18</f>
        <v>191.99526</v>
      </c>
      <c r="H10" s="134">
        <v>12.94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161</v>
      </c>
      <c r="L10" s="137">
        <f>'Consommation mensuel énergie'!E18</f>
        <v>300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20345</v>
      </c>
      <c r="F11" s="134">
        <v>1.05</v>
      </c>
      <c r="G11" s="134">
        <f>'Consommation mensuel énergie'!V19</f>
        <v>95.997630000000001</v>
      </c>
      <c r="H11" s="134">
        <v>12.94</v>
      </c>
      <c r="I11" s="134">
        <f>'Consommation mensuel énergie'!F19</f>
        <v>168.29999999998836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307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20262</v>
      </c>
      <c r="F12" s="134">
        <v>1.05</v>
      </c>
      <c r="G12" s="134">
        <f>'Consommation mensuel énergie'!V20</f>
        <v>159.99605</v>
      </c>
      <c r="H12" s="134">
        <v>12.94</v>
      </c>
      <c r="I12" s="134">
        <f>'Consommation mensuel énergie'!F20</f>
        <v>202.70000000001164</v>
      </c>
      <c r="J12" s="134">
        <v>11.4</v>
      </c>
      <c r="K12" s="137">
        <f>'Consommation mensuel énergie'!D20</f>
        <v>169</v>
      </c>
      <c r="L12" s="137">
        <f>'Consommation mensuel énergie'!E20</f>
        <v>315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20020</v>
      </c>
      <c r="F13" s="134">
        <v>1.05</v>
      </c>
      <c r="G13" s="134">
        <f>'Consommation mensuel énergie'!V21</f>
        <v>351.99131</v>
      </c>
      <c r="H13" s="134">
        <v>12.94</v>
      </c>
      <c r="I13" s="134">
        <f>'Consommation mensuel énergie'!F21</f>
        <v>196.89999999999418</v>
      </c>
      <c r="J13" s="134">
        <v>11.4</v>
      </c>
      <c r="K13" s="137">
        <f>'Consommation mensuel énergie'!D21</f>
        <v>163</v>
      </c>
      <c r="L13" s="137">
        <f>'Consommation mensuel énergie'!E21</f>
        <v>313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21945</v>
      </c>
      <c r="F14" s="134">
        <v>1.05</v>
      </c>
      <c r="G14" s="134">
        <f>'Consommation mensuel énergie'!V22</f>
        <v>95.997630000000001</v>
      </c>
      <c r="H14" s="134">
        <v>12.94</v>
      </c>
      <c r="I14" s="134">
        <f>'Consommation mensuel énergie'!F22</f>
        <v>160.39999999999418</v>
      </c>
      <c r="J14" s="134">
        <v>11.4</v>
      </c>
      <c r="K14" s="137">
        <f>'Consommation mensuel énergie'!D22</f>
        <v>155</v>
      </c>
      <c r="L14" s="137">
        <f>'Consommation mensuel énergie'!E22</f>
        <v>300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20838</v>
      </c>
      <c r="F15" s="134">
        <v>1.05</v>
      </c>
      <c r="G15" s="134">
        <f>'Consommation mensuel énergie'!V23</f>
        <v>63.998420000000003</v>
      </c>
      <c r="H15" s="134">
        <v>12.94</v>
      </c>
      <c r="I15" s="134">
        <f>'Consommation mensuel énergie'!F23</f>
        <v>198.89999999999418</v>
      </c>
      <c r="J15" s="134">
        <v>11.4</v>
      </c>
      <c r="K15" s="137">
        <f>'Consommation mensuel énergie'!D23</f>
        <v>144</v>
      </c>
      <c r="L15" s="137">
        <f>'Consommation mensuel énergie'!E23</f>
        <v>273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20230</v>
      </c>
      <c r="F16" s="134">
        <v>1.05</v>
      </c>
      <c r="G16" s="134">
        <f>'Consommation mensuel énergie'!V24</f>
        <v>159.99605</v>
      </c>
      <c r="H16" s="134">
        <v>12.94</v>
      </c>
      <c r="I16" s="134">
        <f>'Consommation mensuel énergie'!F24</f>
        <v>152.90000000002328</v>
      </c>
      <c r="J16" s="134">
        <v>11.4</v>
      </c>
      <c r="K16" s="137">
        <f>'Consommation mensuel énergie'!D24</f>
        <v>155</v>
      </c>
      <c r="L16" s="137">
        <f>'Consommation mensuel énergie'!E24</f>
        <v>275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20219</v>
      </c>
      <c r="F17" s="134">
        <v>1.05</v>
      </c>
      <c r="G17" s="134">
        <f>'Consommation mensuel énergie'!V25</f>
        <v>383.99052</v>
      </c>
      <c r="H17" s="134">
        <v>12.94</v>
      </c>
      <c r="I17" s="134">
        <f>'Consommation mensuel énergie'!F25</f>
        <v>165.69999999998254</v>
      </c>
      <c r="J17" s="134">
        <v>11.4</v>
      </c>
      <c r="K17" s="137">
        <f>'Consommation mensuel énergie'!D25</f>
        <v>150</v>
      </c>
      <c r="L17" s="137">
        <f>'Consommation mensuel énergie'!E25</f>
        <v>258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20051</v>
      </c>
      <c r="F18" s="134">
        <v>1.05</v>
      </c>
      <c r="G18" s="134">
        <f>'Consommation mensuel énergie'!V26</f>
        <v>95.997630000000001</v>
      </c>
      <c r="H18" s="134">
        <v>12.94</v>
      </c>
      <c r="I18" s="134">
        <f>'Consommation mensuel énergie'!F26</f>
        <v>160.39999999999418</v>
      </c>
      <c r="J18" s="134">
        <v>11.4</v>
      </c>
      <c r="K18" s="137">
        <f>'Consommation mensuel énergie'!D26</f>
        <v>136</v>
      </c>
      <c r="L18" s="137">
        <f>'Consommation mensuel énergie'!E26</f>
        <v>240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18840</v>
      </c>
      <c r="F19" s="134">
        <v>1.05</v>
      </c>
      <c r="G19" s="134">
        <f>'Consommation mensuel énergie'!V27</f>
        <v>287.99288999999999</v>
      </c>
      <c r="H19" s="134">
        <v>12.94</v>
      </c>
      <c r="I19" s="134">
        <f>'Consommation mensuel énergie'!F27</f>
        <v>166.60000000000582</v>
      </c>
      <c r="J19" s="134">
        <v>11.4</v>
      </c>
      <c r="K19" s="137">
        <f>'Consommation mensuel énergie'!D27</f>
        <v>145</v>
      </c>
      <c r="L19" s="137">
        <f>'Consommation mensuel énergie'!E27</f>
        <v>263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17668</v>
      </c>
      <c r="F20" s="134">
        <v>1.05</v>
      </c>
      <c r="G20" s="134">
        <f>'Consommation mensuel énergie'!V28</f>
        <v>287.99288999999999</v>
      </c>
      <c r="H20" s="134">
        <v>12.94</v>
      </c>
      <c r="I20" s="134">
        <f>'Consommation mensuel énergie'!F28</f>
        <v>151.80000000001746</v>
      </c>
      <c r="J20" s="134">
        <v>11.4</v>
      </c>
      <c r="K20" s="137">
        <f>'Consommation mensuel énergie'!D28</f>
        <v>159</v>
      </c>
      <c r="L20" s="137">
        <f>'Consommation mensuel énergie'!E28</f>
        <v>319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18841</v>
      </c>
      <c r="F21" s="134">
        <v>1.05</v>
      </c>
      <c r="G21" s="134">
        <f>'Consommation mensuel énergie'!V29</f>
        <v>223.99447000000001</v>
      </c>
      <c r="H21" s="134">
        <v>12.94</v>
      </c>
      <c r="I21" s="134">
        <f>'Consommation mensuel énergie'!F29</f>
        <v>164</v>
      </c>
      <c r="J21" s="134">
        <v>11.4</v>
      </c>
      <c r="K21" s="137">
        <f>'Consommation mensuel énergie'!D29</f>
        <v>159</v>
      </c>
      <c r="L21" s="137">
        <f>'Consommation mensuel énergie'!E29</f>
        <v>296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24660</v>
      </c>
      <c r="F22" s="134">
        <v>1.05</v>
      </c>
      <c r="G22" s="134">
        <f>'Consommation mensuel énergie'!V30</f>
        <v>223.99447000000001</v>
      </c>
      <c r="H22" s="134">
        <v>12.94</v>
      </c>
      <c r="I22" s="134">
        <f>'Consommation mensuel énergie'!F30</f>
        <v>188.29999999998836</v>
      </c>
      <c r="J22" s="134">
        <v>11.4</v>
      </c>
      <c r="K22" s="137">
        <f>'Consommation mensuel énergie'!D30</f>
        <v>159</v>
      </c>
      <c r="L22" s="137">
        <f>'Consommation mensuel énergie'!E30</f>
        <v>296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22664</v>
      </c>
      <c r="F23" s="134">
        <v>1.05</v>
      </c>
      <c r="G23" s="134">
        <f>'Consommation mensuel énergie'!V31</f>
        <v>191.99526</v>
      </c>
      <c r="H23" s="134">
        <v>12.94</v>
      </c>
      <c r="I23" s="134">
        <f>'Consommation mensuel énergie'!F31</f>
        <v>172.20000000001164</v>
      </c>
      <c r="J23" s="134">
        <v>11.4</v>
      </c>
      <c r="K23" s="137">
        <f>'Consommation mensuel énergie'!D31</f>
        <v>151</v>
      </c>
      <c r="L23" s="137">
        <f>'Consommation mensuel énergie'!E31</f>
        <v>266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20840</v>
      </c>
      <c r="F24" s="134">
        <v>1.05</v>
      </c>
      <c r="G24" s="134">
        <f>'Consommation mensuel énergie'!V32</f>
        <v>223.99447000000001</v>
      </c>
      <c r="H24" s="134">
        <v>12.94</v>
      </c>
      <c r="I24" s="134">
        <f>'Consommation mensuel énergie'!F32</f>
        <v>160.5</v>
      </c>
      <c r="J24" s="134">
        <v>11.4</v>
      </c>
      <c r="K24" s="137">
        <f>'Consommation mensuel énergie'!D32</f>
        <v>127</v>
      </c>
      <c r="L24" s="137">
        <f>'Consommation mensuel énergie'!E32</f>
        <v>210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21054</v>
      </c>
      <c r="F25" s="134">
        <v>1.05</v>
      </c>
      <c r="G25" s="134">
        <f>'Consommation mensuel énergie'!V33</f>
        <v>287.99288999999999</v>
      </c>
      <c r="H25" s="134">
        <v>12.94</v>
      </c>
      <c r="I25" s="134">
        <f>'Consommation mensuel énergie'!F33</f>
        <v>152.79999999998836</v>
      </c>
      <c r="J25" s="134">
        <v>11.4</v>
      </c>
      <c r="K25" s="137">
        <f>'Consommation mensuel énergie'!D33</f>
        <v>124</v>
      </c>
      <c r="L25" s="137">
        <f>'Consommation mensuel énergie'!E33</f>
        <v>193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20367</v>
      </c>
      <c r="F26" s="134">
        <v>1.05</v>
      </c>
      <c r="G26" s="134">
        <f>'Consommation mensuel énergie'!V34</f>
        <v>159.99605</v>
      </c>
      <c r="H26" s="134">
        <v>12.94</v>
      </c>
      <c r="I26" s="134">
        <f>'Consommation mensuel énergie'!F34</f>
        <v>134.5</v>
      </c>
      <c r="J26" s="134">
        <v>11.4</v>
      </c>
      <c r="K26" s="137">
        <f>'Consommation mensuel énergie'!D34</f>
        <v>138</v>
      </c>
      <c r="L26" s="137">
        <f>'Consommation mensuel énergie'!E34</f>
        <v>223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19256</v>
      </c>
      <c r="F27" s="134">
        <v>1.05</v>
      </c>
      <c r="G27" s="134">
        <f>'Consommation mensuel énergie'!V35</f>
        <v>0</v>
      </c>
      <c r="H27" s="134">
        <v>12.94</v>
      </c>
      <c r="I27" s="134">
        <f>'Consommation mensuel énergie'!F35</f>
        <v>190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12.94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12.94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12.94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12.94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12.94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C2" sqref="C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énergie'!N14</f>
        <v>4940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161</v>
      </c>
      <c r="I10" s="137">
        <f>'Consommation mensuel énergie'!E18</f>
        <v>300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5602</v>
      </c>
      <c r="F11" s="137">
        <f>'Consommation mensuel énergie'!M19</f>
        <v>10234</v>
      </c>
      <c r="G11" s="137">
        <f>'Consommation mensuel énergie'!N19</f>
        <v>4509</v>
      </c>
      <c r="H11" s="137">
        <f>'Consommation mensuel énergie'!D19</f>
        <v>166</v>
      </c>
      <c r="I11" s="137">
        <f>'Consommation mensuel énergie'!E19</f>
        <v>307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5702</v>
      </c>
      <c r="F12" s="137">
        <f>'Consommation mensuel énergie'!M20</f>
        <v>10256</v>
      </c>
      <c r="G12" s="137">
        <f>'Consommation mensuel énergie'!N20</f>
        <v>4304</v>
      </c>
      <c r="H12" s="137">
        <f>'Consommation mensuel énergie'!D20</f>
        <v>169</v>
      </c>
      <c r="I12" s="137">
        <f>'Consommation mensuel énergie'!E20</f>
        <v>315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5763</v>
      </c>
      <c r="F13" s="137">
        <f>'Consommation mensuel énergie'!M21</f>
        <v>9879</v>
      </c>
      <c r="G13" s="137">
        <f>'Consommation mensuel énergie'!N21</f>
        <v>4378</v>
      </c>
      <c r="H13" s="137">
        <f>'Consommation mensuel énergie'!D21</f>
        <v>163</v>
      </c>
      <c r="I13" s="137">
        <f>'Consommation mensuel énergie'!E21</f>
        <v>313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6727</v>
      </c>
      <c r="F14" s="137">
        <f>'Consommation mensuel énergie'!M22</f>
        <v>10558</v>
      </c>
      <c r="G14" s="137">
        <f>'Consommation mensuel énergie'!N22</f>
        <v>4660</v>
      </c>
      <c r="H14" s="137">
        <f>'Consommation mensuel énergie'!D22</f>
        <v>155</v>
      </c>
      <c r="I14" s="137">
        <f>'Consommation mensuel énergie'!E22</f>
        <v>300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6218</v>
      </c>
      <c r="F15" s="137">
        <f>'Consommation mensuel énergie'!M23</f>
        <v>10241</v>
      </c>
      <c r="G15" s="137">
        <f>'Consommation mensuel énergie'!N23</f>
        <v>4379</v>
      </c>
      <c r="H15" s="137">
        <f>'Consommation mensuel énergie'!D23</f>
        <v>144</v>
      </c>
      <c r="I15" s="137">
        <f>'Consommation mensuel énergie'!E23</f>
        <v>273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5558</v>
      </c>
      <c r="F16" s="137">
        <f>'Consommation mensuel énergie'!M24</f>
        <v>10451</v>
      </c>
      <c r="G16" s="137">
        <f>'Consommation mensuel énergie'!N24</f>
        <v>4221</v>
      </c>
      <c r="H16" s="137">
        <f>'Consommation mensuel énergie'!D24</f>
        <v>155</v>
      </c>
      <c r="I16" s="137">
        <f>'Consommation mensuel énergie'!E24</f>
        <v>275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5705</v>
      </c>
      <c r="F17" s="137">
        <f>'Consommation mensuel énergie'!M25</f>
        <v>10092</v>
      </c>
      <c r="G17" s="137">
        <f>'Consommation mensuel énergie'!N25</f>
        <v>4422</v>
      </c>
      <c r="H17" s="137">
        <f>'Consommation mensuel énergie'!D25</f>
        <v>150</v>
      </c>
      <c r="I17" s="137">
        <f>'Consommation mensuel énergie'!E25</f>
        <v>258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5393</v>
      </c>
      <c r="F18" s="137">
        <f>'Consommation mensuel énergie'!M26</f>
        <v>10282</v>
      </c>
      <c r="G18" s="137">
        <f>'Consommation mensuel énergie'!N26</f>
        <v>4376</v>
      </c>
      <c r="H18" s="137">
        <f>'Consommation mensuel énergie'!D26</f>
        <v>136</v>
      </c>
      <c r="I18" s="137">
        <f>'Consommation mensuel énergie'!E26</f>
        <v>240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4592</v>
      </c>
      <c r="F19" s="137">
        <f>'Consommation mensuel énergie'!M27</f>
        <v>10336</v>
      </c>
      <c r="G19" s="137">
        <f>'Consommation mensuel énergie'!N27</f>
        <v>3912</v>
      </c>
      <c r="H19" s="137">
        <f>'Consommation mensuel énergie'!D27</f>
        <v>145</v>
      </c>
      <c r="I19" s="137">
        <f>'Consommation mensuel énergie'!E27</f>
        <v>263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4995</v>
      </c>
      <c r="F20" s="137">
        <f>'Consommation mensuel énergie'!M28</f>
        <v>8781</v>
      </c>
      <c r="G20" s="137">
        <f>'Consommation mensuel énergie'!N28</f>
        <v>3892</v>
      </c>
      <c r="H20" s="137">
        <f>'Consommation mensuel énergie'!D28</f>
        <v>159</v>
      </c>
      <c r="I20" s="137">
        <f>'Consommation mensuel énergie'!E28</f>
        <v>319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5253</v>
      </c>
      <c r="F21" s="137">
        <f>'Consommation mensuel énergie'!M29</f>
        <v>9439</v>
      </c>
      <c r="G21" s="137">
        <f>'Consommation mensuel énergie'!N29</f>
        <v>4149</v>
      </c>
      <c r="H21" s="137">
        <f>'Consommation mensuel énergie'!D29</f>
        <v>159</v>
      </c>
      <c r="I21" s="137">
        <f>'Consommation mensuel énergie'!E29</f>
        <v>296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7287</v>
      </c>
      <c r="F22" s="137">
        <f>'Consommation mensuel énergie'!M30</f>
        <v>11993</v>
      </c>
      <c r="G22" s="137">
        <f>'Consommation mensuel énergie'!N30</f>
        <v>5380</v>
      </c>
      <c r="H22" s="137">
        <f>'Consommation mensuel énergie'!D30</f>
        <v>159</v>
      </c>
      <c r="I22" s="137">
        <f>'Consommation mensuel énergie'!E30</f>
        <v>296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7194</v>
      </c>
      <c r="F23" s="137">
        <f>'Consommation mensuel énergie'!M31</f>
        <v>10716</v>
      </c>
      <c r="G23" s="137">
        <f>'Consommation mensuel énergie'!N31</f>
        <v>4754</v>
      </c>
      <c r="H23" s="137">
        <f>'Consommation mensuel énergie'!D31</f>
        <v>151</v>
      </c>
      <c r="I23" s="137">
        <f>'Consommation mensuel énergie'!E31</f>
        <v>266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5559</v>
      </c>
      <c r="F24" s="137">
        <f>'Consommation mensuel énergie'!M32</f>
        <v>10749</v>
      </c>
      <c r="G24" s="137">
        <f>'Consommation mensuel énergie'!N32</f>
        <v>4532</v>
      </c>
      <c r="H24" s="137">
        <f>'Consommation mensuel énergie'!D32</f>
        <v>127</v>
      </c>
      <c r="I24" s="137">
        <f>'Consommation mensuel énergie'!E32</f>
        <v>210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5583</v>
      </c>
      <c r="F25" s="137">
        <f>'Consommation mensuel énergie'!M33</f>
        <v>10762</v>
      </c>
      <c r="G25" s="137">
        <f>'Consommation mensuel énergie'!N33</f>
        <v>4709</v>
      </c>
      <c r="H25" s="137">
        <f>'Consommation mensuel énergie'!D33</f>
        <v>124</v>
      </c>
      <c r="I25" s="137">
        <f>'Consommation mensuel énergie'!E33</f>
        <v>193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5373</v>
      </c>
      <c r="F26" s="137">
        <f>'Consommation mensuel énergie'!M34</f>
        <v>10289</v>
      </c>
      <c r="G26" s="137">
        <f>'Consommation mensuel énergie'!N34</f>
        <v>4705</v>
      </c>
      <c r="H26" s="137">
        <f>'Consommation mensuel énergie'!D34</f>
        <v>138</v>
      </c>
      <c r="I26" s="137">
        <f>'Consommation mensuel énergie'!E34</f>
        <v>223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5855</v>
      </c>
      <c r="F27" s="137">
        <f>'Consommation mensuel énergie'!M35</f>
        <v>9605</v>
      </c>
      <c r="G27" s="137">
        <f>'Consommation mensuel énergie'!N35</f>
        <v>3796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F38" activePane="bottomRight" state="frozen"/>
      <selection pane="bottomRight" activeCell="E35" sqref="E3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V10*12.94</f>
        <v>2070.3488870000001</v>
      </c>
    </row>
    <row r="11" spans="1:24" ht="32.25" customHeight="1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68">
        <f t="shared" ref="H11:H21" si="0">F11*8.79</f>
        <v>1380.03</v>
      </c>
      <c r="I11" s="169"/>
      <c r="J11" s="169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>L11*0.6985+M11*0.9514+N14*1.3304</f>
        <v>22084.472400000002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V11*12.94</f>
        <v>1656.2791096000001</v>
      </c>
    </row>
    <row r="12" spans="1:24" ht="32.25" customHeight="1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68">
        <f t="shared" si="0"/>
        <v>1590.9899999999998</v>
      </c>
      <c r="I12" s="169"/>
      <c r="J12" s="169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>L12*0.6985+M12*0.9514+N12*1.3304</f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1656.2791096000001</v>
      </c>
    </row>
    <row r="13" spans="1:24" ht="32.25" customHeight="1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68">
        <f t="shared" si="0"/>
        <v>1362.4499999999998</v>
      </c>
      <c r="I13" s="169"/>
      <c r="J13" s="169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2">L13+M13+N13</f>
        <v>22596</v>
      </c>
      <c r="P13" s="11"/>
      <c r="Q13" s="34">
        <f t="shared" ref="Q13:Q36" si="3">L13*0.6985+M13*0.9514+N13*1.3304</f>
        <v>21621.319500000001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2903.9676260000001</v>
      </c>
    </row>
    <row r="14" spans="1:24" ht="32.25" customHeight="1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68">
        <f t="shared" si="0"/>
        <v>1485.5099999999998</v>
      </c>
      <c r="I14" s="169"/>
      <c r="J14" s="169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2"/>
        <v>21668</v>
      </c>
      <c r="P14" s="12"/>
      <c r="Q14" s="34">
        <f t="shared" si="3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3726.6279965999997</v>
      </c>
    </row>
    <row r="15" spans="1:24" ht="32.25" customHeight="1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68">
        <f t="shared" si="0"/>
        <v>1547.04</v>
      </c>
      <c r="I15" s="169"/>
      <c r="J15" s="169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2"/>
        <v>21526</v>
      </c>
      <c r="P15" s="12"/>
      <c r="Q15" s="34">
        <f>L15*0.6985+M15*0.9514+N15*1.3304</f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2070.3488870000001</v>
      </c>
    </row>
    <row r="16" spans="1:24" ht="32.25" customHeight="1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68">
        <f t="shared" si="0"/>
        <v>1714.929000000051</v>
      </c>
      <c r="I16" s="169"/>
      <c r="J16" s="169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2"/>
        <v>19512</v>
      </c>
      <c r="P16" s="11"/>
      <c r="Q16" s="34">
        <f t="shared" si="3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1"/>
        <v>3726.6279965999997</v>
      </c>
    </row>
    <row r="17" spans="1:24" s="5" customFormat="1" ht="32.25" customHeight="1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68">
        <f t="shared" si="0"/>
        <v>1477.5990000000511</v>
      </c>
      <c r="I17" s="169"/>
      <c r="J17" s="169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2"/>
        <v>19606</v>
      </c>
      <c r="P17" s="12"/>
      <c r="Q17" s="34">
        <f t="shared" si="3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1656.2791096000001</v>
      </c>
    </row>
    <row r="18" spans="1:24" ht="32.25" customHeight="1">
      <c r="A18" s="2"/>
      <c r="B18" s="6">
        <v>44782</v>
      </c>
      <c r="C18" s="7"/>
      <c r="D18" s="143">
        <v>161</v>
      </c>
      <c r="E18" s="143">
        <v>300</v>
      </c>
      <c r="F18" s="13">
        <f>'Suivi EAU-ELEC'!E17</f>
        <v>219.89999999999418</v>
      </c>
      <c r="G18" s="11"/>
      <c r="H18" s="168">
        <f t="shared" si="0"/>
        <v>1932.9209999999487</v>
      </c>
      <c r="I18" s="169"/>
      <c r="J18" s="169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2"/>
        <v>19679</v>
      </c>
      <c r="P18" s="12"/>
      <c r="Q18" s="34">
        <f t="shared" si="3"/>
        <v>19221.263899999998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2484.4186644000001</v>
      </c>
    </row>
    <row r="19" spans="1:24" ht="32.25" customHeight="1">
      <c r="A19" s="2"/>
      <c r="B19" s="6">
        <v>44783</v>
      </c>
      <c r="C19" s="7"/>
      <c r="D19" s="143">
        <v>166</v>
      </c>
      <c r="E19" s="143">
        <v>307</v>
      </c>
      <c r="F19" s="13">
        <f>'Suivi EAU-ELEC'!E18</f>
        <v>168.29999999998836</v>
      </c>
      <c r="G19" s="12"/>
      <c r="H19" s="168">
        <f t="shared" si="0"/>
        <v>1479.3569999998974</v>
      </c>
      <c r="I19" s="169"/>
      <c r="J19" s="169"/>
      <c r="K19" s="60">
        <v>42287</v>
      </c>
      <c r="L19" s="90">
        <f>'Suivi EAU-ELEC'!G18</f>
        <v>5602</v>
      </c>
      <c r="M19" s="91">
        <f>'Suivi EAU-ELEC'!I18</f>
        <v>10234</v>
      </c>
      <c r="N19" s="91">
        <f>'Suivi EAU-ELEC'!K18</f>
        <v>4509</v>
      </c>
      <c r="O19" s="91">
        <f t="shared" si="2"/>
        <v>20345</v>
      </c>
      <c r="P19" s="12"/>
      <c r="Q19" s="34">
        <f t="shared" si="3"/>
        <v>19648.3982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1242.2093322000001</v>
      </c>
    </row>
    <row r="20" spans="1:24" ht="32.25" customHeight="1">
      <c r="A20" s="2"/>
      <c r="B20" s="6">
        <v>44784</v>
      </c>
      <c r="C20" s="7"/>
      <c r="D20" s="143">
        <v>169</v>
      </c>
      <c r="E20" s="143">
        <v>315</v>
      </c>
      <c r="F20" s="13">
        <f>'Suivi EAU-ELEC'!E19</f>
        <v>202.70000000001164</v>
      </c>
      <c r="G20" s="12"/>
      <c r="H20" s="168">
        <f t="shared" si="0"/>
        <v>1781.7330000001023</v>
      </c>
      <c r="I20" s="169"/>
      <c r="J20" s="169"/>
      <c r="K20" s="60">
        <v>42288</v>
      </c>
      <c r="L20" s="90">
        <f>'Suivi EAU-ELEC'!G19</f>
        <v>5702</v>
      </c>
      <c r="M20" s="91">
        <f>'Suivi EAU-ELEC'!I19</f>
        <v>10256</v>
      </c>
      <c r="N20" s="91">
        <f>'Suivi EAU-ELEC'!K19</f>
        <v>4304</v>
      </c>
      <c r="O20" s="91">
        <f t="shared" si="2"/>
        <v>20262</v>
      </c>
      <c r="P20" s="12"/>
      <c r="Q20" s="34">
        <f t="shared" si="3"/>
        <v>19466.447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2070.3488870000001</v>
      </c>
    </row>
    <row r="21" spans="1:24" ht="32.25" customHeight="1">
      <c r="A21" s="2"/>
      <c r="B21" s="6">
        <v>44785</v>
      </c>
      <c r="C21" s="7"/>
      <c r="D21" s="143">
        <v>163</v>
      </c>
      <c r="E21" s="143">
        <v>313</v>
      </c>
      <c r="F21" s="13">
        <f>'Suivi EAU-ELEC'!E20</f>
        <v>196.89999999999418</v>
      </c>
      <c r="G21" s="12"/>
      <c r="H21" s="168">
        <f t="shared" si="0"/>
        <v>1730.7509999999486</v>
      </c>
      <c r="I21" s="169"/>
      <c r="J21" s="169"/>
      <c r="K21" s="60">
        <v>42289</v>
      </c>
      <c r="L21" s="90">
        <f>'Suivi EAU-ELEC'!G20</f>
        <v>5763</v>
      </c>
      <c r="M21" s="91">
        <f>'Suivi EAU-ELEC'!I20</f>
        <v>9879</v>
      </c>
      <c r="N21" s="91">
        <f>'Suivi EAU-ELEC'!K20</f>
        <v>4378</v>
      </c>
      <c r="O21" s="91">
        <f>L21+M21+N21</f>
        <v>20020</v>
      </c>
      <c r="P21" s="12"/>
      <c r="Q21" s="34">
        <f t="shared" si="3"/>
        <v>19248.827300000001</v>
      </c>
      <c r="R21" s="12"/>
      <c r="S21" s="28"/>
      <c r="T21" s="12"/>
      <c r="U21" s="28"/>
      <c r="V21" s="146">
        <f>'Suvi Gaz'!O15</f>
        <v>351.99131</v>
      </c>
      <c r="W21" s="11"/>
      <c r="X21" s="34">
        <f t="shared" si="1"/>
        <v>4554.7675514000002</v>
      </c>
    </row>
    <row r="22" spans="1:24" ht="32.25" customHeight="1">
      <c r="A22" s="2"/>
      <c r="B22" s="6">
        <v>44786</v>
      </c>
      <c r="C22" s="7"/>
      <c r="D22" s="143">
        <v>155</v>
      </c>
      <c r="E22" s="143">
        <v>300</v>
      </c>
      <c r="F22" s="13">
        <f>'Suivi EAU-ELEC'!E21</f>
        <v>160.39999999999418</v>
      </c>
      <c r="G22" s="12"/>
      <c r="H22" s="168">
        <f t="shared" ref="H22:H35" si="4">F22*8.79</f>
        <v>1409.9159999999488</v>
      </c>
      <c r="I22" s="169"/>
      <c r="J22" s="169"/>
      <c r="K22" s="60">
        <v>42290</v>
      </c>
      <c r="L22" s="90">
        <f>'Suivi EAU-ELEC'!G21</f>
        <v>6727</v>
      </c>
      <c r="M22" s="91">
        <f>'Suivi EAU-ELEC'!I21</f>
        <v>10558</v>
      </c>
      <c r="N22" s="91">
        <f>'Suivi EAU-ELEC'!K21</f>
        <v>4660</v>
      </c>
      <c r="O22" s="91">
        <f t="shared" si="2"/>
        <v>21945</v>
      </c>
      <c r="P22" s="12"/>
      <c r="Q22" s="34">
        <f t="shared" si="3"/>
        <v>20943.3547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1242.2093322000001</v>
      </c>
    </row>
    <row r="23" spans="1:24" ht="32.25" customHeight="1">
      <c r="A23" s="2"/>
      <c r="B23" s="6">
        <v>44787</v>
      </c>
      <c r="C23" s="7"/>
      <c r="D23" s="143">
        <v>144</v>
      </c>
      <c r="E23" s="143">
        <v>273</v>
      </c>
      <c r="F23" s="13">
        <f>'Suivi EAU-ELEC'!E22</f>
        <v>198.89999999999418</v>
      </c>
      <c r="G23" s="14"/>
      <c r="H23" s="168">
        <f t="shared" si="4"/>
        <v>1748.3309999999487</v>
      </c>
      <c r="I23" s="169"/>
      <c r="J23" s="169"/>
      <c r="K23" s="60">
        <v>42291</v>
      </c>
      <c r="L23" s="90">
        <f>'Suivi EAU-ELEC'!G22</f>
        <v>6218</v>
      </c>
      <c r="M23" s="91">
        <f>'Suivi EAU-ELEC'!I22</f>
        <v>10241</v>
      </c>
      <c r="N23" s="91">
        <f>'Suivi EAU-ELEC'!K22</f>
        <v>4379</v>
      </c>
      <c r="O23" s="91">
        <f>L23+M23+N23</f>
        <v>20838</v>
      </c>
      <c r="P23" s="12"/>
      <c r="Q23" s="34">
        <f>L23*0.6985+M23*0.9514+N23*1.3304</f>
        <v>19912.382000000001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828.13955480000004</v>
      </c>
    </row>
    <row r="24" spans="1:24" ht="32.25" customHeight="1">
      <c r="A24" s="2"/>
      <c r="B24" s="6">
        <v>44788</v>
      </c>
      <c r="C24" s="7"/>
      <c r="D24" s="143">
        <v>155</v>
      </c>
      <c r="E24" s="143">
        <v>275</v>
      </c>
      <c r="F24" s="13">
        <f>'Suivi EAU-ELEC'!E23</f>
        <v>152.90000000002328</v>
      </c>
      <c r="G24" s="14"/>
      <c r="H24" s="168">
        <f t="shared" si="4"/>
        <v>1343.9910000002046</v>
      </c>
      <c r="I24" s="169"/>
      <c r="J24" s="169"/>
      <c r="K24" s="60">
        <v>42292</v>
      </c>
      <c r="L24" s="90">
        <f>'Suivi EAU-ELEC'!G23</f>
        <v>5558</v>
      </c>
      <c r="M24" s="91">
        <f>'Suivi EAU-ELEC'!I23</f>
        <v>10451</v>
      </c>
      <c r="N24" s="91">
        <f>'Suivi EAU-ELEC'!K23</f>
        <v>4221</v>
      </c>
      <c r="O24" s="91">
        <f>L24+M24+N24</f>
        <v>20230</v>
      </c>
      <c r="P24" s="12"/>
      <c r="Q24" s="34">
        <f>L24*0.6985+M24*0.9514+N24*1.3304</f>
        <v>19440.962800000001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2070.3488870000001</v>
      </c>
    </row>
    <row r="25" spans="1:24" ht="32.25" customHeight="1">
      <c r="A25" s="2"/>
      <c r="B25" s="6">
        <v>44789</v>
      </c>
      <c r="C25" s="7"/>
      <c r="D25" s="143">
        <v>150</v>
      </c>
      <c r="E25" s="143">
        <v>258</v>
      </c>
      <c r="F25" s="13">
        <f>'Suivi EAU-ELEC'!E24</f>
        <v>165.69999999998254</v>
      </c>
      <c r="G25" s="14"/>
      <c r="H25" s="168">
        <f t="shared" si="4"/>
        <v>1456.5029999998465</v>
      </c>
      <c r="I25" s="169"/>
      <c r="J25" s="169"/>
      <c r="K25" s="60">
        <v>42293</v>
      </c>
      <c r="L25" s="90">
        <f>'Suivi EAU-ELEC'!G24</f>
        <v>5705</v>
      </c>
      <c r="M25" s="91">
        <f>'Suivi EAU-ELEC'!I24</f>
        <v>10092</v>
      </c>
      <c r="N25" s="91">
        <f>'Suivi EAU-ELEC'!K24</f>
        <v>4422</v>
      </c>
      <c r="O25" s="91">
        <f>L25+M25+N25</f>
        <v>20219</v>
      </c>
      <c r="P25" s="12"/>
      <c r="Q25" s="34">
        <f>L25*0.6985+M25*0.9514+N25*1.3304</f>
        <v>19469.500100000001</v>
      </c>
      <c r="R25" s="12"/>
      <c r="S25" s="28"/>
      <c r="T25" s="14"/>
      <c r="U25" s="28"/>
      <c r="V25" s="146">
        <f>'Suvi Gaz'!O19</f>
        <v>383.99052</v>
      </c>
      <c r="W25" s="11"/>
      <c r="X25" s="34">
        <f t="shared" si="1"/>
        <v>4968.8373288000003</v>
      </c>
    </row>
    <row r="26" spans="1:24" ht="32.25" customHeight="1">
      <c r="A26" s="2"/>
      <c r="B26" s="6">
        <v>44790</v>
      </c>
      <c r="C26" s="7"/>
      <c r="D26" s="143">
        <v>136</v>
      </c>
      <c r="E26" s="143">
        <v>240</v>
      </c>
      <c r="F26" s="13">
        <f>'Suivi EAU-ELEC'!E25</f>
        <v>160.39999999999418</v>
      </c>
      <c r="G26" s="14"/>
      <c r="H26" s="168">
        <f t="shared" si="4"/>
        <v>1409.9159999999488</v>
      </c>
      <c r="I26" s="169"/>
      <c r="J26" s="169"/>
      <c r="K26" s="60">
        <v>42294</v>
      </c>
      <c r="L26" s="90">
        <f>'Suivi EAU-ELEC'!G25</f>
        <v>5393</v>
      </c>
      <c r="M26" s="91">
        <f>'Suivi EAU-ELEC'!I25</f>
        <v>10282</v>
      </c>
      <c r="N26" s="91">
        <f>'Suivi EAU-ELEC'!K25</f>
        <v>4376</v>
      </c>
      <c r="O26" s="91">
        <f>L26+M26+N26</f>
        <v>20051</v>
      </c>
      <c r="P26" s="14"/>
      <c r="Q26" s="34">
        <f>L26*0.6985+M26*0.9514+N26*1.3304</f>
        <v>19371.135699999999</v>
      </c>
      <c r="R26" s="14"/>
      <c r="S26" s="28"/>
      <c r="T26" s="14"/>
      <c r="U26" s="28"/>
      <c r="V26" s="146">
        <f>'Suvi Gaz'!O20</f>
        <v>95.997630000000001</v>
      </c>
      <c r="W26" s="11"/>
      <c r="X26" s="34">
        <f t="shared" si="1"/>
        <v>1242.2093322000001</v>
      </c>
    </row>
    <row r="27" spans="1:24" ht="32.25" customHeight="1">
      <c r="A27" s="2"/>
      <c r="B27" s="6">
        <v>44791</v>
      </c>
      <c r="C27" s="7"/>
      <c r="D27" s="143">
        <v>145</v>
      </c>
      <c r="E27" s="143">
        <v>263</v>
      </c>
      <c r="F27" s="13">
        <f>'Suivi EAU-ELEC'!E26</f>
        <v>166.60000000000582</v>
      </c>
      <c r="G27" s="14"/>
      <c r="H27" s="168">
        <f t="shared" si="4"/>
        <v>1464.4140000000509</v>
      </c>
      <c r="I27" s="169"/>
      <c r="J27" s="169"/>
      <c r="K27" s="60">
        <v>42295</v>
      </c>
      <c r="L27" s="90">
        <f>'Suivi EAU-ELEC'!G26</f>
        <v>4592</v>
      </c>
      <c r="M27" s="91">
        <f>'Suivi EAU-ELEC'!I26</f>
        <v>10336</v>
      </c>
      <c r="N27" s="91">
        <f>'Suivi EAU-ELEC'!K26</f>
        <v>3912</v>
      </c>
      <c r="O27" s="91">
        <f t="shared" si="2"/>
        <v>18840</v>
      </c>
      <c r="P27" s="14"/>
      <c r="Q27" s="34">
        <f t="shared" si="3"/>
        <v>18245.707200000001</v>
      </c>
      <c r="R27" s="14"/>
      <c r="S27" s="28"/>
      <c r="T27" s="14"/>
      <c r="U27" s="28"/>
      <c r="V27" s="146">
        <f>'Suvi Gaz'!O21</f>
        <v>287.99288999999999</v>
      </c>
      <c r="W27" s="11"/>
      <c r="X27" s="34">
        <f t="shared" si="1"/>
        <v>3726.6279965999997</v>
      </c>
    </row>
    <row r="28" spans="1:24" ht="32.25" customHeight="1">
      <c r="A28" s="2"/>
      <c r="B28" s="6">
        <v>44792</v>
      </c>
      <c r="C28" s="7"/>
      <c r="D28" s="143">
        <v>159</v>
      </c>
      <c r="E28" s="143">
        <v>319</v>
      </c>
      <c r="F28" s="13">
        <f>'Suivi EAU-ELEC'!E27</f>
        <v>151.80000000001746</v>
      </c>
      <c r="G28" s="11"/>
      <c r="H28" s="168">
        <f t="shared" si="4"/>
        <v>1334.3220000001534</v>
      </c>
      <c r="I28" s="169"/>
      <c r="J28" s="169"/>
      <c r="K28" s="60">
        <v>42296</v>
      </c>
      <c r="L28" s="90">
        <f>'Suivi EAU-ELEC'!G27</f>
        <v>4995</v>
      </c>
      <c r="M28" s="91">
        <f>'Suivi EAU-ELEC'!I27</f>
        <v>8781</v>
      </c>
      <c r="N28" s="91">
        <f>'Suivi EAU-ELEC'!K27</f>
        <v>3892</v>
      </c>
      <c r="O28" s="91">
        <f t="shared" si="2"/>
        <v>17668</v>
      </c>
      <c r="P28" s="11"/>
      <c r="Q28" s="34">
        <f>L28*0.6985+M28*0.9514+N28*1.3304</f>
        <v>17021.167699999998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3726.6279965999997</v>
      </c>
    </row>
    <row r="29" spans="1:24" ht="32.25" customHeight="1">
      <c r="A29" s="2"/>
      <c r="B29" s="6">
        <v>44793</v>
      </c>
      <c r="C29" s="7"/>
      <c r="D29" s="143">
        <v>159</v>
      </c>
      <c r="E29" s="143">
        <v>296</v>
      </c>
      <c r="F29" s="13">
        <f>'Suivi EAU-ELEC'!E28</f>
        <v>164</v>
      </c>
      <c r="G29" s="11"/>
      <c r="H29" s="168">
        <f t="shared" si="4"/>
        <v>1441.56</v>
      </c>
      <c r="I29" s="169"/>
      <c r="J29" s="169"/>
      <c r="K29" s="60">
        <v>42297</v>
      </c>
      <c r="L29" s="90">
        <f>'Suivi EAU-ELEC'!G28</f>
        <v>5253</v>
      </c>
      <c r="M29" s="91">
        <f>'Suivi EAU-ELEC'!I28</f>
        <v>9439</v>
      </c>
      <c r="N29" s="91">
        <f>'Suivi EAU-ELEC'!K28</f>
        <v>4149</v>
      </c>
      <c r="O29" s="91">
        <f>L29+M29+N29</f>
        <v>18841</v>
      </c>
      <c r="P29" s="11"/>
      <c r="Q29" s="34">
        <f t="shared" si="3"/>
        <v>18169.314699999999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2898.4884418000001</v>
      </c>
    </row>
    <row r="30" spans="1:24" ht="32.25" customHeight="1">
      <c r="A30" s="2"/>
      <c r="B30" s="6">
        <v>44794</v>
      </c>
      <c r="C30" s="7"/>
      <c r="D30" s="143">
        <v>159</v>
      </c>
      <c r="E30" s="143">
        <v>296</v>
      </c>
      <c r="F30" s="13">
        <f>'Suivi EAU-ELEC'!E29</f>
        <v>188.29999999998836</v>
      </c>
      <c r="G30" s="11"/>
      <c r="H30" s="168">
        <f t="shared" si="4"/>
        <v>1655.1569999998976</v>
      </c>
      <c r="I30" s="169"/>
      <c r="J30" s="169"/>
      <c r="K30" s="60">
        <v>42298</v>
      </c>
      <c r="L30" s="90">
        <f>'Suivi EAU-ELEC'!G29</f>
        <v>7287</v>
      </c>
      <c r="M30" s="91">
        <f>'Suivi EAU-ELEC'!I29</f>
        <v>11993</v>
      </c>
      <c r="N30" s="91">
        <f>'Suivi EAU-ELEC'!K29</f>
        <v>5380</v>
      </c>
      <c r="O30" s="91">
        <f>L30+M30+N30</f>
        <v>24660</v>
      </c>
      <c r="P30" s="11"/>
      <c r="Q30" s="34">
        <f>L30*0.6985+M30*0.9514+N30*1.3304</f>
        <v>23657.661700000001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2898.4884418000001</v>
      </c>
    </row>
    <row r="31" spans="1:24" ht="27.75" customHeight="1">
      <c r="A31" s="2"/>
      <c r="B31" s="6">
        <v>44795</v>
      </c>
      <c r="C31" s="7"/>
      <c r="D31" s="143">
        <v>151</v>
      </c>
      <c r="E31" s="143">
        <v>266</v>
      </c>
      <c r="F31" s="13">
        <f>'Suivi EAU-ELEC'!E30</f>
        <v>172.20000000001164</v>
      </c>
      <c r="G31" s="11"/>
      <c r="H31" s="168">
        <f t="shared" si="4"/>
        <v>1513.6380000001022</v>
      </c>
      <c r="I31" s="169"/>
      <c r="J31" s="169"/>
      <c r="K31" s="60">
        <v>42299</v>
      </c>
      <c r="L31" s="90">
        <f>'Suivi EAU-ELEC'!G30</f>
        <v>7194</v>
      </c>
      <c r="M31" s="91">
        <f>'Suivi EAU-ELEC'!I30</f>
        <v>10716</v>
      </c>
      <c r="N31" s="91">
        <f>'Suivi EAU-ELEC'!K30</f>
        <v>4754</v>
      </c>
      <c r="O31" s="91">
        <f>L31+M31+N31</f>
        <v>22664</v>
      </c>
      <c r="P31" s="11"/>
      <c r="Q31" s="34">
        <f>L31*0.6985+M31*0.9514+N31*1.3304</f>
        <v>21544.933000000001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2484.4186644000001</v>
      </c>
    </row>
    <row r="32" spans="1:24" ht="37.5" customHeight="1">
      <c r="A32" s="2"/>
      <c r="B32" s="6">
        <v>44796</v>
      </c>
      <c r="C32" s="7"/>
      <c r="D32" s="143">
        <v>127</v>
      </c>
      <c r="E32" s="143">
        <v>210</v>
      </c>
      <c r="F32" s="13">
        <f>'Suivi EAU-ELEC'!E31</f>
        <v>160.5</v>
      </c>
      <c r="G32" s="11"/>
      <c r="H32" s="168">
        <f t="shared" si="4"/>
        <v>1410.7949999999998</v>
      </c>
      <c r="I32" s="169"/>
      <c r="J32" s="169"/>
      <c r="K32" s="60">
        <v>42300</v>
      </c>
      <c r="L32" s="90">
        <f>'Suivi EAU-ELEC'!G31</f>
        <v>5559</v>
      </c>
      <c r="M32" s="91">
        <f>'Suivi EAU-ELEC'!I31</f>
        <v>10749</v>
      </c>
      <c r="N32" s="91">
        <f>'Suivi EAU-ELEC'!K31</f>
        <v>4532</v>
      </c>
      <c r="O32" s="91">
        <f t="shared" si="2"/>
        <v>20840</v>
      </c>
      <c r="P32" s="11"/>
      <c r="Q32" s="34">
        <f t="shared" si="3"/>
        <v>20138.9329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2898.4884418000001</v>
      </c>
    </row>
    <row r="33" spans="1:24" ht="37.5" customHeight="1">
      <c r="A33" s="2"/>
      <c r="B33" s="6">
        <v>44797</v>
      </c>
      <c r="C33" s="7"/>
      <c r="D33" s="143">
        <v>124</v>
      </c>
      <c r="E33" s="143">
        <v>193</v>
      </c>
      <c r="F33" s="13">
        <f>'Suivi EAU-ELEC'!E32</f>
        <v>152.79999999998836</v>
      </c>
      <c r="G33" s="11"/>
      <c r="H33" s="168">
        <f t="shared" si="4"/>
        <v>1343.1119999998975</v>
      </c>
      <c r="I33" s="169"/>
      <c r="J33" s="169"/>
      <c r="K33" s="60">
        <v>42301</v>
      </c>
      <c r="L33" s="90">
        <f>'Suivi EAU-ELEC'!G32</f>
        <v>5583</v>
      </c>
      <c r="M33" s="91">
        <f>'Suivi EAU-ELEC'!I32</f>
        <v>10762</v>
      </c>
      <c r="N33" s="91">
        <f>'Suivi EAU-ELEC'!K32</f>
        <v>4709</v>
      </c>
      <c r="O33" s="91">
        <f t="shared" si="2"/>
        <v>21054</v>
      </c>
      <c r="P33" s="11"/>
      <c r="Q33" s="34">
        <f t="shared" si="3"/>
        <v>20403.545900000001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1"/>
        <v>3726.6279965999997</v>
      </c>
    </row>
    <row r="34" spans="1:24" ht="37.5" customHeight="1">
      <c r="A34" s="2"/>
      <c r="B34" s="6">
        <v>44798</v>
      </c>
      <c r="C34" s="7"/>
      <c r="D34" s="143">
        <v>138</v>
      </c>
      <c r="E34" s="143">
        <v>223</v>
      </c>
      <c r="F34" s="13">
        <f>'Suivi EAU-ELEC'!E33</f>
        <v>134.5</v>
      </c>
      <c r="G34" s="11"/>
      <c r="H34" s="168">
        <f t="shared" si="4"/>
        <v>1182.2549999999999</v>
      </c>
      <c r="I34" s="169"/>
      <c r="J34" s="169"/>
      <c r="K34" s="60">
        <v>42302</v>
      </c>
      <c r="L34" s="90">
        <f>'Suivi EAU-ELEC'!G33</f>
        <v>5373</v>
      </c>
      <c r="M34" s="91">
        <f>'Suivi EAU-ELEC'!I33</f>
        <v>10289</v>
      </c>
      <c r="N34" s="91">
        <f>'Suivi EAU-ELEC'!K33</f>
        <v>4705</v>
      </c>
      <c r="O34" s="91">
        <f t="shared" si="2"/>
        <v>20367</v>
      </c>
      <c r="P34" s="11"/>
      <c r="Q34" s="34">
        <f t="shared" si="3"/>
        <v>19801.527099999999</v>
      </c>
      <c r="R34" s="11"/>
      <c r="S34" s="28"/>
      <c r="T34" s="11"/>
      <c r="U34" s="28"/>
      <c r="V34" s="146">
        <f>'Suvi Gaz'!O28</f>
        <v>159.99605</v>
      </c>
      <c r="W34" s="11"/>
      <c r="X34" s="34">
        <f t="shared" si="1"/>
        <v>2070.3488870000001</v>
      </c>
    </row>
    <row r="35" spans="1:24" ht="33.75" customHeight="1">
      <c r="A35" s="2"/>
      <c r="B35" s="6">
        <v>44799</v>
      </c>
      <c r="C35" s="7"/>
      <c r="D35" s="143"/>
      <c r="E35" s="143"/>
      <c r="F35" s="13">
        <f>'Suivi EAU-ELEC'!E34</f>
        <v>190</v>
      </c>
      <c r="G35" s="11"/>
      <c r="H35" s="168">
        <f t="shared" si="4"/>
        <v>1670.1</v>
      </c>
      <c r="I35" s="169"/>
      <c r="J35" s="169"/>
      <c r="K35" s="60">
        <v>42303</v>
      </c>
      <c r="L35" s="90">
        <f>'Suivi EAU-ELEC'!G34</f>
        <v>5855</v>
      </c>
      <c r="M35" s="91">
        <f>'Suivi EAU-ELEC'!I34</f>
        <v>9605</v>
      </c>
      <c r="N35" s="91">
        <f>'Suivi EAU-ELEC'!K34</f>
        <v>3796</v>
      </c>
      <c r="O35" s="91">
        <f t="shared" si="2"/>
        <v>19256</v>
      </c>
      <c r="P35" s="11"/>
      <c r="Q35" s="34">
        <f t="shared" si="3"/>
        <v>18278.1129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44800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44801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44802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44803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44804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3770</v>
      </c>
      <c r="E41" s="8">
        <f>SUM(E10:E40)</f>
        <v>6919</v>
      </c>
      <c r="F41" s="152">
        <f>SUM(F10:F40)</f>
        <v>4483</v>
      </c>
      <c r="G41" s="1"/>
      <c r="H41" s="206">
        <f>SUM(H10:H40)</f>
        <v>39405.57</v>
      </c>
      <c r="I41" s="207"/>
      <c r="J41" s="208"/>
      <c r="K41" s="1"/>
      <c r="L41" s="53">
        <f>SUM(L10:L40)</f>
        <v>144793</v>
      </c>
      <c r="M41" s="53">
        <f>SUM(M10:M40)</f>
        <v>276144</v>
      </c>
      <c r="N41" s="54">
        <f>SUM(N10:N40)</f>
        <v>116748</v>
      </c>
      <c r="O41" s="55">
        <f>SUM(O10:O40)</f>
        <v>537685</v>
      </c>
      <c r="P41" s="31"/>
      <c r="Q41" s="34">
        <f t="shared" ref="Q40:Q41" si="8">L41*0.6985+M41*0.9514+N41*1.3304</f>
        <v>519182.85129999998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4992.3001899999981</v>
      </c>
      <c r="W41" s="31"/>
      <c r="X41" s="32">
        <f>SUM(X10:X40)</f>
        <v>64600.364458600001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144793</v>
      </c>
      <c r="J44" s="221"/>
      <c r="K44" s="222"/>
      <c r="L44" s="204">
        <f>I44*H44</f>
        <v>101137.9105</v>
      </c>
      <c r="M44" s="205"/>
      <c r="N44" s="177">
        <f>L44+L45+L46</f>
        <v>519182.85129999998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276144</v>
      </c>
      <c r="J45" s="221"/>
      <c r="K45" s="222"/>
      <c r="L45" s="204">
        <f>I45*H45</f>
        <v>262723.40159999998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116748</v>
      </c>
      <c r="J46" s="196"/>
      <c r="K46" s="197"/>
      <c r="L46" s="204">
        <f>I46*H46</f>
        <v>155321.5392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674937.70669000002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4483</v>
      </c>
      <c r="J48" s="216"/>
      <c r="K48" s="217"/>
      <c r="L48" s="218">
        <f>I48*H48</f>
        <v>39405.57</v>
      </c>
      <c r="M48" s="219"/>
      <c r="N48" s="174">
        <f>L48</f>
        <v>39405.57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>
      <c r="A49" s="189" t="s">
        <v>40</v>
      </c>
      <c r="B49" s="190"/>
      <c r="C49" s="190"/>
      <c r="D49" s="190"/>
      <c r="E49" s="190"/>
      <c r="F49" s="191"/>
      <c r="G49" s="24"/>
      <c r="H49" s="25">
        <v>12.94</v>
      </c>
      <c r="I49" s="192">
        <f>V41</f>
        <v>4992.3001899999981</v>
      </c>
      <c r="J49" s="193"/>
      <c r="K49" s="194"/>
      <c r="L49" s="192">
        <f>I49*H49</f>
        <v>64600.364458599972</v>
      </c>
      <c r="M49" s="194"/>
      <c r="N49" s="171">
        <f>L49</f>
        <v>64600.364458599972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3" activePane="bottomRight" state="frozen"/>
      <selection pane="bottomRight" activeCell="B34" sqref="B34:K3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>D11-D10</f>
        <v>181</v>
      </c>
      <c r="F11" s="51">
        <v>12160348</v>
      </c>
      <c r="G11" s="50">
        <f>F11-F10</f>
        <v>4890</v>
      </c>
      <c r="H11" s="51">
        <v>20772172</v>
      </c>
      <c r="I11" s="50">
        <f>H11-H10</f>
        <v>12487</v>
      </c>
      <c r="J11" s="51">
        <v>9092599</v>
      </c>
      <c r="K11" s="50">
        <f>J11-J10</f>
        <v>4562</v>
      </c>
    </row>
    <row r="12" spans="1:12" ht="19.5">
      <c r="A12" s="59">
        <v>44777</v>
      </c>
      <c r="B12" s="116">
        <v>2560</v>
      </c>
      <c r="C12" s="115">
        <f t="shared" ref="C12:C30" si="0">B12-B11</f>
        <v>0</v>
      </c>
      <c r="D12" s="57">
        <v>159087</v>
      </c>
      <c r="E12" s="50">
        <f t="shared" ref="E12:E34" si="1">D12-D11</f>
        <v>155</v>
      </c>
      <c r="F12" s="51">
        <v>12166599</v>
      </c>
      <c r="G12" s="50">
        <f t="shared" ref="G12:H34" si="2">F12-F11</f>
        <v>6251</v>
      </c>
      <c r="H12" s="51">
        <v>20784020</v>
      </c>
      <c r="I12" s="50">
        <f t="shared" ref="I12:I34" si="3">H12-H11</f>
        <v>11848</v>
      </c>
      <c r="J12" s="51">
        <v>9097096</v>
      </c>
      <c r="K12" s="50">
        <f t="shared" ref="K12:K34" si="4">J12-J11</f>
        <v>4497</v>
      </c>
    </row>
    <row r="13" spans="1:12" ht="19.5">
      <c r="A13" s="59">
        <v>44778</v>
      </c>
      <c r="B13" s="116">
        <v>2560</v>
      </c>
      <c r="C13" s="115">
        <f t="shared" si="0"/>
        <v>0</v>
      </c>
      <c r="D13" s="57">
        <v>159256</v>
      </c>
      <c r="E13" s="50">
        <f t="shared" si="1"/>
        <v>169</v>
      </c>
      <c r="F13" s="51">
        <v>12171877</v>
      </c>
      <c r="G13" s="50">
        <f t="shared" si="2"/>
        <v>5278</v>
      </c>
      <c r="H13" s="51">
        <v>20795470</v>
      </c>
      <c r="I13" s="50">
        <f t="shared" si="3"/>
        <v>11450</v>
      </c>
      <c r="J13" s="51">
        <v>9102036</v>
      </c>
      <c r="K13" s="50">
        <f t="shared" si="4"/>
        <v>4940</v>
      </c>
    </row>
    <row r="14" spans="1:12" ht="19.5">
      <c r="A14" s="59">
        <v>44779</v>
      </c>
      <c r="B14" s="116">
        <v>2560</v>
      </c>
      <c r="C14" s="115">
        <f t="shared" si="0"/>
        <v>0</v>
      </c>
      <c r="D14" s="57">
        <v>159432</v>
      </c>
      <c r="E14" s="50">
        <f t="shared" si="1"/>
        <v>176</v>
      </c>
      <c r="F14" s="51">
        <v>12176932</v>
      </c>
      <c r="G14" s="50">
        <f t="shared" si="2"/>
        <v>5055</v>
      </c>
      <c r="H14" s="51">
        <v>20807009</v>
      </c>
      <c r="I14" s="50">
        <f t="shared" si="3"/>
        <v>11539</v>
      </c>
      <c r="J14" s="51">
        <v>9106968</v>
      </c>
      <c r="K14" s="50">
        <f t="shared" si="4"/>
        <v>4932</v>
      </c>
    </row>
    <row r="15" spans="1:12" ht="19.5">
      <c r="A15" s="59">
        <v>44780</v>
      </c>
      <c r="B15" s="116">
        <v>2560</v>
      </c>
      <c r="C15" s="115">
        <f t="shared" si="0"/>
        <v>0</v>
      </c>
      <c r="D15" s="57">
        <v>159627.1</v>
      </c>
      <c r="E15" s="50">
        <f t="shared" si="1"/>
        <v>195.10000000000582</v>
      </c>
      <c r="F15" s="51">
        <v>12181499</v>
      </c>
      <c r="G15" s="50">
        <f t="shared" si="2"/>
        <v>4567</v>
      </c>
      <c r="H15" s="51">
        <v>20817516</v>
      </c>
      <c r="I15" s="50">
        <f t="shared" si="3"/>
        <v>10507</v>
      </c>
      <c r="J15" s="51">
        <v>9111406</v>
      </c>
      <c r="K15" s="50">
        <f t="shared" si="4"/>
        <v>4438</v>
      </c>
    </row>
    <row r="16" spans="1:12" ht="19.5">
      <c r="A16" s="59">
        <v>44781</v>
      </c>
      <c r="B16" s="116">
        <v>2560</v>
      </c>
      <c r="C16" s="115">
        <f t="shared" si="0"/>
        <v>0</v>
      </c>
      <c r="D16" s="57">
        <v>159795.20000000001</v>
      </c>
      <c r="E16" s="50">
        <f t="shared" si="1"/>
        <v>168.10000000000582</v>
      </c>
      <c r="F16" s="51">
        <v>12186433</v>
      </c>
      <c r="G16" s="50">
        <f t="shared" si="2"/>
        <v>4934</v>
      </c>
      <c r="H16" s="51">
        <v>20827828</v>
      </c>
      <c r="I16" s="50">
        <f t="shared" si="3"/>
        <v>10312</v>
      </c>
      <c r="J16" s="51">
        <v>9115766</v>
      </c>
      <c r="K16" s="50">
        <f t="shared" si="4"/>
        <v>4360</v>
      </c>
    </row>
    <row r="17" spans="1:29" ht="19.5">
      <c r="A17" s="59">
        <v>44782</v>
      </c>
      <c r="B17" s="116">
        <v>2560</v>
      </c>
      <c r="C17" s="115">
        <f t="shared" si="0"/>
        <v>0</v>
      </c>
      <c r="D17" s="57">
        <v>160015.1</v>
      </c>
      <c r="E17" s="50">
        <f t="shared" si="1"/>
        <v>219.89999999999418</v>
      </c>
      <c r="F17" s="51">
        <v>12191196</v>
      </c>
      <c r="G17" s="50">
        <f t="shared" si="2"/>
        <v>4763</v>
      </c>
      <c r="H17" s="51">
        <v>20838250</v>
      </c>
      <c r="I17" s="50">
        <f t="shared" si="3"/>
        <v>10422</v>
      </c>
      <c r="J17" s="51">
        <v>9120260</v>
      </c>
      <c r="K17" s="50">
        <f t="shared" si="4"/>
        <v>4494</v>
      </c>
    </row>
    <row r="18" spans="1:29" ht="19.5">
      <c r="A18" s="59">
        <v>44783</v>
      </c>
      <c r="B18" s="116">
        <v>2560</v>
      </c>
      <c r="C18" s="115">
        <f t="shared" si="0"/>
        <v>0</v>
      </c>
      <c r="D18" s="57">
        <v>160183.4</v>
      </c>
      <c r="E18" s="50">
        <f t="shared" si="1"/>
        <v>168.29999999998836</v>
      </c>
      <c r="F18" s="51">
        <v>12196798</v>
      </c>
      <c r="G18" s="50">
        <f t="shared" si="2"/>
        <v>5602</v>
      </c>
      <c r="H18" s="51">
        <v>20848484</v>
      </c>
      <c r="I18" s="50">
        <f t="shared" si="3"/>
        <v>10234</v>
      </c>
      <c r="J18" s="51">
        <v>9124769</v>
      </c>
      <c r="K18" s="50">
        <f t="shared" si="4"/>
        <v>4509</v>
      </c>
    </row>
    <row r="19" spans="1:29" ht="19.5">
      <c r="A19" s="59">
        <v>44784</v>
      </c>
      <c r="B19" s="116">
        <v>2560</v>
      </c>
      <c r="C19" s="115">
        <f t="shared" si="0"/>
        <v>0</v>
      </c>
      <c r="D19" s="57">
        <v>160386.1</v>
      </c>
      <c r="E19" s="50">
        <f t="shared" si="1"/>
        <v>202.70000000001164</v>
      </c>
      <c r="F19" s="51">
        <v>12202500</v>
      </c>
      <c r="G19" s="50">
        <f t="shared" si="2"/>
        <v>5702</v>
      </c>
      <c r="H19" s="51">
        <v>20858740</v>
      </c>
      <c r="I19" s="50">
        <f t="shared" si="3"/>
        <v>10256</v>
      </c>
      <c r="J19" s="51">
        <v>9129073</v>
      </c>
      <c r="K19" s="50">
        <f t="shared" si="4"/>
        <v>4304</v>
      </c>
    </row>
    <row r="20" spans="1:29" ht="25.5">
      <c r="A20" s="59">
        <v>44785</v>
      </c>
      <c r="B20" s="116">
        <v>2560</v>
      </c>
      <c r="C20" s="115">
        <f t="shared" si="0"/>
        <v>0</v>
      </c>
      <c r="D20" s="57">
        <v>160583</v>
      </c>
      <c r="E20" s="50">
        <f t="shared" si="1"/>
        <v>196.89999999999418</v>
      </c>
      <c r="F20" s="51">
        <v>12208263</v>
      </c>
      <c r="G20" s="50">
        <f t="shared" si="2"/>
        <v>5763</v>
      </c>
      <c r="H20" s="51">
        <v>20868619</v>
      </c>
      <c r="I20" s="50">
        <f t="shared" si="3"/>
        <v>9879</v>
      </c>
      <c r="J20" s="51">
        <v>9133451</v>
      </c>
      <c r="K20" s="50">
        <f t="shared" si="4"/>
        <v>4378</v>
      </c>
      <c r="L20" s="117" t="s">
        <v>18</v>
      </c>
      <c r="AC20" t="s">
        <v>56</v>
      </c>
    </row>
    <row r="21" spans="1:29" ht="19.5">
      <c r="A21" s="59">
        <v>44786</v>
      </c>
      <c r="B21" s="116">
        <v>2560</v>
      </c>
      <c r="C21" s="115">
        <f t="shared" si="0"/>
        <v>0</v>
      </c>
      <c r="D21" s="57">
        <v>160743.4</v>
      </c>
      <c r="E21" s="50">
        <f t="shared" si="1"/>
        <v>160.39999999999418</v>
      </c>
      <c r="F21" s="51">
        <v>12214990</v>
      </c>
      <c r="G21" s="50">
        <f t="shared" si="2"/>
        <v>6727</v>
      </c>
      <c r="H21" s="51">
        <v>20879177</v>
      </c>
      <c r="I21" s="50">
        <f t="shared" si="3"/>
        <v>10558</v>
      </c>
      <c r="J21" s="51">
        <v>9138111</v>
      </c>
      <c r="K21" s="50">
        <f t="shared" si="4"/>
        <v>4660</v>
      </c>
    </row>
    <row r="22" spans="1:29" ht="19.5">
      <c r="A22" s="59">
        <v>44787</v>
      </c>
      <c r="B22" s="116">
        <v>2560</v>
      </c>
      <c r="C22" s="115">
        <f t="shared" si="0"/>
        <v>0</v>
      </c>
      <c r="D22" s="57">
        <v>160942.29999999999</v>
      </c>
      <c r="E22" s="50">
        <f t="shared" si="1"/>
        <v>198.89999999999418</v>
      </c>
      <c r="F22" s="51">
        <v>12221208</v>
      </c>
      <c r="G22" s="50">
        <f t="shared" si="2"/>
        <v>6218</v>
      </c>
      <c r="H22" s="51">
        <v>20889418</v>
      </c>
      <c r="I22" s="50">
        <f t="shared" si="3"/>
        <v>10241</v>
      </c>
      <c r="J22" s="51">
        <v>9142490</v>
      </c>
      <c r="K22" s="50">
        <f t="shared" si="4"/>
        <v>4379</v>
      </c>
    </row>
    <row r="23" spans="1:29" ht="19.5">
      <c r="A23" s="59">
        <v>44788</v>
      </c>
      <c r="B23" s="116">
        <v>2560</v>
      </c>
      <c r="C23" s="115">
        <f t="shared" si="0"/>
        <v>0</v>
      </c>
      <c r="D23" s="57">
        <v>161095.20000000001</v>
      </c>
      <c r="E23" s="50">
        <f t="shared" si="1"/>
        <v>152.90000000002328</v>
      </c>
      <c r="F23" s="51">
        <v>12226766</v>
      </c>
      <c r="G23" s="50">
        <f t="shared" si="2"/>
        <v>5558</v>
      </c>
      <c r="H23" s="51">
        <v>20899869</v>
      </c>
      <c r="I23" s="50">
        <f t="shared" si="3"/>
        <v>10451</v>
      </c>
      <c r="J23" s="51">
        <v>9146711</v>
      </c>
      <c r="K23" s="50">
        <f t="shared" si="4"/>
        <v>4221</v>
      </c>
    </row>
    <row r="24" spans="1:29" ht="19.5">
      <c r="A24" s="59">
        <v>44789</v>
      </c>
      <c r="B24" s="116">
        <v>2560</v>
      </c>
      <c r="C24" s="115">
        <f t="shared" si="0"/>
        <v>0</v>
      </c>
      <c r="D24" s="57">
        <v>161260.9</v>
      </c>
      <c r="E24" s="50">
        <f t="shared" si="1"/>
        <v>165.69999999998254</v>
      </c>
      <c r="F24" s="51">
        <v>12232471</v>
      </c>
      <c r="G24" s="50">
        <f t="shared" si="2"/>
        <v>5705</v>
      </c>
      <c r="H24" s="51">
        <v>20909961</v>
      </c>
      <c r="I24" s="50">
        <f t="shared" si="3"/>
        <v>10092</v>
      </c>
      <c r="J24" s="51">
        <v>9151133</v>
      </c>
      <c r="K24" s="50">
        <f t="shared" si="4"/>
        <v>4422</v>
      </c>
    </row>
    <row r="25" spans="1:29" ht="19.5">
      <c r="A25" s="59">
        <v>44790</v>
      </c>
      <c r="B25" s="116">
        <v>2560</v>
      </c>
      <c r="C25" s="115">
        <f t="shared" si="0"/>
        <v>0</v>
      </c>
      <c r="D25" s="57">
        <v>161421.29999999999</v>
      </c>
      <c r="E25" s="50">
        <f t="shared" si="1"/>
        <v>160.39999999999418</v>
      </c>
      <c r="F25" s="51">
        <v>12237864</v>
      </c>
      <c r="G25" s="50">
        <f t="shared" si="2"/>
        <v>5393</v>
      </c>
      <c r="H25" s="51">
        <v>20920243</v>
      </c>
      <c r="I25" s="50">
        <f t="shared" si="3"/>
        <v>10282</v>
      </c>
      <c r="J25" s="51">
        <v>9155509</v>
      </c>
      <c r="K25" s="50">
        <f t="shared" si="4"/>
        <v>4376</v>
      </c>
    </row>
    <row r="26" spans="1:29" ht="19.5">
      <c r="A26" s="59">
        <v>44791</v>
      </c>
      <c r="B26" s="116">
        <v>2560</v>
      </c>
      <c r="C26" s="115">
        <f t="shared" si="0"/>
        <v>0</v>
      </c>
      <c r="D26" s="57">
        <v>161587.9</v>
      </c>
      <c r="E26" s="50">
        <f t="shared" si="1"/>
        <v>166.60000000000582</v>
      </c>
      <c r="F26" s="51">
        <v>12242456</v>
      </c>
      <c r="G26" s="50">
        <f t="shared" si="2"/>
        <v>4592</v>
      </c>
      <c r="H26" s="51">
        <v>20930579</v>
      </c>
      <c r="I26" s="50">
        <f t="shared" si="3"/>
        <v>10336</v>
      </c>
      <c r="J26" s="51">
        <v>9159421</v>
      </c>
      <c r="K26" s="50">
        <f t="shared" si="4"/>
        <v>3912</v>
      </c>
    </row>
    <row r="27" spans="1:29" ht="19.5">
      <c r="A27" s="59">
        <v>44792</v>
      </c>
      <c r="B27" s="116">
        <v>2560</v>
      </c>
      <c r="C27" s="115">
        <f t="shared" si="0"/>
        <v>0</v>
      </c>
      <c r="D27" s="57">
        <v>161739.70000000001</v>
      </c>
      <c r="E27" s="50">
        <f t="shared" si="1"/>
        <v>151.80000000001746</v>
      </c>
      <c r="F27" s="51">
        <v>12247451</v>
      </c>
      <c r="G27" s="50">
        <f t="shared" si="2"/>
        <v>4995</v>
      </c>
      <c r="H27" s="51">
        <v>20939360</v>
      </c>
      <c r="I27" s="50">
        <f t="shared" si="3"/>
        <v>8781</v>
      </c>
      <c r="J27" s="51">
        <v>9163313</v>
      </c>
      <c r="K27" s="50">
        <f t="shared" si="4"/>
        <v>3892</v>
      </c>
    </row>
    <row r="28" spans="1:29" ht="19.5">
      <c r="A28" s="59">
        <v>44793</v>
      </c>
      <c r="B28" s="116">
        <v>2560</v>
      </c>
      <c r="C28" s="115">
        <f t="shared" si="0"/>
        <v>0</v>
      </c>
      <c r="D28" s="57">
        <v>161903.70000000001</v>
      </c>
      <c r="E28" s="50">
        <f t="shared" si="1"/>
        <v>164</v>
      </c>
      <c r="F28" s="51">
        <v>12252704</v>
      </c>
      <c r="G28" s="50">
        <f t="shared" si="2"/>
        <v>5253</v>
      </c>
      <c r="H28" s="51">
        <v>20948799</v>
      </c>
      <c r="I28" s="50">
        <f t="shared" si="3"/>
        <v>9439</v>
      </c>
      <c r="J28" s="51">
        <v>9167462</v>
      </c>
      <c r="K28" s="50">
        <f t="shared" si="4"/>
        <v>4149</v>
      </c>
    </row>
    <row r="29" spans="1:29" ht="19.5">
      <c r="A29" s="59">
        <v>44794</v>
      </c>
      <c r="B29" s="116">
        <v>2560</v>
      </c>
      <c r="C29" s="115">
        <f t="shared" si="0"/>
        <v>0</v>
      </c>
      <c r="D29" s="57">
        <v>162092</v>
      </c>
      <c r="E29" s="50">
        <f t="shared" si="1"/>
        <v>188.29999999998836</v>
      </c>
      <c r="F29" s="51">
        <v>12259991</v>
      </c>
      <c r="G29" s="50">
        <f t="shared" si="2"/>
        <v>7287</v>
      </c>
      <c r="H29" s="51">
        <v>20960792</v>
      </c>
      <c r="I29" s="50">
        <f t="shared" si="3"/>
        <v>11993</v>
      </c>
      <c r="J29" s="51">
        <v>9172842</v>
      </c>
      <c r="K29" s="50">
        <f t="shared" si="4"/>
        <v>5380</v>
      </c>
    </row>
    <row r="30" spans="1:29" ht="19.5">
      <c r="A30" s="59">
        <v>44795</v>
      </c>
      <c r="B30" s="116">
        <v>2560</v>
      </c>
      <c r="C30" s="115">
        <f t="shared" si="0"/>
        <v>0</v>
      </c>
      <c r="D30" s="57">
        <v>162264.20000000001</v>
      </c>
      <c r="E30" s="50">
        <f t="shared" si="1"/>
        <v>172.20000000001164</v>
      </c>
      <c r="F30" s="51">
        <v>12267185</v>
      </c>
      <c r="G30" s="50">
        <f t="shared" si="2"/>
        <v>7194</v>
      </c>
      <c r="H30" s="51">
        <v>20971508</v>
      </c>
      <c r="I30" s="50">
        <f t="shared" si="3"/>
        <v>10716</v>
      </c>
      <c r="J30" s="51">
        <v>9177596</v>
      </c>
      <c r="K30" s="50">
        <f t="shared" si="4"/>
        <v>4754</v>
      </c>
    </row>
    <row r="31" spans="1:29" ht="19.5">
      <c r="A31" s="59">
        <v>44796</v>
      </c>
      <c r="B31" s="116">
        <v>2560</v>
      </c>
      <c r="C31" s="115">
        <f>B31-B30</f>
        <v>0</v>
      </c>
      <c r="D31" s="57">
        <v>162424.70000000001</v>
      </c>
      <c r="E31" s="50">
        <f t="shared" si="1"/>
        <v>160.5</v>
      </c>
      <c r="F31" s="51">
        <v>12272744</v>
      </c>
      <c r="G31" s="50">
        <f t="shared" si="2"/>
        <v>5559</v>
      </c>
      <c r="H31" s="51">
        <v>20982257</v>
      </c>
      <c r="I31" s="50">
        <f t="shared" si="3"/>
        <v>10749</v>
      </c>
      <c r="J31" s="51">
        <v>9182128</v>
      </c>
      <c r="K31" s="50">
        <f t="shared" si="4"/>
        <v>4532</v>
      </c>
    </row>
    <row r="32" spans="1:29" ht="19.5">
      <c r="A32" s="59">
        <v>44797</v>
      </c>
      <c r="B32" s="116">
        <v>2560</v>
      </c>
      <c r="C32" s="115">
        <f>B32-B31</f>
        <v>0</v>
      </c>
      <c r="D32" s="57">
        <v>162577.5</v>
      </c>
      <c r="E32" s="50">
        <f t="shared" si="1"/>
        <v>152.79999999998836</v>
      </c>
      <c r="F32" s="51">
        <v>12278327</v>
      </c>
      <c r="G32" s="50">
        <f t="shared" si="2"/>
        <v>5583</v>
      </c>
      <c r="H32" s="51">
        <v>20993019</v>
      </c>
      <c r="I32" s="50">
        <f t="shared" si="3"/>
        <v>10762</v>
      </c>
      <c r="J32" s="51">
        <v>9186837</v>
      </c>
      <c r="K32" s="50">
        <f t="shared" si="4"/>
        <v>4709</v>
      </c>
    </row>
    <row r="33" spans="1:11" ht="19.5">
      <c r="A33" s="59">
        <v>44798</v>
      </c>
      <c r="B33" s="116">
        <v>2560</v>
      </c>
      <c r="C33" s="115">
        <f>B33-B32</f>
        <v>0</v>
      </c>
      <c r="D33" s="57">
        <v>162712</v>
      </c>
      <c r="E33" s="50">
        <f t="shared" si="1"/>
        <v>134.5</v>
      </c>
      <c r="F33" s="51">
        <v>12283700</v>
      </c>
      <c r="G33" s="50">
        <f t="shared" si="2"/>
        <v>5373</v>
      </c>
      <c r="H33" s="51">
        <v>21003308</v>
      </c>
      <c r="I33" s="50">
        <f t="shared" si="3"/>
        <v>10289</v>
      </c>
      <c r="J33" s="51">
        <v>9191542</v>
      </c>
      <c r="K33" s="50">
        <f t="shared" si="4"/>
        <v>4705</v>
      </c>
    </row>
    <row r="34" spans="1:11" ht="19.5">
      <c r="A34" s="59">
        <v>44799</v>
      </c>
      <c r="B34" s="116">
        <v>2560</v>
      </c>
      <c r="C34" s="115">
        <f>B34-B33</f>
        <v>0</v>
      </c>
      <c r="D34" s="57">
        <v>162902</v>
      </c>
      <c r="E34" s="50">
        <f t="shared" si="1"/>
        <v>190</v>
      </c>
      <c r="F34" s="51">
        <v>12289555</v>
      </c>
      <c r="G34" s="50">
        <f t="shared" si="2"/>
        <v>5855</v>
      </c>
      <c r="H34" s="51">
        <v>21012913</v>
      </c>
      <c r="I34" s="50">
        <f t="shared" si="3"/>
        <v>9605</v>
      </c>
      <c r="J34" s="51">
        <v>9195338</v>
      </c>
      <c r="K34" s="50">
        <f t="shared" si="4"/>
        <v>3796</v>
      </c>
    </row>
    <row r="35" spans="1:11" ht="19.5">
      <c r="A35" s="59">
        <v>44800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44801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44802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44803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44804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44805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35:E40">
    <cfRule type="cellIs" dxfId="3" priority="10" stopIfTrue="1" operator="lessThanOrEqual">
      <formula>0</formula>
    </cfRule>
  </conditionalFormatting>
  <conditionalFormatting sqref="E35:E40">
    <cfRule type="cellIs" dxfId="2" priority="9" stopIfTrue="1" operator="lessThanOrEqual">
      <formula>0</formula>
    </cfRule>
  </conditionalFormatting>
  <conditionalFormatting sqref="E9:E34">
    <cfRule type="cellIs" dxfId="1" priority="8" stopIfTrue="1" operator="lessThanOrEqual">
      <formula>0</formula>
    </cfRule>
  </conditionalFormatting>
  <conditionalFormatting sqref="E9:E34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0" activePane="bottomRight" state="frozen"/>
      <selection pane="bottomRight" activeCell="B29" sqref="B29:H2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O4*12.94</f>
        <v>2070.3488870000001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44775</v>
      </c>
      <c r="B5" s="41">
        <v>70</v>
      </c>
      <c r="C5" s="39">
        <f t="shared" ref="C4:C35" si="7">IF(AC5&gt;0,((B5-R5)+(S5-B6)),IF(B6=0, ,(B5-B6)))</f>
        <v>0</v>
      </c>
      <c r="D5" s="41">
        <v>70</v>
      </c>
      <c r="E5" s="39">
        <f t="shared" ref="E4:E35" si="8">IF(AC5&gt;0,((D5-U5)+(V5-D6)),IF(D6=0, ,(D5-D6)))</f>
        <v>2</v>
      </c>
      <c r="F5" s="41">
        <v>71</v>
      </c>
      <c r="G5" s="39">
        <f t="shared" ref="G4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9" si="10">O5*12.94</f>
        <v>1656.2791096000001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1">IF(AC6&gt;0,((H6-AA6)+(AB6-H7)),IF(H7=0, ,(H6-H7)))</f>
        <v>0</v>
      </c>
      <c r="J6" s="39">
        <f t="shared" ref="J6:J42" si="12">B6+D6+F6+H6</f>
        <v>277</v>
      </c>
      <c r="K6" s="39">
        <f t="shared" ref="K6:K42" si="13">J6/4</f>
        <v>69.25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1656.2791096000001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1"/>
        <v>1</v>
      </c>
      <c r="J7" s="39">
        <f t="shared" si="12"/>
        <v>273</v>
      </c>
      <c r="K7" s="39">
        <f t="shared" si="13"/>
        <v>68.25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2903.9676260000001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3726.6279965999997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1"/>
        <v>1</v>
      </c>
      <c r="J9" s="39">
        <f t="shared" si="12"/>
        <v>257</v>
      </c>
      <c r="K9" s="39">
        <f t="shared" si="13"/>
        <v>64.25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2070.3488870000001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1"/>
        <v>4</v>
      </c>
      <c r="J10" s="39">
        <f t="shared" si="12"/>
        <v>252</v>
      </c>
      <c r="K10" s="39">
        <f t="shared" si="13"/>
        <v>63</v>
      </c>
      <c r="L10" s="39">
        <f t="shared" si="14"/>
        <v>2.25</v>
      </c>
      <c r="M10" s="149">
        <f t="shared" si="17"/>
        <v>24196</v>
      </c>
      <c r="N10" s="39">
        <f t="shared" si="15"/>
        <v>544.41</v>
      </c>
      <c r="O10" s="148">
        <f t="shared" si="16"/>
        <v>287.99288999999999</v>
      </c>
      <c r="P10" s="42">
        <f t="shared" si="10"/>
        <v>3726.6279965999997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1"/>
        <v>1</v>
      </c>
      <c r="J11" s="39">
        <f t="shared" si="12"/>
        <v>243</v>
      </c>
      <c r="K11" s="39">
        <f t="shared" si="13"/>
        <v>60.75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1656.2791096000001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44782</v>
      </c>
      <c r="B12" s="41">
        <v>59</v>
      </c>
      <c r="C12" s="39">
        <f t="shared" si="7"/>
        <v>2</v>
      </c>
      <c r="D12" s="41">
        <v>59</v>
      </c>
      <c r="E12" s="39">
        <f t="shared" si="8"/>
        <v>3</v>
      </c>
      <c r="F12" s="41">
        <v>61</v>
      </c>
      <c r="G12" s="39">
        <f t="shared" si="9"/>
        <v>1</v>
      </c>
      <c r="H12" s="41">
        <v>60</v>
      </c>
      <c r="I12" s="39">
        <f t="shared" si="11"/>
        <v>0</v>
      </c>
      <c r="J12" s="39">
        <f t="shared" si="12"/>
        <v>239</v>
      </c>
      <c r="K12" s="39">
        <f t="shared" si="13"/>
        <v>59.75</v>
      </c>
      <c r="L12" s="39">
        <f t="shared" si="14"/>
        <v>1.5</v>
      </c>
      <c r="M12" s="149">
        <f t="shared" si="17"/>
        <v>24196</v>
      </c>
      <c r="N12" s="39">
        <f t="shared" si="15"/>
        <v>362.94</v>
      </c>
      <c r="O12" s="39">
        <f t="shared" si="16"/>
        <v>191.99526</v>
      </c>
      <c r="P12" s="42">
        <f t="shared" si="10"/>
        <v>2484.4186644000001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44783</v>
      </c>
      <c r="B13" s="41">
        <v>57</v>
      </c>
      <c r="C13" s="39">
        <f t="shared" si="7"/>
        <v>2</v>
      </c>
      <c r="D13" s="41">
        <v>56</v>
      </c>
      <c r="E13" s="39">
        <f t="shared" si="8"/>
        <v>1</v>
      </c>
      <c r="F13" s="41">
        <v>60</v>
      </c>
      <c r="G13" s="39">
        <f t="shared" si="9"/>
        <v>0</v>
      </c>
      <c r="H13" s="41">
        <v>60</v>
      </c>
      <c r="I13" s="39">
        <f t="shared" si="11"/>
        <v>0</v>
      </c>
      <c r="J13" s="39">
        <f t="shared" si="12"/>
        <v>233</v>
      </c>
      <c r="K13" s="39">
        <f t="shared" si="13"/>
        <v>58.25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1242.2093322000001</v>
      </c>
      <c r="Q13" s="39">
        <v>2434</v>
      </c>
      <c r="R13" s="39">
        <v>55</v>
      </c>
      <c r="S13" s="39">
        <v>85</v>
      </c>
      <c r="T13" s="39">
        <v>2418</v>
      </c>
      <c r="U13" s="39">
        <v>55</v>
      </c>
      <c r="V13" s="39">
        <v>85</v>
      </c>
      <c r="W13" s="39">
        <v>2192</v>
      </c>
      <c r="X13" s="39">
        <v>60</v>
      </c>
      <c r="Y13" s="39">
        <v>85</v>
      </c>
      <c r="Z13" s="39">
        <v>2275</v>
      </c>
      <c r="AA13" s="39">
        <v>60</v>
      </c>
      <c r="AB13" s="39">
        <v>85</v>
      </c>
      <c r="AC13" s="39">
        <f t="shared" si="4"/>
        <v>9319</v>
      </c>
      <c r="AD13" s="38">
        <f t="shared" si="5"/>
        <v>57.5</v>
      </c>
      <c r="AE13" s="38">
        <f t="shared" si="6"/>
        <v>85</v>
      </c>
    </row>
    <row r="14" spans="1:31" ht="32.25" customHeight="1">
      <c r="A14" s="40">
        <v>44784</v>
      </c>
      <c r="B14" s="41">
        <v>85</v>
      </c>
      <c r="C14" s="39">
        <f t="shared" si="7"/>
        <v>1</v>
      </c>
      <c r="D14" s="41">
        <v>85</v>
      </c>
      <c r="E14" s="39">
        <f t="shared" si="8"/>
        <v>1</v>
      </c>
      <c r="F14" s="41">
        <v>85</v>
      </c>
      <c r="G14" s="39">
        <f t="shared" si="9"/>
        <v>2</v>
      </c>
      <c r="H14" s="41">
        <v>85</v>
      </c>
      <c r="I14" s="39">
        <f>IF(AC14&gt;0,((H14-AA14)+(AB14-H15)),IF(H15=0, ,(H14-H15)))</f>
        <v>1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2070.3488870000001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44785</v>
      </c>
      <c r="B15" s="41">
        <v>84</v>
      </c>
      <c r="C15" s="39">
        <f t="shared" si="7"/>
        <v>2</v>
      </c>
      <c r="D15" s="41">
        <v>84</v>
      </c>
      <c r="E15" s="39">
        <f t="shared" si="8"/>
        <v>4</v>
      </c>
      <c r="F15" s="41">
        <v>83</v>
      </c>
      <c r="G15" s="39">
        <f t="shared" si="9"/>
        <v>3</v>
      </c>
      <c r="H15" s="41">
        <v>84</v>
      </c>
      <c r="I15" s="39">
        <f>IF(AC15&gt;0,((H15-AA15)+(AB15-H16)),IF(H16=0, ,(H15-H16)))</f>
        <v>2</v>
      </c>
      <c r="J15" s="39">
        <f t="shared" si="12"/>
        <v>335</v>
      </c>
      <c r="K15" s="39">
        <f t="shared" si="13"/>
        <v>83.75</v>
      </c>
      <c r="L15" s="39">
        <f t="shared" si="14"/>
        <v>2.75</v>
      </c>
      <c r="M15" s="149">
        <f t="shared" si="17"/>
        <v>24196</v>
      </c>
      <c r="N15" s="39">
        <f t="shared" si="15"/>
        <v>665.39</v>
      </c>
      <c r="O15" s="39">
        <f t="shared" si="16"/>
        <v>351.99131</v>
      </c>
      <c r="P15" s="42">
        <f t="shared" si="10"/>
        <v>4554.7675514000002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44786</v>
      </c>
      <c r="B16" s="41">
        <v>82</v>
      </c>
      <c r="C16" s="39">
        <f t="shared" si="7"/>
        <v>1</v>
      </c>
      <c r="D16" s="41">
        <v>80</v>
      </c>
      <c r="E16" s="39">
        <f t="shared" si="8"/>
        <v>1</v>
      </c>
      <c r="F16" s="41">
        <v>80</v>
      </c>
      <c r="G16" s="39">
        <f t="shared" si="9"/>
        <v>0</v>
      </c>
      <c r="H16" s="41">
        <v>82</v>
      </c>
      <c r="I16" s="39">
        <f t="shared" si="11"/>
        <v>1</v>
      </c>
      <c r="J16" s="39">
        <f t="shared" si="12"/>
        <v>324</v>
      </c>
      <c r="K16" s="39">
        <f t="shared" si="13"/>
        <v>81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1242.2093322000001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44787</v>
      </c>
      <c r="B17" s="41">
        <v>81</v>
      </c>
      <c r="C17" s="39">
        <f t="shared" si="7"/>
        <v>1</v>
      </c>
      <c r="D17" s="41">
        <v>79</v>
      </c>
      <c r="E17" s="39">
        <f t="shared" si="8"/>
        <v>0</v>
      </c>
      <c r="F17" s="41">
        <v>80</v>
      </c>
      <c r="G17" s="39">
        <f t="shared" si="9"/>
        <v>0</v>
      </c>
      <c r="H17" s="41">
        <v>81</v>
      </c>
      <c r="I17" s="39">
        <f t="shared" si="11"/>
        <v>1</v>
      </c>
      <c r="J17" s="39">
        <f t="shared" si="12"/>
        <v>321</v>
      </c>
      <c r="K17" s="39">
        <f t="shared" si="13"/>
        <v>80.25</v>
      </c>
      <c r="L17" s="39">
        <f t="shared" si="14"/>
        <v>0.5</v>
      </c>
      <c r="M17" s="149">
        <f t="shared" si="17"/>
        <v>24196</v>
      </c>
      <c r="N17" s="39">
        <f t="shared" si="15"/>
        <v>120.98</v>
      </c>
      <c r="O17" s="39">
        <f t="shared" si="16"/>
        <v>63.998420000000003</v>
      </c>
      <c r="P17" s="42">
        <f t="shared" si="10"/>
        <v>828.13955480000004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44788</v>
      </c>
      <c r="B18" s="41">
        <v>80</v>
      </c>
      <c r="C18" s="39">
        <f t="shared" si="7"/>
        <v>1</v>
      </c>
      <c r="D18" s="41">
        <v>79</v>
      </c>
      <c r="E18" s="39">
        <f t="shared" si="8"/>
        <v>2</v>
      </c>
      <c r="F18" s="41">
        <v>80</v>
      </c>
      <c r="G18" s="39">
        <f t="shared" si="9"/>
        <v>0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2070.3488870000001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44789</v>
      </c>
      <c r="B19" s="41">
        <v>79</v>
      </c>
      <c r="C19" s="39">
        <f t="shared" si="7"/>
        <v>4</v>
      </c>
      <c r="D19" s="41">
        <v>77</v>
      </c>
      <c r="E19" s="39">
        <f t="shared" si="8"/>
        <v>2</v>
      </c>
      <c r="F19" s="41">
        <v>80</v>
      </c>
      <c r="G19" s="39">
        <f t="shared" si="9"/>
        <v>4</v>
      </c>
      <c r="H19" s="41">
        <v>78</v>
      </c>
      <c r="I19" s="39">
        <f t="shared" si="11"/>
        <v>2</v>
      </c>
      <c r="J19" s="39">
        <f t="shared" si="12"/>
        <v>314</v>
      </c>
      <c r="K19" s="39">
        <f t="shared" si="13"/>
        <v>78.5</v>
      </c>
      <c r="L19" s="39">
        <f t="shared" si="14"/>
        <v>3</v>
      </c>
      <c r="M19" s="149">
        <f t="shared" si="17"/>
        <v>24196</v>
      </c>
      <c r="N19" s="39">
        <f t="shared" si="15"/>
        <v>725.88</v>
      </c>
      <c r="O19" s="39">
        <f t="shared" si="16"/>
        <v>383.99052</v>
      </c>
      <c r="P19" s="42">
        <f t="shared" si="10"/>
        <v>4968.8373288000003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44790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1</v>
      </c>
      <c r="H20" s="41">
        <v>76</v>
      </c>
      <c r="I20" s="39">
        <f t="shared" si="11"/>
        <v>0</v>
      </c>
      <c r="J20" s="39">
        <f t="shared" si="12"/>
        <v>302</v>
      </c>
      <c r="K20" s="39">
        <f t="shared" si="13"/>
        <v>75.5</v>
      </c>
      <c r="L20" s="39">
        <f t="shared" ref="L20:L42" si="18">IF(AC20&gt;0,((K20-AD20)+(AE20-K21)),IF(K21=0, ,(K20-K21)))</f>
        <v>0.75</v>
      </c>
      <c r="M20" s="149">
        <f t="shared" si="17"/>
        <v>24196</v>
      </c>
      <c r="N20" s="39">
        <f t="shared" si="15"/>
        <v>181.47</v>
      </c>
      <c r="O20" s="39">
        <f t="shared" si="16"/>
        <v>95.997630000000001</v>
      </c>
      <c r="P20" s="42">
        <f t="shared" si="10"/>
        <v>1242.2093322000001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44791</v>
      </c>
      <c r="B21" s="41">
        <v>74</v>
      </c>
      <c r="C21" s="39">
        <f t="shared" si="7"/>
        <v>3</v>
      </c>
      <c r="D21" s="41">
        <v>74</v>
      </c>
      <c r="E21" s="39">
        <f t="shared" si="8"/>
        <v>2</v>
      </c>
      <c r="F21" s="41">
        <v>75</v>
      </c>
      <c r="G21" s="39">
        <f t="shared" si="9"/>
        <v>2</v>
      </c>
      <c r="H21" s="41">
        <v>76</v>
      </c>
      <c r="I21" s="39">
        <f t="shared" si="11"/>
        <v>2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2.25</v>
      </c>
      <c r="M21" s="149">
        <f t="shared" si="17"/>
        <v>24196</v>
      </c>
      <c r="N21" s="39">
        <f t="shared" si="15"/>
        <v>544.41</v>
      </c>
      <c r="O21" s="39">
        <f t="shared" si="16"/>
        <v>287.99288999999999</v>
      </c>
      <c r="P21" s="42">
        <f t="shared" si="10"/>
        <v>3726.6279965999997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44792</v>
      </c>
      <c r="B22" s="41">
        <v>71</v>
      </c>
      <c r="C22" s="39">
        <f t="shared" si="7"/>
        <v>1</v>
      </c>
      <c r="D22" s="41">
        <v>72</v>
      </c>
      <c r="E22" s="39">
        <f t="shared" si="8"/>
        <v>3</v>
      </c>
      <c r="F22" s="41">
        <v>73</v>
      </c>
      <c r="G22" s="39">
        <f t="shared" si="9"/>
        <v>1</v>
      </c>
      <c r="H22" s="41">
        <v>74</v>
      </c>
      <c r="I22" s="39">
        <f t="shared" si="11"/>
        <v>4</v>
      </c>
      <c r="J22" s="39">
        <f t="shared" si="12"/>
        <v>290</v>
      </c>
      <c r="K22" s="39">
        <f t="shared" si="13"/>
        <v>72.5</v>
      </c>
      <c r="L22" s="39">
        <f>IF(AC22&gt;0,((K22-AD22)+(AE22-K23)),IF(K23=0, ,(K22-K23)))</f>
        <v>2.25</v>
      </c>
      <c r="M22" s="149">
        <f t="shared" si="17"/>
        <v>24196</v>
      </c>
      <c r="N22" s="39">
        <f t="shared" si="15"/>
        <v>544.41</v>
      </c>
      <c r="O22" s="39">
        <f t="shared" si="16"/>
        <v>287.99288999999999</v>
      </c>
      <c r="P22" s="42">
        <f t="shared" si="10"/>
        <v>3726.6279965999997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44793</v>
      </c>
      <c r="B23" s="41">
        <v>70</v>
      </c>
      <c r="C23" s="39">
        <f t="shared" si="7"/>
        <v>1</v>
      </c>
      <c r="D23" s="41">
        <v>69</v>
      </c>
      <c r="E23" s="39">
        <f t="shared" si="8"/>
        <v>3</v>
      </c>
      <c r="F23" s="41">
        <v>72</v>
      </c>
      <c r="G23" s="39">
        <f t="shared" si="9"/>
        <v>2</v>
      </c>
      <c r="H23" s="41">
        <v>70</v>
      </c>
      <c r="I23" s="39">
        <f t="shared" si="11"/>
        <v>1</v>
      </c>
      <c r="J23" s="39">
        <f t="shared" si="12"/>
        <v>281</v>
      </c>
      <c r="K23" s="39">
        <f t="shared" si="13"/>
        <v>70.25</v>
      </c>
      <c r="L23" s="39">
        <f t="shared" si="18"/>
        <v>1.75</v>
      </c>
      <c r="M23" s="149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0"/>
        <v>2898.4884418000001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44794</v>
      </c>
      <c r="B24" s="41">
        <v>69</v>
      </c>
      <c r="C24" s="39">
        <f t="shared" si="7"/>
        <v>2</v>
      </c>
      <c r="D24" s="41">
        <v>66</v>
      </c>
      <c r="E24" s="39">
        <f t="shared" si="8"/>
        <v>1</v>
      </c>
      <c r="F24" s="41">
        <v>70</v>
      </c>
      <c r="G24" s="39">
        <f t="shared" si="9"/>
        <v>2</v>
      </c>
      <c r="H24" s="41">
        <v>69</v>
      </c>
      <c r="I24" s="39">
        <f t="shared" si="11"/>
        <v>2</v>
      </c>
      <c r="J24" s="39">
        <f t="shared" si="12"/>
        <v>274</v>
      </c>
      <c r="K24" s="39">
        <f t="shared" si="13"/>
        <v>68.5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2898.4884418000001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44795</v>
      </c>
      <c r="B25" s="41">
        <v>67</v>
      </c>
      <c r="C25" s="39">
        <f t="shared" si="7"/>
        <v>2</v>
      </c>
      <c r="D25" s="41">
        <v>65</v>
      </c>
      <c r="E25" s="39">
        <f t="shared" si="8"/>
        <v>0</v>
      </c>
      <c r="F25" s="41">
        <v>68</v>
      </c>
      <c r="G25" s="39">
        <f t="shared" si="9"/>
        <v>3</v>
      </c>
      <c r="H25" s="41">
        <v>67</v>
      </c>
      <c r="I25" s="39">
        <f t="shared" si="11"/>
        <v>1</v>
      </c>
      <c r="J25" s="39">
        <f t="shared" si="12"/>
        <v>267</v>
      </c>
      <c r="K25" s="39">
        <f t="shared" si="13"/>
        <v>66.75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2484.4186644000001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44796</v>
      </c>
      <c r="B26" s="41">
        <v>65</v>
      </c>
      <c r="C26" s="39">
        <f t="shared" si="7"/>
        <v>2</v>
      </c>
      <c r="D26" s="41">
        <v>65</v>
      </c>
      <c r="E26" s="39">
        <f t="shared" si="8"/>
        <v>3</v>
      </c>
      <c r="F26" s="41">
        <v>65</v>
      </c>
      <c r="G26" s="39">
        <f t="shared" si="9"/>
        <v>1</v>
      </c>
      <c r="H26" s="41">
        <v>66</v>
      </c>
      <c r="I26" s="39">
        <f t="shared" si="11"/>
        <v>1</v>
      </c>
      <c r="J26" s="39">
        <f t="shared" si="12"/>
        <v>261</v>
      </c>
      <c r="K26" s="39">
        <f t="shared" si="13"/>
        <v>65.25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2898.4884418000001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44797</v>
      </c>
      <c r="B27" s="41">
        <v>63</v>
      </c>
      <c r="C27" s="39">
        <f t="shared" ref="C27" si="21">IF(AC27&gt;0,((B27-R27)+(S27-B28)),IF(B28=0, ,(B27-B28)))</f>
        <v>3</v>
      </c>
      <c r="D27" s="41">
        <v>62</v>
      </c>
      <c r="E27" s="39">
        <f t="shared" ref="E27" si="22">IF(AC27&gt;0,((D27-U27)+(V27-D28)),IF(D28=0, ,(D27-D28)))</f>
        <v>2</v>
      </c>
      <c r="F27" s="41">
        <v>64</v>
      </c>
      <c r="G27" s="39">
        <f t="shared" ref="G27" si="23">IF(AC27&gt;0,((F27-X27)+(Y27-F28)),IF(F28=0, ,(F27-F28)))</f>
        <v>3</v>
      </c>
      <c r="H27" s="41">
        <v>65</v>
      </c>
      <c r="I27" s="39">
        <f t="shared" si="11"/>
        <v>1</v>
      </c>
      <c r="J27" s="39">
        <f t="shared" si="12"/>
        <v>254</v>
      </c>
      <c r="K27" s="39">
        <f t="shared" si="13"/>
        <v>63.5</v>
      </c>
      <c r="L27" s="39">
        <f t="shared" si="18"/>
        <v>2.25</v>
      </c>
      <c r="M27" s="149">
        <f t="shared" si="17"/>
        <v>24196</v>
      </c>
      <c r="N27" s="39">
        <f t="shared" si="15"/>
        <v>544.41</v>
      </c>
      <c r="O27" s="39">
        <f t="shared" si="16"/>
        <v>287.99288999999999</v>
      </c>
      <c r="P27" s="42">
        <f t="shared" si="10"/>
        <v>3726.6279965999997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44798</v>
      </c>
      <c r="B28" s="41">
        <v>60</v>
      </c>
      <c r="C28" s="39">
        <f t="shared" si="7"/>
        <v>1</v>
      </c>
      <c r="D28" s="41">
        <v>60</v>
      </c>
      <c r="E28" s="39">
        <f t="shared" si="8"/>
        <v>1</v>
      </c>
      <c r="F28" s="41">
        <v>61</v>
      </c>
      <c r="G28" s="39">
        <f t="shared" si="9"/>
        <v>1</v>
      </c>
      <c r="H28" s="41">
        <v>64</v>
      </c>
      <c r="I28" s="39">
        <f>IF(AC28&gt;0,((H28-AA28)+(AB28-H29)),IF(H29=0, ,(H28-H29)))</f>
        <v>2</v>
      </c>
      <c r="J28" s="39">
        <f t="shared" si="12"/>
        <v>245</v>
      </c>
      <c r="K28" s="39">
        <f t="shared" si="13"/>
        <v>61.25</v>
      </c>
      <c r="L28" s="39">
        <f t="shared" si="18"/>
        <v>1.25</v>
      </c>
      <c r="M28" s="149">
        <f t="shared" si="17"/>
        <v>24196</v>
      </c>
      <c r="N28" s="39">
        <f t="shared" si="15"/>
        <v>302.45</v>
      </c>
      <c r="O28" s="39">
        <f t="shared" si="16"/>
        <v>159.99605</v>
      </c>
      <c r="P28" s="42">
        <f t="shared" si="10"/>
        <v>2070.3488870000001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44799</v>
      </c>
      <c r="B29" s="41">
        <v>59</v>
      </c>
      <c r="C29" s="39">
        <f t="shared" si="7"/>
        <v>0</v>
      </c>
      <c r="D29" s="41">
        <v>59</v>
      </c>
      <c r="E29" s="39">
        <f t="shared" si="8"/>
        <v>0</v>
      </c>
      <c r="F29" s="41">
        <v>60</v>
      </c>
      <c r="G29" s="39">
        <f t="shared" si="9"/>
        <v>0</v>
      </c>
      <c r="H29" s="41">
        <v>62</v>
      </c>
      <c r="I29" s="39">
        <f t="shared" si="11"/>
        <v>0</v>
      </c>
      <c r="J29" s="39">
        <f t="shared" si="12"/>
        <v>240</v>
      </c>
      <c r="K29" s="39">
        <f t="shared" si="13"/>
        <v>60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44800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44801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44802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44803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44804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44805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9436.44</v>
      </c>
      <c r="O43" s="39">
        <f>N43*0.529</f>
        <v>4991.8767600000001</v>
      </c>
      <c r="P43" s="42">
        <f>O43*12.94</f>
        <v>64594.885274399996</v>
      </c>
      <c r="Q43" s="286">
        <f>SUM(Q4:Q42)</f>
        <v>2434</v>
      </c>
      <c r="R43" s="287"/>
      <c r="S43" s="288"/>
      <c r="T43" s="289">
        <f>SUM(T4:T42)</f>
        <v>2418</v>
      </c>
      <c r="U43" s="287"/>
      <c r="V43" s="288"/>
      <c r="W43" s="289">
        <f>SUM(W4:W42)</f>
        <v>2192</v>
      </c>
      <c r="X43" s="287"/>
      <c r="Y43" s="288"/>
      <c r="Z43" s="289">
        <f>SUM(Z4:Z42)</f>
        <v>2275</v>
      </c>
      <c r="AA43" s="287"/>
      <c r="AB43" s="288"/>
      <c r="AC43" s="39">
        <f t="shared" si="20"/>
        <v>9319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9319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9319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9436.44</v>
      </c>
      <c r="L47" s="46">
        <f>O43</f>
        <v>4991.8767600000001</v>
      </c>
      <c r="M47" s="46">
        <f>P43</f>
        <v>64594.885274399996</v>
      </c>
    </row>
    <row r="48" spans="1:31" ht="54.75" customHeight="1" thickBot="1">
      <c r="H48" s="282" t="s">
        <v>86</v>
      </c>
      <c r="I48" s="283"/>
      <c r="J48" s="284"/>
      <c r="K48" s="43">
        <f>AC44</f>
        <v>9319</v>
      </c>
      <c r="L48" s="44">
        <f>K48*0.529</f>
        <v>4929.7510000000002</v>
      </c>
      <c r="M48" s="44">
        <f>L48*12.94</f>
        <v>63790.977939999997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0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44599</v>
      </c>
      <c r="D8" s="327"/>
      <c r="E8" s="113">
        <v>44627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A13" sqref="A13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131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44375</v>
      </c>
      <c r="D8" s="327"/>
      <c r="E8" s="113">
        <v>44770</v>
      </c>
      <c r="F8" s="163" t="s">
        <v>132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1403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41"/>
      <c r="H17" s="342"/>
      <c r="I17" s="341">
        <f>+E17</f>
        <v>321318</v>
      </c>
      <c r="J17" s="342"/>
    </row>
    <row r="18" spans="1:10">
      <c r="A18" s="339" t="s">
        <v>111</v>
      </c>
      <c r="B18" s="340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41"/>
      <c r="H18" s="342"/>
      <c r="I18" s="341">
        <f>+E18</f>
        <v>153681</v>
      </c>
      <c r="J18" s="342"/>
    </row>
    <row r="19" spans="1:10">
      <c r="A19" s="339" t="s">
        <v>112</v>
      </c>
      <c r="B19" s="340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41"/>
      <c r="H19" s="342"/>
      <c r="I19" s="341">
        <f>+E19</f>
        <v>126487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601486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46">
        <f>SUM(H25,F25)</f>
        <v>348500.21752800001</v>
      </c>
      <c r="J25" s="347"/>
    </row>
    <row r="26" spans="1:10" ht="15">
      <c r="A26" s="348" t="s">
        <v>124</v>
      </c>
      <c r="B26" s="349"/>
      <c r="C26" s="350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46">
        <f t="shared" ref="I26:I31" si="0">SUM(H26,F26)</f>
        <v>122374.64348999999</v>
      </c>
      <c r="J26" s="347"/>
    </row>
    <row r="27" spans="1:10" ht="15">
      <c r="A27" s="348" t="s">
        <v>125</v>
      </c>
      <c r="B27" s="349"/>
      <c r="C27" s="350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46">
        <f>SUM(H27,F27)</f>
        <v>191837.26747200001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79">
        <f t="shared" si="0"/>
        <v>30240.175247100007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654067.56801500008</v>
      </c>
      <c r="G32" s="85"/>
      <c r="H32" s="86"/>
      <c r="I32" s="375">
        <f>SUM(I25:J31)</f>
        <v>745583.04753710004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5359</v>
      </c>
      <c r="C13" s="396"/>
      <c r="D13" s="396">
        <v>8.7899999999999991</v>
      </c>
      <c r="E13" s="396"/>
      <c r="F13" s="400">
        <f>PRODUCT(D13,B13)</f>
        <v>47105.609999999993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5359</v>
      </c>
      <c r="C19" s="396"/>
      <c r="D19" s="396">
        <v>2.61</v>
      </c>
      <c r="E19" s="396"/>
      <c r="F19" s="396">
        <f>PRODUCT(D19,B19)</f>
        <v>13986.99</v>
      </c>
      <c r="G19" s="396"/>
      <c r="H19" s="396"/>
    </row>
    <row r="20" spans="1:8" ht="18.75">
      <c r="A20" s="392" t="s">
        <v>149</v>
      </c>
      <c r="B20" s="393"/>
      <c r="C20" s="393"/>
      <c r="D20" s="393"/>
      <c r="E20" s="394"/>
      <c r="F20" s="395">
        <f>SUM(F11+F13+F16+F17+F18+F19)</f>
        <v>61115.599999999991</v>
      </c>
      <c r="G20" s="395"/>
      <c r="H20" s="395"/>
    </row>
    <row r="21" spans="1:8" ht="15">
      <c r="A21" s="381" t="s">
        <v>150</v>
      </c>
      <c r="B21" s="382"/>
      <c r="C21" s="382"/>
      <c r="D21" s="382"/>
      <c r="E21" s="383"/>
      <c r="F21" s="396">
        <f>PRODUCT(F20,0.07)</f>
        <v>4278.0919999999996</v>
      </c>
      <c r="G21" s="396"/>
      <c r="H21" s="396"/>
    </row>
    <row r="22" spans="1:8" ht="15">
      <c r="A22" s="434" t="s">
        <v>151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152</v>
      </c>
      <c r="B23" s="382"/>
      <c r="C23" s="382"/>
      <c r="D23" s="382"/>
      <c r="E23" s="383"/>
      <c r="F23" s="384">
        <f>SUM(F21:H22)</f>
        <v>4486.3519999999999</v>
      </c>
      <c r="G23" s="384"/>
      <c r="H23" s="384"/>
    </row>
    <row r="24" spans="1:8">
      <c r="A24" s="385" t="s">
        <v>153</v>
      </c>
      <c r="B24" s="386"/>
      <c r="C24" s="386"/>
      <c r="D24" s="386"/>
      <c r="E24" s="387"/>
      <c r="F24" s="391">
        <f>SUM(F20,F23)</f>
        <v>65601.95199999999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149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150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151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152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153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155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144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149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151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2022-08-26T09:42:11Z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