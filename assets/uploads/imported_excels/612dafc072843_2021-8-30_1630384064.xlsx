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HOKI\HEP\2021\Aug\"/>
    </mc:Choice>
  </mc:AlternateContent>
  <bookViews>
    <workbookView xWindow="-105" yWindow="-105" windowWidth="19425" windowHeight="10425" activeTab="2"/>
  </bookViews>
  <sheets>
    <sheet name="TOTAL" sheetId="5" r:id="rId1"/>
    <sheet name="Submetering" sheetId="9" r:id="rId2"/>
    <sheet name="Hotel" sheetId="7" r:id="rId3"/>
  </sheet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W38" i="7" l="1"/>
  <c r="AV38" i="7"/>
  <c r="AB34" i="7" l="1"/>
  <c r="AB35" i="7"/>
  <c r="AB36" i="7"/>
  <c r="AB37" i="7"/>
  <c r="AW7" i="7" l="1"/>
  <c r="AW8" i="7"/>
  <c r="P29" i="9" l="1"/>
  <c r="P30" i="9"/>
  <c r="P31" i="9"/>
  <c r="P32" i="9"/>
  <c r="S15" i="9"/>
  <c r="S18" i="9"/>
  <c r="S19" i="9"/>
  <c r="AB8" i="7" l="1"/>
  <c r="P3" i="9" s="1"/>
  <c r="AB9" i="7"/>
  <c r="P4" i="9" s="1"/>
  <c r="AB10" i="7"/>
  <c r="P5" i="9" s="1"/>
  <c r="AB11" i="7"/>
  <c r="P6" i="9" s="1"/>
  <c r="AB12" i="7"/>
  <c r="P7" i="9" s="1"/>
  <c r="AB13" i="7"/>
  <c r="P8" i="9" s="1"/>
  <c r="AB14" i="7"/>
  <c r="P9" i="9" s="1"/>
  <c r="AB15" i="7"/>
  <c r="P10" i="9" s="1"/>
  <c r="AB16" i="7"/>
  <c r="P11" i="9" s="1"/>
  <c r="AB17" i="7"/>
  <c r="P12" i="9" s="1"/>
  <c r="AB18" i="7"/>
  <c r="P13" i="9" s="1"/>
  <c r="AB19" i="7"/>
  <c r="P14" i="9" s="1"/>
  <c r="AB20" i="7"/>
  <c r="P15" i="9" s="1"/>
  <c r="AB21" i="7"/>
  <c r="P16" i="9" s="1"/>
  <c r="AB22" i="7"/>
  <c r="P17" i="9" s="1"/>
  <c r="AB23" i="7"/>
  <c r="P18" i="9" s="1"/>
  <c r="AB24" i="7"/>
  <c r="P19" i="9" s="1"/>
  <c r="AB25" i="7"/>
  <c r="P20" i="9" s="1"/>
  <c r="AB26" i="7"/>
  <c r="P21" i="9" s="1"/>
  <c r="AB27" i="7"/>
  <c r="P22" i="9" s="1"/>
  <c r="AB28" i="7"/>
  <c r="P23" i="9" s="1"/>
  <c r="AB29" i="7"/>
  <c r="P24" i="9" s="1"/>
  <c r="AB30" i="7"/>
  <c r="P25" i="9" s="1"/>
  <c r="AB31" i="7"/>
  <c r="P26" i="9" s="1"/>
  <c r="AB32" i="7"/>
  <c r="P27" i="9" s="1"/>
  <c r="AB33" i="7"/>
  <c r="P28" i="9" s="1"/>
  <c r="AC31" i="7" l="1"/>
  <c r="Q26" i="9" s="1"/>
  <c r="AC32" i="7"/>
  <c r="Q27" i="9" s="1"/>
  <c r="AC33" i="7"/>
  <c r="Q28" i="9" s="1"/>
  <c r="AC34" i="7"/>
  <c r="Q29" i="9" s="1"/>
  <c r="AC35" i="7"/>
  <c r="Q30" i="9" s="1"/>
  <c r="AC36" i="7"/>
  <c r="Q31" i="9" s="1"/>
  <c r="AC37" i="7"/>
  <c r="Q32" i="9" s="1"/>
  <c r="I29" i="5" l="1"/>
  <c r="S29" i="9"/>
  <c r="Q35" i="7" l="1"/>
  <c r="E30" i="9" s="1"/>
  <c r="Q34" i="7"/>
  <c r="E29" i="9" s="1"/>
  <c r="Q31" i="7"/>
  <c r="E26" i="9" s="1"/>
  <c r="Q33" i="7"/>
  <c r="E28" i="9" s="1"/>
  <c r="Q32" i="7"/>
  <c r="E27" i="9" s="1"/>
  <c r="AF34" i="7" l="1"/>
  <c r="I32" i="5"/>
  <c r="B32" i="5"/>
  <c r="S32" i="9" l="1"/>
  <c r="B32" i="9"/>
  <c r="AV36" i="7" l="1"/>
  <c r="AV37" i="7"/>
  <c r="R32" i="9" s="1"/>
  <c r="Q37" i="7"/>
  <c r="R37" i="7"/>
  <c r="F32" i="9" s="1"/>
  <c r="S37" i="7"/>
  <c r="G32" i="9" s="1"/>
  <c r="T37" i="7"/>
  <c r="H32" i="9" s="1"/>
  <c r="U37" i="7"/>
  <c r="I32" i="9" s="1"/>
  <c r="V37" i="7"/>
  <c r="J32" i="9" s="1"/>
  <c r="W37" i="7"/>
  <c r="K32" i="9" s="1"/>
  <c r="X37" i="7"/>
  <c r="L32" i="9" s="1"/>
  <c r="Y37" i="7"/>
  <c r="Z37" i="7"/>
  <c r="AA37" i="7"/>
  <c r="O32" i="9" s="1"/>
  <c r="AN37" i="7" l="1"/>
  <c r="M32" i="9"/>
  <c r="AW36" i="7"/>
  <c r="R31" i="9"/>
  <c r="AD37" i="7"/>
  <c r="AM37" i="7"/>
  <c r="AW37" i="7"/>
  <c r="G32" i="5"/>
  <c r="AK37" i="7"/>
  <c r="AJ37" i="7"/>
  <c r="AP37" i="7"/>
  <c r="AH37" i="7"/>
  <c r="AO37" i="7"/>
  <c r="N32" i="9"/>
  <c r="AG37" i="7"/>
  <c r="AR37" i="7"/>
  <c r="AF37" i="7"/>
  <c r="E32" i="9"/>
  <c r="AL37" i="7"/>
  <c r="AQ37" i="7"/>
  <c r="AI37" i="7"/>
  <c r="AV8" i="7"/>
  <c r="AV7" i="7"/>
  <c r="R2" i="9" s="1"/>
  <c r="G2" i="5" s="1"/>
  <c r="G31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30" i="5"/>
  <c r="I31" i="5"/>
  <c r="V21" i="7"/>
  <c r="AV27" i="7"/>
  <c r="AV28" i="7"/>
  <c r="AV29" i="7"/>
  <c r="AV30" i="7"/>
  <c r="AV31" i="7"/>
  <c r="AV32" i="7"/>
  <c r="AV33" i="7"/>
  <c r="AV34" i="7"/>
  <c r="AV35" i="7"/>
  <c r="AV10" i="7"/>
  <c r="AV11" i="7"/>
  <c r="AV12" i="7"/>
  <c r="AV13" i="7"/>
  <c r="AV14" i="7"/>
  <c r="AV15" i="7"/>
  <c r="AV16" i="7"/>
  <c r="AV17" i="7"/>
  <c r="AV18" i="7"/>
  <c r="R13" i="9" s="1"/>
  <c r="AV19" i="7"/>
  <c r="AV20" i="7"/>
  <c r="AV21" i="7"/>
  <c r="R16" i="9" s="1"/>
  <c r="AV22" i="7"/>
  <c r="R17" i="9" s="1"/>
  <c r="AV23" i="7"/>
  <c r="AV24" i="7"/>
  <c r="AV25" i="7"/>
  <c r="AV26" i="7"/>
  <c r="AV9" i="7"/>
  <c r="S31" i="9"/>
  <c r="S7" i="7"/>
  <c r="AQ36" i="7"/>
  <c r="AA36" i="7"/>
  <c r="O31" i="9" s="1"/>
  <c r="Z36" i="7"/>
  <c r="N31" i="9" s="1"/>
  <c r="Y36" i="7"/>
  <c r="X36" i="7"/>
  <c r="L31" i="9" s="1"/>
  <c r="W36" i="7"/>
  <c r="K31" i="9" s="1"/>
  <c r="V36" i="7"/>
  <c r="U36" i="7"/>
  <c r="I31" i="9" s="1"/>
  <c r="T36" i="7"/>
  <c r="H31" i="9" s="1"/>
  <c r="S36" i="7"/>
  <c r="R36" i="7"/>
  <c r="Q36" i="7"/>
  <c r="E31" i="9" s="1"/>
  <c r="S8" i="7"/>
  <c r="G3" i="9" s="1"/>
  <c r="S9" i="7"/>
  <c r="S10" i="7"/>
  <c r="S11" i="7"/>
  <c r="S12" i="7"/>
  <c r="G7" i="9" s="1"/>
  <c r="Q22" i="7"/>
  <c r="I2" i="5"/>
  <c r="S3" i="9"/>
  <c r="S4" i="9"/>
  <c r="S5" i="9"/>
  <c r="S6" i="9"/>
  <c r="S7" i="9"/>
  <c r="S8" i="9"/>
  <c r="S9" i="9"/>
  <c r="S10" i="9"/>
  <c r="S11" i="9"/>
  <c r="S12" i="9"/>
  <c r="S13" i="9"/>
  <c r="S14" i="9"/>
  <c r="S20" i="9"/>
  <c r="S21" i="9"/>
  <c r="S22" i="9"/>
  <c r="S23" i="9"/>
  <c r="S24" i="9"/>
  <c r="S25" i="9"/>
  <c r="S26" i="9"/>
  <c r="S27" i="9"/>
  <c r="S28" i="9"/>
  <c r="S30" i="9"/>
  <c r="S2" i="9"/>
  <c r="R9" i="7"/>
  <c r="T9" i="7"/>
  <c r="H4" i="9" s="1"/>
  <c r="U9" i="7"/>
  <c r="V9" i="7"/>
  <c r="W9" i="7"/>
  <c r="K4" i="9" s="1"/>
  <c r="X9" i="7"/>
  <c r="Y9" i="7"/>
  <c r="M4" i="9" s="1"/>
  <c r="Z9" i="7"/>
  <c r="AA9" i="7"/>
  <c r="O4" i="9" s="1"/>
  <c r="AC9" i="7"/>
  <c r="R10" i="7"/>
  <c r="F5" i="9" s="1"/>
  <c r="T10" i="7"/>
  <c r="H5" i="9" s="1"/>
  <c r="U10" i="7"/>
  <c r="V10" i="7"/>
  <c r="W10" i="7"/>
  <c r="K5" i="9" s="1"/>
  <c r="X10" i="7"/>
  <c r="Y10" i="7"/>
  <c r="Z10" i="7"/>
  <c r="AA10" i="7"/>
  <c r="O5" i="9" s="1"/>
  <c r="AQ10" i="7"/>
  <c r="AC10" i="7"/>
  <c r="Q5" i="9" s="1"/>
  <c r="R11" i="7"/>
  <c r="T11" i="7"/>
  <c r="H6" i="9" s="1"/>
  <c r="U11" i="7"/>
  <c r="V11" i="7"/>
  <c r="W11" i="7"/>
  <c r="X11" i="7"/>
  <c r="Y11" i="7"/>
  <c r="M6" i="9" s="1"/>
  <c r="Z11" i="7"/>
  <c r="N6" i="9" s="1"/>
  <c r="AA11" i="7"/>
  <c r="AC11" i="7"/>
  <c r="Q6" i="9" s="1"/>
  <c r="R12" i="7"/>
  <c r="T12" i="7"/>
  <c r="H7" i="9" s="1"/>
  <c r="U12" i="7"/>
  <c r="I7" i="9" s="1"/>
  <c r="V12" i="7"/>
  <c r="W12" i="7"/>
  <c r="X12" i="7"/>
  <c r="L7" i="9" s="1"/>
  <c r="Y12" i="7"/>
  <c r="M7" i="9" s="1"/>
  <c r="Z12" i="7"/>
  <c r="N7" i="9" s="1"/>
  <c r="AA12" i="7"/>
  <c r="AC12" i="7"/>
  <c r="Q7" i="9" s="1"/>
  <c r="R13" i="7"/>
  <c r="F8" i="9" s="1"/>
  <c r="S13" i="7"/>
  <c r="T13" i="7"/>
  <c r="H8" i="9" s="1"/>
  <c r="U13" i="7"/>
  <c r="I8" i="9" s="1"/>
  <c r="V13" i="7"/>
  <c r="W13" i="7"/>
  <c r="X13" i="7"/>
  <c r="L8" i="9" s="1"/>
  <c r="Y13" i="7"/>
  <c r="Z13" i="7"/>
  <c r="AA13" i="7"/>
  <c r="O8" i="9" s="1"/>
  <c r="AQ13" i="7"/>
  <c r="AC13" i="7"/>
  <c r="R14" i="7"/>
  <c r="F9" i="9" s="1"/>
  <c r="S14" i="7"/>
  <c r="G9" i="9" s="1"/>
  <c r="T14" i="7"/>
  <c r="U14" i="7"/>
  <c r="V14" i="7"/>
  <c r="W14" i="7"/>
  <c r="K9" i="9" s="1"/>
  <c r="X14" i="7"/>
  <c r="L9" i="9" s="1"/>
  <c r="Y14" i="7"/>
  <c r="M9" i="9" s="1"/>
  <c r="Z14" i="7"/>
  <c r="N9" i="9" s="1"/>
  <c r="AA14" i="7"/>
  <c r="AQ14" i="7"/>
  <c r="AC14" i="7"/>
  <c r="Q9" i="9" s="1"/>
  <c r="R15" i="7"/>
  <c r="F10" i="9" s="1"/>
  <c r="S15" i="7"/>
  <c r="G10" i="9" s="1"/>
  <c r="T15" i="7"/>
  <c r="H10" i="9" s="1"/>
  <c r="U15" i="7"/>
  <c r="I10" i="9" s="1"/>
  <c r="V15" i="7"/>
  <c r="J10" i="9" s="1"/>
  <c r="W15" i="7"/>
  <c r="X15" i="7"/>
  <c r="Y15" i="7"/>
  <c r="Z15" i="7"/>
  <c r="AA15" i="7"/>
  <c r="AQ15" i="7"/>
  <c r="AC15" i="7"/>
  <c r="R16" i="7"/>
  <c r="S16" i="7"/>
  <c r="G11" i="9" s="1"/>
  <c r="T16" i="7"/>
  <c r="U16" i="7"/>
  <c r="V16" i="7"/>
  <c r="J11" i="9" s="1"/>
  <c r="W16" i="7"/>
  <c r="K11" i="9" s="1"/>
  <c r="X16" i="7"/>
  <c r="Y16" i="7"/>
  <c r="Z16" i="7"/>
  <c r="N11" i="9" s="1"/>
  <c r="AA16" i="7"/>
  <c r="O11" i="9" s="1"/>
  <c r="AC16" i="7"/>
  <c r="R17" i="7"/>
  <c r="S17" i="7"/>
  <c r="T17" i="7"/>
  <c r="U17" i="7"/>
  <c r="I12" i="9" s="1"/>
  <c r="V17" i="7"/>
  <c r="J12" i="9" s="1"/>
  <c r="W17" i="7"/>
  <c r="X17" i="7"/>
  <c r="Y17" i="7"/>
  <c r="Z17" i="7"/>
  <c r="AA17" i="7"/>
  <c r="O12" i="9" s="1"/>
  <c r="AC17" i="7"/>
  <c r="Q12" i="9" s="1"/>
  <c r="R18" i="7"/>
  <c r="F13" i="9" s="1"/>
  <c r="S18" i="7"/>
  <c r="T18" i="7"/>
  <c r="U18" i="7"/>
  <c r="I13" i="9" s="1"/>
  <c r="V18" i="7"/>
  <c r="W18" i="7"/>
  <c r="K13" i="9" s="1"/>
  <c r="X18" i="7"/>
  <c r="L13" i="9" s="1"/>
  <c r="Y18" i="7"/>
  <c r="Z18" i="7"/>
  <c r="N13" i="9" s="1"/>
  <c r="AA18" i="7"/>
  <c r="AC18" i="7"/>
  <c r="Q13" i="9" s="1"/>
  <c r="R19" i="7"/>
  <c r="S19" i="7"/>
  <c r="G14" i="9" s="1"/>
  <c r="T19" i="7"/>
  <c r="H14" i="9" s="1"/>
  <c r="U19" i="7"/>
  <c r="I14" i="9" s="1"/>
  <c r="V19" i="7"/>
  <c r="J14" i="9" s="1"/>
  <c r="W19" i="7"/>
  <c r="X19" i="7"/>
  <c r="Y19" i="7"/>
  <c r="Z19" i="7"/>
  <c r="AA19" i="7"/>
  <c r="O14" i="9" s="1"/>
  <c r="AC19" i="7"/>
  <c r="Q14" i="9" s="1"/>
  <c r="R20" i="7"/>
  <c r="S20" i="7"/>
  <c r="G15" i="9" s="1"/>
  <c r="U20" i="7"/>
  <c r="V20" i="7"/>
  <c r="J15" i="9" s="1"/>
  <c r="W20" i="7"/>
  <c r="X20" i="7"/>
  <c r="L15" i="9" s="1"/>
  <c r="Y20" i="7"/>
  <c r="M15" i="9" s="1"/>
  <c r="Z20" i="7"/>
  <c r="AA20" i="7"/>
  <c r="O15" i="9" s="1"/>
  <c r="AC20" i="7"/>
  <c r="Q15" i="9" s="1"/>
  <c r="R21" i="7"/>
  <c r="F16" i="9" s="1"/>
  <c r="S21" i="7"/>
  <c r="G16" i="9" s="1"/>
  <c r="U21" i="7"/>
  <c r="I16" i="9" s="1"/>
  <c r="W21" i="7"/>
  <c r="K16" i="9" s="1"/>
  <c r="X21" i="7"/>
  <c r="Y21" i="7"/>
  <c r="M16" i="9" s="1"/>
  <c r="Z21" i="7"/>
  <c r="N16" i="9" s="1"/>
  <c r="AA21" i="7"/>
  <c r="O16" i="9" s="1"/>
  <c r="AC21" i="7"/>
  <c r="Q16" i="9" s="1"/>
  <c r="R22" i="7"/>
  <c r="S22" i="7"/>
  <c r="G17" i="9" s="1"/>
  <c r="T22" i="7"/>
  <c r="U22" i="7"/>
  <c r="V22" i="7"/>
  <c r="W22" i="7"/>
  <c r="Y22" i="7"/>
  <c r="M17" i="9" s="1"/>
  <c r="Z22" i="7"/>
  <c r="N17" i="9" s="1"/>
  <c r="AA22" i="7"/>
  <c r="O17" i="9" s="1"/>
  <c r="AQ22" i="7"/>
  <c r="R23" i="7"/>
  <c r="F18" i="9" s="1"/>
  <c r="S23" i="7"/>
  <c r="T23" i="7"/>
  <c r="U23" i="7"/>
  <c r="V23" i="7"/>
  <c r="W23" i="7"/>
  <c r="K18" i="9" s="1"/>
  <c r="Y23" i="7"/>
  <c r="M18" i="9" s="1"/>
  <c r="Z23" i="7"/>
  <c r="N18" i="9" s="1"/>
  <c r="AA23" i="7"/>
  <c r="O18" i="9" s="1"/>
  <c r="AQ23" i="7"/>
  <c r="R24" i="7"/>
  <c r="S24" i="7"/>
  <c r="T24" i="7"/>
  <c r="U24" i="7"/>
  <c r="I19" i="9" s="1"/>
  <c r="V24" i="7"/>
  <c r="J19" i="9" s="1"/>
  <c r="W24" i="7"/>
  <c r="X24" i="7"/>
  <c r="Y24" i="7"/>
  <c r="Z24" i="7"/>
  <c r="N19" i="9" s="1"/>
  <c r="AA24" i="7"/>
  <c r="O19" i="9" s="1"/>
  <c r="AC24" i="7"/>
  <c r="R25" i="7"/>
  <c r="S25" i="7"/>
  <c r="G20" i="9" s="1"/>
  <c r="T25" i="7"/>
  <c r="H20" i="9" s="1"/>
  <c r="U25" i="7"/>
  <c r="V25" i="7"/>
  <c r="J20" i="9" s="1"/>
  <c r="W25" i="7"/>
  <c r="X25" i="7"/>
  <c r="L20" i="9" s="1"/>
  <c r="Y25" i="7"/>
  <c r="M20" i="9" s="1"/>
  <c r="Z25" i="7"/>
  <c r="N20" i="9" s="1"/>
  <c r="AA25" i="7"/>
  <c r="O20" i="9" s="1"/>
  <c r="AQ25" i="7"/>
  <c r="AC25" i="7"/>
  <c r="R26" i="7"/>
  <c r="S26" i="7"/>
  <c r="T26" i="7"/>
  <c r="H21" i="9" s="1"/>
  <c r="U26" i="7"/>
  <c r="I21" i="9" s="1"/>
  <c r="V26" i="7"/>
  <c r="W26" i="7"/>
  <c r="X26" i="7"/>
  <c r="L21" i="9" s="1"/>
  <c r="Y26" i="7"/>
  <c r="M21" i="9" s="1"/>
  <c r="Z26" i="7"/>
  <c r="AA26" i="7"/>
  <c r="O21" i="9" s="1"/>
  <c r="AQ26" i="7"/>
  <c r="AC26" i="7"/>
  <c r="R27" i="7"/>
  <c r="S27" i="7"/>
  <c r="T27" i="7"/>
  <c r="U27" i="7"/>
  <c r="I22" i="9" s="1"/>
  <c r="V27" i="7"/>
  <c r="W27" i="7"/>
  <c r="K22" i="9" s="1"/>
  <c r="X27" i="7"/>
  <c r="L22" i="9" s="1"/>
  <c r="Y27" i="7"/>
  <c r="M22" i="9" s="1"/>
  <c r="Z27" i="7"/>
  <c r="AA27" i="7"/>
  <c r="O22" i="9" s="1"/>
  <c r="AQ27" i="7"/>
  <c r="AC27" i="7"/>
  <c r="Q22" i="9" s="1"/>
  <c r="R28" i="7"/>
  <c r="F23" i="9" s="1"/>
  <c r="S28" i="7"/>
  <c r="G23" i="9" s="1"/>
  <c r="T28" i="7"/>
  <c r="H23" i="9" s="1"/>
  <c r="U28" i="7"/>
  <c r="V28" i="7"/>
  <c r="J23" i="9" s="1"/>
  <c r="W28" i="7"/>
  <c r="X28" i="7"/>
  <c r="L23" i="9" s="1"/>
  <c r="Y28" i="7"/>
  <c r="Z28" i="7"/>
  <c r="AA28" i="7"/>
  <c r="O23" i="9" s="1"/>
  <c r="AC28" i="7"/>
  <c r="R29" i="7"/>
  <c r="S29" i="7"/>
  <c r="G24" i="9" s="1"/>
  <c r="T29" i="7"/>
  <c r="U29" i="7"/>
  <c r="I24" i="9" s="1"/>
  <c r="V29" i="7"/>
  <c r="W29" i="7"/>
  <c r="X29" i="7"/>
  <c r="Y29" i="7"/>
  <c r="M24" i="9" s="1"/>
  <c r="Z29" i="7"/>
  <c r="N24" i="9" s="1"/>
  <c r="AA29" i="7"/>
  <c r="AC29" i="7"/>
  <c r="R30" i="7"/>
  <c r="S30" i="7"/>
  <c r="G25" i="9" s="1"/>
  <c r="T30" i="7"/>
  <c r="U30" i="7"/>
  <c r="I25" i="9" s="1"/>
  <c r="V30" i="7"/>
  <c r="W30" i="7"/>
  <c r="X30" i="7"/>
  <c r="L25" i="9" s="1"/>
  <c r="Y30" i="7"/>
  <c r="Z30" i="7"/>
  <c r="AA30" i="7"/>
  <c r="AQ30" i="7"/>
  <c r="AC30" i="7"/>
  <c r="Q25" i="9" s="1"/>
  <c r="R31" i="7"/>
  <c r="F26" i="9" s="1"/>
  <c r="S31" i="7"/>
  <c r="T31" i="7"/>
  <c r="H26" i="9" s="1"/>
  <c r="U31" i="7"/>
  <c r="I26" i="9" s="1"/>
  <c r="V31" i="7"/>
  <c r="W31" i="7"/>
  <c r="X31" i="7"/>
  <c r="L26" i="9" s="1"/>
  <c r="Y31" i="7"/>
  <c r="M26" i="9" s="1"/>
  <c r="Z31" i="7"/>
  <c r="N26" i="9" s="1"/>
  <c r="AA31" i="7"/>
  <c r="O26" i="9" s="1"/>
  <c r="AQ31" i="7"/>
  <c r="R32" i="7"/>
  <c r="F27" i="9" s="1"/>
  <c r="S32" i="7"/>
  <c r="G27" i="9" s="1"/>
  <c r="T32" i="7"/>
  <c r="U32" i="7"/>
  <c r="V32" i="7"/>
  <c r="J27" i="9" s="1"/>
  <c r="W32" i="7"/>
  <c r="K27" i="9" s="1"/>
  <c r="X32" i="7"/>
  <c r="L27" i="9" s="1"/>
  <c r="Y32" i="7"/>
  <c r="Z32" i="7"/>
  <c r="AA32" i="7"/>
  <c r="O27" i="9" s="1"/>
  <c r="AQ32" i="7"/>
  <c r="AR32" i="7"/>
  <c r="R33" i="7"/>
  <c r="S33" i="7"/>
  <c r="G28" i="9" s="1"/>
  <c r="T33" i="7"/>
  <c r="H28" i="9" s="1"/>
  <c r="U33" i="7"/>
  <c r="I28" i="9" s="1"/>
  <c r="V33" i="7"/>
  <c r="J28" i="9" s="1"/>
  <c r="W33" i="7"/>
  <c r="K28" i="9" s="1"/>
  <c r="X33" i="7"/>
  <c r="Y33" i="7"/>
  <c r="Z33" i="7"/>
  <c r="AA33" i="7"/>
  <c r="O28" i="9" s="1"/>
  <c r="AR33" i="7"/>
  <c r="R34" i="7"/>
  <c r="F29" i="9" s="1"/>
  <c r="S34" i="7"/>
  <c r="T34" i="7"/>
  <c r="H29" i="9" s="1"/>
  <c r="U34" i="7"/>
  <c r="V34" i="7"/>
  <c r="W34" i="7"/>
  <c r="X34" i="7"/>
  <c r="Y34" i="7"/>
  <c r="M29" i="9" s="1"/>
  <c r="Z34" i="7"/>
  <c r="AA34" i="7"/>
  <c r="O29" i="9" s="1"/>
  <c r="AR34" i="7"/>
  <c r="R35" i="7"/>
  <c r="S35" i="7"/>
  <c r="G30" i="9" s="1"/>
  <c r="T35" i="7"/>
  <c r="H30" i="9" s="1"/>
  <c r="U35" i="7"/>
  <c r="I30" i="9" s="1"/>
  <c r="V35" i="7"/>
  <c r="J30" i="9" s="1"/>
  <c r="W35" i="7"/>
  <c r="K30" i="9" s="1"/>
  <c r="X35" i="7"/>
  <c r="Y35" i="7"/>
  <c r="M30" i="9" s="1"/>
  <c r="Z35" i="7"/>
  <c r="N30" i="9" s="1"/>
  <c r="AA35" i="7"/>
  <c r="O30" i="9" s="1"/>
  <c r="AR35" i="7"/>
  <c r="R8" i="7"/>
  <c r="F3" i="9" s="1"/>
  <c r="T8" i="7"/>
  <c r="U8" i="7"/>
  <c r="I3" i="9" s="1"/>
  <c r="V8" i="7"/>
  <c r="W8" i="7"/>
  <c r="K3" i="9" s="1"/>
  <c r="X8" i="7"/>
  <c r="Y8" i="7"/>
  <c r="M3" i="9" s="1"/>
  <c r="Z8" i="7"/>
  <c r="AA8" i="7"/>
  <c r="AC8" i="7"/>
  <c r="R7" i="7"/>
  <c r="T7" i="7"/>
  <c r="U7" i="7"/>
  <c r="V7" i="7"/>
  <c r="W7" i="7"/>
  <c r="X7" i="7"/>
  <c r="Y7" i="7"/>
  <c r="Z7" i="7"/>
  <c r="AA7" i="7"/>
  <c r="AB7" i="7"/>
  <c r="AC7" i="7"/>
  <c r="Q9" i="7"/>
  <c r="E4" i="9" s="1"/>
  <c r="Q10" i="7"/>
  <c r="Q11" i="7"/>
  <c r="E6" i="9" s="1"/>
  <c r="Q12" i="7"/>
  <c r="Q13" i="7"/>
  <c r="Q14" i="7"/>
  <c r="Q15" i="7"/>
  <c r="E10" i="9" s="1"/>
  <c r="Q16" i="7"/>
  <c r="Q17" i="7"/>
  <c r="E12" i="9" s="1"/>
  <c r="Q18" i="7"/>
  <c r="E13" i="9" s="1"/>
  <c r="Q19" i="7"/>
  <c r="E14" i="9" s="1"/>
  <c r="Q20" i="7"/>
  <c r="Q21" i="7"/>
  <c r="Q23" i="7"/>
  <c r="Q24" i="7"/>
  <c r="E19" i="9" s="1"/>
  <c r="Q25" i="7"/>
  <c r="E20" i="9" s="1"/>
  <c r="Q26" i="7"/>
  <c r="E21" i="9" s="1"/>
  <c r="Q27" i="7"/>
  <c r="Q28" i="7"/>
  <c r="Q29" i="7"/>
  <c r="Q30" i="7"/>
  <c r="E25" i="9" s="1"/>
  <c r="AF32" i="7"/>
  <c r="AF33" i="7"/>
  <c r="Q8" i="7"/>
  <c r="E3" i="9" s="1"/>
  <c r="Q7" i="7"/>
  <c r="AU44" i="7"/>
  <c r="AV45" i="7" s="1"/>
  <c r="B3" i="9"/>
  <c r="B4" i="9" s="1"/>
  <c r="B5" i="9" s="1"/>
  <c r="B6" i="9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" i="5"/>
  <c r="B4" i="5"/>
  <c r="B5" i="5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X23" i="7"/>
  <c r="AC22" i="7"/>
  <c r="Q17" i="9" s="1"/>
  <c r="AC23" i="7"/>
  <c r="Q18" i="9" s="1"/>
  <c r="X22" i="7"/>
  <c r="L17" i="9" s="1"/>
  <c r="T20" i="7"/>
  <c r="H15" i="9" s="1"/>
  <c r="T21" i="7"/>
  <c r="AN36" i="7" l="1"/>
  <c r="M31" i="9"/>
  <c r="AK36" i="7"/>
  <c r="J31" i="9"/>
  <c r="AH36" i="7"/>
  <c r="G31" i="9"/>
  <c r="AG36" i="7"/>
  <c r="F31" i="9"/>
  <c r="AW35" i="7"/>
  <c r="R30" i="9"/>
  <c r="G30" i="5" s="1"/>
  <c r="AM35" i="7"/>
  <c r="L30" i="9"/>
  <c r="AG35" i="7"/>
  <c r="F30" i="9"/>
  <c r="AW34" i="7"/>
  <c r="R29" i="9"/>
  <c r="AO34" i="7"/>
  <c r="N29" i="9"/>
  <c r="AM34" i="7"/>
  <c r="L29" i="9"/>
  <c r="AL34" i="7"/>
  <c r="K29" i="9"/>
  <c r="AK34" i="7"/>
  <c r="J29" i="9"/>
  <c r="AJ34" i="7"/>
  <c r="I29" i="9"/>
  <c r="AH34" i="7"/>
  <c r="G29" i="9"/>
  <c r="AW33" i="7"/>
  <c r="R28" i="9"/>
  <c r="G28" i="5" s="1"/>
  <c r="AO33" i="7"/>
  <c r="N28" i="9"/>
  <c r="AN33" i="7"/>
  <c r="M28" i="9"/>
  <c r="AM33" i="7"/>
  <c r="L28" i="9"/>
  <c r="AG33" i="7"/>
  <c r="F28" i="9"/>
  <c r="AW32" i="7"/>
  <c r="R27" i="9"/>
  <c r="AO32" i="7"/>
  <c r="N27" i="9"/>
  <c r="AN32" i="7"/>
  <c r="M27" i="9"/>
  <c r="AJ32" i="7"/>
  <c r="I27" i="9"/>
  <c r="AI32" i="7"/>
  <c r="H27" i="9"/>
  <c r="AW31" i="7"/>
  <c r="R26" i="9"/>
  <c r="G26" i="5" s="1"/>
  <c r="AL31" i="7"/>
  <c r="K26" i="9"/>
  <c r="AK31" i="7"/>
  <c r="J26" i="9"/>
  <c r="AH31" i="7"/>
  <c r="G26" i="9"/>
  <c r="R25" i="9"/>
  <c r="G25" i="5" s="1"/>
  <c r="AP30" i="7"/>
  <c r="O25" i="9"/>
  <c r="AO30" i="7"/>
  <c r="N25" i="9"/>
  <c r="AN30" i="7"/>
  <c r="M25" i="9"/>
  <c r="AL30" i="7"/>
  <c r="K25" i="9"/>
  <c r="AK30" i="7"/>
  <c r="J25" i="9"/>
  <c r="AI30" i="7"/>
  <c r="H25" i="9"/>
  <c r="AG30" i="7"/>
  <c r="F25" i="9"/>
  <c r="R24" i="9"/>
  <c r="G24" i="5" s="1"/>
  <c r="AR29" i="7"/>
  <c r="Q24" i="9"/>
  <c r="AP29" i="7"/>
  <c r="O24" i="9"/>
  <c r="AM29" i="7"/>
  <c r="L24" i="9"/>
  <c r="AL29" i="7"/>
  <c r="K24" i="9"/>
  <c r="AK29" i="7"/>
  <c r="J24" i="9"/>
  <c r="AI29" i="7"/>
  <c r="H24" i="9"/>
  <c r="AG29" i="7"/>
  <c r="F24" i="9"/>
  <c r="AF29" i="7"/>
  <c r="E24" i="9"/>
  <c r="AW28" i="7"/>
  <c r="R23" i="9"/>
  <c r="G23" i="5" s="1"/>
  <c r="AR28" i="7"/>
  <c r="Q23" i="9"/>
  <c r="AO28" i="7"/>
  <c r="N23" i="9"/>
  <c r="AN28" i="7"/>
  <c r="M23" i="9"/>
  <c r="AL28" i="7"/>
  <c r="K23" i="9"/>
  <c r="AJ28" i="7"/>
  <c r="I23" i="9"/>
  <c r="AF28" i="7"/>
  <c r="E23" i="9"/>
  <c r="AW27" i="7"/>
  <c r="R22" i="9"/>
  <c r="AW26" i="7"/>
  <c r="R21" i="9"/>
  <c r="G21" i="5" s="1"/>
  <c r="AO27" i="7"/>
  <c r="N22" i="9"/>
  <c r="AK27" i="7"/>
  <c r="J22" i="9"/>
  <c r="AI27" i="7"/>
  <c r="H22" i="9"/>
  <c r="AH27" i="7"/>
  <c r="G22" i="9"/>
  <c r="AG27" i="7"/>
  <c r="F22" i="9"/>
  <c r="AF27" i="7"/>
  <c r="E22" i="9"/>
  <c r="AR26" i="7"/>
  <c r="Q21" i="9"/>
  <c r="AO26" i="7"/>
  <c r="N21" i="9"/>
  <c r="AL26" i="7"/>
  <c r="K21" i="9"/>
  <c r="AK26" i="7"/>
  <c r="J21" i="9"/>
  <c r="AH26" i="7"/>
  <c r="G21" i="9"/>
  <c r="AG26" i="7"/>
  <c r="F21" i="9"/>
  <c r="R20" i="9"/>
  <c r="G20" i="5" s="1"/>
  <c r="AR25" i="7"/>
  <c r="Q20" i="9"/>
  <c r="AL25" i="7"/>
  <c r="K20" i="9"/>
  <c r="AJ25" i="7"/>
  <c r="I20" i="9"/>
  <c r="AG25" i="7"/>
  <c r="F20" i="9"/>
  <c r="S38" i="7"/>
  <c r="M2" i="9"/>
  <c r="Y38" i="7"/>
  <c r="AP7" i="7"/>
  <c r="AA38" i="7"/>
  <c r="AL7" i="7"/>
  <c r="W38" i="7"/>
  <c r="AG7" i="7"/>
  <c r="R38" i="7"/>
  <c r="AR7" i="7"/>
  <c r="AC38" i="7"/>
  <c r="E2" i="9"/>
  <c r="Q38" i="7"/>
  <c r="AO7" i="7"/>
  <c r="Z38" i="7"/>
  <c r="J2" i="9"/>
  <c r="V38" i="7"/>
  <c r="I2" i="9"/>
  <c r="U38" i="7"/>
  <c r="P2" i="9"/>
  <c r="AB38" i="7"/>
  <c r="AM7" i="7"/>
  <c r="X38" i="7"/>
  <c r="H2" i="9"/>
  <c r="T38" i="7"/>
  <c r="AJ9" i="7"/>
  <c r="I4" i="9"/>
  <c r="AF10" i="7"/>
  <c r="E5" i="9"/>
  <c r="AM10" i="7"/>
  <c r="L5" i="9"/>
  <c r="AO9" i="7"/>
  <c r="N4" i="9"/>
  <c r="AK9" i="7"/>
  <c r="J4" i="9"/>
  <c r="AH9" i="7"/>
  <c r="G4" i="9"/>
  <c r="AR8" i="7"/>
  <c r="Q3" i="9"/>
  <c r="AM8" i="7"/>
  <c r="L3" i="9"/>
  <c r="AI8" i="7"/>
  <c r="H3" i="9"/>
  <c r="AP8" i="7"/>
  <c r="O3" i="9"/>
  <c r="AO10" i="7"/>
  <c r="N5" i="9"/>
  <c r="AK10" i="7"/>
  <c r="J5" i="9"/>
  <c r="AR9" i="7"/>
  <c r="Q4" i="9"/>
  <c r="AM9" i="7"/>
  <c r="L4" i="9"/>
  <c r="AO8" i="7"/>
  <c r="N3" i="9"/>
  <c r="AK8" i="7"/>
  <c r="J3" i="9"/>
  <c r="AN10" i="7"/>
  <c r="M5" i="9"/>
  <c r="AJ10" i="7"/>
  <c r="I5" i="9"/>
  <c r="AG9" i="7"/>
  <c r="F4" i="9"/>
  <c r="AH10" i="7"/>
  <c r="G5" i="9"/>
  <c r="R3" i="9"/>
  <c r="G3" i="5" s="1"/>
  <c r="AW9" i="7"/>
  <c r="R4" i="9"/>
  <c r="AW10" i="7"/>
  <c r="R5" i="9"/>
  <c r="AW24" i="7"/>
  <c r="R19" i="9"/>
  <c r="G19" i="5" s="1"/>
  <c r="AR24" i="7"/>
  <c r="Q19" i="9"/>
  <c r="AN24" i="7"/>
  <c r="M19" i="9"/>
  <c r="AM24" i="7"/>
  <c r="L19" i="9"/>
  <c r="AL24" i="7"/>
  <c r="K19" i="9"/>
  <c r="AI24" i="7"/>
  <c r="H19" i="9"/>
  <c r="AH24" i="7"/>
  <c r="G19" i="9"/>
  <c r="AG24" i="7"/>
  <c r="F19" i="9"/>
  <c r="AW23" i="7"/>
  <c r="R18" i="9"/>
  <c r="G18" i="5" s="1"/>
  <c r="AM23" i="7"/>
  <c r="L18" i="9"/>
  <c r="AK23" i="7"/>
  <c r="J18" i="9"/>
  <c r="AJ23" i="7"/>
  <c r="I18" i="9"/>
  <c r="AI23" i="7"/>
  <c r="H18" i="9"/>
  <c r="AH23" i="7"/>
  <c r="G18" i="9"/>
  <c r="AF23" i="7"/>
  <c r="E18" i="9"/>
  <c r="AL22" i="7"/>
  <c r="K17" i="9"/>
  <c r="AK22" i="7"/>
  <c r="J17" i="9"/>
  <c r="AJ22" i="7"/>
  <c r="I17" i="9"/>
  <c r="AI22" i="7"/>
  <c r="H17" i="9"/>
  <c r="AG22" i="7"/>
  <c r="F17" i="9"/>
  <c r="AF22" i="7"/>
  <c r="E17" i="9"/>
  <c r="AM21" i="7"/>
  <c r="L16" i="9"/>
  <c r="AK21" i="7"/>
  <c r="J16" i="9"/>
  <c r="AI21" i="7"/>
  <c r="H16" i="9"/>
  <c r="AF21" i="7"/>
  <c r="E16" i="9"/>
  <c r="AW20" i="7"/>
  <c r="R15" i="9"/>
  <c r="G15" i="5" s="1"/>
  <c r="AO20" i="7"/>
  <c r="N15" i="9"/>
  <c r="AL20" i="7"/>
  <c r="K15" i="9"/>
  <c r="AJ20" i="7"/>
  <c r="I15" i="9"/>
  <c r="AG20" i="7"/>
  <c r="F15" i="9"/>
  <c r="AF20" i="7"/>
  <c r="E15" i="9"/>
  <c r="R14" i="9"/>
  <c r="G14" i="5" s="1"/>
  <c r="AO19" i="7"/>
  <c r="N14" i="9"/>
  <c r="AN19" i="7"/>
  <c r="M14" i="9"/>
  <c r="AM19" i="7"/>
  <c r="L14" i="9"/>
  <c r="AL19" i="7"/>
  <c r="K14" i="9"/>
  <c r="AG19" i="7"/>
  <c r="F14" i="9"/>
  <c r="AP18" i="7"/>
  <c r="O13" i="9"/>
  <c r="AN18" i="7"/>
  <c r="M13" i="9"/>
  <c r="AK18" i="7"/>
  <c r="J13" i="9"/>
  <c r="AI18" i="7"/>
  <c r="H13" i="9"/>
  <c r="AH18" i="7"/>
  <c r="G13" i="9"/>
  <c r="R12" i="9"/>
  <c r="G12" i="5" s="1"/>
  <c r="AO17" i="7"/>
  <c r="N12" i="9"/>
  <c r="AN17" i="7"/>
  <c r="M12" i="9"/>
  <c r="AM17" i="7"/>
  <c r="L12" i="9"/>
  <c r="AL17" i="7"/>
  <c r="K12" i="9"/>
  <c r="AI17" i="7"/>
  <c r="H12" i="9"/>
  <c r="AH17" i="7"/>
  <c r="G12" i="9"/>
  <c r="AG17" i="7"/>
  <c r="F12" i="9"/>
  <c r="AW16" i="7"/>
  <c r="R11" i="9"/>
  <c r="G11" i="5" s="1"/>
  <c r="R10" i="9"/>
  <c r="G10" i="5" s="1"/>
  <c r="AW14" i="7"/>
  <c r="R9" i="9"/>
  <c r="G9" i="5" s="1"/>
  <c r="AR16" i="7"/>
  <c r="Q11" i="9"/>
  <c r="AN16" i="7"/>
  <c r="M11" i="9"/>
  <c r="AM16" i="7"/>
  <c r="L11" i="9"/>
  <c r="AJ16" i="7"/>
  <c r="I11" i="9"/>
  <c r="AI16" i="7"/>
  <c r="H11" i="9"/>
  <c r="AG16" i="7"/>
  <c r="F11" i="9"/>
  <c r="AF16" i="7"/>
  <c r="E11" i="9"/>
  <c r="AR15" i="7"/>
  <c r="Q10" i="9"/>
  <c r="AP15" i="7"/>
  <c r="O10" i="9"/>
  <c r="AO15" i="7"/>
  <c r="N10" i="9"/>
  <c r="AN15" i="7"/>
  <c r="M10" i="9"/>
  <c r="AM15" i="7"/>
  <c r="L10" i="9"/>
  <c r="AL15" i="7"/>
  <c r="K10" i="9"/>
  <c r="AP14" i="7"/>
  <c r="O9" i="9"/>
  <c r="AK14" i="7"/>
  <c r="J9" i="9"/>
  <c r="AJ14" i="7"/>
  <c r="I9" i="9"/>
  <c r="AI14" i="7"/>
  <c r="H9" i="9"/>
  <c r="AF14" i="7"/>
  <c r="E9" i="9"/>
  <c r="R8" i="9"/>
  <c r="G8" i="5" s="1"/>
  <c r="AR13" i="7"/>
  <c r="Q8" i="9"/>
  <c r="AO13" i="7"/>
  <c r="N8" i="9"/>
  <c r="AN13" i="7"/>
  <c r="M8" i="9"/>
  <c r="AL13" i="7"/>
  <c r="K8" i="9"/>
  <c r="AK13" i="7"/>
  <c r="J8" i="9"/>
  <c r="AH13" i="7"/>
  <c r="G8" i="9"/>
  <c r="AF13" i="7"/>
  <c r="E8" i="9"/>
  <c r="AW11" i="7"/>
  <c r="R6" i="9"/>
  <c r="G6" i="5" s="1"/>
  <c r="R7" i="9"/>
  <c r="G7" i="5" s="1"/>
  <c r="AP12" i="7"/>
  <c r="O7" i="9"/>
  <c r="AP11" i="7"/>
  <c r="O6" i="9"/>
  <c r="AM11" i="7"/>
  <c r="L6" i="9"/>
  <c r="AL11" i="7"/>
  <c r="K6" i="9"/>
  <c r="AL12" i="7"/>
  <c r="K7" i="9"/>
  <c r="AK12" i="7"/>
  <c r="J7" i="9"/>
  <c r="AK11" i="7"/>
  <c r="J6" i="9"/>
  <c r="AJ11" i="7"/>
  <c r="I6" i="9"/>
  <c r="AH11" i="7"/>
  <c r="G6" i="9"/>
  <c r="AG11" i="7"/>
  <c r="F6" i="9"/>
  <c r="AG12" i="7"/>
  <c r="F7" i="9"/>
  <c r="AF12" i="7"/>
  <c r="E7" i="9"/>
  <c r="AW13" i="7"/>
  <c r="AO36" i="7"/>
  <c r="AI25" i="7"/>
  <c r="AJ35" i="7"/>
  <c r="AF36" i="7"/>
  <c r="AD36" i="7"/>
  <c r="AD35" i="7"/>
  <c r="AD34" i="7"/>
  <c r="AD33" i="7"/>
  <c r="AD32" i="7"/>
  <c r="AD31" i="7"/>
  <c r="AM28" i="7"/>
  <c r="AW21" i="7"/>
  <c r="G16" i="5"/>
  <c r="AW22" i="7"/>
  <c r="AG21" i="7"/>
  <c r="AN7" i="7"/>
  <c r="AW19" i="7"/>
  <c r="AL33" i="7"/>
  <c r="AL32" i="7"/>
  <c r="AG8" i="7"/>
  <c r="AO35" i="7"/>
  <c r="AF11" i="7"/>
  <c r="AJ33" i="7"/>
  <c r="AQ28" i="7"/>
  <c r="AI26" i="7"/>
  <c r="AQ24" i="7"/>
  <c r="G17" i="5"/>
  <c r="AW17" i="7"/>
  <c r="AK17" i="7"/>
  <c r="AW15" i="7"/>
  <c r="AH15" i="7"/>
  <c r="AM22" i="7"/>
  <c r="AG32" i="7"/>
  <c r="AG10" i="7"/>
  <c r="AP27" i="7"/>
  <c r="AH12" i="7"/>
  <c r="AI11" i="7"/>
  <c r="AJ15" i="7"/>
  <c r="AN34" i="7"/>
  <c r="AH29" i="7"/>
  <c r="AP24" i="7"/>
  <c r="AP10" i="7"/>
  <c r="AL21" i="7"/>
  <c r="AP20" i="7"/>
  <c r="AR22" i="7"/>
  <c r="K2" i="9"/>
  <c r="AN21" i="7"/>
  <c r="AN25" i="7"/>
  <c r="AN14" i="7"/>
  <c r="AQ21" i="7"/>
  <c r="AO24" i="7"/>
  <c r="AH21" i="7"/>
  <c r="AH22" i="7"/>
  <c r="AN27" i="7"/>
  <c r="AM12" i="7"/>
  <c r="AI12" i="7"/>
  <c r="AL8" i="7"/>
  <c r="AG18" i="7"/>
  <c r="AN23" i="7"/>
  <c r="AQ9" i="7"/>
  <c r="AN22" i="7"/>
  <c r="AS37" i="7"/>
  <c r="AO31" i="7"/>
  <c r="E32" i="5"/>
  <c r="AK15" i="7"/>
  <c r="AK20" i="7"/>
  <c r="AK19" i="7"/>
  <c r="AQ19" i="7"/>
  <c r="AI9" i="7"/>
  <c r="AN20" i="7"/>
  <c r="AQ8" i="7"/>
  <c r="AR18" i="7"/>
  <c r="AJ12" i="7"/>
  <c r="AR31" i="7"/>
  <c r="AL16" i="7"/>
  <c r="AR12" i="7"/>
  <c r="G29" i="5"/>
  <c r="AL9" i="7"/>
  <c r="AP35" i="7"/>
  <c r="AW12" i="7"/>
  <c r="AJ24" i="7"/>
  <c r="AI19" i="7"/>
  <c r="AO12" i="7"/>
  <c r="AN12" i="7"/>
  <c r="AN11" i="7"/>
  <c r="AI10" i="7"/>
  <c r="G5" i="5"/>
  <c r="AN9" i="7"/>
  <c r="AL10" i="7"/>
  <c r="AN8" i="7"/>
  <c r="AJ8" i="7"/>
  <c r="N2" i="9"/>
  <c r="AQ7" i="7"/>
  <c r="AI7" i="7"/>
  <c r="L2" i="9"/>
  <c r="Q2" i="9"/>
  <c r="G4" i="5"/>
  <c r="AW25" i="7"/>
  <c r="G22" i="5"/>
  <c r="AD11" i="7"/>
  <c r="AK7" i="7"/>
  <c r="AD9" i="7"/>
  <c r="AQ11" i="7"/>
  <c r="AF9" i="7"/>
  <c r="O2" i="9"/>
  <c r="AI35" i="7"/>
  <c r="AK35" i="7"/>
  <c r="AM30" i="7"/>
  <c r="AP28" i="7"/>
  <c r="AR20" i="7"/>
  <c r="AG15" i="7"/>
  <c r="AD10" i="7"/>
  <c r="AH8" i="7"/>
  <c r="AO29" i="7"/>
  <c r="AO11" i="7"/>
  <c r="AI13" i="7"/>
  <c r="AR11" i="7"/>
  <c r="AF8" i="7"/>
  <c r="AD7" i="7"/>
  <c r="AJ7" i="7"/>
  <c r="AQ17" i="7"/>
  <c r="AP9" i="7"/>
  <c r="AL14" i="7"/>
  <c r="AR10" i="7"/>
  <c r="AO18" i="7"/>
  <c r="AL35" i="7"/>
  <c r="AH35" i="7"/>
  <c r="AK24" i="7"/>
  <c r="AP13" i="7"/>
  <c r="AJ30" i="7"/>
  <c r="AI31" i="7"/>
  <c r="AP33" i="7"/>
  <c r="AR30" i="7"/>
  <c r="AM18" i="7"/>
  <c r="AR36" i="7"/>
  <c r="AJ36" i="7"/>
  <c r="AP36" i="7"/>
  <c r="AN35" i="7"/>
  <c r="AL36" i="7"/>
  <c r="AQ35" i="7"/>
  <c r="AI34" i="7"/>
  <c r="AQ34" i="7"/>
  <c r="AP34" i="7"/>
  <c r="AG34" i="7"/>
  <c r="G27" i="5"/>
  <c r="AQ33" i="7"/>
  <c r="AP32" i="7"/>
  <c r="AM32" i="7"/>
  <c r="AK33" i="7"/>
  <c r="AK32" i="7"/>
  <c r="AH32" i="7"/>
  <c r="AG31" i="7"/>
  <c r="AM31" i="7"/>
  <c r="AH30" i="7"/>
  <c r="AF31" i="7"/>
  <c r="AF30" i="7"/>
  <c r="AJ29" i="7"/>
  <c r="AD30" i="7"/>
  <c r="AW29" i="7"/>
  <c r="AQ29" i="7"/>
  <c r="AN29" i="7"/>
  <c r="AD29" i="7"/>
  <c r="AM27" i="7"/>
  <c r="AJ27" i="7"/>
  <c r="AI28" i="7"/>
  <c r="AH28" i="7"/>
  <c r="AG28" i="7"/>
  <c r="AL27" i="7"/>
  <c r="AJ26" i="7"/>
  <c r="AN26" i="7"/>
  <c r="AM26" i="7"/>
  <c r="AF26" i="7"/>
  <c r="AP25" i="7"/>
  <c r="AK25" i="7"/>
  <c r="AH25" i="7"/>
  <c r="AF25" i="7"/>
  <c r="AP23" i="7"/>
  <c r="AG23" i="7"/>
  <c r="AF24" i="7"/>
  <c r="AD24" i="7"/>
  <c r="AR23" i="7"/>
  <c r="AO23" i="7"/>
  <c r="AL23" i="7"/>
  <c r="AP22" i="7"/>
  <c r="AP21" i="7"/>
  <c r="AJ21" i="7"/>
  <c r="AD22" i="7"/>
  <c r="AR21" i="7"/>
  <c r="AO21" i="7"/>
  <c r="AD21" i="7"/>
  <c r="AQ18" i="7"/>
  <c r="AP19" i="7"/>
  <c r="AJ19" i="7"/>
  <c r="AJ18" i="7"/>
  <c r="AF19" i="7"/>
  <c r="AJ17" i="7"/>
  <c r="AF18" i="7"/>
  <c r="AP17" i="7"/>
  <c r="AF17" i="7"/>
  <c r="AQ16" i="7"/>
  <c r="AP16" i="7"/>
  <c r="AK16" i="7"/>
  <c r="AD16" i="7"/>
  <c r="AH16" i="7"/>
  <c r="AH14" i="7"/>
  <c r="AG14" i="7"/>
  <c r="AR14" i="7"/>
  <c r="AJ13" i="7"/>
  <c r="AQ12" i="7"/>
  <c r="AM13" i="7"/>
  <c r="AG13" i="7"/>
  <c r="AD13" i="7"/>
  <c r="AJ31" i="7"/>
  <c r="AM25" i="7"/>
  <c r="AI15" i="7"/>
  <c r="AI36" i="7"/>
  <c r="AD23" i="7"/>
  <c r="AP26" i="7"/>
  <c r="AI33" i="7"/>
  <c r="AK28" i="7"/>
  <c r="AQ20" i="7"/>
  <c r="AD12" i="7"/>
  <c r="AD8" i="7"/>
  <c r="F2" i="9"/>
  <c r="AD17" i="7"/>
  <c r="AD15" i="7"/>
  <c r="AD14" i="7"/>
  <c r="AD27" i="7"/>
  <c r="AR19" i="7"/>
  <c r="AI20" i="7"/>
  <c r="AF35" i="7"/>
  <c r="AP31" i="7"/>
  <c r="AO22" i="7"/>
  <c r="AL18" i="7"/>
  <c r="AO16" i="7"/>
  <c r="AR17" i="7"/>
  <c r="AH7" i="7"/>
  <c r="G2" i="9"/>
  <c r="AW18" i="7"/>
  <c r="G13" i="5"/>
  <c r="AD19" i="7"/>
  <c r="AO25" i="7"/>
  <c r="AH20" i="7"/>
  <c r="AD18" i="7"/>
  <c r="AF7" i="7"/>
  <c r="AO14" i="7"/>
  <c r="AD25" i="7"/>
  <c r="AD20" i="7"/>
  <c r="AD28" i="7"/>
  <c r="AW30" i="7"/>
  <c r="AD26" i="7"/>
  <c r="AR27" i="7"/>
  <c r="AH33" i="7"/>
  <c r="AM14" i="7"/>
  <c r="AN31" i="7"/>
  <c r="AF15" i="7"/>
  <c r="AM20" i="7"/>
  <c r="AM36" i="7"/>
  <c r="AH19" i="7"/>
  <c r="AK38" i="7" l="1"/>
  <c r="AJ38" i="7"/>
  <c r="AQ38" i="7"/>
  <c r="AI38" i="7"/>
  <c r="AR38" i="7"/>
  <c r="AP38" i="7"/>
  <c r="AO38" i="7"/>
  <c r="AN38" i="7"/>
  <c r="AM38" i="7"/>
  <c r="AL38" i="7"/>
  <c r="AH38" i="7"/>
  <c r="AG38" i="7"/>
  <c r="AF38" i="7"/>
  <c r="AD38" i="7"/>
  <c r="AS34" i="7"/>
  <c r="E9" i="5"/>
  <c r="AS10" i="7"/>
  <c r="AS21" i="7"/>
  <c r="AS22" i="7"/>
  <c r="AS24" i="7"/>
  <c r="AS12" i="7"/>
  <c r="AS26" i="7"/>
  <c r="AS32" i="7"/>
  <c r="AS14" i="7"/>
  <c r="E25" i="5"/>
  <c r="E14" i="5"/>
  <c r="E24" i="5"/>
  <c r="E4" i="5"/>
  <c r="AS13" i="7"/>
  <c r="AS11" i="7"/>
  <c r="E6" i="5"/>
  <c r="E5" i="5"/>
  <c r="E3" i="5"/>
  <c r="AS9" i="7"/>
  <c r="AS8" i="7"/>
  <c r="E2" i="5"/>
  <c r="E8" i="5"/>
  <c r="AS35" i="7"/>
  <c r="E12" i="5"/>
  <c r="E13" i="5"/>
  <c r="AS29" i="7"/>
  <c r="AS30" i="7"/>
  <c r="E27" i="5"/>
  <c r="AS36" i="7"/>
  <c r="E30" i="5"/>
  <c r="E29" i="5"/>
  <c r="AS33" i="7"/>
  <c r="E28" i="5"/>
  <c r="AS31" i="7"/>
  <c r="E23" i="5"/>
  <c r="E22" i="5"/>
  <c r="AS27" i="7"/>
  <c r="E21" i="5"/>
  <c r="E20" i="5"/>
  <c r="E19" i="5"/>
  <c r="AS23" i="7"/>
  <c r="E18" i="5"/>
  <c r="E17" i="5"/>
  <c r="E16" i="5"/>
  <c r="AS20" i="7"/>
  <c r="AS19" i="7"/>
  <c r="AS17" i="7"/>
  <c r="E11" i="5"/>
  <c r="AS16" i="7"/>
  <c r="AS15" i="7"/>
  <c r="E10" i="5"/>
  <c r="E31" i="5"/>
  <c r="AS7" i="7"/>
  <c r="E15" i="5"/>
  <c r="AS18" i="7"/>
  <c r="AV39" i="7"/>
  <c r="AV40" i="7" s="1"/>
  <c r="AV41" i="7"/>
  <c r="E7" i="5"/>
  <c r="E26" i="5"/>
  <c r="AS25" i="7"/>
  <c r="AS28" i="7"/>
  <c r="AS38" i="7" l="1"/>
</calcChain>
</file>

<file path=xl/sharedStrings.xml><?xml version="1.0" encoding="utf-8"?>
<sst xmlns="http://schemas.openxmlformats.org/spreadsheetml/2006/main" count="128" uniqueCount="49">
  <si>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</si>
  <si>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</si>
  <si>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</si>
  <si>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</si>
  <si>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</si>
  <si>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</si>
  <si>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</si>
  <si>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</si>
  <si>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Water Utility Supply (m3) $/m3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</si>
  <si>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</si>
  <si>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</si>
  <si>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</si>
  <si>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</si>
  <si>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</si>
  <si>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</si>
  <si>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</si>
  <si>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</si>
  <si>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</si>
  <si>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</si>
  <si>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</si>
  <si>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</si>
  <si>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</si>
  <si>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</si>
  <si>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>Electricity - Meter No</t>
  </si>
  <si>
    <t>Electricity Consumption -KWh</t>
  </si>
  <si>
    <t>Total KWh</t>
  </si>
  <si>
    <t>Electricity Consumption - Amount</t>
  </si>
  <si>
    <t>Total Kd</t>
  </si>
  <si>
    <t>Water Meter Reading</t>
  </si>
  <si>
    <t>Consumption Gallons</t>
  </si>
  <si>
    <t>Total KD</t>
  </si>
  <si>
    <t>Kuwait</t>
  </si>
  <si>
    <t>HT.03.02 - KWh</t>
  </si>
  <si>
    <t>HT.03.01 - KWh</t>
  </si>
  <si>
    <t>HT.03.06 - KWh</t>
  </si>
  <si>
    <t>HT.03.04 - KWh</t>
  </si>
  <si>
    <t>HT.03.08 - KWh</t>
  </si>
  <si>
    <t>HT.03.05 - KWh</t>
  </si>
  <si>
    <t>HT.03.07 - KWh</t>
  </si>
  <si>
    <t>HT.03.03 - KWh</t>
  </si>
  <si>
    <t>HT.02.06 - KWh</t>
  </si>
  <si>
    <t>HT.02.03 - KWh</t>
  </si>
  <si>
    <t>HT.02.07 - KWh</t>
  </si>
  <si>
    <t>HT.02.04 - KWh</t>
  </si>
  <si>
    <t>HT.02.02 - KWh</t>
  </si>
  <si>
    <t>Water - m3</t>
  </si>
  <si>
    <t xml:space="preserve"> </t>
  </si>
  <si>
    <t xml:space="preserve">Room Night </t>
  </si>
  <si>
    <t>August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</si>
</sst>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16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64" fontId="0" fillId="2" borderId="2" xfId="0" applyNumberFormat="1" applyFill="1" applyBorder="1"/>
    <xf numFmtId="1" fontId="6" fillId="0" borderId="1" xfId="0" applyNumberFormat="1" applyFont="1" applyBorder="1" applyAlignment="1">
      <alignment horizontal="center" vertical="top" wrapText="1"/>
    </xf>
    <xf numFmtId="0" fontId="7" fillId="0" borderId="0" xfId="0" applyFont="1"/>
    <xf numFmtId="0" fontId="7" fillId="0" borderId="2" xfId="0" applyFont="1" applyBorder="1"/>
    <xf numFmtId="0" fontId="15" fillId="0" borderId="2" xfId="0" applyFont="1" applyBorder="1"/>
    <xf numFmtId="1" fontId="10" fillId="2" borderId="2" xfId="0" applyNumberFormat="1" applyFont="1" applyFill="1" applyBorder="1" applyAlignment="1"/>
    <xf numFmtId="1" fontId="10" fillId="2" borderId="2" xfId="0" applyNumberFormat="1" applyFont="1" applyFill="1" applyBorder="1" applyAlignment="1">
      <alignment horizontal="right"/>
    </xf>
    <xf numFmtId="1" fontId="7" fillId="3" borderId="0" xfId="0" applyNumberFormat="1" applyFont="1" applyFill="1" applyAlignment="1">
      <alignment horizontal="center"/>
    </xf>
    <xf numFmtId="0" fontId="10" fillId="2" borderId="2" xfId="0" applyFont="1" applyFill="1" applyBorder="1"/>
    <xf numFmtId="0" fontId="0" fillId="4" borderId="5" xfId="0" applyFill="1" applyBorder="1"/>
    <xf numFmtId="0" fontId="14" fillId="0" borderId="2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32"/>
  <sheetViews>
    <sheetView zoomScale="130" zoomScaleNormal="130" workbookViewId="0">
      <selection activeCell="C2" sqref="C2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8" width="11.5703125" style="2"/>
    <col min="9" max="9" width="11.5703125" style="4"/>
  </cols>
  <sheetData>
    <row r="1" spans="1:9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7</v>
      </c>
      <c r="G1" s="6" t="s">
        <v>5</v>
      </c>
      <c r="H1" s="6" t="s">
        <v>8</v>
      </c>
      <c r="I1" s="45" t="s">
        <v>6</v>
      </c>
    </row>
    <row r="2" spans="1:9" s="13" customFormat="1" x14ac:dyDescent="0.25">
      <c r="A2" s="21" t="s">
        <v>31</v>
      </c>
      <c r="B2" s="11">
        <v>1</v>
      </c>
      <c r="C2" s="3">
        <v>8</v>
      </c>
      <c r="D2" s="11">
        <v>2021</v>
      </c>
      <c r="E2" s="12">
        <f>Submetering!E2+Submetering!F2+Submetering!G2+Submetering!H2+Submetering!I2+Submetering!J2+Submetering!K2+Submetering!L2+Submetering!M2+Submetering!N2+Submetering!O2+Submetering!P2+Submetering!Q2</f>
        <v>41200</v>
      </c>
      <c r="F2" s="11">
        <v>5.0000000000000001E-3</v>
      </c>
      <c r="G2" s="12">
        <f>Submetering!R2</f>
        <v>594.68791099999999</v>
      </c>
      <c r="H2" s="11">
        <v>0.52800000000000002</v>
      </c>
      <c r="I2" s="12">
        <f>Hotel!B7</f>
        <v>92</v>
      </c>
    </row>
    <row r="3" spans="1:9" s="15" customFormat="1" x14ac:dyDescent="0.25">
      <c r="A3" s="21" t="s">
        <v>31</v>
      </c>
      <c r="B3" s="14">
        <f>B2+1</f>
        <v>2</v>
      </c>
      <c r="C3" s="3">
        <v>8</v>
      </c>
      <c r="D3" s="11">
        <v>2021</v>
      </c>
      <c r="E3" s="12">
        <f>Submetering!E3+Submetering!F3+Submetering!G3+Submetering!H3+Submetering!I3+Submetering!J3+Submetering!K3+Submetering!L3+Submetering!M3+Submetering!N3+Submetering!O3+Submetering!P3+Submetering!Q3</f>
        <v>64600</v>
      </c>
      <c r="F3" s="11">
        <v>5.0000000000000001E-3</v>
      </c>
      <c r="G3" s="12">
        <f>Submetering!R3</f>
        <v>1141.301115</v>
      </c>
      <c r="H3" s="11">
        <v>0.52800000000000002</v>
      </c>
      <c r="I3" s="12">
        <f>Hotel!B8</f>
        <v>86</v>
      </c>
    </row>
    <row r="4" spans="1:9" s="15" customFormat="1" x14ac:dyDescent="0.25">
      <c r="A4" s="21" t="s">
        <v>31</v>
      </c>
      <c r="B4" s="14">
        <f t="shared" ref="B4:B32" si="0">B3+1</f>
        <v>3</v>
      </c>
      <c r="C4" s="3">
        <v>8</v>
      </c>
      <c r="D4" s="11">
        <v>2021</v>
      </c>
      <c r="E4" s="12">
        <f>Submetering!E4+Submetering!F4+Submetering!G4+Submetering!H4+Submetering!I4+Submetering!J4+Submetering!K4+Submetering!L4+Submetering!M4+Submetering!N4+Submetering!O4+Submetering!P4+Submetering!Q4</f>
        <v>61180</v>
      </c>
      <c r="F4" s="11">
        <v>5.0000000000000001E-3</v>
      </c>
      <c r="G4" s="12">
        <f>Submetering!R4</f>
        <v>899.41341599999998</v>
      </c>
      <c r="H4" s="11">
        <v>0.52800000000000002</v>
      </c>
      <c r="I4" s="12">
        <f>Hotel!B9</f>
        <v>82</v>
      </c>
    </row>
    <row r="5" spans="1:9" s="15" customFormat="1" x14ac:dyDescent="0.25">
      <c r="A5" s="21" t="s">
        <v>31</v>
      </c>
      <c r="B5" s="14">
        <f t="shared" si="0"/>
        <v>4</v>
      </c>
      <c r="C5" s="3">
        <v>8</v>
      </c>
      <c r="D5" s="11">
        <v>2021</v>
      </c>
      <c r="E5" s="12">
        <f>Submetering!E5+Submetering!F5+Submetering!G5+Submetering!H5+Submetering!I5+Submetering!J5+Submetering!K5+Submetering!L5+Submetering!M5+Submetering!N5+Submetering!O5+Submetering!P5+Submetering!Q5</f>
        <v>61270</v>
      </c>
      <c r="F5" s="11">
        <v>5.0000000000000001E-3</v>
      </c>
      <c r="G5" s="12">
        <f>Submetering!R5</f>
        <v>1323.0007949999999</v>
      </c>
      <c r="H5" s="11">
        <v>0.52800000000000002</v>
      </c>
      <c r="I5" s="12">
        <f>Hotel!B10</f>
        <v>93</v>
      </c>
    </row>
    <row r="6" spans="1:9" s="15" customFormat="1" x14ac:dyDescent="0.25">
      <c r="A6" s="21" t="s">
        <v>31</v>
      </c>
      <c r="B6" s="14">
        <f t="shared" si="0"/>
        <v>5</v>
      </c>
      <c r="C6" s="3">
        <v>8</v>
      </c>
      <c r="D6" s="11">
        <v>2021</v>
      </c>
      <c r="E6" s="12">
        <f>Submetering!E6+Submetering!F6+Submetering!G6+Submetering!H6+Submetering!I6+Submetering!J6+Submetering!K6+Submetering!L6+Submetering!M6+Submetering!N6+Submetering!O6+Submetering!P6+Submetering!Q6</f>
        <v>60890</v>
      </c>
      <c r="F6" s="11">
        <v>5.0000000000000001E-3</v>
      </c>
      <c r="G6" s="12">
        <f>Submetering!R6</f>
        <v>1030.010061</v>
      </c>
      <c r="H6" s="11">
        <v>0.52800000000000002</v>
      </c>
      <c r="I6" s="12">
        <f>Hotel!B11</f>
        <v>108</v>
      </c>
    </row>
    <row r="7" spans="1:9" s="15" customFormat="1" x14ac:dyDescent="0.25">
      <c r="A7" s="21" t="s">
        <v>31</v>
      </c>
      <c r="B7" s="14">
        <f t="shared" si="0"/>
        <v>6</v>
      </c>
      <c r="C7" s="3">
        <v>8</v>
      </c>
      <c r="D7" s="11">
        <v>2021</v>
      </c>
      <c r="E7" s="12">
        <f>Submetering!E7+Submetering!F7+Submetering!G7+Submetering!H7+Submetering!I7+Submetering!J7+Submetering!K7+Submetering!L7+Submetering!M7+Submetering!N7+Submetering!O7+Submetering!P7+Submetering!Q7</f>
        <v>62630</v>
      </c>
      <c r="F7" s="11">
        <v>5.0000000000000001E-3</v>
      </c>
      <c r="G7" s="12">
        <f>Submetering!R7</f>
        <v>1034.1740119999999</v>
      </c>
      <c r="H7" s="11">
        <v>0.52800000000000002</v>
      </c>
      <c r="I7" s="12">
        <f>Hotel!B12</f>
        <v>137</v>
      </c>
    </row>
    <row r="8" spans="1:9" s="15" customFormat="1" x14ac:dyDescent="0.25">
      <c r="A8" s="21" t="s">
        <v>31</v>
      </c>
      <c r="B8" s="14">
        <f t="shared" si="0"/>
        <v>7</v>
      </c>
      <c r="C8" s="3">
        <v>8</v>
      </c>
      <c r="D8" s="11">
        <v>2021</v>
      </c>
      <c r="E8" s="12">
        <f>Submetering!E8+Submetering!F8+Submetering!G8+Submetering!H8+Submetering!I8+Submetering!J8+Submetering!K8+Submetering!L8+Submetering!M8+Submetering!N8+Submetering!O8+Submetering!P8+Submetering!Q8</f>
        <v>64900</v>
      </c>
      <c r="F8" s="11">
        <v>5.0000000000000001E-3</v>
      </c>
      <c r="G8" s="12">
        <f>Submetering!R8</f>
        <v>1028.8744379999998</v>
      </c>
      <c r="H8" s="11">
        <v>0.52800000000000002</v>
      </c>
      <c r="I8" s="12">
        <f>Hotel!B13</f>
        <v>158</v>
      </c>
    </row>
    <row r="9" spans="1:9" s="15" customFormat="1" x14ac:dyDescent="0.25">
      <c r="A9" s="21" t="s">
        <v>31</v>
      </c>
      <c r="B9" s="14">
        <f t="shared" si="0"/>
        <v>8</v>
      </c>
      <c r="C9" s="3">
        <v>8</v>
      </c>
      <c r="D9" s="11">
        <v>2021</v>
      </c>
      <c r="E9" s="12">
        <f>Submetering!E9+Submetering!F9+Submetering!G9+Submetering!H9+Submetering!I9+Submetering!J9+Submetering!K9+Submetering!L9+Submetering!M9+Submetering!N9+Submetering!O9+Submetering!P9+Submetering!Q9</f>
        <v>62970</v>
      </c>
      <c r="F9" s="11">
        <v>5.0000000000000001E-3</v>
      </c>
      <c r="G9" s="12">
        <f>Submetering!R9</f>
        <v>1054.6152259999999</v>
      </c>
      <c r="H9" s="11">
        <v>0.52800000000000002</v>
      </c>
      <c r="I9" s="12">
        <f>Hotel!B14</f>
        <v>123</v>
      </c>
    </row>
    <row r="10" spans="1:9" s="15" customFormat="1" x14ac:dyDescent="0.25">
      <c r="A10" s="21" t="s">
        <v>31</v>
      </c>
      <c r="B10" s="14">
        <f t="shared" si="0"/>
        <v>9</v>
      </c>
      <c r="C10" s="3">
        <v>8</v>
      </c>
      <c r="D10" s="11">
        <v>2021</v>
      </c>
      <c r="E10" s="12">
        <f>Submetering!E10+Submetering!F10+Submetering!G10+Submetering!H10+Submetering!I10+Submetering!J10+Submetering!K10+Submetering!L10+Submetering!M10+Submetering!N10+Submetering!O10+Submetering!P10+Submetering!Q10</f>
        <v>65930</v>
      </c>
      <c r="F10" s="11">
        <v>5.0000000000000001E-3</v>
      </c>
      <c r="G10" s="12">
        <f>Submetering!R10</f>
        <v>1020.5465359999999</v>
      </c>
      <c r="H10" s="11">
        <v>0.52800000000000002</v>
      </c>
      <c r="I10" s="12">
        <f>Hotel!B15</f>
        <v>74</v>
      </c>
    </row>
    <row r="11" spans="1:9" s="15" customFormat="1" x14ac:dyDescent="0.25">
      <c r="A11" s="21" t="s">
        <v>31</v>
      </c>
      <c r="B11" s="14">
        <f t="shared" si="0"/>
        <v>10</v>
      </c>
      <c r="C11" s="3">
        <v>8</v>
      </c>
      <c r="D11" s="11">
        <v>2021</v>
      </c>
      <c r="E11" s="12">
        <f>Submetering!E11+Submetering!F11+Submetering!G11+Submetering!H11+Submetering!I11+Submetering!J11+Submetering!K11+Submetering!L11+Submetering!M11+Submetering!N11+Submetering!O11+Submetering!P11+Submetering!Q11</f>
        <v>70150</v>
      </c>
      <c r="F11" s="11">
        <v>5.0000000000000001E-3</v>
      </c>
      <c r="G11" s="12">
        <f>Submetering!R11</f>
        <v>1088.3053749999999</v>
      </c>
      <c r="H11" s="11">
        <v>0.52800000000000002</v>
      </c>
      <c r="I11" s="12">
        <f>Hotel!B16</f>
        <v>83</v>
      </c>
    </row>
    <row r="12" spans="1:9" s="15" customFormat="1" x14ac:dyDescent="0.25">
      <c r="A12" s="21" t="s">
        <v>31</v>
      </c>
      <c r="B12" s="14">
        <f t="shared" si="0"/>
        <v>11</v>
      </c>
      <c r="C12" s="3">
        <v>8</v>
      </c>
      <c r="D12" s="11">
        <v>2021</v>
      </c>
      <c r="E12" s="12">
        <f>Submetering!E12+Submetering!F12+Submetering!G12+Submetering!H12+Submetering!I12+Submetering!J12+Submetering!K12+Submetering!L12+Submetering!M12+Submetering!N12+Submetering!O12+Submetering!P12+Submetering!Q12</f>
        <v>55000</v>
      </c>
      <c r="F12" s="11">
        <v>5.0000000000000001E-3</v>
      </c>
      <c r="G12" s="12">
        <f>Submetering!R12</f>
        <v>925.53274499999998</v>
      </c>
      <c r="H12" s="11">
        <v>0.52800000000000002</v>
      </c>
      <c r="I12" s="12">
        <f>Hotel!B17</f>
        <v>69</v>
      </c>
    </row>
    <row r="13" spans="1:9" s="15" customFormat="1" x14ac:dyDescent="0.25">
      <c r="A13" s="21" t="s">
        <v>31</v>
      </c>
      <c r="B13" s="14">
        <f t="shared" si="0"/>
        <v>12</v>
      </c>
      <c r="C13" s="3">
        <v>8</v>
      </c>
      <c r="D13" s="11">
        <v>2021</v>
      </c>
      <c r="E13" s="12">
        <f>Submetering!E13+Submetering!F13+Submetering!G13+Submetering!H13+Submetering!I13+Submetering!J13+Submetering!K13+Submetering!L13+Submetering!M13+Submetering!N13+Submetering!O13+Submetering!P13+Submetering!Q13</f>
        <v>60590</v>
      </c>
      <c r="F13" s="11">
        <v>5.0000000000000001E-3</v>
      </c>
      <c r="G13" s="12">
        <f>Submetering!R13</f>
        <v>1046.2873240000001</v>
      </c>
      <c r="H13" s="11">
        <v>0.52800000000000002</v>
      </c>
      <c r="I13" s="12">
        <f>Hotel!B18</f>
        <v>98</v>
      </c>
    </row>
    <row r="14" spans="1:9" s="15" customFormat="1" x14ac:dyDescent="0.25">
      <c r="A14" s="21" t="s">
        <v>31</v>
      </c>
      <c r="B14" s="14">
        <f t="shared" si="0"/>
        <v>13</v>
      </c>
      <c r="C14" s="3">
        <v>8</v>
      </c>
      <c r="D14" s="11">
        <v>2021</v>
      </c>
      <c r="E14" s="12">
        <f>Submetering!E14+Submetering!F14+Submetering!G14+Submetering!H14+Submetering!I14+Submetering!J14+Submetering!K14+Submetering!L14+Submetering!M14+Submetering!N14+Submetering!O14+Submetering!P14+Submetering!Q14</f>
        <v>62710</v>
      </c>
      <c r="F14" s="11">
        <v>5.0000000000000001E-3</v>
      </c>
      <c r="G14" s="12">
        <f>Submetering!R14</f>
        <v>1157.1998369999999</v>
      </c>
      <c r="H14" s="11">
        <v>0.52800000000000002</v>
      </c>
      <c r="I14" s="12">
        <f>Hotel!B19</f>
        <v>111</v>
      </c>
    </row>
    <row r="15" spans="1:9" s="15" customFormat="1" x14ac:dyDescent="0.25">
      <c r="A15" s="21" t="s">
        <v>31</v>
      </c>
      <c r="B15" s="14">
        <f t="shared" si="0"/>
        <v>14</v>
      </c>
      <c r="C15" s="3">
        <v>8</v>
      </c>
      <c r="D15" s="11">
        <v>2021</v>
      </c>
      <c r="E15" s="12">
        <f>Submetering!E15+Submetering!F15+Submetering!G15+Submetering!H15+Submetering!I15+Submetering!J15+Submetering!K15+Submetering!L15+Submetering!M15+Submetering!N15+Submetering!O15+Submetering!P15+Submetering!Q15</f>
        <v>68180</v>
      </c>
      <c r="F15" s="11">
        <v>5.0000000000000001E-3</v>
      </c>
      <c r="G15" s="12">
        <f>Submetering!R15</f>
        <v>945.59541799999988</v>
      </c>
      <c r="H15" s="11">
        <v>0.52800000000000002</v>
      </c>
      <c r="I15" s="12">
        <f>Hotel!B20</f>
        <v>78</v>
      </c>
    </row>
    <row r="16" spans="1:9" s="15" customFormat="1" x14ac:dyDescent="0.25">
      <c r="A16" s="21" t="s">
        <v>31</v>
      </c>
      <c r="B16" s="14">
        <f t="shared" si="0"/>
        <v>15</v>
      </c>
      <c r="C16" s="3">
        <v>8</v>
      </c>
      <c r="D16" s="11">
        <v>2021</v>
      </c>
      <c r="E16" s="12">
        <f>Submetering!E16+Submetering!F16+Submetering!G16+Submetering!H16+Submetering!I16+Submetering!J16+Submetering!K16+Submetering!L16+Submetering!M16+Submetering!N16+Submetering!O16+Submetering!P16+Submetering!Q16</f>
        <v>64120</v>
      </c>
      <c r="F16" s="11">
        <v>5.0000000000000001E-3</v>
      </c>
      <c r="G16" s="12">
        <f>Submetering!R16</f>
        <v>929.31815499999993</v>
      </c>
      <c r="H16" s="11">
        <v>0.52800000000000002</v>
      </c>
      <c r="I16" s="12">
        <f>Hotel!B21</f>
        <v>58</v>
      </c>
    </row>
    <row r="17" spans="1:9" s="15" customFormat="1" x14ac:dyDescent="0.25">
      <c r="A17" s="21" t="s">
        <v>31</v>
      </c>
      <c r="B17" s="14">
        <f t="shared" si="0"/>
        <v>16</v>
      </c>
      <c r="C17" s="3">
        <v>8</v>
      </c>
      <c r="D17" s="11">
        <v>2021</v>
      </c>
      <c r="E17" s="12">
        <f>Submetering!E17+Submetering!F17+Submetering!G17+Submetering!H17+Submetering!I17+Submetering!J17+Submetering!K17+Submetering!L17+Submetering!M17+Submetering!N17+Submetering!O17+Submetering!P17+Submetering!Q17</f>
        <v>63590</v>
      </c>
      <c r="F17" s="11">
        <v>5.0000000000000001E-3</v>
      </c>
      <c r="G17" s="12">
        <f>Submetering!R17</f>
        <v>1003.13365</v>
      </c>
      <c r="H17" s="11">
        <v>0.52800000000000002</v>
      </c>
      <c r="I17" s="12">
        <f>Hotel!B22</f>
        <v>68</v>
      </c>
    </row>
    <row r="18" spans="1:9" s="15" customFormat="1" x14ac:dyDescent="0.25">
      <c r="A18" s="21" t="s">
        <v>31</v>
      </c>
      <c r="B18" s="14">
        <f t="shared" si="0"/>
        <v>17</v>
      </c>
      <c r="C18" s="3">
        <v>8</v>
      </c>
      <c r="D18" s="11">
        <v>2021</v>
      </c>
      <c r="E18" s="12">
        <f>Submetering!E18+Submetering!F18+Submetering!G18+Submetering!H18+Submetering!I18+Submetering!J18+Submetering!K18+Submetering!L18+Submetering!M18+Submetering!N18+Submetering!O18+Submetering!P18+Submetering!Q18</f>
        <v>61660</v>
      </c>
      <c r="F18" s="11">
        <v>5.0000000000000001E-3</v>
      </c>
      <c r="G18" s="12">
        <f>Submetering!R18</f>
        <v>1013.354257</v>
      </c>
      <c r="H18" s="11">
        <v>0.52800000000000002</v>
      </c>
      <c r="I18" s="12">
        <f>Hotel!B23</f>
        <v>72</v>
      </c>
    </row>
    <row r="19" spans="1:9" s="15" customFormat="1" x14ac:dyDescent="0.25">
      <c r="A19" s="21" t="s">
        <v>31</v>
      </c>
      <c r="B19" s="14">
        <f t="shared" si="0"/>
        <v>18</v>
      </c>
      <c r="C19" s="3">
        <v>8</v>
      </c>
      <c r="D19" s="11">
        <v>2021</v>
      </c>
      <c r="E19" s="12">
        <f>Submetering!E19+Submetering!F19+Submetering!G19+Submetering!H19+Submetering!I19+Submetering!J19+Submetering!K19+Submetering!L19+Submetering!M19+Submetering!N19+Submetering!O19+Submetering!P19+Submetering!Q19</f>
        <v>62960</v>
      </c>
      <c r="F19" s="11">
        <v>5.0000000000000001E-3</v>
      </c>
      <c r="G19" s="12">
        <f>Submetering!R19</f>
        <v>890.32843199999991</v>
      </c>
      <c r="H19" s="11">
        <v>0.52800000000000002</v>
      </c>
      <c r="I19" s="12">
        <f>Hotel!B24</f>
        <v>61</v>
      </c>
    </row>
    <row r="20" spans="1:9" s="15" customFormat="1" x14ac:dyDescent="0.25">
      <c r="A20" s="21" t="s">
        <v>31</v>
      </c>
      <c r="B20" s="14">
        <f t="shared" si="0"/>
        <v>19</v>
      </c>
      <c r="C20" s="3">
        <v>8</v>
      </c>
      <c r="D20" s="11">
        <v>2021</v>
      </c>
      <c r="E20" s="12">
        <f>Submetering!E20+Submetering!F20+Submetering!G20+Submetering!H20+Submetering!I20+Submetering!J20+Submetering!K20+Submetering!L20+Submetering!M20+Submetering!N20+Submetering!O20+Submetering!P20+Submetering!Q20</f>
        <v>62530</v>
      </c>
      <c r="F20" s="11">
        <v>5.0000000000000001E-3</v>
      </c>
      <c r="G20" s="12">
        <f>Submetering!R20</f>
        <v>847.17475800000011</v>
      </c>
      <c r="H20" s="11">
        <v>0.52800000000000002</v>
      </c>
      <c r="I20" s="12">
        <f>Hotel!B25</f>
        <v>102</v>
      </c>
    </row>
    <row r="21" spans="1:9" s="15" customFormat="1" x14ac:dyDescent="0.25">
      <c r="A21" s="21" t="s">
        <v>31</v>
      </c>
      <c r="B21" s="14">
        <f t="shared" si="0"/>
        <v>20</v>
      </c>
      <c r="C21" s="3">
        <v>8</v>
      </c>
      <c r="D21" s="11">
        <v>2021</v>
      </c>
      <c r="E21" s="12">
        <f>Submetering!E21+Submetering!F21+Submetering!G21+Submetering!H21+Submetering!I21+Submetering!J21+Submetering!K21+Submetering!L21+Submetering!M21+Submetering!N21+Submetering!O21+Submetering!P21+Submetering!Q21</f>
        <v>62550</v>
      </c>
      <c r="F21" s="11">
        <v>5.0000000000000001E-3</v>
      </c>
      <c r="G21" s="12">
        <f>Submetering!R21</f>
        <v>953.54477899999995</v>
      </c>
      <c r="H21" s="11">
        <v>0.52800000000000002</v>
      </c>
      <c r="I21" s="12">
        <f>Hotel!B26</f>
        <v>128</v>
      </c>
    </row>
    <row r="22" spans="1:9" s="15" customFormat="1" x14ac:dyDescent="0.25">
      <c r="A22" s="21" t="s">
        <v>31</v>
      </c>
      <c r="B22" s="14">
        <f t="shared" si="0"/>
        <v>21</v>
      </c>
      <c r="C22" s="3">
        <v>8</v>
      </c>
      <c r="D22" s="11">
        <v>2021</v>
      </c>
      <c r="E22" s="12">
        <f>Submetering!E22+Submetering!F22+Submetering!G22+Submetering!H22+Submetering!I22+Submetering!J22+Submetering!K22+Submetering!L22+Submetering!M22+Submetering!N22+Submetering!O22+Submetering!P22+Submetering!Q22</f>
        <v>66720</v>
      </c>
      <c r="F22" s="11">
        <v>5.0000000000000001E-3</v>
      </c>
      <c r="G22" s="12">
        <f>Submetering!R22</f>
        <v>965.65809100000001</v>
      </c>
      <c r="H22" s="11">
        <v>0.52800000000000002</v>
      </c>
      <c r="I22" s="12">
        <f>Hotel!B27</f>
        <v>70</v>
      </c>
    </row>
    <row r="23" spans="1:9" s="15" customFormat="1" x14ac:dyDescent="0.25">
      <c r="A23" s="21" t="s">
        <v>31</v>
      </c>
      <c r="B23" s="14">
        <f t="shared" si="0"/>
        <v>22</v>
      </c>
      <c r="C23" s="3">
        <v>8</v>
      </c>
      <c r="D23" s="11">
        <v>2021</v>
      </c>
      <c r="E23" s="12">
        <f>Submetering!E23+Submetering!F23+Submetering!G23+Submetering!H23+Submetering!I23+Submetering!J23+Submetering!K23+Submetering!L23+Submetering!M23+Submetering!N23+Submetering!O23+Submetering!P23+Submetering!Q23</f>
        <v>63910</v>
      </c>
      <c r="F23" s="11">
        <v>5.0000000000000001E-3</v>
      </c>
      <c r="G23" s="12">
        <f>Submetering!R23</f>
        <v>952.78769699999998</v>
      </c>
      <c r="H23" s="11">
        <v>0.52800000000000002</v>
      </c>
      <c r="I23" s="12">
        <f>Hotel!B28</f>
        <v>81</v>
      </c>
    </row>
    <row r="24" spans="1:9" s="15" customFormat="1" x14ac:dyDescent="0.25">
      <c r="A24" s="21" t="s">
        <v>31</v>
      </c>
      <c r="B24" s="14">
        <f t="shared" si="0"/>
        <v>23</v>
      </c>
      <c r="C24" s="3">
        <v>8</v>
      </c>
      <c r="D24" s="11">
        <v>2021</v>
      </c>
      <c r="E24" s="12">
        <f>Submetering!E24+Submetering!F24+Submetering!G24+Submetering!H24+Submetering!I24+Submetering!J24+Submetering!K24+Submetering!L24+Submetering!M24+Submetering!N24+Submetering!O24+Submetering!P24+Submetering!Q24</f>
        <v>65200</v>
      </c>
      <c r="F24" s="11">
        <v>5.0000000000000001E-3</v>
      </c>
      <c r="G24" s="12">
        <f>Submetering!R24</f>
        <v>1041.7448320000001</v>
      </c>
      <c r="H24" s="11">
        <v>0.52800000000000002</v>
      </c>
      <c r="I24" s="12">
        <f>Hotel!B29</f>
        <v>99</v>
      </c>
    </row>
    <row r="25" spans="1:9" s="15" customFormat="1" x14ac:dyDescent="0.25">
      <c r="A25" s="21" t="s">
        <v>31</v>
      </c>
      <c r="B25" s="14">
        <f t="shared" si="0"/>
        <v>24</v>
      </c>
      <c r="C25" s="3">
        <v>8</v>
      </c>
      <c r="D25" s="11">
        <v>2021</v>
      </c>
      <c r="E25" s="12">
        <f>Submetering!E25+Submetering!F25+Submetering!G25+Submetering!H25+Submetering!I25+Submetering!J25+Submetering!K25+Submetering!L25+Submetering!M25+Submetering!N25+Submetering!O25+Submetering!P25+Submetering!Q25</f>
        <v>63820</v>
      </c>
      <c r="F25" s="11">
        <v>5.0000000000000001E-3</v>
      </c>
      <c r="G25" s="12">
        <f>Submetering!R25</f>
        <v>875.18679200000008</v>
      </c>
      <c r="H25" s="11">
        <v>0.52800000000000002</v>
      </c>
      <c r="I25" s="12">
        <f>Hotel!B30</f>
        <v>103</v>
      </c>
    </row>
    <row r="26" spans="1:9" s="15" customFormat="1" x14ac:dyDescent="0.25">
      <c r="A26" s="21" t="s">
        <v>31</v>
      </c>
      <c r="B26" s="14">
        <f>B25+1</f>
        <v>25</v>
      </c>
      <c r="C26" s="3">
        <v>8</v>
      </c>
      <c r="D26" s="11">
        <v>2021</v>
      </c>
      <c r="E26" s="12">
        <f>Submetering!E26+Submetering!F26+Submetering!G26+Submetering!H26+Submetering!I26+Submetering!J26+Submetering!K26+Submetering!L26+Submetering!M26+Submetering!N26+Submetering!O26+Submetering!P26+Submetering!Q26</f>
        <v>62330</v>
      </c>
      <c r="F26" s="11">
        <v>5.0000000000000001E-3</v>
      </c>
      <c r="G26" s="12">
        <f>Submetering!R26</f>
        <v>1123.8882289999999</v>
      </c>
      <c r="H26" s="11">
        <v>0.52800000000000002</v>
      </c>
      <c r="I26" s="12">
        <f>Hotel!B31</f>
        <v>105</v>
      </c>
    </row>
    <row r="27" spans="1:9" s="15" customFormat="1" x14ac:dyDescent="0.25">
      <c r="A27" s="21" t="s">
        <v>31</v>
      </c>
      <c r="B27" s="14">
        <f t="shared" si="0"/>
        <v>26</v>
      </c>
      <c r="C27" s="3">
        <v>8</v>
      </c>
      <c r="D27" s="11">
        <v>2021</v>
      </c>
      <c r="E27" s="12">
        <f>Submetering!E27+Submetering!F27+Submetering!G27+Submetering!H27+Submetering!I27+Submetering!J27+Submetering!K27+Submetering!L27+Submetering!M27+Submetering!N27+Submetering!O27+Submetering!P27+Submetering!Q27</f>
        <v>65040</v>
      </c>
      <c r="F27" s="11">
        <v>5.0000000000000001E-3</v>
      </c>
      <c r="G27" s="12">
        <f>Submetering!R27</f>
        <v>1017.896749</v>
      </c>
      <c r="H27" s="11">
        <v>0.52800000000000002</v>
      </c>
      <c r="I27" s="12">
        <f>Hotel!B32</f>
        <v>143</v>
      </c>
    </row>
    <row r="28" spans="1:9" s="15" customFormat="1" x14ac:dyDescent="0.25">
      <c r="A28" s="21" t="s">
        <v>31</v>
      </c>
      <c r="B28" s="14">
        <f t="shared" si="0"/>
        <v>27</v>
      </c>
      <c r="C28" s="3">
        <v>8</v>
      </c>
      <c r="D28" s="11">
        <v>2021</v>
      </c>
      <c r="E28" s="12">
        <f>Submetering!E28+Submetering!F28+Submetering!G28+Submetering!H28+Submetering!I28+Submetering!J28+Submetering!K28+Submetering!L28+Submetering!M28+Submetering!N28+Submetering!O28+Submetering!P28+Submetering!Q28</f>
        <v>65490</v>
      </c>
      <c r="F28" s="11">
        <v>5.0000000000000001E-3</v>
      </c>
      <c r="G28" s="12">
        <f>Submetering!R28</f>
        <v>991.39887899999997</v>
      </c>
      <c r="H28" s="11">
        <v>0.52800000000000002</v>
      </c>
      <c r="I28" s="12">
        <f>Hotel!B33</f>
        <v>122</v>
      </c>
    </row>
    <row r="29" spans="1:9" s="15" customFormat="1" x14ac:dyDescent="0.25">
      <c r="A29" s="21" t="s">
        <v>31</v>
      </c>
      <c r="B29" s="14">
        <f t="shared" si="0"/>
        <v>28</v>
      </c>
      <c r="C29" s="3">
        <v>8</v>
      </c>
      <c r="D29" s="11">
        <v>2021</v>
      </c>
      <c r="E29" s="12">
        <f>Submetering!E29+Submetering!F29+Submetering!G29+Submetering!H29+Submetering!I29+Submetering!J29+Submetering!K29+Submetering!L29+Submetering!M29+Submetering!N29+Submetering!O29+Submetering!P29+Submetering!Q29</f>
        <v>65450</v>
      </c>
      <c r="F29" s="11">
        <v>5.0000000000000001E-3</v>
      </c>
      <c r="G29" s="12">
        <f>Submetering!R29</f>
        <v>940.67438500000003</v>
      </c>
      <c r="H29" s="11">
        <v>0.52800000000000002</v>
      </c>
      <c r="I29" s="12">
        <f>Hotel!B34</f>
        <v>96</v>
      </c>
    </row>
    <row r="30" spans="1:9" s="15" customFormat="1" x14ac:dyDescent="0.25">
      <c r="A30" s="21" t="s">
        <v>31</v>
      </c>
      <c r="B30" s="14">
        <f t="shared" si="0"/>
        <v>29</v>
      </c>
      <c r="C30" s="3">
        <v>8</v>
      </c>
      <c r="D30" s="11">
        <v>2021</v>
      </c>
      <c r="E30" s="12">
        <f>Submetering!E30+Submetering!F30+Submetering!G30+Submetering!H30+Submetering!I30+Submetering!J30+Submetering!K30+Submetering!L30+Submetering!M30+Submetering!N30+Submetering!O30+Submetering!P30+Submetering!Q30</f>
        <v>67290</v>
      </c>
      <c r="F30" s="11">
        <v>5.0000000000000001E-3</v>
      </c>
      <c r="G30" s="12">
        <f>Submetering!R30</f>
        <v>1033.7954709999999</v>
      </c>
      <c r="H30" s="11">
        <v>0.52800000000000002</v>
      </c>
      <c r="I30" s="12">
        <f>Hotel!B35</f>
        <v>93</v>
      </c>
    </row>
    <row r="31" spans="1:9" s="13" customFormat="1" x14ac:dyDescent="0.25">
      <c r="A31" s="21" t="s">
        <v>31</v>
      </c>
      <c r="B31" s="14">
        <f t="shared" si="0"/>
        <v>30</v>
      </c>
      <c r="C31" s="3">
        <v>8</v>
      </c>
      <c r="D31" s="11">
        <v>2021</v>
      </c>
      <c r="E31" s="12">
        <f>Submetering!E31+Submetering!F31+Submetering!G31+Submetering!H31+Submetering!I31+Submetering!J31+Submetering!K31+Submetering!L31+Submetering!M31+Submetering!N31+Submetering!O31+Submetering!P31+Submetering!Q31</f>
        <v>72160</v>
      </c>
      <c r="F31" s="11">
        <v>5.0000000000000001E-3</v>
      </c>
      <c r="G31" s="12">
        <f>Submetering!R31</f>
        <v>1059.9148</v>
      </c>
      <c r="H31" s="11">
        <v>0.52800000000000002</v>
      </c>
      <c r="I31" s="12">
        <f>Hotel!B36</f>
        <v>88</v>
      </c>
    </row>
    <row r="32" spans="1:9" s="13" customFormat="1" x14ac:dyDescent="0.25">
      <c r="A32" s="21" t="s">
        <v>31</v>
      </c>
      <c r="B32" s="14">
        <f t="shared" si="0"/>
        <v>31</v>
      </c>
      <c r="C32" s="3">
        <v>8</v>
      </c>
      <c r="D32" s="11">
        <v>2021</v>
      </c>
      <c r="E32" s="12">
        <f>Submetering!E32+Submetering!F32+Submetering!G32+Submetering!H32+Submetering!I32+Submetering!J32+Submetering!K32+Submetering!L32+Submetering!M32+Submetering!N32+Submetering!O32+Submetering!P32+Submetering!Q32</f>
        <v>0</v>
      </c>
      <c r="F32" s="11">
        <v>5.0000000000000001E-3</v>
      </c>
      <c r="G32" s="12">
        <f>Submetering!R32</f>
        <v>0</v>
      </c>
      <c r="H32" s="11">
        <v>0.52800000000000002</v>
      </c>
      <c r="I32" s="12">
        <f>Hotel!B37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S32"/>
  <sheetViews>
    <sheetView workbookViewId="0">
      <selection activeCell="C2" sqref="C2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18" width="11.5703125" style="4"/>
    <col min="19" max="19" width="11.5703125" style="2"/>
  </cols>
  <sheetData>
    <row r="1" spans="1:19" s="1" customFormat="1" ht="30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44</v>
      </c>
      <c r="F1" s="17" t="s">
        <v>43</v>
      </c>
      <c r="G1" s="17" t="s">
        <v>42</v>
      </c>
      <c r="H1" s="17" t="s">
        <v>41</v>
      </c>
      <c r="I1" s="17" t="s">
        <v>40</v>
      </c>
      <c r="J1" s="17" t="s">
        <v>39</v>
      </c>
      <c r="K1" s="17" t="s">
        <v>38</v>
      </c>
      <c r="L1" s="17" t="s">
        <v>37</v>
      </c>
      <c r="M1" s="17" t="s">
        <v>36</v>
      </c>
      <c r="N1" s="17" t="s">
        <v>35</v>
      </c>
      <c r="O1" s="17" t="s">
        <v>34</v>
      </c>
      <c r="P1" s="17" t="s">
        <v>33</v>
      </c>
      <c r="Q1" s="17" t="s">
        <v>32</v>
      </c>
      <c r="R1" s="17" t="s">
        <v>45</v>
      </c>
      <c r="S1" s="18" t="s">
        <v>6</v>
      </c>
    </row>
    <row r="2" spans="1:19" x14ac:dyDescent="0.25">
      <c r="A2" s="21" t="s">
        <v>31</v>
      </c>
      <c r="B2" s="2">
        <v>1</v>
      </c>
      <c r="C2" s="3">
        <v>8</v>
      </c>
      <c r="D2" s="11">
        <v>2021</v>
      </c>
      <c r="E2" s="4">
        <f>Hotel!Q7</f>
        <v>650</v>
      </c>
      <c r="F2" s="4">
        <f>Hotel!R7</f>
        <v>9390</v>
      </c>
      <c r="G2" s="4">
        <f>Hotel!S7</f>
        <v>2580</v>
      </c>
      <c r="H2" s="4">
        <f>Hotel!T7</f>
        <v>1100</v>
      </c>
      <c r="I2" s="4">
        <f>Hotel!U7</f>
        <v>2900</v>
      </c>
      <c r="J2" s="4">
        <f>Hotel!V7</f>
        <v>2270</v>
      </c>
      <c r="K2" s="4">
        <f>Hotel!W7</f>
        <v>1530</v>
      </c>
      <c r="L2" s="4">
        <f>Hotel!X7</f>
        <v>2630</v>
      </c>
      <c r="M2" s="4">
        <f>Hotel!Y7</f>
        <v>3540</v>
      </c>
      <c r="N2" s="4">
        <f>Hotel!Z7</f>
        <v>1790</v>
      </c>
      <c r="O2" s="4">
        <f>Hotel!AA7</f>
        <v>2180</v>
      </c>
      <c r="P2" s="4">
        <f>Hotel!AB7</f>
        <v>5290</v>
      </c>
      <c r="Q2" s="4">
        <f>Hotel!AC7</f>
        <v>5350</v>
      </c>
      <c r="R2" s="4">
        <f>Hotel!AV7*0.00378541*100</f>
        <v>594.68791099999999</v>
      </c>
      <c r="S2" s="4">
        <f>Hotel!B7</f>
        <v>92</v>
      </c>
    </row>
    <row r="3" spans="1:19" x14ac:dyDescent="0.25">
      <c r="A3" s="21" t="s">
        <v>31</v>
      </c>
      <c r="B3" s="2">
        <f>B2+1</f>
        <v>2</v>
      </c>
      <c r="C3" s="3">
        <v>8</v>
      </c>
      <c r="D3" s="11">
        <v>2021</v>
      </c>
      <c r="E3" s="4">
        <f>Hotel!Q8</f>
        <v>1020</v>
      </c>
      <c r="F3" s="4">
        <f>Hotel!R8</f>
        <v>14570</v>
      </c>
      <c r="G3" s="4">
        <f>Hotel!S8</f>
        <v>4500</v>
      </c>
      <c r="H3" s="4">
        <f>Hotel!T8</f>
        <v>1710</v>
      </c>
      <c r="I3" s="4">
        <f>Hotel!U8</f>
        <v>4480</v>
      </c>
      <c r="J3" s="4">
        <f>Hotel!V8</f>
        <v>3480</v>
      </c>
      <c r="K3" s="4">
        <f>Hotel!W8</f>
        <v>2400</v>
      </c>
      <c r="L3" s="4">
        <f>Hotel!X8</f>
        <v>3740</v>
      </c>
      <c r="M3" s="4">
        <f>Hotel!Y8</f>
        <v>5540</v>
      </c>
      <c r="N3" s="4">
        <f>Hotel!Z8</f>
        <v>2640</v>
      </c>
      <c r="O3" s="4">
        <f>Hotel!AA8</f>
        <v>3130</v>
      </c>
      <c r="P3" s="4">
        <f>Hotel!AB8</f>
        <v>8070</v>
      </c>
      <c r="Q3" s="4">
        <f>Hotel!AC8</f>
        <v>9320</v>
      </c>
      <c r="R3" s="4">
        <f>Hotel!AV8*0.00378541*100</f>
        <v>1141.301115</v>
      </c>
      <c r="S3" s="4">
        <f>Hotel!B8</f>
        <v>86</v>
      </c>
    </row>
    <row r="4" spans="1:19" x14ac:dyDescent="0.25">
      <c r="A4" s="21" t="s">
        <v>31</v>
      </c>
      <c r="B4" s="2">
        <f t="shared" ref="B4:B29" si="0">B3+1</f>
        <v>3</v>
      </c>
      <c r="C4" s="3">
        <v>8</v>
      </c>
      <c r="D4" s="11">
        <v>2021</v>
      </c>
      <c r="E4" s="4">
        <f>Hotel!Q9</f>
        <v>1000</v>
      </c>
      <c r="F4" s="4">
        <f>Hotel!R9</f>
        <v>13540</v>
      </c>
      <c r="G4" s="4">
        <f>Hotel!S9</f>
        <v>3150</v>
      </c>
      <c r="H4" s="4">
        <f>Hotel!T9</f>
        <v>1660</v>
      </c>
      <c r="I4" s="4">
        <f>Hotel!U9</f>
        <v>4280</v>
      </c>
      <c r="J4" s="4">
        <f>Hotel!V9</f>
        <v>3330</v>
      </c>
      <c r="K4" s="4">
        <f>Hotel!W9</f>
        <v>2330</v>
      </c>
      <c r="L4" s="4">
        <f>Hotel!X9</f>
        <v>4010</v>
      </c>
      <c r="M4" s="4">
        <f>Hotel!Y9</f>
        <v>5380</v>
      </c>
      <c r="N4" s="4">
        <f>Hotel!Z9</f>
        <v>2620</v>
      </c>
      <c r="O4" s="4">
        <f>Hotel!AA9</f>
        <v>2910</v>
      </c>
      <c r="P4" s="4">
        <f>Hotel!AB9</f>
        <v>7830</v>
      </c>
      <c r="Q4" s="4">
        <f>Hotel!AC9</f>
        <v>9140</v>
      </c>
      <c r="R4" s="4">
        <f>Hotel!AV9*0.00378541*100</f>
        <v>899.41341599999998</v>
      </c>
      <c r="S4" s="4">
        <f>Hotel!B9</f>
        <v>82</v>
      </c>
    </row>
    <row r="5" spans="1:19" x14ac:dyDescent="0.25">
      <c r="A5" s="21" t="s">
        <v>31</v>
      </c>
      <c r="B5" s="2">
        <f t="shared" si="0"/>
        <v>4</v>
      </c>
      <c r="C5" s="3">
        <v>8</v>
      </c>
      <c r="D5" s="11">
        <v>2021</v>
      </c>
      <c r="E5" s="4">
        <f>Hotel!Q10</f>
        <v>1000</v>
      </c>
      <c r="F5" s="4">
        <f>Hotel!R10</f>
        <v>14000</v>
      </c>
      <c r="G5" s="4">
        <f>Hotel!S10</f>
        <v>3800</v>
      </c>
      <c r="H5" s="4">
        <f>Hotel!T10</f>
        <v>1680</v>
      </c>
      <c r="I5" s="4">
        <f>Hotel!U10</f>
        <v>4220</v>
      </c>
      <c r="J5" s="4">
        <f>Hotel!V10</f>
        <v>3390</v>
      </c>
      <c r="K5" s="4">
        <f>Hotel!W10</f>
        <v>2330</v>
      </c>
      <c r="L5" s="4">
        <f>Hotel!X10</f>
        <v>4110</v>
      </c>
      <c r="M5" s="4">
        <f>Hotel!Y10</f>
        <v>5300</v>
      </c>
      <c r="N5" s="4">
        <f>Hotel!Z10</f>
        <v>2580</v>
      </c>
      <c r="O5" s="4">
        <f>Hotel!AA10</f>
        <v>2850</v>
      </c>
      <c r="P5" s="4">
        <f>Hotel!AB10</f>
        <v>7730</v>
      </c>
      <c r="Q5" s="4">
        <f>Hotel!AC10</f>
        <v>8280</v>
      </c>
      <c r="R5" s="4">
        <f>Hotel!AV10*0.00378541*100</f>
        <v>1323.0007949999999</v>
      </c>
      <c r="S5" s="4">
        <f>Hotel!B10</f>
        <v>93</v>
      </c>
    </row>
    <row r="6" spans="1:19" x14ac:dyDescent="0.25">
      <c r="A6" s="21" t="s">
        <v>31</v>
      </c>
      <c r="B6" s="2">
        <f t="shared" si="0"/>
        <v>5</v>
      </c>
      <c r="C6" s="3">
        <v>8</v>
      </c>
      <c r="D6" s="11">
        <v>2021</v>
      </c>
      <c r="E6" s="4">
        <f>Hotel!Q11</f>
        <v>980</v>
      </c>
      <c r="F6" s="4">
        <f>Hotel!R11</f>
        <v>13920</v>
      </c>
      <c r="G6" s="4">
        <f>Hotel!S11</f>
        <v>3810</v>
      </c>
      <c r="H6" s="4">
        <f>Hotel!T11</f>
        <v>1640</v>
      </c>
      <c r="I6" s="4">
        <f>Hotel!U11</f>
        <v>4060</v>
      </c>
      <c r="J6" s="4">
        <f>Hotel!V11</f>
        <v>3360</v>
      </c>
      <c r="K6" s="4">
        <f>Hotel!W11</f>
        <v>2300</v>
      </c>
      <c r="L6" s="4">
        <f>Hotel!X11</f>
        <v>3980</v>
      </c>
      <c r="M6" s="4">
        <f>Hotel!Y11</f>
        <v>5420</v>
      </c>
      <c r="N6" s="4">
        <f>Hotel!Z11</f>
        <v>2590</v>
      </c>
      <c r="O6" s="4">
        <f>Hotel!AA11</f>
        <v>2990</v>
      </c>
      <c r="P6" s="4">
        <f>Hotel!AB11</f>
        <v>7610</v>
      </c>
      <c r="Q6" s="4">
        <f>Hotel!AC11</f>
        <v>8230</v>
      </c>
      <c r="R6" s="4">
        <f>Hotel!AV11*0.00378541*100</f>
        <v>1030.010061</v>
      </c>
      <c r="S6" s="4">
        <f>Hotel!B11</f>
        <v>108</v>
      </c>
    </row>
    <row r="7" spans="1:19" x14ac:dyDescent="0.25">
      <c r="A7" s="21" t="s">
        <v>31</v>
      </c>
      <c r="B7" s="2">
        <f t="shared" si="0"/>
        <v>6</v>
      </c>
      <c r="C7" s="3">
        <v>8</v>
      </c>
      <c r="D7" s="11">
        <v>2021</v>
      </c>
      <c r="E7" s="4">
        <f>Hotel!Q12</f>
        <v>980</v>
      </c>
      <c r="F7" s="4">
        <f>Hotel!R12</f>
        <v>14170</v>
      </c>
      <c r="G7" s="4">
        <f>Hotel!S12</f>
        <v>3900</v>
      </c>
      <c r="H7" s="4">
        <f>Hotel!T12</f>
        <v>1650</v>
      </c>
      <c r="I7" s="4">
        <f>Hotel!U12</f>
        <v>4290</v>
      </c>
      <c r="J7" s="4">
        <f>Hotel!V12</f>
        <v>3470</v>
      </c>
      <c r="K7" s="4">
        <f>Hotel!W12</f>
        <v>2300</v>
      </c>
      <c r="L7" s="4">
        <f>Hotel!X12</f>
        <v>4210</v>
      </c>
      <c r="M7" s="4">
        <f>Hotel!Y12</f>
        <v>5640</v>
      </c>
      <c r="N7" s="4">
        <f>Hotel!Z12</f>
        <v>2710</v>
      </c>
      <c r="O7" s="4">
        <f>Hotel!AA12</f>
        <v>3120</v>
      </c>
      <c r="P7" s="4">
        <f>Hotel!AB12</f>
        <v>7720</v>
      </c>
      <c r="Q7" s="4">
        <f>Hotel!AC12</f>
        <v>8470</v>
      </c>
      <c r="R7" s="4">
        <f>Hotel!AV12*0.00378541*100</f>
        <v>1034.1740119999999</v>
      </c>
      <c r="S7" s="4">
        <f>Hotel!B12</f>
        <v>137</v>
      </c>
    </row>
    <row r="8" spans="1:19" x14ac:dyDescent="0.25">
      <c r="A8" s="21" t="s">
        <v>31</v>
      </c>
      <c r="B8" s="2">
        <f t="shared" si="0"/>
        <v>7</v>
      </c>
      <c r="C8" s="3">
        <v>8</v>
      </c>
      <c r="D8" s="11">
        <v>2021</v>
      </c>
      <c r="E8" s="4">
        <f>Hotel!Q13</f>
        <v>1010</v>
      </c>
      <c r="F8" s="4">
        <f>Hotel!R13</f>
        <v>15220</v>
      </c>
      <c r="G8" s="4">
        <f>Hotel!S13</f>
        <v>4260</v>
      </c>
      <c r="H8" s="4">
        <f>Hotel!T13</f>
        <v>1710</v>
      </c>
      <c r="I8" s="4">
        <f>Hotel!U13</f>
        <v>4380</v>
      </c>
      <c r="J8" s="4">
        <f>Hotel!V13</f>
        <v>3620</v>
      </c>
      <c r="K8" s="4">
        <f>Hotel!W13</f>
        <v>2360</v>
      </c>
      <c r="L8" s="4">
        <f>Hotel!X13</f>
        <v>4240</v>
      </c>
      <c r="M8" s="4">
        <f>Hotel!Y13</f>
        <v>5860</v>
      </c>
      <c r="N8" s="4">
        <f>Hotel!Z13</f>
        <v>2770</v>
      </c>
      <c r="O8" s="4">
        <f>Hotel!AA13</f>
        <v>3270</v>
      </c>
      <c r="P8" s="4">
        <f>Hotel!AB13</f>
        <v>7800</v>
      </c>
      <c r="Q8" s="4">
        <f>Hotel!AC13</f>
        <v>8400</v>
      </c>
      <c r="R8" s="4">
        <f>Hotel!AV13*0.00378541*100</f>
        <v>1028.8744379999998</v>
      </c>
      <c r="S8" s="4">
        <f>Hotel!B13</f>
        <v>158</v>
      </c>
    </row>
    <row r="9" spans="1:19" x14ac:dyDescent="0.25">
      <c r="A9" s="21" t="s">
        <v>31</v>
      </c>
      <c r="B9" s="2">
        <f t="shared" si="0"/>
        <v>8</v>
      </c>
      <c r="C9" s="3">
        <v>8</v>
      </c>
      <c r="D9" s="11">
        <v>2021</v>
      </c>
      <c r="E9" s="4">
        <f>Hotel!Q14</f>
        <v>1000</v>
      </c>
      <c r="F9" s="4">
        <f>Hotel!R14</f>
        <v>14290</v>
      </c>
      <c r="G9" s="4">
        <f>Hotel!S14</f>
        <v>3920</v>
      </c>
      <c r="H9" s="4">
        <f>Hotel!T14</f>
        <v>1670</v>
      </c>
      <c r="I9" s="4">
        <f>Hotel!U14</f>
        <v>4360</v>
      </c>
      <c r="J9" s="4">
        <f>Hotel!V14</f>
        <v>3540</v>
      </c>
      <c r="K9" s="4">
        <f>Hotel!W14</f>
        <v>2320</v>
      </c>
      <c r="L9" s="4">
        <f>Hotel!X14</f>
        <v>3870</v>
      </c>
      <c r="M9" s="4">
        <f>Hotel!Y14</f>
        <v>5670</v>
      </c>
      <c r="N9" s="4">
        <f>Hotel!Z14</f>
        <v>2850</v>
      </c>
      <c r="O9" s="4">
        <f>Hotel!AA14</f>
        <v>3180</v>
      </c>
      <c r="P9" s="4">
        <f>Hotel!AB14</f>
        <v>7700</v>
      </c>
      <c r="Q9" s="4">
        <f>Hotel!AC14</f>
        <v>8600</v>
      </c>
      <c r="R9" s="4">
        <f>Hotel!AV14*0.00378541*100</f>
        <v>1054.6152259999999</v>
      </c>
      <c r="S9" s="4">
        <f>Hotel!B14</f>
        <v>123</v>
      </c>
    </row>
    <row r="10" spans="1:19" x14ac:dyDescent="0.25">
      <c r="A10" s="21" t="s">
        <v>31</v>
      </c>
      <c r="B10" s="2">
        <f t="shared" si="0"/>
        <v>9</v>
      </c>
      <c r="C10" s="3">
        <v>8</v>
      </c>
      <c r="D10" s="11">
        <v>2021</v>
      </c>
      <c r="E10" s="4">
        <f>Hotel!Q15</f>
        <v>1050</v>
      </c>
      <c r="F10" s="4">
        <f>Hotel!R15</f>
        <v>14670</v>
      </c>
      <c r="G10" s="4">
        <f>Hotel!S15</f>
        <v>3980</v>
      </c>
      <c r="H10" s="4">
        <f>Hotel!T15</f>
        <v>1770</v>
      </c>
      <c r="I10" s="4">
        <f>Hotel!U15</f>
        <v>4470</v>
      </c>
      <c r="J10" s="4">
        <f>Hotel!V15</f>
        <v>3710</v>
      </c>
      <c r="K10" s="4">
        <f>Hotel!W15</f>
        <v>2500</v>
      </c>
      <c r="L10" s="4">
        <f>Hotel!X15</f>
        <v>3910</v>
      </c>
      <c r="M10" s="4">
        <f>Hotel!Y15</f>
        <v>5920</v>
      </c>
      <c r="N10" s="4">
        <f>Hotel!Z15</f>
        <v>2820</v>
      </c>
      <c r="O10" s="4">
        <f>Hotel!AA15</f>
        <v>3170</v>
      </c>
      <c r="P10" s="4">
        <f>Hotel!AB15</f>
        <v>8190</v>
      </c>
      <c r="Q10" s="4">
        <f>Hotel!AC15</f>
        <v>9770</v>
      </c>
      <c r="R10" s="4">
        <f>Hotel!AV15*0.00378541*100</f>
        <v>1020.5465359999999</v>
      </c>
      <c r="S10" s="4">
        <f>Hotel!B15</f>
        <v>74</v>
      </c>
    </row>
    <row r="11" spans="1:19" x14ac:dyDescent="0.25">
      <c r="A11" s="21" t="s">
        <v>31</v>
      </c>
      <c r="B11" s="2">
        <f t="shared" si="0"/>
        <v>10</v>
      </c>
      <c r="C11" s="3">
        <v>8</v>
      </c>
      <c r="D11" s="11">
        <v>2021</v>
      </c>
      <c r="E11" s="4">
        <f>Hotel!Q16</f>
        <v>1120</v>
      </c>
      <c r="F11" s="4">
        <f>Hotel!R16</f>
        <v>15560</v>
      </c>
      <c r="G11" s="4">
        <f>Hotel!S16</f>
        <v>4210</v>
      </c>
      <c r="H11" s="4">
        <f>Hotel!T16</f>
        <v>1890</v>
      </c>
      <c r="I11" s="4">
        <f>Hotel!U16</f>
        <v>4550</v>
      </c>
      <c r="J11" s="4">
        <f>Hotel!V16</f>
        <v>3890</v>
      </c>
      <c r="K11" s="4">
        <f>Hotel!W16</f>
        <v>2630</v>
      </c>
      <c r="L11" s="4">
        <f>Hotel!X16</f>
        <v>4520</v>
      </c>
      <c r="M11" s="4">
        <f>Hotel!Y16</f>
        <v>6150</v>
      </c>
      <c r="N11" s="4">
        <f>Hotel!Z16</f>
        <v>2820</v>
      </c>
      <c r="O11" s="4">
        <f>Hotel!AA16</f>
        <v>3200</v>
      </c>
      <c r="P11" s="4">
        <f>Hotel!AB16</f>
        <v>8360</v>
      </c>
      <c r="Q11" s="4">
        <f>Hotel!AC16</f>
        <v>11250</v>
      </c>
      <c r="R11" s="4">
        <f>Hotel!AV16*0.00378541*100</f>
        <v>1088.3053749999999</v>
      </c>
      <c r="S11" s="4">
        <f>Hotel!B16</f>
        <v>83</v>
      </c>
    </row>
    <row r="12" spans="1:19" x14ac:dyDescent="0.25">
      <c r="A12" s="21" t="s">
        <v>31</v>
      </c>
      <c r="B12" s="2">
        <f t="shared" si="0"/>
        <v>11</v>
      </c>
      <c r="C12" s="3">
        <v>8</v>
      </c>
      <c r="D12" s="11">
        <v>2021</v>
      </c>
      <c r="E12" s="4">
        <f>Hotel!Q17</f>
        <v>880</v>
      </c>
      <c r="F12" s="4">
        <f>Hotel!R17</f>
        <v>12410</v>
      </c>
      <c r="G12" s="4">
        <f>Hotel!S17</f>
        <v>3380</v>
      </c>
      <c r="H12" s="4">
        <f>Hotel!T17</f>
        <v>1470</v>
      </c>
      <c r="I12" s="4">
        <f>Hotel!U17</f>
        <v>3580</v>
      </c>
      <c r="J12" s="4">
        <f>Hotel!V17</f>
        <v>3120</v>
      </c>
      <c r="K12" s="4">
        <f>Hotel!W17</f>
        <v>2090</v>
      </c>
      <c r="L12" s="4">
        <f>Hotel!X17</f>
        <v>3720</v>
      </c>
      <c r="M12" s="4">
        <f>Hotel!Y17</f>
        <v>4850</v>
      </c>
      <c r="N12" s="4">
        <f>Hotel!Z17</f>
        <v>2240</v>
      </c>
      <c r="O12" s="4">
        <f>Hotel!AA17</f>
        <v>2610</v>
      </c>
      <c r="P12" s="4">
        <f>Hotel!AB17</f>
        <v>6750</v>
      </c>
      <c r="Q12" s="4">
        <f>Hotel!AC17</f>
        <v>7900</v>
      </c>
      <c r="R12" s="4">
        <f>Hotel!AV17*0.00378541*100</f>
        <v>925.53274499999998</v>
      </c>
      <c r="S12" s="4">
        <f>Hotel!B17</f>
        <v>69</v>
      </c>
    </row>
    <row r="13" spans="1:19" x14ac:dyDescent="0.25">
      <c r="A13" s="21" t="s">
        <v>31</v>
      </c>
      <c r="B13" s="2">
        <f t="shared" si="0"/>
        <v>12</v>
      </c>
      <c r="C13" s="3">
        <v>8</v>
      </c>
      <c r="D13" s="11">
        <v>2021</v>
      </c>
      <c r="E13" s="4">
        <f>Hotel!Q18</f>
        <v>970</v>
      </c>
      <c r="F13" s="4">
        <f>Hotel!R18</f>
        <v>13630</v>
      </c>
      <c r="G13" s="4">
        <f>Hotel!S18</f>
        <v>3730</v>
      </c>
      <c r="H13" s="4">
        <f>Hotel!T18</f>
        <v>1630</v>
      </c>
      <c r="I13" s="4">
        <f>Hotel!U18</f>
        <v>3980</v>
      </c>
      <c r="J13" s="4">
        <f>Hotel!V18</f>
        <v>3450</v>
      </c>
      <c r="K13" s="4">
        <f>Hotel!W18</f>
        <v>2280</v>
      </c>
      <c r="L13" s="4">
        <f>Hotel!X18</f>
        <v>4230</v>
      </c>
      <c r="M13" s="4">
        <f>Hotel!Y18</f>
        <v>5200</v>
      </c>
      <c r="N13" s="4">
        <f>Hotel!Z18</f>
        <v>2510</v>
      </c>
      <c r="O13" s="4">
        <f>Hotel!AA18</f>
        <v>3130</v>
      </c>
      <c r="P13" s="4">
        <f>Hotel!AB18</f>
        <v>7450</v>
      </c>
      <c r="Q13" s="4">
        <f>Hotel!AC18</f>
        <v>8400</v>
      </c>
      <c r="R13" s="4">
        <f>Hotel!AV18*0.00378541*100</f>
        <v>1046.2873240000001</v>
      </c>
      <c r="S13" s="4">
        <f>Hotel!B18</f>
        <v>98</v>
      </c>
    </row>
    <row r="14" spans="1:19" x14ac:dyDescent="0.25">
      <c r="A14" s="21" t="s">
        <v>31</v>
      </c>
      <c r="B14" s="2">
        <f t="shared" si="0"/>
        <v>13</v>
      </c>
      <c r="C14" s="3">
        <v>8</v>
      </c>
      <c r="D14" s="11">
        <v>2021</v>
      </c>
      <c r="E14" s="4">
        <f>Hotel!Q19</f>
        <v>1000</v>
      </c>
      <c r="F14" s="4">
        <f>Hotel!R19</f>
        <v>14070</v>
      </c>
      <c r="G14" s="4">
        <f>Hotel!S19</f>
        <v>3830</v>
      </c>
      <c r="H14" s="4">
        <f>Hotel!T19</f>
        <v>1680</v>
      </c>
      <c r="I14" s="4">
        <f>Hotel!U19</f>
        <v>3950</v>
      </c>
      <c r="J14" s="4">
        <f>Hotel!V19</f>
        <v>3540</v>
      </c>
      <c r="K14" s="4">
        <f>Hotel!W19</f>
        <v>2340</v>
      </c>
      <c r="L14" s="4">
        <f>Hotel!X19</f>
        <v>4480</v>
      </c>
      <c r="M14" s="4">
        <f>Hotel!Y19</f>
        <v>5650</v>
      </c>
      <c r="N14" s="4">
        <f>Hotel!Z19</f>
        <v>2630</v>
      </c>
      <c r="O14" s="4">
        <f>Hotel!AA19</f>
        <v>3170</v>
      </c>
      <c r="P14" s="4">
        <f>Hotel!AB19</f>
        <v>7780</v>
      </c>
      <c r="Q14" s="4">
        <f>Hotel!AC19</f>
        <v>8590</v>
      </c>
      <c r="R14" s="4">
        <f>Hotel!AV19*0.00378541*100</f>
        <v>1157.1998369999999</v>
      </c>
      <c r="S14" s="4">
        <f>Hotel!B19</f>
        <v>111</v>
      </c>
    </row>
    <row r="15" spans="1:19" x14ac:dyDescent="0.25">
      <c r="A15" s="21" t="s">
        <v>31</v>
      </c>
      <c r="B15" s="2">
        <f t="shared" si="0"/>
        <v>14</v>
      </c>
      <c r="C15" s="3">
        <v>8</v>
      </c>
      <c r="D15" s="11">
        <v>2021</v>
      </c>
      <c r="E15" s="4">
        <f>Hotel!Q20</f>
        <v>1070</v>
      </c>
      <c r="F15" s="4">
        <f>Hotel!R20</f>
        <v>15280</v>
      </c>
      <c r="G15" s="4">
        <f>Hotel!S20</f>
        <v>4160</v>
      </c>
      <c r="H15" s="4">
        <f>Hotel!T20</f>
        <v>1800</v>
      </c>
      <c r="I15" s="4">
        <f>Hotel!U20</f>
        <v>4260</v>
      </c>
      <c r="J15" s="4">
        <f>Hotel!V20</f>
        <v>3700</v>
      </c>
      <c r="K15" s="4">
        <f>Hotel!W20</f>
        <v>2500</v>
      </c>
      <c r="L15" s="4">
        <f>Hotel!X20</f>
        <v>4530</v>
      </c>
      <c r="M15" s="4">
        <f>Hotel!Y20</f>
        <v>6130</v>
      </c>
      <c r="N15" s="4">
        <f>Hotel!Z20</f>
        <v>2820</v>
      </c>
      <c r="O15" s="4">
        <f>Hotel!AA20</f>
        <v>3260</v>
      </c>
      <c r="P15" s="4">
        <f>Hotel!AB20</f>
        <v>8160</v>
      </c>
      <c r="Q15" s="4">
        <f>Hotel!AC20</f>
        <v>10510</v>
      </c>
      <c r="R15" s="4">
        <f>Hotel!AV20*0.00378541*100</f>
        <v>945.59541799999988</v>
      </c>
      <c r="S15" s="4">
        <f>Hotel!B20</f>
        <v>78</v>
      </c>
    </row>
    <row r="16" spans="1:19" x14ac:dyDescent="0.25">
      <c r="A16" s="21" t="s">
        <v>31</v>
      </c>
      <c r="B16" s="2">
        <f t="shared" si="0"/>
        <v>15</v>
      </c>
      <c r="C16" s="3">
        <v>8</v>
      </c>
      <c r="D16" s="11">
        <v>2021</v>
      </c>
      <c r="E16" s="4">
        <f>Hotel!Q21</f>
        <v>1010</v>
      </c>
      <c r="F16" s="4">
        <f>Hotel!R21</f>
        <v>14160</v>
      </c>
      <c r="G16" s="4">
        <f>Hotel!S21</f>
        <v>3840</v>
      </c>
      <c r="H16" s="4">
        <f>Hotel!T21</f>
        <v>1690</v>
      </c>
      <c r="I16" s="4">
        <f>Hotel!U21</f>
        <v>3980</v>
      </c>
      <c r="J16" s="4">
        <f>Hotel!V21</f>
        <v>3360</v>
      </c>
      <c r="K16" s="4">
        <f>Hotel!W21</f>
        <v>2340</v>
      </c>
      <c r="L16" s="4">
        <f>Hotel!X21</f>
        <v>4230</v>
      </c>
      <c r="M16" s="4">
        <f>Hotel!Y21</f>
        <v>5620</v>
      </c>
      <c r="N16" s="4">
        <f>Hotel!Z21</f>
        <v>2520</v>
      </c>
      <c r="O16" s="4">
        <f>Hotel!AA21</f>
        <v>2930</v>
      </c>
      <c r="P16" s="4">
        <f>Hotel!AB21</f>
        <v>7630</v>
      </c>
      <c r="Q16" s="4">
        <f>Hotel!AC21</f>
        <v>10810</v>
      </c>
      <c r="R16" s="4">
        <f>Hotel!AV21*0.00378541*100</f>
        <v>929.31815499999993</v>
      </c>
      <c r="S16" s="4">
        <v>38</v>
      </c>
    </row>
    <row r="17" spans="1:19" x14ac:dyDescent="0.25">
      <c r="A17" s="21" t="s">
        <v>31</v>
      </c>
      <c r="B17" s="2">
        <f t="shared" si="0"/>
        <v>16</v>
      </c>
      <c r="C17" s="3">
        <v>8</v>
      </c>
      <c r="D17" s="11">
        <v>2021</v>
      </c>
      <c r="E17" s="4">
        <f>Hotel!Q22</f>
        <v>1010</v>
      </c>
      <c r="F17" s="4">
        <f>Hotel!R22</f>
        <v>14130</v>
      </c>
      <c r="G17" s="4">
        <f>Hotel!S22</f>
        <v>3800</v>
      </c>
      <c r="H17" s="4">
        <f>Hotel!T22</f>
        <v>1690</v>
      </c>
      <c r="I17" s="4">
        <f>Hotel!U22</f>
        <v>3750</v>
      </c>
      <c r="J17" s="4">
        <f>Hotel!V22</f>
        <v>3360</v>
      </c>
      <c r="K17" s="4">
        <f>Hotel!W22</f>
        <v>2360</v>
      </c>
      <c r="L17" s="4">
        <f>Hotel!X22</f>
        <v>4060</v>
      </c>
      <c r="M17" s="4">
        <f>Hotel!Y22</f>
        <v>5870</v>
      </c>
      <c r="N17" s="4">
        <f>Hotel!Z22</f>
        <v>2270</v>
      </c>
      <c r="O17" s="4">
        <f>Hotel!AA22</f>
        <v>2960</v>
      </c>
      <c r="P17" s="4">
        <f>Hotel!AB22</f>
        <v>7780</v>
      </c>
      <c r="Q17" s="4">
        <f>Hotel!AC22</f>
        <v>10550</v>
      </c>
      <c r="R17" s="4">
        <f>Hotel!AV22*0.00378541*100</f>
        <v>1003.13365</v>
      </c>
      <c r="S17" s="4">
        <v>41</v>
      </c>
    </row>
    <row r="18" spans="1:19" x14ac:dyDescent="0.25">
      <c r="A18" s="21" t="s">
        <v>31</v>
      </c>
      <c r="B18" s="2">
        <f t="shared" si="0"/>
        <v>17</v>
      </c>
      <c r="C18" s="3">
        <v>8</v>
      </c>
      <c r="D18" s="11">
        <v>2021</v>
      </c>
      <c r="E18" s="4">
        <f>Hotel!Q23</f>
        <v>980</v>
      </c>
      <c r="F18" s="4">
        <f>Hotel!R23</f>
        <v>13410</v>
      </c>
      <c r="G18" s="4">
        <f>Hotel!S23</f>
        <v>3630</v>
      </c>
      <c r="H18" s="4">
        <f>Hotel!T23</f>
        <v>1650</v>
      </c>
      <c r="I18" s="4">
        <f>Hotel!U23</f>
        <v>3740</v>
      </c>
      <c r="J18" s="4">
        <f>Hotel!V23</f>
        <v>3250</v>
      </c>
      <c r="K18" s="4">
        <f>Hotel!W23</f>
        <v>2310</v>
      </c>
      <c r="L18" s="4">
        <f>Hotel!X23</f>
        <v>5020</v>
      </c>
      <c r="M18" s="4">
        <f>Hotel!Y23</f>
        <v>5050</v>
      </c>
      <c r="N18" s="4">
        <f>Hotel!Z23</f>
        <v>2240</v>
      </c>
      <c r="O18" s="4">
        <f>Hotel!AA23</f>
        <v>2940</v>
      </c>
      <c r="P18" s="4">
        <f>Hotel!AB23</f>
        <v>7560</v>
      </c>
      <c r="Q18" s="4">
        <f>Hotel!AC23</f>
        <v>9880</v>
      </c>
      <c r="R18" s="4">
        <f>Hotel!AV23*0.00378541*100</f>
        <v>1013.354257</v>
      </c>
      <c r="S18" s="4">
        <f>Hotel!B23</f>
        <v>72</v>
      </c>
    </row>
    <row r="19" spans="1:19" x14ac:dyDescent="0.25">
      <c r="A19" s="21" t="s">
        <v>31</v>
      </c>
      <c r="B19" s="2">
        <f t="shared" si="0"/>
        <v>18</v>
      </c>
      <c r="C19" s="3">
        <v>8</v>
      </c>
      <c r="D19" s="11">
        <v>2021</v>
      </c>
      <c r="E19" s="4">
        <f>Hotel!Q24</f>
        <v>1030</v>
      </c>
      <c r="F19" s="4">
        <f>Hotel!R24</f>
        <v>13780</v>
      </c>
      <c r="G19" s="4">
        <f>Hotel!S24</f>
        <v>3670</v>
      </c>
      <c r="H19" s="4">
        <f>Hotel!T24</f>
        <v>1700</v>
      </c>
      <c r="I19" s="4">
        <f>Hotel!U24</f>
        <v>3890</v>
      </c>
      <c r="J19" s="4">
        <f>Hotel!V24</f>
        <v>3410</v>
      </c>
      <c r="K19" s="4">
        <f>Hotel!W24</f>
        <v>2390</v>
      </c>
      <c r="L19" s="4">
        <f>Hotel!X24</f>
        <v>5200</v>
      </c>
      <c r="M19" s="4">
        <f>Hotel!Y24</f>
        <v>5690</v>
      </c>
      <c r="N19" s="4">
        <f>Hotel!Z24</f>
        <v>2440</v>
      </c>
      <c r="O19" s="4">
        <f>Hotel!AA24</f>
        <v>2920</v>
      </c>
      <c r="P19" s="4">
        <f>Hotel!AB24</f>
        <v>7490</v>
      </c>
      <c r="Q19" s="4">
        <f>Hotel!AC24</f>
        <v>9350</v>
      </c>
      <c r="R19" s="4">
        <f>Hotel!AV24*0.00378541*100</f>
        <v>890.32843199999991</v>
      </c>
      <c r="S19" s="4">
        <f>Hotel!B24</f>
        <v>61</v>
      </c>
    </row>
    <row r="20" spans="1:19" x14ac:dyDescent="0.25">
      <c r="A20" s="21" t="s">
        <v>31</v>
      </c>
      <c r="B20" s="2">
        <f t="shared" si="0"/>
        <v>19</v>
      </c>
      <c r="C20" s="3">
        <v>8</v>
      </c>
      <c r="D20" s="11">
        <v>2021</v>
      </c>
      <c r="E20" s="4">
        <f>Hotel!Q25</f>
        <v>1000</v>
      </c>
      <c r="F20" s="4">
        <f>Hotel!R25</f>
        <v>13430</v>
      </c>
      <c r="G20" s="4">
        <f>Hotel!S25</f>
        <v>3610</v>
      </c>
      <c r="H20" s="4">
        <f>Hotel!T25</f>
        <v>1650</v>
      </c>
      <c r="I20" s="4">
        <f>Hotel!U25</f>
        <v>3880</v>
      </c>
      <c r="J20" s="4">
        <f>Hotel!V25</f>
        <v>3390</v>
      </c>
      <c r="K20" s="4">
        <f>Hotel!W25</f>
        <v>2340</v>
      </c>
      <c r="L20" s="4">
        <f>Hotel!X25</f>
        <v>5020</v>
      </c>
      <c r="M20" s="4">
        <f>Hotel!Y25</f>
        <v>5740</v>
      </c>
      <c r="N20" s="4">
        <f>Hotel!Z25</f>
        <v>2530</v>
      </c>
      <c r="O20" s="4">
        <f>Hotel!AA25</f>
        <v>2940</v>
      </c>
      <c r="P20" s="4">
        <f>Hotel!AB25</f>
        <v>7390</v>
      </c>
      <c r="Q20" s="4">
        <f>Hotel!AC25</f>
        <v>9610</v>
      </c>
      <c r="R20" s="4">
        <f>Hotel!AV25*0.00378541*100</f>
        <v>847.17475800000011</v>
      </c>
      <c r="S20" s="4">
        <f>Hotel!B25</f>
        <v>102</v>
      </c>
    </row>
    <row r="21" spans="1:19" x14ac:dyDescent="0.25">
      <c r="A21" s="21" t="s">
        <v>31</v>
      </c>
      <c r="B21" s="2">
        <f t="shared" si="0"/>
        <v>20</v>
      </c>
      <c r="C21" s="3">
        <v>8</v>
      </c>
      <c r="D21" s="11">
        <v>2021</v>
      </c>
      <c r="E21" s="4">
        <f>Hotel!Q26</f>
        <v>980</v>
      </c>
      <c r="F21" s="4">
        <f>Hotel!R26</f>
        <v>14200</v>
      </c>
      <c r="G21" s="4">
        <f>Hotel!S26</f>
        <v>3940</v>
      </c>
      <c r="H21" s="4">
        <f>Hotel!T26</f>
        <v>1630</v>
      </c>
      <c r="I21" s="4">
        <f>Hotel!U26</f>
        <v>3910</v>
      </c>
      <c r="J21" s="4">
        <f>Hotel!V26</f>
        <v>3410</v>
      </c>
      <c r="K21" s="4">
        <f>Hotel!W26</f>
        <v>2300</v>
      </c>
      <c r="L21" s="4">
        <f>Hotel!X26</f>
        <v>4660</v>
      </c>
      <c r="M21" s="4">
        <f>Hotel!Y26</f>
        <v>5680</v>
      </c>
      <c r="N21" s="4">
        <f>Hotel!Z26</f>
        <v>2600</v>
      </c>
      <c r="O21" s="4">
        <f>Hotel!AA26</f>
        <v>2880</v>
      </c>
      <c r="P21" s="4">
        <f>Hotel!AB26</f>
        <v>7410</v>
      </c>
      <c r="Q21" s="4">
        <f>Hotel!AC26</f>
        <v>8950</v>
      </c>
      <c r="R21" s="4">
        <f>Hotel!AV26*0.00378541*100</f>
        <v>953.54477899999995</v>
      </c>
      <c r="S21" s="4">
        <f>Hotel!B26</f>
        <v>128</v>
      </c>
    </row>
    <row r="22" spans="1:19" x14ac:dyDescent="0.25">
      <c r="A22" s="21" t="s">
        <v>31</v>
      </c>
      <c r="B22" s="2">
        <f t="shared" si="0"/>
        <v>21</v>
      </c>
      <c r="C22" s="3">
        <v>8</v>
      </c>
      <c r="D22" s="11">
        <v>2021</v>
      </c>
      <c r="E22" s="4">
        <f>Hotel!Q27</f>
        <v>1020</v>
      </c>
      <c r="F22" s="4">
        <f>Hotel!R27</f>
        <v>16350</v>
      </c>
      <c r="G22" s="4">
        <f>Hotel!S27</f>
        <v>4670</v>
      </c>
      <c r="H22" s="4">
        <f>Hotel!T27</f>
        <v>1710</v>
      </c>
      <c r="I22" s="4">
        <f>Hotel!U27</f>
        <v>3990</v>
      </c>
      <c r="J22" s="4">
        <f>Hotel!V27</f>
        <v>3550</v>
      </c>
      <c r="K22" s="4">
        <f>Hotel!W27</f>
        <v>2380</v>
      </c>
      <c r="L22" s="4">
        <f>Hotel!X27</f>
        <v>4740</v>
      </c>
      <c r="M22" s="4">
        <f>Hotel!Y27</f>
        <v>6090</v>
      </c>
      <c r="N22" s="4">
        <f>Hotel!Z27</f>
        <v>2700</v>
      </c>
      <c r="O22" s="4">
        <f>Hotel!AA27</f>
        <v>2940</v>
      </c>
      <c r="P22" s="4">
        <f>Hotel!AB27</f>
        <v>7550</v>
      </c>
      <c r="Q22" s="4">
        <f>Hotel!AC27</f>
        <v>9030</v>
      </c>
      <c r="R22" s="4">
        <f>Hotel!AV27*0.00378541*100</f>
        <v>965.65809100000001</v>
      </c>
      <c r="S22" s="4">
        <f>Hotel!B27</f>
        <v>70</v>
      </c>
    </row>
    <row r="23" spans="1:19" x14ac:dyDescent="0.25">
      <c r="A23" s="21" t="s">
        <v>31</v>
      </c>
      <c r="B23" s="2">
        <f t="shared" si="0"/>
        <v>22</v>
      </c>
      <c r="C23" s="3">
        <v>8</v>
      </c>
      <c r="D23" s="11">
        <v>2021</v>
      </c>
      <c r="E23" s="4">
        <f>Hotel!Q28</f>
        <v>1000</v>
      </c>
      <c r="F23" s="4">
        <f>Hotel!R28</f>
        <v>15180</v>
      </c>
      <c r="G23" s="4">
        <f>Hotel!S28</f>
        <v>4280</v>
      </c>
      <c r="H23" s="4">
        <f>Hotel!T28</f>
        <v>1680</v>
      </c>
      <c r="I23" s="4">
        <f>Hotel!U28</f>
        <v>3870</v>
      </c>
      <c r="J23" s="4">
        <f>Hotel!V28</f>
        <v>3430</v>
      </c>
      <c r="K23" s="4">
        <f>Hotel!W28</f>
        <v>2370</v>
      </c>
      <c r="L23" s="4">
        <f>Hotel!X28</f>
        <v>4430</v>
      </c>
      <c r="M23" s="4">
        <f>Hotel!Y28</f>
        <v>5960</v>
      </c>
      <c r="N23" s="4">
        <f>Hotel!Z28</f>
        <v>2620</v>
      </c>
      <c r="O23" s="4">
        <f>Hotel!AA28</f>
        <v>2860</v>
      </c>
      <c r="P23" s="4">
        <f>Hotel!AB28</f>
        <v>7490</v>
      </c>
      <c r="Q23" s="4">
        <f>Hotel!AC28</f>
        <v>8740</v>
      </c>
      <c r="R23" s="4">
        <f>Hotel!AV28*0.00378541*100</f>
        <v>952.78769699999998</v>
      </c>
      <c r="S23" s="4">
        <f>Hotel!B28</f>
        <v>81</v>
      </c>
    </row>
    <row r="24" spans="1:19" x14ac:dyDescent="0.25">
      <c r="A24" s="21" t="s">
        <v>31</v>
      </c>
      <c r="B24" s="2">
        <f t="shared" si="0"/>
        <v>23</v>
      </c>
      <c r="C24" s="3">
        <v>8</v>
      </c>
      <c r="D24" s="11">
        <v>2021</v>
      </c>
      <c r="E24" s="4">
        <f>Hotel!Q29</f>
        <v>2840</v>
      </c>
      <c r="F24" s="4">
        <f>Hotel!R29</f>
        <v>14850</v>
      </c>
      <c r="G24" s="4">
        <f>Hotel!S29</f>
        <v>4040</v>
      </c>
      <c r="H24" s="4">
        <f>Hotel!T29</f>
        <v>1700</v>
      </c>
      <c r="I24" s="4">
        <f>Hotel!U29</f>
        <v>4010</v>
      </c>
      <c r="J24" s="4">
        <f>Hotel!V29</f>
        <v>3500</v>
      </c>
      <c r="K24" s="4">
        <f>Hotel!W29</f>
        <v>2360</v>
      </c>
      <c r="L24" s="4">
        <f>Hotel!X29</f>
        <v>4120</v>
      </c>
      <c r="M24" s="4">
        <f>Hotel!Y29</f>
        <v>6060</v>
      </c>
      <c r="N24" s="4">
        <f>Hotel!Z29</f>
        <v>2670</v>
      </c>
      <c r="O24" s="4">
        <f>Hotel!AA29</f>
        <v>2950</v>
      </c>
      <c r="P24" s="4">
        <f>Hotel!AB29</f>
        <v>7310</v>
      </c>
      <c r="Q24" s="4">
        <f>Hotel!AC29</f>
        <v>8790</v>
      </c>
      <c r="R24" s="4">
        <f>Hotel!AV29*0.00378541*100</f>
        <v>1041.7448320000001</v>
      </c>
      <c r="S24" s="4">
        <f>Hotel!B29</f>
        <v>99</v>
      </c>
    </row>
    <row r="25" spans="1:19" x14ac:dyDescent="0.25">
      <c r="A25" s="21" t="s">
        <v>31</v>
      </c>
      <c r="B25" s="2">
        <f t="shared" si="0"/>
        <v>24</v>
      </c>
      <c r="C25" s="3">
        <v>8</v>
      </c>
      <c r="D25" s="11">
        <v>2021</v>
      </c>
      <c r="E25" s="4">
        <f>Hotel!Q30</f>
        <v>2340</v>
      </c>
      <c r="F25" s="4">
        <f>Hotel!R30</f>
        <v>15140</v>
      </c>
      <c r="G25" s="4">
        <f>Hotel!S30</f>
        <v>3920</v>
      </c>
      <c r="H25" s="4">
        <f>Hotel!T30</f>
        <v>1740</v>
      </c>
      <c r="I25" s="4">
        <f>Hotel!U30</f>
        <v>3870</v>
      </c>
      <c r="J25" s="4">
        <f>Hotel!V30</f>
        <v>3500</v>
      </c>
      <c r="K25" s="4">
        <f>Hotel!W30</f>
        <v>2310</v>
      </c>
      <c r="L25" s="4">
        <f>Hotel!X30</f>
        <v>4620</v>
      </c>
      <c r="M25" s="4">
        <f>Hotel!Y30</f>
        <v>5950</v>
      </c>
      <c r="N25" s="4">
        <f>Hotel!Z30</f>
        <v>2680</v>
      </c>
      <c r="O25" s="4">
        <f>Hotel!AA30</f>
        <v>2880</v>
      </c>
      <c r="P25" s="4">
        <f>Hotel!AB30</f>
        <v>7180</v>
      </c>
      <c r="Q25" s="4">
        <f>Hotel!AC30</f>
        <v>7690</v>
      </c>
      <c r="R25" s="4">
        <f>Hotel!AV30*0.00378541*100</f>
        <v>875.18679200000008</v>
      </c>
      <c r="S25" s="4">
        <f>Hotel!B30</f>
        <v>103</v>
      </c>
    </row>
    <row r="26" spans="1:19" x14ac:dyDescent="0.25">
      <c r="A26" s="21" t="s">
        <v>31</v>
      </c>
      <c r="B26" s="2">
        <f>B25+1</f>
        <v>25</v>
      </c>
      <c r="C26" s="3">
        <v>8</v>
      </c>
      <c r="D26" s="11">
        <v>2021</v>
      </c>
      <c r="E26" s="4">
        <f>Hotel!Q31</f>
        <v>1510</v>
      </c>
      <c r="F26" s="4">
        <f>Hotel!R31</f>
        <v>13570</v>
      </c>
      <c r="G26" s="4">
        <f>Hotel!S31</f>
        <v>3630</v>
      </c>
      <c r="H26" s="4">
        <f>Hotel!T31</f>
        <v>1770</v>
      </c>
      <c r="I26" s="4">
        <f>Hotel!U31</f>
        <v>3870</v>
      </c>
      <c r="J26" s="4">
        <f>Hotel!V31</f>
        <v>3470</v>
      </c>
      <c r="K26" s="4">
        <f>Hotel!W31</f>
        <v>2300</v>
      </c>
      <c r="L26" s="4">
        <f>Hotel!X31</f>
        <v>4820</v>
      </c>
      <c r="M26" s="4">
        <f>Hotel!Y31</f>
        <v>5990</v>
      </c>
      <c r="N26" s="4">
        <f>Hotel!Z31</f>
        <v>2690</v>
      </c>
      <c r="O26" s="4">
        <f>Hotel!AA31</f>
        <v>2990</v>
      </c>
      <c r="P26" s="4">
        <f>Hotel!AB31</f>
        <v>7440</v>
      </c>
      <c r="Q26" s="4">
        <f>Hotel!AC31</f>
        <v>8280</v>
      </c>
      <c r="R26" s="4">
        <f>Hotel!AV31*0.00378541*100</f>
        <v>1123.8882289999999</v>
      </c>
      <c r="S26" s="4">
        <f>Hotel!B31</f>
        <v>105</v>
      </c>
    </row>
    <row r="27" spans="1:19" x14ac:dyDescent="0.25">
      <c r="A27" s="21" t="s">
        <v>31</v>
      </c>
      <c r="B27" s="2">
        <f t="shared" si="0"/>
        <v>26</v>
      </c>
      <c r="C27" s="3">
        <v>8</v>
      </c>
      <c r="D27" s="11">
        <v>2021</v>
      </c>
      <c r="E27" s="4">
        <f>Hotel!Q32</f>
        <v>1050</v>
      </c>
      <c r="F27" s="4">
        <f>Hotel!R32</f>
        <v>13930</v>
      </c>
      <c r="G27" s="4">
        <f>Hotel!S32</f>
        <v>3740</v>
      </c>
      <c r="H27" s="4">
        <f>Hotel!T32</f>
        <v>1690</v>
      </c>
      <c r="I27" s="4">
        <f>Hotel!U32</f>
        <v>4080</v>
      </c>
      <c r="J27" s="4">
        <f>Hotel!V32</f>
        <v>3540</v>
      </c>
      <c r="K27" s="4">
        <f>Hotel!W32</f>
        <v>2370</v>
      </c>
      <c r="L27" s="4">
        <f>Hotel!X32</f>
        <v>5050</v>
      </c>
      <c r="M27" s="4">
        <f>Hotel!Y32</f>
        <v>6100</v>
      </c>
      <c r="N27" s="4">
        <f>Hotel!Z32</f>
        <v>2900</v>
      </c>
      <c r="O27" s="4">
        <f>Hotel!AA32</f>
        <v>3320</v>
      </c>
      <c r="P27" s="4">
        <f>Hotel!AB32</f>
        <v>7670</v>
      </c>
      <c r="Q27" s="4">
        <f>Hotel!AC32</f>
        <v>9600</v>
      </c>
      <c r="R27" s="4">
        <f>Hotel!AV32*0.00378541*100</f>
        <v>1017.896749</v>
      </c>
      <c r="S27" s="4">
        <f>Hotel!B32</f>
        <v>143</v>
      </c>
    </row>
    <row r="28" spans="1:19" x14ac:dyDescent="0.25">
      <c r="A28" s="21" t="s">
        <v>31</v>
      </c>
      <c r="B28" s="2">
        <f t="shared" si="0"/>
        <v>27</v>
      </c>
      <c r="C28" s="3">
        <v>8</v>
      </c>
      <c r="D28" s="11">
        <v>2021</v>
      </c>
      <c r="E28" s="4">
        <f>Hotel!Q33</f>
        <v>980</v>
      </c>
      <c r="F28" s="4">
        <f>Hotel!R33</f>
        <v>13920</v>
      </c>
      <c r="G28" s="4">
        <f>Hotel!S33</f>
        <v>3810</v>
      </c>
      <c r="H28" s="4">
        <f>Hotel!T33</f>
        <v>1640</v>
      </c>
      <c r="I28" s="4">
        <f>Hotel!U33</f>
        <v>4070</v>
      </c>
      <c r="J28" s="4">
        <f>Hotel!V33</f>
        <v>3570</v>
      </c>
      <c r="K28" s="4">
        <f>Hotel!W33</f>
        <v>2340</v>
      </c>
      <c r="L28" s="4">
        <f>Hotel!X33</f>
        <v>5110</v>
      </c>
      <c r="M28" s="4">
        <f>Hotel!Y33</f>
        <v>6000</v>
      </c>
      <c r="N28" s="4">
        <f>Hotel!Z33</f>
        <v>2820</v>
      </c>
      <c r="O28" s="4">
        <f>Hotel!AA33</f>
        <v>3370</v>
      </c>
      <c r="P28" s="4">
        <f>Hotel!AB33</f>
        <v>7470</v>
      </c>
      <c r="Q28" s="4">
        <f>Hotel!AC33</f>
        <v>10390</v>
      </c>
      <c r="R28" s="4">
        <f>Hotel!AV33*0.00378541*100</f>
        <v>991.39887899999997</v>
      </c>
      <c r="S28" s="4">
        <f>Hotel!B33</f>
        <v>122</v>
      </c>
    </row>
    <row r="29" spans="1:19" x14ac:dyDescent="0.25">
      <c r="A29" s="21" t="s">
        <v>31</v>
      </c>
      <c r="B29" s="2">
        <f t="shared" si="0"/>
        <v>28</v>
      </c>
      <c r="C29" s="3">
        <v>8</v>
      </c>
      <c r="D29" s="11">
        <v>2021</v>
      </c>
      <c r="E29" s="4">
        <f>Hotel!Q34</f>
        <v>1010</v>
      </c>
      <c r="F29" s="4">
        <f>Hotel!R34</f>
        <v>14060</v>
      </c>
      <c r="G29" s="4">
        <f>Hotel!S34</f>
        <v>3760</v>
      </c>
      <c r="H29" s="4">
        <f>Hotel!T34</f>
        <v>1690</v>
      </c>
      <c r="I29" s="4">
        <f>Hotel!U34</f>
        <v>4190</v>
      </c>
      <c r="J29" s="4">
        <f>Hotel!V34</f>
        <v>3600</v>
      </c>
      <c r="K29" s="4">
        <f>Hotel!W34</f>
        <v>2410</v>
      </c>
      <c r="L29" s="4">
        <f>Hotel!X34</f>
        <v>4990</v>
      </c>
      <c r="M29" s="4">
        <f>Hotel!Y34</f>
        <v>6110</v>
      </c>
      <c r="N29" s="4">
        <f>Hotel!Z34</f>
        <v>2720</v>
      </c>
      <c r="O29" s="4">
        <f>Hotel!AA34</f>
        <v>3350</v>
      </c>
      <c r="P29" s="4">
        <f>Hotel!AB34</f>
        <v>7560</v>
      </c>
      <c r="Q29" s="4">
        <f>Hotel!AC34</f>
        <v>10000</v>
      </c>
      <c r="R29" s="4">
        <f>Hotel!AV34*0.00378541*100</f>
        <v>940.67438500000003</v>
      </c>
      <c r="S29" s="4">
        <f>Hotel!B34</f>
        <v>96</v>
      </c>
    </row>
    <row r="30" spans="1:19" x14ac:dyDescent="0.25">
      <c r="A30" s="21" t="s">
        <v>31</v>
      </c>
      <c r="B30" s="2">
        <f>B29+1</f>
        <v>29</v>
      </c>
      <c r="C30" s="3">
        <v>8</v>
      </c>
      <c r="D30" s="11">
        <v>2021</v>
      </c>
      <c r="E30" s="4">
        <f>Hotel!Q35</f>
        <v>5360</v>
      </c>
      <c r="F30" s="4">
        <f>Hotel!R35</f>
        <v>14590</v>
      </c>
      <c r="G30" s="4">
        <f>Hotel!S35</f>
        <v>3820</v>
      </c>
      <c r="H30" s="4">
        <f>Hotel!T35</f>
        <v>1720</v>
      </c>
      <c r="I30" s="4">
        <f>Hotel!U35</f>
        <v>3930</v>
      </c>
      <c r="J30" s="4">
        <f>Hotel!V35</f>
        <v>3490</v>
      </c>
      <c r="K30" s="4">
        <f>Hotel!W35</f>
        <v>2360</v>
      </c>
      <c r="L30" s="4">
        <f>Hotel!X35</f>
        <v>4350</v>
      </c>
      <c r="M30" s="4">
        <f>Hotel!Y35</f>
        <v>5610</v>
      </c>
      <c r="N30" s="4">
        <f>Hotel!Z35</f>
        <v>2630</v>
      </c>
      <c r="O30" s="4">
        <f>Hotel!AA35</f>
        <v>3150</v>
      </c>
      <c r="P30" s="4">
        <f>Hotel!AB35</f>
        <v>7660</v>
      </c>
      <c r="Q30" s="4">
        <f>Hotel!AC35</f>
        <v>8620</v>
      </c>
      <c r="R30" s="4">
        <f>Hotel!AV35*0.00378541*100</f>
        <v>1033.7954709999999</v>
      </c>
      <c r="S30" s="4">
        <f>Hotel!B35</f>
        <v>93</v>
      </c>
    </row>
    <row r="31" spans="1:19" x14ac:dyDescent="0.25">
      <c r="A31" s="21" t="s">
        <v>31</v>
      </c>
      <c r="B31" s="2">
        <f>B30+1</f>
        <v>30</v>
      </c>
      <c r="C31" s="3">
        <v>8</v>
      </c>
      <c r="D31" s="11">
        <v>2021</v>
      </c>
      <c r="E31" s="4">
        <f>Hotel!Q36</f>
        <v>10780</v>
      </c>
      <c r="F31" s="4">
        <f>Hotel!R36</f>
        <v>14960</v>
      </c>
      <c r="G31" s="4">
        <f>Hotel!S36</f>
        <v>3710</v>
      </c>
      <c r="H31" s="4">
        <f>Hotel!T36</f>
        <v>1760</v>
      </c>
      <c r="I31" s="4">
        <f>Hotel!U36</f>
        <v>4060</v>
      </c>
      <c r="J31" s="4">
        <f>Hotel!V36</f>
        <v>3550</v>
      </c>
      <c r="K31" s="4">
        <f>Hotel!W36</f>
        <v>2350</v>
      </c>
      <c r="L31" s="4">
        <f>Hotel!X36</f>
        <v>4280</v>
      </c>
      <c r="M31" s="4">
        <f>Hotel!Y36</f>
        <v>5550</v>
      </c>
      <c r="N31" s="4">
        <f>Hotel!Z36</f>
        <v>2610</v>
      </c>
      <c r="O31" s="4">
        <f>Hotel!AA36</f>
        <v>2970</v>
      </c>
      <c r="P31" s="4">
        <f>Hotel!AB36</f>
        <v>7420</v>
      </c>
      <c r="Q31" s="4">
        <f>Hotel!AC36</f>
        <v>8160</v>
      </c>
      <c r="R31" s="4">
        <f>Hotel!AV36*0.00378541*100</f>
        <v>1059.9148</v>
      </c>
      <c r="S31" s="4">
        <f>Hotel!B36</f>
        <v>88</v>
      </c>
    </row>
    <row r="32" spans="1:19" x14ac:dyDescent="0.25">
      <c r="A32" s="21" t="s">
        <v>31</v>
      </c>
      <c r="B32" s="2">
        <f>B31+1</f>
        <v>31</v>
      </c>
      <c r="C32" s="3">
        <v>8</v>
      </c>
      <c r="D32" s="11">
        <v>2021</v>
      </c>
      <c r="E32" s="4" t="str">
        <f>Hotel!Q37</f>
        <v>0</v>
      </c>
      <c r="F32" s="4" t="str">
        <f>Hotel!R37</f>
        <v>0</v>
      </c>
      <c r="G32" s="4" t="str">
        <f>Hotel!S37</f>
        <v>0</v>
      </c>
      <c r="H32" s="4" t="str">
        <f>Hotel!T37</f>
        <v>0</v>
      </c>
      <c r="I32" s="4" t="str">
        <f>Hotel!U37</f>
        <v>0</v>
      </c>
      <c r="J32" s="4" t="str">
        <f>Hotel!V37</f>
        <v>0</v>
      </c>
      <c r="K32" s="4" t="str">
        <f>Hotel!W37</f>
        <v>0</v>
      </c>
      <c r="L32" s="4" t="str">
        <f>Hotel!X37</f>
        <v>0</v>
      </c>
      <c r="M32" s="4" t="str">
        <f>Hotel!Y37</f>
        <v>0</v>
      </c>
      <c r="N32" s="4" t="str">
        <f>Hotel!Z37</f>
        <v>0</v>
      </c>
      <c r="O32" s="4" t="str">
        <f>Hotel!AA37</f>
        <v>0</v>
      </c>
      <c r="P32" s="4" t="str">
        <f>Hotel!AB37</f>
        <v>0</v>
      </c>
      <c r="Q32" s="4" t="str">
        <f>Hotel!AC37</f>
        <v>0</v>
      </c>
      <c r="R32" s="4">
        <f>Hotel!AV37*0.00378541*100</f>
        <v>0</v>
      </c>
      <c r="S32" s="4">
        <f>Hotel!B37</f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W45"/>
  <sheetViews>
    <sheetView tabSelected="1" zoomScale="93" zoomScaleNormal="93" workbookViewId="0">
      <selection activeCell="Q36" sqref="Q36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6" width="8.7109375" style="2" customWidth="1"/>
    <col min="27" max="27" width="16.85546875" style="2" customWidth="1"/>
    <col min="28" max="28" width="8.7109375" style="2" customWidth="1"/>
    <col min="29" max="29" width="9.7109375" style="2" customWidth="1"/>
    <col min="30" max="30" width="11.7109375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1.28515625" customWidth="1"/>
    <col min="47" max="47" width="11.85546875" style="46" customWidth="1"/>
    <col min="48" max="48" width="14.7109375" customWidth="1"/>
    <col min="49" max="49" width="10.85546875" customWidth="1"/>
  </cols>
  <sheetData>
    <row r="1" spans="1:49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49" x14ac:dyDescent="0.25">
      <c r="A2" s="23">
        <v>44408</v>
      </c>
      <c r="B2" s="40">
        <v>101</v>
      </c>
      <c r="C2" s="24">
        <v>6717680</v>
      </c>
      <c r="D2" s="24">
        <v>16349650</v>
      </c>
      <c r="E2" s="24">
        <v>2923880</v>
      </c>
      <c r="F2" s="24">
        <v>3573560</v>
      </c>
      <c r="G2" s="24">
        <v>10612910</v>
      </c>
      <c r="H2" s="24">
        <v>5692470</v>
      </c>
      <c r="I2" s="24">
        <v>5204460</v>
      </c>
      <c r="J2" s="24">
        <v>6113880</v>
      </c>
      <c r="K2" s="24">
        <v>9441380</v>
      </c>
      <c r="L2" s="24">
        <v>3965770</v>
      </c>
      <c r="M2" s="24">
        <v>8062850</v>
      </c>
      <c r="N2" s="24">
        <v>12393670</v>
      </c>
      <c r="O2" s="24">
        <v>17120540</v>
      </c>
      <c r="Q2" s="25" t="s">
        <v>9</v>
      </c>
      <c r="R2" s="25" t="s">
        <v>10</v>
      </c>
      <c r="S2" s="25" t="s">
        <v>11</v>
      </c>
      <c r="T2" s="25" t="s">
        <v>12</v>
      </c>
      <c r="U2" s="25" t="s">
        <v>13</v>
      </c>
      <c r="V2" s="25" t="s">
        <v>14</v>
      </c>
      <c r="W2" s="25" t="s">
        <v>15</v>
      </c>
      <c r="X2" s="25" t="s">
        <v>16</v>
      </c>
      <c r="Y2" s="25" t="s">
        <v>17</v>
      </c>
      <c r="Z2" s="25" t="s">
        <v>18</v>
      </c>
      <c r="AA2" s="25" t="s">
        <v>19</v>
      </c>
      <c r="AB2" s="25" t="s">
        <v>20</v>
      </c>
      <c r="AC2" s="25" t="s">
        <v>21</v>
      </c>
      <c r="AU2" s="47">
        <v>112117</v>
      </c>
    </row>
    <row r="4" spans="1:49" ht="20.25" customHeight="1" x14ac:dyDescent="0.25">
      <c r="A4" s="26" t="s">
        <v>22</v>
      </c>
      <c r="B4" s="41" t="s">
        <v>47</v>
      </c>
      <c r="C4" s="27" t="s">
        <v>48</v>
      </c>
      <c r="D4" s="57" t="s">
        <v>23</v>
      </c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  <c r="Q4" s="59" t="s">
        <v>24</v>
      </c>
      <c r="R4" s="60"/>
      <c r="S4" s="60"/>
      <c r="T4" s="60"/>
      <c r="U4" s="60"/>
      <c r="V4" s="60"/>
      <c r="W4" s="60"/>
      <c r="X4" s="60"/>
      <c r="Y4" s="60"/>
      <c r="Z4" s="60"/>
      <c r="AA4" s="60"/>
      <c r="AB4" s="60"/>
      <c r="AC4" s="61"/>
      <c r="AD4" s="28" t="s">
        <v>25</v>
      </c>
      <c r="AF4" s="62" t="s">
        <v>26</v>
      </c>
      <c r="AG4" s="62"/>
      <c r="AH4" s="62"/>
      <c r="AI4" s="62"/>
      <c r="AJ4" s="62"/>
      <c r="AK4" s="62"/>
      <c r="AL4" s="62"/>
      <c r="AM4" s="62"/>
      <c r="AN4" s="62"/>
      <c r="AO4" s="62"/>
      <c r="AP4" s="62"/>
      <c r="AQ4" s="62"/>
      <c r="AR4" s="62"/>
      <c r="AS4" s="29" t="s">
        <v>27</v>
      </c>
      <c r="AU4" s="54" t="s">
        <v>28</v>
      </c>
      <c r="AV4" s="55" t="s">
        <v>29</v>
      </c>
      <c r="AW4" s="56" t="s">
        <v>30</v>
      </c>
    </row>
    <row r="5" spans="1:49" ht="15.75" x14ac:dyDescent="0.25">
      <c r="A5" s="30">
        <v>2021</v>
      </c>
      <c r="B5" s="42" t="s">
        <v>46</v>
      </c>
      <c r="C5" s="25" t="s">
        <v>9</v>
      </c>
      <c r="D5" s="25" t="s">
        <v>10</v>
      </c>
      <c r="E5" s="25" t="s">
        <v>11</v>
      </c>
      <c r="F5" s="25" t="s">
        <v>12</v>
      </c>
      <c r="G5" s="25" t="s">
        <v>13</v>
      </c>
      <c r="H5" s="25" t="s">
        <v>14</v>
      </c>
      <c r="I5" s="25" t="s">
        <v>15</v>
      </c>
      <c r="J5" s="25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U5" s="54"/>
      <c r="AV5" s="55"/>
      <c r="AW5" s="56"/>
    </row>
    <row r="6" spans="1:49" x14ac:dyDescent="0.25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U6" s="47">
        <v>112117</v>
      </c>
    </row>
    <row r="7" spans="1:49" x14ac:dyDescent="0.25">
      <c r="A7" s="23">
        <v>44409</v>
      </c>
      <c r="B7" s="40">
        <v>92</v>
      </c>
      <c r="C7" s="24">
        <v>6718330</v>
      </c>
      <c r="D7" s="24">
        <v>16359040</v>
      </c>
      <c r="E7" s="24">
        <v>2926460</v>
      </c>
      <c r="F7" s="24">
        <v>3574660</v>
      </c>
      <c r="G7" s="24">
        <v>10615810</v>
      </c>
      <c r="H7" s="24">
        <v>5694740</v>
      </c>
      <c r="I7" s="24">
        <v>5205990</v>
      </c>
      <c r="J7" s="24">
        <v>6116510</v>
      </c>
      <c r="K7" s="24">
        <v>9444920</v>
      </c>
      <c r="L7" s="24">
        <v>3967560</v>
      </c>
      <c r="M7" s="24">
        <v>8065030</v>
      </c>
      <c r="N7" s="24">
        <v>12398960</v>
      </c>
      <c r="O7" s="24">
        <v>17125890</v>
      </c>
      <c r="Q7" s="37">
        <f>IF((C7-C2&lt;0), "0",C7-C2)</f>
        <v>650</v>
      </c>
      <c r="R7" s="37">
        <f t="shared" ref="R7:AC7" si="0">IF((D7-D2&lt;0), "0",D7-D2)</f>
        <v>9390</v>
      </c>
      <c r="S7" s="37">
        <f>IF((E7-E2&lt;0), "0",E7-E2)</f>
        <v>2580</v>
      </c>
      <c r="T7" s="37">
        <f t="shared" si="0"/>
        <v>1100</v>
      </c>
      <c r="U7" s="37">
        <f t="shared" si="0"/>
        <v>2900</v>
      </c>
      <c r="V7" s="37">
        <f t="shared" si="0"/>
        <v>2270</v>
      </c>
      <c r="W7" s="37">
        <f t="shared" si="0"/>
        <v>1530</v>
      </c>
      <c r="X7" s="37">
        <f t="shared" si="0"/>
        <v>2630</v>
      </c>
      <c r="Y7" s="37">
        <f t="shared" si="0"/>
        <v>3540</v>
      </c>
      <c r="Z7" s="37">
        <f t="shared" si="0"/>
        <v>1790</v>
      </c>
      <c r="AA7" s="37">
        <f t="shared" si="0"/>
        <v>2180</v>
      </c>
      <c r="AB7" s="37">
        <f t="shared" si="0"/>
        <v>5290</v>
      </c>
      <c r="AC7" s="37">
        <f t="shared" si="0"/>
        <v>5350</v>
      </c>
      <c r="AD7" s="34">
        <f>SUM(Q7:AC7)</f>
        <v>41200</v>
      </c>
      <c r="AF7" s="20">
        <f t="shared" ref="AF7:AF36" si="1">Q7*$D$39</f>
        <v>3.25</v>
      </c>
      <c r="AG7" s="20">
        <f t="shared" ref="AG7:AG36" si="2">R7*$D$39</f>
        <v>46.95</v>
      </c>
      <c r="AH7" s="20">
        <f t="shared" ref="AH7:AH36" si="3">S7*$D$39</f>
        <v>12.9</v>
      </c>
      <c r="AI7" s="20">
        <f t="shared" ref="AI7:AI36" si="4">T7*$D$39</f>
        <v>5.5</v>
      </c>
      <c r="AJ7" s="20">
        <f t="shared" ref="AJ7:AJ36" si="5">U7*$D$39</f>
        <v>14.5</v>
      </c>
      <c r="AK7" s="20">
        <f t="shared" ref="AK7:AK36" si="6">V7*$D$39</f>
        <v>11.35</v>
      </c>
      <c r="AL7" s="20">
        <f t="shared" ref="AL7:AL36" si="7">W7*$D$39</f>
        <v>7.65</v>
      </c>
      <c r="AM7" s="20">
        <f t="shared" ref="AM7:AM36" si="8">X7*$D$39</f>
        <v>13.15</v>
      </c>
      <c r="AN7" s="20">
        <f t="shared" ref="AN7:AN36" si="9">Y7*$D$39</f>
        <v>17.7</v>
      </c>
      <c r="AO7" s="20">
        <f t="shared" ref="AO7:AO36" si="10">Z7*$D$39</f>
        <v>8.9500000000000011</v>
      </c>
      <c r="AP7" s="20">
        <f t="shared" ref="AP7:AP36" si="11">AA7*$D$39</f>
        <v>10.9</v>
      </c>
      <c r="AQ7" s="20">
        <f t="shared" ref="AQ7:AQ36" si="12">AB7*$D$39</f>
        <v>26.45</v>
      </c>
      <c r="AR7" s="20">
        <f t="shared" ref="AR7:AR36" si="13">AC7*$D$39</f>
        <v>26.75</v>
      </c>
      <c r="AS7" s="35">
        <f>SUM(AF7:AR7)</f>
        <v>205.99999999999997</v>
      </c>
      <c r="AU7" s="47">
        <v>113688</v>
      </c>
      <c r="AV7" s="37">
        <f>IF((AU7-AU6&lt;0),"0",AU7-AU6)</f>
        <v>1571</v>
      </c>
      <c r="AW7" s="35">
        <f t="shared" ref="AW7:AW35" si="14">AV7*$D$40</f>
        <v>3.1419999999999999</v>
      </c>
    </row>
    <row r="8" spans="1:49" x14ac:dyDescent="0.25">
      <c r="A8" s="23">
        <v>44410</v>
      </c>
      <c r="B8" s="40">
        <v>86</v>
      </c>
      <c r="C8" s="24">
        <v>6719350</v>
      </c>
      <c r="D8" s="24">
        <v>16373610</v>
      </c>
      <c r="E8" s="24">
        <v>2930960</v>
      </c>
      <c r="F8" s="24">
        <v>3576370</v>
      </c>
      <c r="G8" s="24">
        <v>10620290</v>
      </c>
      <c r="H8" s="24">
        <v>5698220</v>
      </c>
      <c r="I8" s="24">
        <v>5208390</v>
      </c>
      <c r="J8" s="24">
        <v>6120250</v>
      </c>
      <c r="K8" s="24">
        <v>9450460</v>
      </c>
      <c r="L8" s="24">
        <v>3970200</v>
      </c>
      <c r="M8" s="24">
        <v>8068160</v>
      </c>
      <c r="N8" s="24">
        <v>12407030</v>
      </c>
      <c r="O8" s="24">
        <v>17135210</v>
      </c>
      <c r="Q8" s="37">
        <f>IF((C8-C7&lt;0), "0",C8-C7)</f>
        <v>1020</v>
      </c>
      <c r="R8" s="37">
        <f t="shared" ref="R8:AC8" si="15">IF((D8-D7&lt;0), "0",D8-D7)</f>
        <v>14570</v>
      </c>
      <c r="S8" s="37">
        <f t="shared" ref="S8:S35" si="16">IF((E8-E7&lt;0), "0",E8-E7)</f>
        <v>4500</v>
      </c>
      <c r="T8" s="37">
        <f t="shared" si="15"/>
        <v>1710</v>
      </c>
      <c r="U8" s="37">
        <f t="shared" si="15"/>
        <v>4480</v>
      </c>
      <c r="V8" s="37">
        <f t="shared" si="15"/>
        <v>3480</v>
      </c>
      <c r="W8" s="37">
        <f t="shared" si="15"/>
        <v>2400</v>
      </c>
      <c r="X8" s="37">
        <f t="shared" si="15"/>
        <v>3740</v>
      </c>
      <c r="Y8" s="37">
        <f t="shared" si="15"/>
        <v>5540</v>
      </c>
      <c r="Z8" s="37">
        <f t="shared" si="15"/>
        <v>2640</v>
      </c>
      <c r="AA8" s="37">
        <f t="shared" si="15"/>
        <v>3130</v>
      </c>
      <c r="AB8" s="37">
        <f t="shared" si="15"/>
        <v>8070</v>
      </c>
      <c r="AC8" s="37">
        <f t="shared" si="15"/>
        <v>9320</v>
      </c>
      <c r="AD8" s="35">
        <f>SUM(Q8:AC8)</f>
        <v>64600</v>
      </c>
      <c r="AF8" s="20">
        <f t="shared" si="1"/>
        <v>5.1000000000000005</v>
      </c>
      <c r="AG8" s="20">
        <f t="shared" si="2"/>
        <v>72.850000000000009</v>
      </c>
      <c r="AH8" s="20">
        <f t="shared" si="3"/>
        <v>22.5</v>
      </c>
      <c r="AI8" s="20">
        <f t="shared" si="4"/>
        <v>8.5500000000000007</v>
      </c>
      <c r="AJ8" s="20">
        <f t="shared" si="5"/>
        <v>22.400000000000002</v>
      </c>
      <c r="AK8" s="20">
        <f t="shared" si="6"/>
        <v>17.400000000000002</v>
      </c>
      <c r="AL8" s="20">
        <f t="shared" si="7"/>
        <v>12</v>
      </c>
      <c r="AM8" s="20">
        <f t="shared" si="8"/>
        <v>18.7</v>
      </c>
      <c r="AN8" s="20">
        <f t="shared" si="9"/>
        <v>27.7</v>
      </c>
      <c r="AO8" s="20">
        <f t="shared" si="10"/>
        <v>13.200000000000001</v>
      </c>
      <c r="AP8" s="20">
        <f t="shared" si="11"/>
        <v>15.65</v>
      </c>
      <c r="AQ8" s="20">
        <f t="shared" si="12"/>
        <v>40.35</v>
      </c>
      <c r="AR8" s="20">
        <f t="shared" si="13"/>
        <v>46.6</v>
      </c>
      <c r="AS8" s="35">
        <f>SUM(AF8:AR8)</f>
        <v>323</v>
      </c>
      <c r="AU8" s="47">
        <v>116703</v>
      </c>
      <c r="AV8" s="37">
        <f>IF((AU8-AU7&lt;0),"0",AU8-AU7)</f>
        <v>3015</v>
      </c>
      <c r="AW8" s="35">
        <f t="shared" si="14"/>
        <v>6.03</v>
      </c>
    </row>
    <row r="9" spans="1:49" x14ac:dyDescent="0.25">
      <c r="A9" s="23">
        <v>44411</v>
      </c>
      <c r="B9" s="40">
        <v>82</v>
      </c>
      <c r="C9" s="24">
        <v>6720350</v>
      </c>
      <c r="D9" s="24">
        <v>16387150</v>
      </c>
      <c r="E9" s="24">
        <v>2934110</v>
      </c>
      <c r="F9" s="24">
        <v>3578030</v>
      </c>
      <c r="G9" s="24">
        <v>10624570</v>
      </c>
      <c r="H9" s="24">
        <v>5701550</v>
      </c>
      <c r="I9" s="24">
        <v>5210720</v>
      </c>
      <c r="J9" s="24">
        <v>6124260</v>
      </c>
      <c r="K9" s="24">
        <v>9455840</v>
      </c>
      <c r="L9" s="24">
        <v>3972820</v>
      </c>
      <c r="M9" s="24">
        <v>8071070</v>
      </c>
      <c r="N9" s="24">
        <v>12414860</v>
      </c>
      <c r="O9" s="24">
        <v>17144350</v>
      </c>
      <c r="Q9" s="37">
        <f t="shared" ref="Q9:Q30" si="17">IF((C9-C8&lt;0), "0",C9-C8)</f>
        <v>1000</v>
      </c>
      <c r="R9" s="37">
        <f t="shared" ref="R9:R35" si="18">IF((D9-D8&lt;0), "0",D9-D8)</f>
        <v>13540</v>
      </c>
      <c r="S9" s="37">
        <f t="shared" si="16"/>
        <v>3150</v>
      </c>
      <c r="T9" s="37">
        <f t="shared" ref="T9:T35" si="19">IF((F9-F8&lt;0), "0",F9-F8)</f>
        <v>1660</v>
      </c>
      <c r="U9" s="37">
        <f t="shared" ref="U9:U35" si="20">IF((G9-G8&lt;0), "0",G9-G8)</f>
        <v>4280</v>
      </c>
      <c r="V9" s="37">
        <f t="shared" ref="V9:V35" si="21">IF((H9-H8&lt;0), "0",H9-H8)</f>
        <v>3330</v>
      </c>
      <c r="W9" s="37">
        <f t="shared" ref="W9:W35" si="22">IF((I9-I8&lt;0), "0",I9-I8)</f>
        <v>2330</v>
      </c>
      <c r="X9" s="37">
        <f t="shared" ref="X9:X35" si="23">IF((J9-J8&lt;0), "0",J9-J8)</f>
        <v>4010</v>
      </c>
      <c r="Y9" s="37">
        <f t="shared" ref="Y9:Y35" si="24">IF((K9-K8&lt;0), "0",K9-K8)</f>
        <v>5380</v>
      </c>
      <c r="Z9" s="37">
        <f t="shared" ref="Z9:Z35" si="25">IF((L9-L8&lt;0), "0",L9-L8)</f>
        <v>2620</v>
      </c>
      <c r="AA9" s="37">
        <f t="shared" ref="AA9:AA35" si="26">IF((M9-M8&lt;0), "0",M9-M8)</f>
        <v>2910</v>
      </c>
      <c r="AB9" s="37">
        <f t="shared" ref="AB9:AB37" si="27">IF((N9-N8&lt;0), "0",N9-N8)</f>
        <v>7830</v>
      </c>
      <c r="AC9" s="37">
        <f t="shared" ref="AC9:AC37" si="28">IF((O9-O8&lt;0), "0",O9-O8)</f>
        <v>9140</v>
      </c>
      <c r="AD9" s="35">
        <f t="shared" ref="AD9:AD37" si="29">SUM(Q9:AC9)</f>
        <v>61180</v>
      </c>
      <c r="AF9" s="20">
        <f t="shared" si="1"/>
        <v>5</v>
      </c>
      <c r="AG9" s="20">
        <f t="shared" si="2"/>
        <v>67.7</v>
      </c>
      <c r="AH9" s="20">
        <f t="shared" si="3"/>
        <v>15.75</v>
      </c>
      <c r="AI9" s="20">
        <f t="shared" si="4"/>
        <v>8.3000000000000007</v>
      </c>
      <c r="AJ9" s="20">
        <f t="shared" si="5"/>
        <v>21.400000000000002</v>
      </c>
      <c r="AK9" s="20">
        <f t="shared" si="6"/>
        <v>16.649999999999999</v>
      </c>
      <c r="AL9" s="20">
        <f t="shared" si="7"/>
        <v>11.65</v>
      </c>
      <c r="AM9" s="20">
        <f t="shared" si="8"/>
        <v>20.05</v>
      </c>
      <c r="AN9" s="20">
        <f t="shared" si="9"/>
        <v>26.900000000000002</v>
      </c>
      <c r="AO9" s="20">
        <f t="shared" si="10"/>
        <v>13.1</v>
      </c>
      <c r="AP9" s="20">
        <f t="shared" si="11"/>
        <v>14.55</v>
      </c>
      <c r="AQ9" s="20">
        <f t="shared" si="12"/>
        <v>39.15</v>
      </c>
      <c r="AR9" s="20">
        <f t="shared" si="13"/>
        <v>45.7</v>
      </c>
      <c r="AS9" s="35">
        <f t="shared" ref="AS9:AS33" si="30">SUM(AF9:AR9)</f>
        <v>305.90000000000003</v>
      </c>
      <c r="AU9" s="47">
        <v>119079</v>
      </c>
      <c r="AV9" s="37">
        <f>IF((AU9-AU8&lt;0),"0",AU9-AU8)</f>
        <v>2376</v>
      </c>
      <c r="AW9" s="35">
        <f t="shared" si="14"/>
        <v>4.7519999999999998</v>
      </c>
    </row>
    <row r="10" spans="1:49" x14ac:dyDescent="0.25">
      <c r="A10" s="23">
        <v>44412</v>
      </c>
      <c r="B10" s="40">
        <v>93</v>
      </c>
      <c r="C10" s="24">
        <v>6721350</v>
      </c>
      <c r="D10" s="24">
        <v>16401150</v>
      </c>
      <c r="E10" s="24">
        <v>2937910</v>
      </c>
      <c r="F10" s="24">
        <v>3579710</v>
      </c>
      <c r="G10" s="24">
        <v>10628790</v>
      </c>
      <c r="H10" s="24">
        <v>5704940</v>
      </c>
      <c r="I10" s="24">
        <v>5213050</v>
      </c>
      <c r="J10" s="24">
        <v>6128370</v>
      </c>
      <c r="K10" s="24">
        <v>9461140</v>
      </c>
      <c r="L10" s="24">
        <v>3975400</v>
      </c>
      <c r="M10" s="24">
        <v>8073920</v>
      </c>
      <c r="N10" s="24">
        <v>12422590</v>
      </c>
      <c r="O10" s="24">
        <v>17152630</v>
      </c>
      <c r="Q10" s="37">
        <f t="shared" si="17"/>
        <v>1000</v>
      </c>
      <c r="R10" s="37">
        <f t="shared" si="18"/>
        <v>14000</v>
      </c>
      <c r="S10" s="37">
        <f t="shared" si="16"/>
        <v>3800</v>
      </c>
      <c r="T10" s="37">
        <f t="shared" si="19"/>
        <v>1680</v>
      </c>
      <c r="U10" s="37">
        <f t="shared" si="20"/>
        <v>4220</v>
      </c>
      <c r="V10" s="37">
        <f t="shared" si="21"/>
        <v>3390</v>
      </c>
      <c r="W10" s="37">
        <f t="shared" si="22"/>
        <v>2330</v>
      </c>
      <c r="X10" s="37">
        <f t="shared" si="23"/>
        <v>4110</v>
      </c>
      <c r="Y10" s="37">
        <f t="shared" si="24"/>
        <v>5300</v>
      </c>
      <c r="Z10" s="37">
        <f t="shared" si="25"/>
        <v>2580</v>
      </c>
      <c r="AA10" s="37">
        <f t="shared" si="26"/>
        <v>2850</v>
      </c>
      <c r="AB10" s="37">
        <f t="shared" si="27"/>
        <v>7730</v>
      </c>
      <c r="AC10" s="37">
        <f t="shared" si="28"/>
        <v>8280</v>
      </c>
      <c r="AD10" s="35">
        <f t="shared" si="29"/>
        <v>61270</v>
      </c>
      <c r="AF10" s="20">
        <f t="shared" si="1"/>
        <v>5</v>
      </c>
      <c r="AG10" s="20">
        <f t="shared" si="2"/>
        <v>70</v>
      </c>
      <c r="AH10" s="20">
        <f t="shared" si="3"/>
        <v>19</v>
      </c>
      <c r="AI10" s="20">
        <f t="shared" si="4"/>
        <v>8.4</v>
      </c>
      <c r="AJ10" s="20">
        <f t="shared" si="5"/>
        <v>21.1</v>
      </c>
      <c r="AK10" s="20">
        <f t="shared" si="6"/>
        <v>16.95</v>
      </c>
      <c r="AL10" s="20">
        <f t="shared" si="7"/>
        <v>11.65</v>
      </c>
      <c r="AM10" s="20">
        <f t="shared" si="8"/>
        <v>20.55</v>
      </c>
      <c r="AN10" s="20">
        <f t="shared" si="9"/>
        <v>26.5</v>
      </c>
      <c r="AO10" s="20">
        <f t="shared" si="10"/>
        <v>12.9</v>
      </c>
      <c r="AP10" s="20">
        <f t="shared" si="11"/>
        <v>14.25</v>
      </c>
      <c r="AQ10" s="20">
        <f t="shared" si="12"/>
        <v>38.65</v>
      </c>
      <c r="AR10" s="20">
        <f t="shared" si="13"/>
        <v>41.4</v>
      </c>
      <c r="AS10" s="35">
        <f t="shared" si="30"/>
        <v>306.34999999999997</v>
      </c>
      <c r="AU10" s="47">
        <v>122574</v>
      </c>
      <c r="AV10" s="37">
        <f t="shared" ref="AV10:AV26" si="31">IF((AU10-AU9&lt;0),"0",AU10-AU9)</f>
        <v>3495</v>
      </c>
      <c r="AW10" s="35">
        <f t="shared" si="14"/>
        <v>6.99</v>
      </c>
    </row>
    <row r="11" spans="1:49" x14ac:dyDescent="0.25">
      <c r="A11" s="23">
        <v>44413</v>
      </c>
      <c r="B11" s="40">
        <v>108</v>
      </c>
      <c r="C11" s="24">
        <v>6722330</v>
      </c>
      <c r="D11" s="24">
        <v>16415070</v>
      </c>
      <c r="E11" s="24">
        <v>2941720</v>
      </c>
      <c r="F11" s="24">
        <v>3581350</v>
      </c>
      <c r="G11" s="24">
        <v>10632850</v>
      </c>
      <c r="H11" s="24">
        <v>5708300</v>
      </c>
      <c r="I11" s="24">
        <v>5215350</v>
      </c>
      <c r="J11" s="24">
        <v>6132350</v>
      </c>
      <c r="K11" s="24">
        <v>9466560</v>
      </c>
      <c r="L11" s="24">
        <v>3977990</v>
      </c>
      <c r="M11" s="24">
        <v>8076910</v>
      </c>
      <c r="N11" s="24">
        <v>12430200</v>
      </c>
      <c r="O11" s="24">
        <v>17160860</v>
      </c>
      <c r="Q11" s="37">
        <f t="shared" si="17"/>
        <v>980</v>
      </c>
      <c r="R11" s="37">
        <f t="shared" si="18"/>
        <v>13920</v>
      </c>
      <c r="S11" s="37">
        <f t="shared" si="16"/>
        <v>3810</v>
      </c>
      <c r="T11" s="37">
        <f t="shared" si="19"/>
        <v>1640</v>
      </c>
      <c r="U11" s="37">
        <f t="shared" si="20"/>
        <v>4060</v>
      </c>
      <c r="V11" s="37">
        <f t="shared" si="21"/>
        <v>3360</v>
      </c>
      <c r="W11" s="37">
        <f t="shared" si="22"/>
        <v>2300</v>
      </c>
      <c r="X11" s="37">
        <f t="shared" si="23"/>
        <v>3980</v>
      </c>
      <c r="Y11" s="37">
        <f t="shared" si="24"/>
        <v>5420</v>
      </c>
      <c r="Z11" s="37">
        <f t="shared" si="25"/>
        <v>2590</v>
      </c>
      <c r="AA11" s="37">
        <f t="shared" si="26"/>
        <v>2990</v>
      </c>
      <c r="AB11" s="37">
        <f t="shared" si="27"/>
        <v>7610</v>
      </c>
      <c r="AC11" s="37">
        <f t="shared" si="28"/>
        <v>8230</v>
      </c>
      <c r="AD11" s="35">
        <f t="shared" si="29"/>
        <v>60890</v>
      </c>
      <c r="AF11" s="20">
        <f t="shared" si="1"/>
        <v>4.9000000000000004</v>
      </c>
      <c r="AG11" s="20">
        <f t="shared" si="2"/>
        <v>69.600000000000009</v>
      </c>
      <c r="AH11" s="20">
        <f t="shared" si="3"/>
        <v>19.05</v>
      </c>
      <c r="AI11" s="20">
        <f t="shared" si="4"/>
        <v>8.1999999999999993</v>
      </c>
      <c r="AJ11" s="20">
        <f t="shared" si="5"/>
        <v>20.3</v>
      </c>
      <c r="AK11" s="20">
        <f t="shared" si="6"/>
        <v>16.8</v>
      </c>
      <c r="AL11" s="20">
        <f t="shared" si="7"/>
        <v>11.5</v>
      </c>
      <c r="AM11" s="20">
        <f t="shared" si="8"/>
        <v>19.900000000000002</v>
      </c>
      <c r="AN11" s="20">
        <f t="shared" si="9"/>
        <v>27.1</v>
      </c>
      <c r="AO11" s="20">
        <f t="shared" si="10"/>
        <v>12.950000000000001</v>
      </c>
      <c r="AP11" s="20">
        <f t="shared" si="11"/>
        <v>14.950000000000001</v>
      </c>
      <c r="AQ11" s="20">
        <f t="shared" si="12"/>
        <v>38.050000000000004</v>
      </c>
      <c r="AR11" s="20">
        <f t="shared" si="13"/>
        <v>41.15</v>
      </c>
      <c r="AS11" s="35">
        <f t="shared" si="30"/>
        <v>304.45</v>
      </c>
      <c r="AU11" s="47">
        <v>125295</v>
      </c>
      <c r="AV11" s="37">
        <f t="shared" si="31"/>
        <v>2721</v>
      </c>
      <c r="AW11" s="35">
        <f t="shared" si="14"/>
        <v>5.4420000000000002</v>
      </c>
    </row>
    <row r="12" spans="1:49" x14ac:dyDescent="0.25">
      <c r="A12" s="23">
        <v>44414</v>
      </c>
      <c r="B12" s="40">
        <v>137</v>
      </c>
      <c r="C12" s="49">
        <v>6723310</v>
      </c>
      <c r="D12" s="24">
        <v>16429240</v>
      </c>
      <c r="E12" s="24">
        <v>2945620</v>
      </c>
      <c r="F12" s="24">
        <v>3583000</v>
      </c>
      <c r="G12" s="24">
        <v>10637140</v>
      </c>
      <c r="H12" s="24">
        <v>5711770</v>
      </c>
      <c r="I12" s="24">
        <v>5217650</v>
      </c>
      <c r="J12" s="24">
        <v>6136560</v>
      </c>
      <c r="K12" s="24">
        <v>9472200</v>
      </c>
      <c r="L12" s="24">
        <v>3980700</v>
      </c>
      <c r="M12" s="24">
        <v>8080030</v>
      </c>
      <c r="N12" s="24">
        <v>12437920</v>
      </c>
      <c r="O12" s="24">
        <v>17169330</v>
      </c>
      <c r="Q12" s="37">
        <f t="shared" si="17"/>
        <v>980</v>
      </c>
      <c r="R12" s="37">
        <f t="shared" si="18"/>
        <v>14170</v>
      </c>
      <c r="S12" s="37">
        <f t="shared" si="16"/>
        <v>3900</v>
      </c>
      <c r="T12" s="37">
        <f t="shared" ref="T12:W14" si="32">IF((F12-F11&lt;0), "0",F12-F11)</f>
        <v>1650</v>
      </c>
      <c r="U12" s="37">
        <f t="shared" si="32"/>
        <v>4290</v>
      </c>
      <c r="V12" s="37">
        <f t="shared" si="32"/>
        <v>3470</v>
      </c>
      <c r="W12" s="37">
        <f t="shared" si="32"/>
        <v>2300</v>
      </c>
      <c r="X12" s="37">
        <f t="shared" si="23"/>
        <v>4210</v>
      </c>
      <c r="Y12" s="37">
        <f t="shared" si="24"/>
        <v>5640</v>
      </c>
      <c r="Z12" s="37">
        <f>IF((L12-L11&lt;0), "0",L12-L11)</f>
        <v>2710</v>
      </c>
      <c r="AA12" s="37">
        <f t="shared" si="26"/>
        <v>3120</v>
      </c>
      <c r="AB12" s="37">
        <f t="shared" si="27"/>
        <v>7720</v>
      </c>
      <c r="AC12" s="37">
        <f t="shared" si="28"/>
        <v>8470</v>
      </c>
      <c r="AD12" s="35">
        <f t="shared" si="29"/>
        <v>62630</v>
      </c>
      <c r="AF12" s="20">
        <f t="shared" si="1"/>
        <v>4.9000000000000004</v>
      </c>
      <c r="AG12" s="20">
        <f t="shared" si="2"/>
        <v>70.850000000000009</v>
      </c>
      <c r="AH12" s="20">
        <f t="shared" si="3"/>
        <v>19.5</v>
      </c>
      <c r="AI12" s="20">
        <f t="shared" si="4"/>
        <v>8.25</v>
      </c>
      <c r="AJ12" s="20">
        <f t="shared" si="5"/>
        <v>21.45</v>
      </c>
      <c r="AK12" s="20">
        <f t="shared" si="6"/>
        <v>17.350000000000001</v>
      </c>
      <c r="AL12" s="20">
        <f t="shared" si="7"/>
        <v>11.5</v>
      </c>
      <c r="AM12" s="20">
        <f t="shared" si="8"/>
        <v>21.05</v>
      </c>
      <c r="AN12" s="20">
        <f t="shared" si="9"/>
        <v>28.2</v>
      </c>
      <c r="AO12" s="20">
        <f t="shared" si="10"/>
        <v>13.55</v>
      </c>
      <c r="AP12" s="20">
        <f t="shared" si="11"/>
        <v>15.6</v>
      </c>
      <c r="AQ12" s="20">
        <f t="shared" si="12"/>
        <v>38.6</v>
      </c>
      <c r="AR12" s="20">
        <f t="shared" si="13"/>
        <v>42.35</v>
      </c>
      <c r="AS12" s="35">
        <f t="shared" si="30"/>
        <v>313.15000000000003</v>
      </c>
      <c r="AU12" s="47">
        <v>128027</v>
      </c>
      <c r="AV12" s="37">
        <f t="shared" si="31"/>
        <v>2732</v>
      </c>
      <c r="AW12" s="35">
        <f t="shared" si="14"/>
        <v>5.4640000000000004</v>
      </c>
    </row>
    <row r="13" spans="1:49" x14ac:dyDescent="0.25">
      <c r="A13" s="23">
        <v>44415</v>
      </c>
      <c r="B13" s="40">
        <v>158</v>
      </c>
      <c r="C13" s="24">
        <v>6724320</v>
      </c>
      <c r="D13" s="24">
        <v>16444460</v>
      </c>
      <c r="E13" s="24">
        <v>2949880</v>
      </c>
      <c r="F13" s="24">
        <v>3584710</v>
      </c>
      <c r="G13" s="24">
        <v>10641520</v>
      </c>
      <c r="H13" s="24">
        <v>5715390</v>
      </c>
      <c r="I13" s="24">
        <v>5220010</v>
      </c>
      <c r="J13" s="24">
        <v>6140800</v>
      </c>
      <c r="K13" s="24">
        <v>9478060</v>
      </c>
      <c r="L13" s="24">
        <v>3983470</v>
      </c>
      <c r="M13" s="24">
        <v>8083300</v>
      </c>
      <c r="N13" s="24">
        <v>12445720</v>
      </c>
      <c r="O13" s="24">
        <v>17177730</v>
      </c>
      <c r="Q13" s="37">
        <f t="shared" si="17"/>
        <v>1010</v>
      </c>
      <c r="R13" s="37">
        <f t="shared" si="18"/>
        <v>15220</v>
      </c>
      <c r="S13" s="37">
        <f t="shared" si="16"/>
        <v>4260</v>
      </c>
      <c r="T13" s="37">
        <f t="shared" si="32"/>
        <v>1710</v>
      </c>
      <c r="U13" s="37">
        <f t="shared" si="32"/>
        <v>4380</v>
      </c>
      <c r="V13" s="37">
        <f t="shared" si="32"/>
        <v>3620</v>
      </c>
      <c r="W13" s="37">
        <f t="shared" si="32"/>
        <v>2360</v>
      </c>
      <c r="X13" s="37">
        <f t="shared" si="23"/>
        <v>4240</v>
      </c>
      <c r="Y13" s="37">
        <f t="shared" si="24"/>
        <v>5860</v>
      </c>
      <c r="Z13" s="37">
        <f>IF((L13-L12&lt;0), "0",L13-L12)</f>
        <v>2770</v>
      </c>
      <c r="AA13" s="37">
        <f t="shared" si="26"/>
        <v>3270</v>
      </c>
      <c r="AB13" s="37">
        <f t="shared" si="27"/>
        <v>7800</v>
      </c>
      <c r="AC13" s="37">
        <f t="shared" si="28"/>
        <v>8400</v>
      </c>
      <c r="AD13" s="35">
        <f t="shared" si="29"/>
        <v>64900</v>
      </c>
      <c r="AF13" s="20">
        <f t="shared" si="1"/>
        <v>5.05</v>
      </c>
      <c r="AG13" s="20">
        <f t="shared" si="2"/>
        <v>76.100000000000009</v>
      </c>
      <c r="AH13" s="20">
        <f t="shared" si="3"/>
        <v>21.3</v>
      </c>
      <c r="AI13" s="20">
        <f t="shared" si="4"/>
        <v>8.5500000000000007</v>
      </c>
      <c r="AJ13" s="20">
        <f t="shared" si="5"/>
        <v>21.900000000000002</v>
      </c>
      <c r="AK13" s="20">
        <f t="shared" si="6"/>
        <v>18.100000000000001</v>
      </c>
      <c r="AL13" s="20">
        <f t="shared" si="7"/>
        <v>11.8</v>
      </c>
      <c r="AM13" s="20">
        <f t="shared" si="8"/>
        <v>21.2</v>
      </c>
      <c r="AN13" s="20">
        <f t="shared" si="9"/>
        <v>29.3</v>
      </c>
      <c r="AO13" s="20">
        <f t="shared" si="10"/>
        <v>13.85</v>
      </c>
      <c r="AP13" s="20">
        <f t="shared" si="11"/>
        <v>16.350000000000001</v>
      </c>
      <c r="AQ13" s="20">
        <f t="shared" si="12"/>
        <v>39</v>
      </c>
      <c r="AR13" s="20">
        <f t="shared" si="13"/>
        <v>42</v>
      </c>
      <c r="AS13" s="35">
        <f t="shared" si="30"/>
        <v>324.5</v>
      </c>
      <c r="AU13" s="47">
        <v>130745</v>
      </c>
      <c r="AV13" s="37">
        <f t="shared" si="31"/>
        <v>2718</v>
      </c>
      <c r="AW13" s="35">
        <f t="shared" si="14"/>
        <v>5.4359999999999999</v>
      </c>
    </row>
    <row r="14" spans="1:49" x14ac:dyDescent="0.25">
      <c r="A14" s="23">
        <v>44416</v>
      </c>
      <c r="B14" s="40">
        <v>123</v>
      </c>
      <c r="C14" s="24">
        <v>6725320</v>
      </c>
      <c r="D14" s="24">
        <v>16458750</v>
      </c>
      <c r="E14" s="24">
        <v>2953800</v>
      </c>
      <c r="F14" s="24">
        <v>3586380</v>
      </c>
      <c r="G14" s="24">
        <v>10645880</v>
      </c>
      <c r="H14" s="24">
        <v>5718930</v>
      </c>
      <c r="I14" s="24">
        <v>5222330</v>
      </c>
      <c r="J14" s="24">
        <v>6144670</v>
      </c>
      <c r="K14" s="24">
        <v>9483730</v>
      </c>
      <c r="L14" s="24">
        <v>3986320</v>
      </c>
      <c r="M14" s="24">
        <v>8086480</v>
      </c>
      <c r="N14" s="24">
        <v>12453420</v>
      </c>
      <c r="O14" s="24">
        <v>17186330</v>
      </c>
      <c r="P14" s="53"/>
      <c r="Q14" s="37">
        <f t="shared" si="17"/>
        <v>1000</v>
      </c>
      <c r="R14" s="37">
        <f t="shared" si="18"/>
        <v>14290</v>
      </c>
      <c r="S14" s="37">
        <f t="shared" si="16"/>
        <v>3920</v>
      </c>
      <c r="T14" s="37">
        <f t="shared" si="32"/>
        <v>1670</v>
      </c>
      <c r="U14" s="37">
        <f t="shared" si="32"/>
        <v>4360</v>
      </c>
      <c r="V14" s="37">
        <f t="shared" si="32"/>
        <v>3540</v>
      </c>
      <c r="W14" s="37">
        <f t="shared" si="32"/>
        <v>2320</v>
      </c>
      <c r="X14" s="37">
        <f t="shared" si="23"/>
        <v>3870</v>
      </c>
      <c r="Y14" s="37">
        <f t="shared" si="24"/>
        <v>5670</v>
      </c>
      <c r="Z14" s="37">
        <f>IF((L14-L13&lt;0), "0",L14-L13)</f>
        <v>2850</v>
      </c>
      <c r="AA14" s="37">
        <f t="shared" si="26"/>
        <v>3180</v>
      </c>
      <c r="AB14" s="37">
        <f t="shared" si="27"/>
        <v>7700</v>
      </c>
      <c r="AC14" s="37">
        <f t="shared" si="28"/>
        <v>8600</v>
      </c>
      <c r="AD14" s="35">
        <f t="shared" si="29"/>
        <v>62970</v>
      </c>
      <c r="AF14" s="20">
        <f t="shared" si="1"/>
        <v>5</v>
      </c>
      <c r="AG14" s="20">
        <f t="shared" si="2"/>
        <v>71.45</v>
      </c>
      <c r="AH14" s="20">
        <f t="shared" si="3"/>
        <v>19.600000000000001</v>
      </c>
      <c r="AI14" s="20">
        <f t="shared" si="4"/>
        <v>8.35</v>
      </c>
      <c r="AJ14" s="20">
        <f t="shared" si="5"/>
        <v>21.8</v>
      </c>
      <c r="AK14" s="20">
        <f t="shared" si="6"/>
        <v>17.7</v>
      </c>
      <c r="AL14" s="20">
        <f t="shared" si="7"/>
        <v>11.6</v>
      </c>
      <c r="AM14" s="20">
        <f t="shared" si="8"/>
        <v>19.350000000000001</v>
      </c>
      <c r="AN14" s="20">
        <f t="shared" si="9"/>
        <v>28.35</v>
      </c>
      <c r="AO14" s="20">
        <f t="shared" si="10"/>
        <v>14.25</v>
      </c>
      <c r="AP14" s="20">
        <f t="shared" si="11"/>
        <v>15.9</v>
      </c>
      <c r="AQ14" s="20">
        <f t="shared" si="12"/>
        <v>38.5</v>
      </c>
      <c r="AR14" s="20">
        <f t="shared" si="13"/>
        <v>43</v>
      </c>
      <c r="AS14" s="35">
        <f t="shared" si="30"/>
        <v>314.85000000000002</v>
      </c>
      <c r="AU14" s="47">
        <v>133531</v>
      </c>
      <c r="AV14" s="37">
        <f t="shared" si="31"/>
        <v>2786</v>
      </c>
      <c r="AW14" s="35">
        <f t="shared" si="14"/>
        <v>5.5720000000000001</v>
      </c>
    </row>
    <row r="15" spans="1:49" x14ac:dyDescent="0.25">
      <c r="A15" s="23">
        <v>44417</v>
      </c>
      <c r="B15" s="40">
        <v>74</v>
      </c>
      <c r="C15" s="24">
        <v>6726370</v>
      </c>
      <c r="D15" s="24">
        <v>16473420</v>
      </c>
      <c r="E15" s="24">
        <v>2957780</v>
      </c>
      <c r="F15" s="24">
        <v>3588150</v>
      </c>
      <c r="G15" s="24">
        <v>10650350</v>
      </c>
      <c r="H15" s="24">
        <v>5722640</v>
      </c>
      <c r="I15" s="24">
        <v>5224830</v>
      </c>
      <c r="J15" s="24">
        <v>6148580</v>
      </c>
      <c r="K15" s="24">
        <v>9489650</v>
      </c>
      <c r="L15" s="24">
        <v>3989140</v>
      </c>
      <c r="M15" s="24">
        <v>8089650</v>
      </c>
      <c r="N15" s="24">
        <v>12461610</v>
      </c>
      <c r="O15" s="24">
        <v>17196100</v>
      </c>
      <c r="Q15" s="37">
        <f t="shared" si="17"/>
        <v>1050</v>
      </c>
      <c r="R15" s="37">
        <f t="shared" si="18"/>
        <v>14670</v>
      </c>
      <c r="S15" s="37">
        <f t="shared" si="16"/>
        <v>3980</v>
      </c>
      <c r="T15" s="37">
        <f t="shared" si="19"/>
        <v>1770</v>
      </c>
      <c r="U15" s="37">
        <f t="shared" si="20"/>
        <v>4470</v>
      </c>
      <c r="V15" s="37">
        <f t="shared" si="21"/>
        <v>3710</v>
      </c>
      <c r="W15" s="37">
        <f t="shared" si="22"/>
        <v>2500</v>
      </c>
      <c r="X15" s="37">
        <f t="shared" si="23"/>
        <v>3910</v>
      </c>
      <c r="Y15" s="37">
        <f t="shared" si="24"/>
        <v>5920</v>
      </c>
      <c r="Z15" s="37">
        <f t="shared" si="25"/>
        <v>2820</v>
      </c>
      <c r="AA15" s="37">
        <f t="shared" si="26"/>
        <v>3170</v>
      </c>
      <c r="AB15" s="37">
        <f t="shared" si="27"/>
        <v>8190</v>
      </c>
      <c r="AC15" s="37">
        <f t="shared" si="28"/>
        <v>9770</v>
      </c>
      <c r="AD15" s="35">
        <f t="shared" si="29"/>
        <v>65930</v>
      </c>
      <c r="AF15" s="20">
        <f t="shared" si="1"/>
        <v>5.25</v>
      </c>
      <c r="AG15" s="20">
        <f t="shared" si="2"/>
        <v>73.350000000000009</v>
      </c>
      <c r="AH15" s="20">
        <f t="shared" si="3"/>
        <v>19.900000000000002</v>
      </c>
      <c r="AI15" s="20">
        <f t="shared" si="4"/>
        <v>8.85</v>
      </c>
      <c r="AJ15" s="20">
        <f t="shared" si="5"/>
        <v>22.35</v>
      </c>
      <c r="AK15" s="20">
        <f t="shared" si="6"/>
        <v>18.55</v>
      </c>
      <c r="AL15" s="20">
        <f t="shared" si="7"/>
        <v>12.5</v>
      </c>
      <c r="AM15" s="20">
        <f t="shared" si="8"/>
        <v>19.55</v>
      </c>
      <c r="AN15" s="20">
        <f t="shared" si="9"/>
        <v>29.6</v>
      </c>
      <c r="AO15" s="20">
        <f t="shared" si="10"/>
        <v>14.1</v>
      </c>
      <c r="AP15" s="20">
        <f t="shared" si="11"/>
        <v>15.85</v>
      </c>
      <c r="AQ15" s="20">
        <f t="shared" si="12"/>
        <v>40.950000000000003</v>
      </c>
      <c r="AR15" s="20">
        <f t="shared" si="13"/>
        <v>48.85</v>
      </c>
      <c r="AS15" s="35">
        <f t="shared" si="30"/>
        <v>329.65000000000003</v>
      </c>
      <c r="AU15" s="47">
        <v>136227</v>
      </c>
      <c r="AV15" s="37">
        <f t="shared" si="31"/>
        <v>2696</v>
      </c>
      <c r="AW15" s="35">
        <f t="shared" si="14"/>
        <v>5.3920000000000003</v>
      </c>
    </row>
    <row r="16" spans="1:49" x14ac:dyDescent="0.25">
      <c r="A16" s="23">
        <v>44418</v>
      </c>
      <c r="B16" s="40">
        <v>83</v>
      </c>
      <c r="C16" s="24">
        <v>6727490</v>
      </c>
      <c r="D16" s="24">
        <v>16488980</v>
      </c>
      <c r="E16" s="24">
        <v>2961990</v>
      </c>
      <c r="F16" s="24">
        <v>3590040</v>
      </c>
      <c r="G16" s="24">
        <v>10654900</v>
      </c>
      <c r="H16" s="24">
        <v>5726530</v>
      </c>
      <c r="I16" s="24">
        <v>5227460</v>
      </c>
      <c r="J16" s="24">
        <v>6153100</v>
      </c>
      <c r="K16" s="24">
        <v>9495800</v>
      </c>
      <c r="L16" s="24">
        <v>3991960</v>
      </c>
      <c r="M16" s="24">
        <v>8092850</v>
      </c>
      <c r="N16" s="24">
        <v>12469970</v>
      </c>
      <c r="O16" s="24">
        <v>17207350</v>
      </c>
      <c r="Q16" s="37">
        <f t="shared" si="17"/>
        <v>1120</v>
      </c>
      <c r="R16" s="37">
        <f t="shared" si="18"/>
        <v>15560</v>
      </c>
      <c r="S16" s="37">
        <f t="shared" si="16"/>
        <v>4210</v>
      </c>
      <c r="T16" s="37">
        <f t="shared" si="19"/>
        <v>1890</v>
      </c>
      <c r="U16" s="37">
        <f t="shared" si="20"/>
        <v>4550</v>
      </c>
      <c r="V16" s="37">
        <f t="shared" si="21"/>
        <v>3890</v>
      </c>
      <c r="W16" s="37">
        <f t="shared" si="22"/>
        <v>2630</v>
      </c>
      <c r="X16" s="37">
        <f t="shared" si="23"/>
        <v>4520</v>
      </c>
      <c r="Y16" s="37">
        <f t="shared" si="24"/>
        <v>6150</v>
      </c>
      <c r="Z16" s="37">
        <f t="shared" si="25"/>
        <v>2820</v>
      </c>
      <c r="AA16" s="37">
        <f t="shared" si="26"/>
        <v>3200</v>
      </c>
      <c r="AB16" s="37">
        <f t="shared" si="27"/>
        <v>8360</v>
      </c>
      <c r="AC16" s="37">
        <f t="shared" si="28"/>
        <v>11250</v>
      </c>
      <c r="AD16" s="35">
        <f t="shared" si="29"/>
        <v>70150</v>
      </c>
      <c r="AF16" s="20">
        <f t="shared" si="1"/>
        <v>5.6000000000000005</v>
      </c>
      <c r="AG16" s="20">
        <f t="shared" si="2"/>
        <v>77.8</v>
      </c>
      <c r="AH16" s="20">
        <f t="shared" si="3"/>
        <v>21.05</v>
      </c>
      <c r="AI16" s="20">
        <f t="shared" si="4"/>
        <v>9.4500000000000011</v>
      </c>
      <c r="AJ16" s="20">
        <f t="shared" si="5"/>
        <v>22.75</v>
      </c>
      <c r="AK16" s="20">
        <f t="shared" si="6"/>
        <v>19.45</v>
      </c>
      <c r="AL16" s="20">
        <f t="shared" si="7"/>
        <v>13.15</v>
      </c>
      <c r="AM16" s="20">
        <f t="shared" si="8"/>
        <v>22.6</v>
      </c>
      <c r="AN16" s="20">
        <f t="shared" si="9"/>
        <v>30.75</v>
      </c>
      <c r="AO16" s="20">
        <f t="shared" si="10"/>
        <v>14.1</v>
      </c>
      <c r="AP16" s="20">
        <f t="shared" si="11"/>
        <v>16</v>
      </c>
      <c r="AQ16" s="20">
        <f t="shared" si="12"/>
        <v>41.800000000000004</v>
      </c>
      <c r="AR16" s="20">
        <f t="shared" si="13"/>
        <v>56.25</v>
      </c>
      <c r="AS16" s="35">
        <f t="shared" si="30"/>
        <v>350.74999999999994</v>
      </c>
      <c r="AU16" s="47">
        <v>139102</v>
      </c>
      <c r="AV16" s="37">
        <f t="shared" si="31"/>
        <v>2875</v>
      </c>
      <c r="AW16" s="35">
        <f t="shared" si="14"/>
        <v>5.75</v>
      </c>
    </row>
    <row r="17" spans="1:49" x14ac:dyDescent="0.25">
      <c r="A17" s="23">
        <v>44419</v>
      </c>
      <c r="B17" s="40">
        <v>69</v>
      </c>
      <c r="C17" s="24">
        <v>6728370</v>
      </c>
      <c r="D17" s="24">
        <v>16501390</v>
      </c>
      <c r="E17" s="24">
        <v>2965370</v>
      </c>
      <c r="F17" s="24">
        <v>3591510</v>
      </c>
      <c r="G17" s="24">
        <v>10658480</v>
      </c>
      <c r="H17" s="24">
        <v>5729650</v>
      </c>
      <c r="I17" s="24">
        <v>5229550</v>
      </c>
      <c r="J17" s="24">
        <v>6156820</v>
      </c>
      <c r="K17" s="24">
        <v>9500650</v>
      </c>
      <c r="L17" s="24">
        <v>3994200</v>
      </c>
      <c r="M17" s="24">
        <v>8095460</v>
      </c>
      <c r="N17" s="24">
        <v>12476720</v>
      </c>
      <c r="O17" s="24">
        <v>17215250</v>
      </c>
      <c r="Q17" s="37">
        <f t="shared" si="17"/>
        <v>880</v>
      </c>
      <c r="R17" s="37">
        <f t="shared" si="18"/>
        <v>12410</v>
      </c>
      <c r="S17" s="37">
        <f t="shared" si="16"/>
        <v>3380</v>
      </c>
      <c r="T17" s="37">
        <f t="shared" si="19"/>
        <v>1470</v>
      </c>
      <c r="U17" s="37">
        <f t="shared" si="20"/>
        <v>3580</v>
      </c>
      <c r="V17" s="37">
        <f t="shared" si="21"/>
        <v>3120</v>
      </c>
      <c r="W17" s="37">
        <f t="shared" si="22"/>
        <v>2090</v>
      </c>
      <c r="X17" s="37">
        <f t="shared" si="23"/>
        <v>3720</v>
      </c>
      <c r="Y17" s="37">
        <f t="shared" si="24"/>
        <v>4850</v>
      </c>
      <c r="Z17" s="37">
        <f t="shared" si="25"/>
        <v>2240</v>
      </c>
      <c r="AA17" s="37">
        <f t="shared" si="26"/>
        <v>2610</v>
      </c>
      <c r="AB17" s="37">
        <f t="shared" si="27"/>
        <v>6750</v>
      </c>
      <c r="AC17" s="37">
        <f t="shared" si="28"/>
        <v>7900</v>
      </c>
      <c r="AD17" s="35">
        <f t="shared" si="29"/>
        <v>55000</v>
      </c>
      <c r="AF17" s="20">
        <f t="shared" si="1"/>
        <v>4.4000000000000004</v>
      </c>
      <c r="AG17" s="20">
        <f t="shared" si="2"/>
        <v>62.050000000000004</v>
      </c>
      <c r="AH17" s="20">
        <f t="shared" si="3"/>
        <v>16.899999999999999</v>
      </c>
      <c r="AI17" s="20">
        <f t="shared" si="4"/>
        <v>7.3500000000000005</v>
      </c>
      <c r="AJ17" s="20">
        <f t="shared" si="5"/>
        <v>17.900000000000002</v>
      </c>
      <c r="AK17" s="20">
        <f t="shared" si="6"/>
        <v>15.6</v>
      </c>
      <c r="AL17" s="20">
        <f t="shared" si="7"/>
        <v>10.450000000000001</v>
      </c>
      <c r="AM17" s="20">
        <f t="shared" si="8"/>
        <v>18.600000000000001</v>
      </c>
      <c r="AN17" s="20">
        <f t="shared" si="9"/>
        <v>24.25</v>
      </c>
      <c r="AO17" s="20">
        <f t="shared" si="10"/>
        <v>11.200000000000001</v>
      </c>
      <c r="AP17" s="20">
        <f t="shared" si="11"/>
        <v>13.05</v>
      </c>
      <c r="AQ17" s="20">
        <f t="shared" si="12"/>
        <v>33.75</v>
      </c>
      <c r="AR17" s="20">
        <f t="shared" si="13"/>
        <v>39.5</v>
      </c>
      <c r="AS17" s="35">
        <f t="shared" si="30"/>
        <v>275</v>
      </c>
      <c r="AU17" s="47">
        <v>141547</v>
      </c>
      <c r="AV17" s="37">
        <f t="shared" si="31"/>
        <v>2445</v>
      </c>
      <c r="AW17" s="35">
        <f t="shared" si="14"/>
        <v>4.8899999999999997</v>
      </c>
    </row>
    <row r="18" spans="1:49" x14ac:dyDescent="0.25">
      <c r="A18" s="23">
        <v>44420</v>
      </c>
      <c r="B18" s="40">
        <v>98</v>
      </c>
      <c r="C18" s="24">
        <v>6729340</v>
      </c>
      <c r="D18" s="24">
        <v>16515020</v>
      </c>
      <c r="E18" s="24">
        <v>2969100</v>
      </c>
      <c r="F18" s="24">
        <v>3593140</v>
      </c>
      <c r="G18" s="24">
        <v>10662460</v>
      </c>
      <c r="H18" s="24">
        <v>5733100</v>
      </c>
      <c r="I18" s="24">
        <v>5231830</v>
      </c>
      <c r="J18" s="24">
        <v>6161050</v>
      </c>
      <c r="K18" s="24">
        <v>9505850</v>
      </c>
      <c r="L18" s="24">
        <v>3996710</v>
      </c>
      <c r="M18" s="24">
        <v>8098590</v>
      </c>
      <c r="N18" s="24">
        <v>12484170</v>
      </c>
      <c r="O18" s="24">
        <v>17223650</v>
      </c>
      <c r="Q18" s="37">
        <f t="shared" si="17"/>
        <v>970</v>
      </c>
      <c r="R18" s="37">
        <f t="shared" si="18"/>
        <v>13630</v>
      </c>
      <c r="S18" s="37">
        <f t="shared" si="16"/>
        <v>3730</v>
      </c>
      <c r="T18" s="37">
        <f t="shared" si="19"/>
        <v>1630</v>
      </c>
      <c r="U18" s="37">
        <f t="shared" si="20"/>
        <v>3980</v>
      </c>
      <c r="V18" s="37">
        <f t="shared" si="21"/>
        <v>3450</v>
      </c>
      <c r="W18" s="37">
        <f t="shared" si="22"/>
        <v>2280</v>
      </c>
      <c r="X18" s="37">
        <f t="shared" si="23"/>
        <v>4230</v>
      </c>
      <c r="Y18" s="37">
        <f t="shared" si="24"/>
        <v>5200</v>
      </c>
      <c r="Z18" s="37">
        <f t="shared" si="25"/>
        <v>2510</v>
      </c>
      <c r="AA18" s="37">
        <f t="shared" si="26"/>
        <v>3130</v>
      </c>
      <c r="AB18" s="37">
        <f t="shared" si="27"/>
        <v>7450</v>
      </c>
      <c r="AC18" s="37">
        <f t="shared" si="28"/>
        <v>8400</v>
      </c>
      <c r="AD18" s="35">
        <f t="shared" si="29"/>
        <v>60590</v>
      </c>
      <c r="AF18" s="20">
        <f t="shared" si="1"/>
        <v>4.8500000000000005</v>
      </c>
      <c r="AG18" s="20">
        <f t="shared" si="2"/>
        <v>68.150000000000006</v>
      </c>
      <c r="AH18" s="20">
        <f t="shared" si="3"/>
        <v>18.650000000000002</v>
      </c>
      <c r="AI18" s="20">
        <f t="shared" si="4"/>
        <v>8.15</v>
      </c>
      <c r="AJ18" s="20">
        <f t="shared" si="5"/>
        <v>19.900000000000002</v>
      </c>
      <c r="AK18" s="20">
        <f t="shared" si="6"/>
        <v>17.25</v>
      </c>
      <c r="AL18" s="20">
        <f t="shared" si="7"/>
        <v>11.4</v>
      </c>
      <c r="AM18" s="20">
        <f t="shared" si="8"/>
        <v>21.150000000000002</v>
      </c>
      <c r="AN18" s="20">
        <f t="shared" si="9"/>
        <v>26</v>
      </c>
      <c r="AO18" s="20">
        <f t="shared" si="10"/>
        <v>12.55</v>
      </c>
      <c r="AP18" s="20">
        <f t="shared" si="11"/>
        <v>15.65</v>
      </c>
      <c r="AQ18" s="20">
        <f t="shared" si="12"/>
        <v>37.25</v>
      </c>
      <c r="AR18" s="20">
        <f t="shared" si="13"/>
        <v>42</v>
      </c>
      <c r="AS18" s="35">
        <f t="shared" si="30"/>
        <v>302.95000000000005</v>
      </c>
      <c r="AU18" s="47">
        <v>144311</v>
      </c>
      <c r="AV18" s="37">
        <f t="shared" si="31"/>
        <v>2764</v>
      </c>
      <c r="AW18" s="35">
        <f t="shared" si="14"/>
        <v>5.5280000000000005</v>
      </c>
    </row>
    <row r="19" spans="1:49" x14ac:dyDescent="0.25">
      <c r="A19" s="23">
        <v>44421</v>
      </c>
      <c r="B19" s="40">
        <v>111</v>
      </c>
      <c r="C19" s="24">
        <v>6730340</v>
      </c>
      <c r="D19" s="24">
        <v>16529090</v>
      </c>
      <c r="E19" s="24">
        <v>2972930</v>
      </c>
      <c r="F19" s="24">
        <v>3594820</v>
      </c>
      <c r="G19" s="24">
        <v>10666410</v>
      </c>
      <c r="H19" s="24">
        <v>5736640</v>
      </c>
      <c r="I19" s="24">
        <v>5234170</v>
      </c>
      <c r="J19" s="24">
        <v>6165530</v>
      </c>
      <c r="K19" s="24">
        <v>9511500</v>
      </c>
      <c r="L19" s="24">
        <v>3999340</v>
      </c>
      <c r="M19" s="24">
        <v>8101760</v>
      </c>
      <c r="N19" s="24">
        <v>12491950</v>
      </c>
      <c r="O19" s="24">
        <v>17232240</v>
      </c>
      <c r="Q19" s="37">
        <f t="shared" si="17"/>
        <v>1000</v>
      </c>
      <c r="R19" s="37">
        <f t="shared" si="18"/>
        <v>14070</v>
      </c>
      <c r="S19" s="37">
        <f t="shared" si="16"/>
        <v>3830</v>
      </c>
      <c r="T19" s="37">
        <f t="shared" si="19"/>
        <v>1680</v>
      </c>
      <c r="U19" s="37">
        <f t="shared" si="20"/>
        <v>3950</v>
      </c>
      <c r="V19" s="37">
        <f t="shared" si="21"/>
        <v>3540</v>
      </c>
      <c r="W19" s="37">
        <f t="shared" si="22"/>
        <v>2340</v>
      </c>
      <c r="X19" s="37">
        <f t="shared" si="23"/>
        <v>4480</v>
      </c>
      <c r="Y19" s="37">
        <f t="shared" si="24"/>
        <v>5650</v>
      </c>
      <c r="Z19" s="37">
        <f t="shared" si="25"/>
        <v>2630</v>
      </c>
      <c r="AA19" s="37">
        <f t="shared" si="26"/>
        <v>3170</v>
      </c>
      <c r="AB19" s="37">
        <f t="shared" si="27"/>
        <v>7780</v>
      </c>
      <c r="AC19" s="37">
        <f t="shared" si="28"/>
        <v>8590</v>
      </c>
      <c r="AD19" s="35">
        <f t="shared" si="29"/>
        <v>62710</v>
      </c>
      <c r="AF19" s="20">
        <f t="shared" si="1"/>
        <v>5</v>
      </c>
      <c r="AG19" s="20">
        <f t="shared" si="2"/>
        <v>70.350000000000009</v>
      </c>
      <c r="AH19" s="20">
        <f t="shared" si="3"/>
        <v>19.150000000000002</v>
      </c>
      <c r="AI19" s="20">
        <f t="shared" si="4"/>
        <v>8.4</v>
      </c>
      <c r="AJ19" s="20">
        <f t="shared" si="5"/>
        <v>19.75</v>
      </c>
      <c r="AK19" s="20">
        <f t="shared" si="6"/>
        <v>17.7</v>
      </c>
      <c r="AL19" s="20">
        <f t="shared" si="7"/>
        <v>11.700000000000001</v>
      </c>
      <c r="AM19" s="20">
        <f t="shared" si="8"/>
        <v>22.400000000000002</v>
      </c>
      <c r="AN19" s="20">
        <f t="shared" si="9"/>
        <v>28.25</v>
      </c>
      <c r="AO19" s="20">
        <f t="shared" si="10"/>
        <v>13.15</v>
      </c>
      <c r="AP19" s="20">
        <f t="shared" si="11"/>
        <v>15.85</v>
      </c>
      <c r="AQ19" s="20">
        <f t="shared" si="12"/>
        <v>38.9</v>
      </c>
      <c r="AR19" s="20">
        <f t="shared" si="13"/>
        <v>42.95</v>
      </c>
      <c r="AS19" s="35">
        <f t="shared" si="30"/>
        <v>313.55</v>
      </c>
      <c r="AU19" s="47">
        <v>147368</v>
      </c>
      <c r="AV19" s="37">
        <f t="shared" si="31"/>
        <v>3057</v>
      </c>
      <c r="AW19" s="35">
        <f t="shared" si="14"/>
        <v>6.1139999999999999</v>
      </c>
    </row>
    <row r="20" spans="1:49" x14ac:dyDescent="0.25">
      <c r="A20" s="23">
        <v>44422</v>
      </c>
      <c r="B20" s="40">
        <v>78</v>
      </c>
      <c r="C20" s="24">
        <v>6731410</v>
      </c>
      <c r="D20" s="24">
        <v>16544370</v>
      </c>
      <c r="E20" s="24">
        <v>2977090</v>
      </c>
      <c r="F20" s="24">
        <v>3596620</v>
      </c>
      <c r="G20" s="24">
        <v>10670670</v>
      </c>
      <c r="H20" s="24">
        <v>5740340</v>
      </c>
      <c r="I20" s="24">
        <v>5236670</v>
      </c>
      <c r="J20" s="24">
        <v>6170060</v>
      </c>
      <c r="K20" s="24">
        <v>9517630</v>
      </c>
      <c r="L20" s="24">
        <v>4002160</v>
      </c>
      <c r="M20" s="24">
        <v>8105020</v>
      </c>
      <c r="N20" s="24">
        <v>12500110</v>
      </c>
      <c r="O20" s="24">
        <v>17242750</v>
      </c>
      <c r="Q20" s="37">
        <f t="shared" si="17"/>
        <v>1070</v>
      </c>
      <c r="R20" s="37">
        <f t="shared" si="18"/>
        <v>15280</v>
      </c>
      <c r="S20" s="37">
        <f t="shared" si="16"/>
        <v>4160</v>
      </c>
      <c r="T20" s="37">
        <f t="shared" si="19"/>
        <v>1800</v>
      </c>
      <c r="U20" s="37">
        <f t="shared" si="20"/>
        <v>4260</v>
      </c>
      <c r="V20" s="37">
        <f t="shared" si="21"/>
        <v>3700</v>
      </c>
      <c r="W20" s="37">
        <f t="shared" si="22"/>
        <v>2500</v>
      </c>
      <c r="X20" s="37">
        <f t="shared" si="23"/>
        <v>4530</v>
      </c>
      <c r="Y20" s="37">
        <f t="shared" si="24"/>
        <v>6130</v>
      </c>
      <c r="Z20" s="37">
        <f t="shared" si="25"/>
        <v>2820</v>
      </c>
      <c r="AA20" s="37">
        <f t="shared" si="26"/>
        <v>3260</v>
      </c>
      <c r="AB20" s="37">
        <f t="shared" si="27"/>
        <v>8160</v>
      </c>
      <c r="AC20" s="37">
        <f t="shared" si="28"/>
        <v>10510</v>
      </c>
      <c r="AD20" s="35">
        <f t="shared" si="29"/>
        <v>68180</v>
      </c>
      <c r="AF20" s="20">
        <f t="shared" si="1"/>
        <v>5.3500000000000005</v>
      </c>
      <c r="AG20" s="20">
        <f t="shared" si="2"/>
        <v>76.400000000000006</v>
      </c>
      <c r="AH20" s="20">
        <f t="shared" si="3"/>
        <v>20.8</v>
      </c>
      <c r="AI20" s="20">
        <f t="shared" si="4"/>
        <v>9</v>
      </c>
      <c r="AJ20" s="20">
        <f t="shared" si="5"/>
        <v>21.3</v>
      </c>
      <c r="AK20" s="20">
        <f t="shared" si="6"/>
        <v>18.5</v>
      </c>
      <c r="AL20" s="20">
        <f t="shared" si="7"/>
        <v>12.5</v>
      </c>
      <c r="AM20" s="20">
        <f t="shared" si="8"/>
        <v>22.650000000000002</v>
      </c>
      <c r="AN20" s="20">
        <f t="shared" si="9"/>
        <v>30.650000000000002</v>
      </c>
      <c r="AO20" s="20">
        <f t="shared" si="10"/>
        <v>14.1</v>
      </c>
      <c r="AP20" s="20">
        <f t="shared" si="11"/>
        <v>16.3</v>
      </c>
      <c r="AQ20" s="20">
        <f t="shared" si="12"/>
        <v>40.800000000000004</v>
      </c>
      <c r="AR20" s="20">
        <f t="shared" si="13"/>
        <v>52.550000000000004</v>
      </c>
      <c r="AS20" s="35">
        <f t="shared" si="30"/>
        <v>340.90000000000003</v>
      </c>
      <c r="AU20" s="47">
        <v>149866</v>
      </c>
      <c r="AV20" s="37">
        <f t="shared" si="31"/>
        <v>2498</v>
      </c>
      <c r="AW20" s="35">
        <f t="shared" si="14"/>
        <v>4.9960000000000004</v>
      </c>
    </row>
    <row r="21" spans="1:49" x14ac:dyDescent="0.25">
      <c r="A21" s="23">
        <v>44423</v>
      </c>
      <c r="B21" s="40">
        <v>58</v>
      </c>
      <c r="C21" s="24">
        <v>6732420</v>
      </c>
      <c r="D21" s="24">
        <v>16558530</v>
      </c>
      <c r="E21" s="24">
        <v>2980930</v>
      </c>
      <c r="F21" s="24">
        <v>3598310</v>
      </c>
      <c r="G21" s="24">
        <v>10674650</v>
      </c>
      <c r="H21" s="24">
        <v>5743700</v>
      </c>
      <c r="I21" s="24">
        <v>5239010</v>
      </c>
      <c r="J21" s="24">
        <v>6174290</v>
      </c>
      <c r="K21" s="24">
        <v>9523250</v>
      </c>
      <c r="L21" s="24">
        <v>4004680</v>
      </c>
      <c r="M21" s="24">
        <v>8107950</v>
      </c>
      <c r="N21" s="24">
        <v>12507740</v>
      </c>
      <c r="O21" s="24">
        <v>17253560</v>
      </c>
      <c r="Q21" s="37">
        <f t="shared" si="17"/>
        <v>1010</v>
      </c>
      <c r="R21" s="37">
        <f t="shared" si="18"/>
        <v>14160</v>
      </c>
      <c r="S21" s="37">
        <f t="shared" si="16"/>
        <v>3840</v>
      </c>
      <c r="T21" s="37">
        <f t="shared" si="19"/>
        <v>1690</v>
      </c>
      <c r="U21" s="37">
        <f t="shared" si="20"/>
        <v>3980</v>
      </c>
      <c r="V21" s="37">
        <f t="shared" si="21"/>
        <v>3360</v>
      </c>
      <c r="W21" s="37">
        <f t="shared" si="22"/>
        <v>2340</v>
      </c>
      <c r="X21" s="37">
        <f t="shared" si="23"/>
        <v>4230</v>
      </c>
      <c r="Y21" s="37">
        <f t="shared" si="24"/>
        <v>5620</v>
      </c>
      <c r="Z21" s="37">
        <f t="shared" si="25"/>
        <v>2520</v>
      </c>
      <c r="AA21" s="37">
        <f t="shared" si="26"/>
        <v>2930</v>
      </c>
      <c r="AB21" s="37">
        <f t="shared" si="27"/>
        <v>7630</v>
      </c>
      <c r="AC21" s="37">
        <f t="shared" si="28"/>
        <v>10810</v>
      </c>
      <c r="AD21" s="35">
        <f t="shared" si="29"/>
        <v>64120</v>
      </c>
      <c r="AF21" s="20">
        <f t="shared" si="1"/>
        <v>5.05</v>
      </c>
      <c r="AG21" s="20">
        <f t="shared" si="2"/>
        <v>70.8</v>
      </c>
      <c r="AH21" s="20">
        <f t="shared" si="3"/>
        <v>19.2</v>
      </c>
      <c r="AI21" s="20">
        <f t="shared" si="4"/>
        <v>8.4499999999999993</v>
      </c>
      <c r="AJ21" s="20">
        <f t="shared" si="5"/>
        <v>19.900000000000002</v>
      </c>
      <c r="AK21" s="20">
        <f t="shared" si="6"/>
        <v>16.8</v>
      </c>
      <c r="AL21" s="20">
        <f t="shared" si="7"/>
        <v>11.700000000000001</v>
      </c>
      <c r="AM21" s="20">
        <f t="shared" si="8"/>
        <v>21.150000000000002</v>
      </c>
      <c r="AN21" s="20">
        <f t="shared" si="9"/>
        <v>28.1</v>
      </c>
      <c r="AO21" s="20">
        <f t="shared" si="10"/>
        <v>12.6</v>
      </c>
      <c r="AP21" s="20">
        <f t="shared" si="11"/>
        <v>14.65</v>
      </c>
      <c r="AQ21" s="20">
        <f t="shared" si="12"/>
        <v>38.15</v>
      </c>
      <c r="AR21" s="20">
        <f t="shared" si="13"/>
        <v>54.050000000000004</v>
      </c>
      <c r="AS21" s="35">
        <f t="shared" si="30"/>
        <v>320.60000000000002</v>
      </c>
      <c r="AU21" s="47">
        <v>152321</v>
      </c>
      <c r="AV21" s="37">
        <f t="shared" si="31"/>
        <v>2455</v>
      </c>
      <c r="AW21" s="35">
        <f t="shared" si="14"/>
        <v>4.91</v>
      </c>
    </row>
    <row r="22" spans="1:49" x14ac:dyDescent="0.25">
      <c r="A22" s="23">
        <v>44424</v>
      </c>
      <c r="B22" s="40">
        <v>68</v>
      </c>
      <c r="C22" s="24">
        <v>6733430</v>
      </c>
      <c r="D22" s="24">
        <v>16572660</v>
      </c>
      <c r="E22" s="24">
        <v>2984730</v>
      </c>
      <c r="F22" s="24">
        <v>3600000</v>
      </c>
      <c r="G22" s="24">
        <v>10678400</v>
      </c>
      <c r="H22" s="24">
        <v>5747060</v>
      </c>
      <c r="I22" s="24">
        <v>5241370</v>
      </c>
      <c r="J22" s="44">
        <v>6178350</v>
      </c>
      <c r="K22" s="24">
        <v>9529120</v>
      </c>
      <c r="L22" s="24">
        <v>4006950</v>
      </c>
      <c r="M22" s="24">
        <v>8110910</v>
      </c>
      <c r="N22" s="24">
        <v>12515520</v>
      </c>
      <c r="O22" s="44">
        <v>17264110</v>
      </c>
      <c r="Q22" s="37">
        <f t="shared" si="17"/>
        <v>1010</v>
      </c>
      <c r="R22" s="37">
        <f t="shared" si="18"/>
        <v>14130</v>
      </c>
      <c r="S22" s="37">
        <f t="shared" si="16"/>
        <v>3800</v>
      </c>
      <c r="T22" s="37">
        <f t="shared" si="19"/>
        <v>1690</v>
      </c>
      <c r="U22" s="37">
        <f t="shared" si="20"/>
        <v>3750</v>
      </c>
      <c r="V22" s="37">
        <f t="shared" si="21"/>
        <v>3360</v>
      </c>
      <c r="W22" s="37">
        <f t="shared" si="22"/>
        <v>2360</v>
      </c>
      <c r="X22" s="37">
        <f t="shared" si="23"/>
        <v>4060</v>
      </c>
      <c r="Y22" s="37">
        <f t="shared" si="24"/>
        <v>5870</v>
      </c>
      <c r="Z22" s="37">
        <f t="shared" si="25"/>
        <v>2270</v>
      </c>
      <c r="AA22" s="37">
        <f t="shared" si="26"/>
        <v>2960</v>
      </c>
      <c r="AB22" s="37">
        <f t="shared" si="27"/>
        <v>7780</v>
      </c>
      <c r="AC22" s="37">
        <f t="shared" si="28"/>
        <v>10550</v>
      </c>
      <c r="AD22" s="35">
        <f t="shared" si="29"/>
        <v>63590</v>
      </c>
      <c r="AF22" s="20">
        <f t="shared" si="1"/>
        <v>5.05</v>
      </c>
      <c r="AG22" s="20">
        <f t="shared" si="2"/>
        <v>70.650000000000006</v>
      </c>
      <c r="AH22" s="20">
        <f t="shared" si="3"/>
        <v>19</v>
      </c>
      <c r="AI22" s="20">
        <f t="shared" si="4"/>
        <v>8.4499999999999993</v>
      </c>
      <c r="AJ22" s="20">
        <f t="shared" si="5"/>
        <v>18.75</v>
      </c>
      <c r="AK22" s="20">
        <f t="shared" si="6"/>
        <v>16.8</v>
      </c>
      <c r="AL22" s="20">
        <f t="shared" si="7"/>
        <v>11.8</v>
      </c>
      <c r="AM22" s="20">
        <f t="shared" si="8"/>
        <v>20.3</v>
      </c>
      <c r="AN22" s="20">
        <f t="shared" si="9"/>
        <v>29.35</v>
      </c>
      <c r="AO22" s="20">
        <f t="shared" si="10"/>
        <v>11.35</v>
      </c>
      <c r="AP22" s="20">
        <f t="shared" si="11"/>
        <v>14.8</v>
      </c>
      <c r="AQ22" s="20">
        <f t="shared" si="12"/>
        <v>38.9</v>
      </c>
      <c r="AR22" s="20">
        <f t="shared" si="13"/>
        <v>52.75</v>
      </c>
      <c r="AS22" s="35">
        <f t="shared" si="30"/>
        <v>317.95000000000005</v>
      </c>
      <c r="AU22" s="47">
        <v>154971</v>
      </c>
      <c r="AV22" s="37">
        <f t="shared" si="31"/>
        <v>2650</v>
      </c>
      <c r="AW22" s="35">
        <f t="shared" si="14"/>
        <v>5.3</v>
      </c>
    </row>
    <row r="23" spans="1:49" x14ac:dyDescent="0.25">
      <c r="A23" s="23">
        <v>44425</v>
      </c>
      <c r="B23" s="40">
        <v>72</v>
      </c>
      <c r="C23" s="24">
        <v>6734410</v>
      </c>
      <c r="D23" s="24">
        <v>16586070</v>
      </c>
      <c r="E23" s="24">
        <v>2988360</v>
      </c>
      <c r="F23" s="24">
        <v>3601650</v>
      </c>
      <c r="G23" s="24">
        <v>10682140</v>
      </c>
      <c r="H23" s="24">
        <v>5750310</v>
      </c>
      <c r="I23" s="24">
        <v>5243680</v>
      </c>
      <c r="J23" s="24">
        <v>6183370</v>
      </c>
      <c r="K23" s="24">
        <v>9534170</v>
      </c>
      <c r="L23" s="24">
        <v>4009190</v>
      </c>
      <c r="M23" s="24">
        <v>8113850</v>
      </c>
      <c r="N23" s="24">
        <v>12523080</v>
      </c>
      <c r="O23" s="24">
        <v>17273990</v>
      </c>
      <c r="Q23" s="37">
        <f t="shared" si="17"/>
        <v>980</v>
      </c>
      <c r="R23" s="37">
        <f t="shared" si="18"/>
        <v>13410</v>
      </c>
      <c r="S23" s="37">
        <f t="shared" si="16"/>
        <v>3630</v>
      </c>
      <c r="T23" s="37">
        <f t="shared" si="19"/>
        <v>1650</v>
      </c>
      <c r="U23" s="37">
        <f t="shared" si="20"/>
        <v>3740</v>
      </c>
      <c r="V23" s="37">
        <f t="shared" si="21"/>
        <v>3250</v>
      </c>
      <c r="W23" s="37">
        <f t="shared" si="22"/>
        <v>2310</v>
      </c>
      <c r="X23" s="37">
        <f t="shared" si="23"/>
        <v>5020</v>
      </c>
      <c r="Y23" s="37">
        <f t="shared" si="24"/>
        <v>5050</v>
      </c>
      <c r="Z23" s="37">
        <f t="shared" si="25"/>
        <v>2240</v>
      </c>
      <c r="AA23" s="37">
        <f t="shared" si="26"/>
        <v>2940</v>
      </c>
      <c r="AB23" s="37">
        <f t="shared" si="27"/>
        <v>7560</v>
      </c>
      <c r="AC23" s="37">
        <f t="shared" si="28"/>
        <v>9880</v>
      </c>
      <c r="AD23" s="35">
        <f t="shared" si="29"/>
        <v>61660</v>
      </c>
      <c r="AF23" s="20">
        <f t="shared" si="1"/>
        <v>4.9000000000000004</v>
      </c>
      <c r="AG23" s="20">
        <f t="shared" si="2"/>
        <v>67.05</v>
      </c>
      <c r="AH23" s="20">
        <f t="shared" si="3"/>
        <v>18.150000000000002</v>
      </c>
      <c r="AI23" s="20">
        <f t="shared" si="4"/>
        <v>8.25</v>
      </c>
      <c r="AJ23" s="20">
        <f t="shared" si="5"/>
        <v>18.7</v>
      </c>
      <c r="AK23" s="20">
        <f t="shared" si="6"/>
        <v>16.25</v>
      </c>
      <c r="AL23" s="20">
        <f t="shared" si="7"/>
        <v>11.55</v>
      </c>
      <c r="AM23" s="20">
        <f t="shared" si="8"/>
        <v>25.1</v>
      </c>
      <c r="AN23" s="20">
        <f t="shared" si="9"/>
        <v>25.25</v>
      </c>
      <c r="AO23" s="20">
        <f t="shared" si="10"/>
        <v>11.200000000000001</v>
      </c>
      <c r="AP23" s="20">
        <f t="shared" si="11"/>
        <v>14.700000000000001</v>
      </c>
      <c r="AQ23" s="20">
        <f t="shared" si="12"/>
        <v>37.800000000000004</v>
      </c>
      <c r="AR23" s="20">
        <f t="shared" si="13"/>
        <v>49.4</v>
      </c>
      <c r="AS23" s="35">
        <f t="shared" si="30"/>
        <v>308.29999999999995</v>
      </c>
      <c r="AU23" s="47">
        <v>157648</v>
      </c>
      <c r="AV23" s="37">
        <f t="shared" si="31"/>
        <v>2677</v>
      </c>
      <c r="AW23" s="35">
        <f t="shared" si="14"/>
        <v>5.3540000000000001</v>
      </c>
    </row>
    <row r="24" spans="1:49" x14ac:dyDescent="0.25">
      <c r="A24" s="23">
        <v>44426</v>
      </c>
      <c r="B24" s="40">
        <v>61</v>
      </c>
      <c r="C24" s="24">
        <v>6735440</v>
      </c>
      <c r="D24" s="24">
        <v>16599850</v>
      </c>
      <c r="E24" s="24">
        <v>2992030</v>
      </c>
      <c r="F24" s="24">
        <v>3603350</v>
      </c>
      <c r="G24" s="24">
        <v>10686030</v>
      </c>
      <c r="H24" s="24">
        <v>5753720</v>
      </c>
      <c r="I24" s="24">
        <v>5246070</v>
      </c>
      <c r="J24" s="24">
        <v>6188570</v>
      </c>
      <c r="K24" s="24">
        <v>9539860</v>
      </c>
      <c r="L24" s="24">
        <v>4011630</v>
      </c>
      <c r="M24" s="24">
        <v>8116770</v>
      </c>
      <c r="N24" s="24">
        <v>12530570</v>
      </c>
      <c r="O24" s="24">
        <v>17283340</v>
      </c>
      <c r="Q24" s="37">
        <f t="shared" si="17"/>
        <v>1030</v>
      </c>
      <c r="R24" s="37">
        <f t="shared" si="18"/>
        <v>13780</v>
      </c>
      <c r="S24" s="37">
        <f t="shared" si="16"/>
        <v>3670</v>
      </c>
      <c r="T24" s="37">
        <f t="shared" si="19"/>
        <v>1700</v>
      </c>
      <c r="U24" s="37">
        <f t="shared" si="20"/>
        <v>3890</v>
      </c>
      <c r="V24" s="37">
        <f t="shared" si="21"/>
        <v>3410</v>
      </c>
      <c r="W24" s="37">
        <f t="shared" si="22"/>
        <v>2390</v>
      </c>
      <c r="X24" s="37">
        <f t="shared" si="23"/>
        <v>5200</v>
      </c>
      <c r="Y24" s="37">
        <f t="shared" si="24"/>
        <v>5690</v>
      </c>
      <c r="Z24" s="37">
        <f t="shared" si="25"/>
        <v>2440</v>
      </c>
      <c r="AA24" s="37">
        <f t="shared" si="26"/>
        <v>2920</v>
      </c>
      <c r="AB24" s="37">
        <f t="shared" si="27"/>
        <v>7490</v>
      </c>
      <c r="AC24" s="37">
        <f t="shared" si="28"/>
        <v>9350</v>
      </c>
      <c r="AD24" s="35">
        <f t="shared" si="29"/>
        <v>62960</v>
      </c>
      <c r="AF24" s="20">
        <f t="shared" si="1"/>
        <v>5.15</v>
      </c>
      <c r="AG24" s="20">
        <f t="shared" si="2"/>
        <v>68.900000000000006</v>
      </c>
      <c r="AH24" s="20">
        <f t="shared" si="3"/>
        <v>18.350000000000001</v>
      </c>
      <c r="AI24" s="20">
        <f t="shared" si="4"/>
        <v>8.5</v>
      </c>
      <c r="AJ24" s="20">
        <f t="shared" si="5"/>
        <v>19.45</v>
      </c>
      <c r="AK24" s="20">
        <f t="shared" si="6"/>
        <v>17.05</v>
      </c>
      <c r="AL24" s="20">
        <f t="shared" si="7"/>
        <v>11.950000000000001</v>
      </c>
      <c r="AM24" s="20">
        <f t="shared" si="8"/>
        <v>26</v>
      </c>
      <c r="AN24" s="20">
        <f t="shared" si="9"/>
        <v>28.45</v>
      </c>
      <c r="AO24" s="20">
        <f t="shared" si="10"/>
        <v>12.200000000000001</v>
      </c>
      <c r="AP24" s="20">
        <f t="shared" si="11"/>
        <v>14.6</v>
      </c>
      <c r="AQ24" s="20">
        <f t="shared" si="12"/>
        <v>37.450000000000003</v>
      </c>
      <c r="AR24" s="20">
        <f t="shared" si="13"/>
        <v>46.75</v>
      </c>
      <c r="AS24" s="35">
        <f t="shared" si="30"/>
        <v>314.79999999999995</v>
      </c>
      <c r="AU24" s="47">
        <v>160000</v>
      </c>
      <c r="AV24" s="37">
        <f t="shared" si="31"/>
        <v>2352</v>
      </c>
      <c r="AW24" s="35">
        <f t="shared" si="14"/>
        <v>4.7039999999999997</v>
      </c>
    </row>
    <row r="25" spans="1:49" x14ac:dyDescent="0.25">
      <c r="A25" s="23">
        <v>44427</v>
      </c>
      <c r="B25" s="40">
        <v>102</v>
      </c>
      <c r="C25" s="24">
        <v>6736440</v>
      </c>
      <c r="D25" s="24">
        <v>16613280</v>
      </c>
      <c r="E25" s="24">
        <v>2995640</v>
      </c>
      <c r="F25" s="24">
        <v>3605000</v>
      </c>
      <c r="G25" s="24">
        <v>10689910</v>
      </c>
      <c r="H25" s="24">
        <v>5757110</v>
      </c>
      <c r="I25" s="24">
        <v>5248410</v>
      </c>
      <c r="J25" s="24">
        <v>6193590</v>
      </c>
      <c r="K25" s="24">
        <v>9545600</v>
      </c>
      <c r="L25" s="24">
        <v>4014160</v>
      </c>
      <c r="M25" s="24">
        <v>8119710</v>
      </c>
      <c r="N25" s="24">
        <v>12537960</v>
      </c>
      <c r="O25" s="24">
        <v>17292950</v>
      </c>
      <c r="Q25" s="37">
        <f t="shared" ref="Q25:AC27" si="33">IF((C25-C24&lt;0), "0",C25-C24)</f>
        <v>1000</v>
      </c>
      <c r="R25" s="37">
        <f t="shared" si="33"/>
        <v>13430</v>
      </c>
      <c r="S25" s="37">
        <f t="shared" si="33"/>
        <v>3610</v>
      </c>
      <c r="T25" s="37">
        <f t="shared" si="33"/>
        <v>1650</v>
      </c>
      <c r="U25" s="37">
        <f t="shared" si="33"/>
        <v>3880</v>
      </c>
      <c r="V25" s="37">
        <f t="shared" si="33"/>
        <v>3390</v>
      </c>
      <c r="W25" s="37">
        <f t="shared" si="33"/>
        <v>2340</v>
      </c>
      <c r="X25" s="37">
        <f t="shared" si="33"/>
        <v>5020</v>
      </c>
      <c r="Y25" s="37">
        <f t="shared" si="33"/>
        <v>5740</v>
      </c>
      <c r="Z25" s="37">
        <f t="shared" si="33"/>
        <v>2530</v>
      </c>
      <c r="AA25" s="37">
        <f t="shared" si="33"/>
        <v>2940</v>
      </c>
      <c r="AB25" s="37">
        <f t="shared" si="33"/>
        <v>7390</v>
      </c>
      <c r="AC25" s="37">
        <f t="shared" si="33"/>
        <v>9610</v>
      </c>
      <c r="AD25" s="35">
        <f t="shared" si="29"/>
        <v>62530</v>
      </c>
      <c r="AF25" s="20">
        <f t="shared" si="1"/>
        <v>5</v>
      </c>
      <c r="AG25" s="20">
        <f t="shared" si="2"/>
        <v>67.150000000000006</v>
      </c>
      <c r="AH25" s="20">
        <f t="shared" si="3"/>
        <v>18.05</v>
      </c>
      <c r="AI25" s="20">
        <f t="shared" si="4"/>
        <v>8.25</v>
      </c>
      <c r="AJ25" s="20">
        <f t="shared" si="5"/>
        <v>19.400000000000002</v>
      </c>
      <c r="AK25" s="20">
        <f t="shared" si="6"/>
        <v>16.95</v>
      </c>
      <c r="AL25" s="20">
        <f t="shared" si="7"/>
        <v>11.700000000000001</v>
      </c>
      <c r="AM25" s="20">
        <f t="shared" si="8"/>
        <v>25.1</v>
      </c>
      <c r="AN25" s="20">
        <f t="shared" si="9"/>
        <v>28.7</v>
      </c>
      <c r="AO25" s="20">
        <f t="shared" si="10"/>
        <v>12.65</v>
      </c>
      <c r="AP25" s="20">
        <f t="shared" si="11"/>
        <v>14.700000000000001</v>
      </c>
      <c r="AQ25" s="20">
        <f t="shared" si="12"/>
        <v>36.950000000000003</v>
      </c>
      <c r="AR25" s="20">
        <f t="shared" si="13"/>
        <v>48.050000000000004</v>
      </c>
      <c r="AS25" s="35">
        <f t="shared" si="30"/>
        <v>312.64999999999998</v>
      </c>
      <c r="AU25" s="47">
        <v>162238</v>
      </c>
      <c r="AV25" s="37">
        <f t="shared" si="31"/>
        <v>2238</v>
      </c>
      <c r="AW25" s="35">
        <f t="shared" si="14"/>
        <v>4.476</v>
      </c>
    </row>
    <row r="26" spans="1:49" x14ac:dyDescent="0.25">
      <c r="A26" s="23">
        <v>44428</v>
      </c>
      <c r="B26" s="40">
        <v>128</v>
      </c>
      <c r="C26" s="24">
        <v>6737420</v>
      </c>
      <c r="D26" s="24">
        <v>16627480</v>
      </c>
      <c r="E26" s="24">
        <v>2999580</v>
      </c>
      <c r="F26" s="24">
        <v>3606630</v>
      </c>
      <c r="G26" s="24">
        <v>10693820</v>
      </c>
      <c r="H26" s="24">
        <v>5760520</v>
      </c>
      <c r="I26" s="24">
        <v>5250710</v>
      </c>
      <c r="J26" s="24">
        <v>6198250</v>
      </c>
      <c r="K26" s="24">
        <v>9551280</v>
      </c>
      <c r="L26" s="24">
        <v>4016760</v>
      </c>
      <c r="M26" s="24">
        <v>8122590</v>
      </c>
      <c r="N26" s="24">
        <v>12545370</v>
      </c>
      <c r="O26" s="24">
        <v>17301900</v>
      </c>
      <c r="Q26" s="37">
        <f t="shared" si="33"/>
        <v>980</v>
      </c>
      <c r="R26" s="37">
        <f t="shared" si="33"/>
        <v>14200</v>
      </c>
      <c r="S26" s="37">
        <f t="shared" si="33"/>
        <v>3940</v>
      </c>
      <c r="T26" s="37">
        <f t="shared" si="33"/>
        <v>1630</v>
      </c>
      <c r="U26" s="37">
        <f t="shared" si="33"/>
        <v>3910</v>
      </c>
      <c r="V26" s="37">
        <f t="shared" si="33"/>
        <v>3410</v>
      </c>
      <c r="W26" s="37">
        <f t="shared" si="33"/>
        <v>2300</v>
      </c>
      <c r="X26" s="37">
        <f t="shared" si="33"/>
        <v>4660</v>
      </c>
      <c r="Y26" s="37">
        <f t="shared" si="33"/>
        <v>5680</v>
      </c>
      <c r="Z26" s="37">
        <f t="shared" si="33"/>
        <v>2600</v>
      </c>
      <c r="AA26" s="37">
        <f t="shared" si="33"/>
        <v>2880</v>
      </c>
      <c r="AB26" s="37">
        <f t="shared" si="33"/>
        <v>7410</v>
      </c>
      <c r="AC26" s="37">
        <f t="shared" si="33"/>
        <v>8950</v>
      </c>
      <c r="AD26" s="35">
        <f t="shared" si="29"/>
        <v>62550</v>
      </c>
      <c r="AF26" s="20">
        <f t="shared" si="1"/>
        <v>4.9000000000000004</v>
      </c>
      <c r="AG26" s="20">
        <f t="shared" si="2"/>
        <v>71</v>
      </c>
      <c r="AH26" s="20">
        <f t="shared" si="3"/>
        <v>19.7</v>
      </c>
      <c r="AI26" s="20">
        <f t="shared" si="4"/>
        <v>8.15</v>
      </c>
      <c r="AJ26" s="20">
        <f t="shared" si="5"/>
        <v>19.55</v>
      </c>
      <c r="AK26" s="20">
        <f t="shared" si="6"/>
        <v>17.05</v>
      </c>
      <c r="AL26" s="20">
        <f t="shared" si="7"/>
        <v>11.5</v>
      </c>
      <c r="AM26" s="20">
        <f t="shared" si="8"/>
        <v>23.3</v>
      </c>
      <c r="AN26" s="20">
        <f t="shared" si="9"/>
        <v>28.400000000000002</v>
      </c>
      <c r="AO26" s="20">
        <f t="shared" si="10"/>
        <v>13</v>
      </c>
      <c r="AP26" s="20">
        <f t="shared" si="11"/>
        <v>14.4</v>
      </c>
      <c r="AQ26" s="20">
        <f t="shared" si="12"/>
        <v>37.050000000000004</v>
      </c>
      <c r="AR26" s="20">
        <f t="shared" si="13"/>
        <v>44.75</v>
      </c>
      <c r="AS26" s="35">
        <f t="shared" si="30"/>
        <v>312.75000000000006</v>
      </c>
      <c r="AU26" s="47">
        <v>164757</v>
      </c>
      <c r="AV26" s="37">
        <f t="shared" si="31"/>
        <v>2519</v>
      </c>
      <c r="AW26" s="35">
        <f t="shared" si="14"/>
        <v>5.0380000000000003</v>
      </c>
    </row>
    <row r="27" spans="1:49" x14ac:dyDescent="0.25">
      <c r="A27" s="23">
        <v>44429</v>
      </c>
      <c r="B27" s="40">
        <v>70</v>
      </c>
      <c r="C27" s="24">
        <v>6738440</v>
      </c>
      <c r="D27" s="24">
        <v>16643830</v>
      </c>
      <c r="E27" s="24">
        <v>3004250</v>
      </c>
      <c r="F27" s="24">
        <v>3608340</v>
      </c>
      <c r="G27" s="24">
        <v>10697810</v>
      </c>
      <c r="H27" s="24">
        <v>5764070</v>
      </c>
      <c r="I27" s="24">
        <v>5253090</v>
      </c>
      <c r="J27" s="24">
        <v>6202990</v>
      </c>
      <c r="K27" s="24">
        <v>9557370</v>
      </c>
      <c r="L27" s="24">
        <v>4019460</v>
      </c>
      <c r="M27" s="24">
        <v>8125530</v>
      </c>
      <c r="N27" s="24">
        <v>12552920</v>
      </c>
      <c r="O27" s="24">
        <v>17310930</v>
      </c>
      <c r="Q27" s="37">
        <f t="shared" si="33"/>
        <v>1020</v>
      </c>
      <c r="R27" s="37">
        <f t="shared" si="33"/>
        <v>16350</v>
      </c>
      <c r="S27" s="37">
        <f t="shared" si="33"/>
        <v>4670</v>
      </c>
      <c r="T27" s="37">
        <f t="shared" si="33"/>
        <v>1710</v>
      </c>
      <c r="U27" s="37">
        <f t="shared" si="33"/>
        <v>3990</v>
      </c>
      <c r="V27" s="37">
        <f t="shared" si="33"/>
        <v>3550</v>
      </c>
      <c r="W27" s="37">
        <f t="shared" si="33"/>
        <v>2380</v>
      </c>
      <c r="X27" s="37">
        <f t="shared" si="33"/>
        <v>4740</v>
      </c>
      <c r="Y27" s="37">
        <f t="shared" si="33"/>
        <v>6090</v>
      </c>
      <c r="Z27" s="37">
        <f t="shared" si="33"/>
        <v>2700</v>
      </c>
      <c r="AA27" s="37">
        <f t="shared" si="33"/>
        <v>2940</v>
      </c>
      <c r="AB27" s="37">
        <f t="shared" si="33"/>
        <v>7550</v>
      </c>
      <c r="AC27" s="37">
        <f t="shared" si="33"/>
        <v>9030</v>
      </c>
      <c r="AD27" s="35">
        <f t="shared" si="29"/>
        <v>66720</v>
      </c>
      <c r="AF27" s="20">
        <f t="shared" si="1"/>
        <v>5.1000000000000005</v>
      </c>
      <c r="AG27" s="20">
        <f t="shared" si="2"/>
        <v>81.75</v>
      </c>
      <c r="AH27" s="20">
        <f t="shared" si="3"/>
        <v>23.35</v>
      </c>
      <c r="AI27" s="20">
        <f t="shared" si="4"/>
        <v>8.5500000000000007</v>
      </c>
      <c r="AJ27" s="20">
        <f t="shared" si="5"/>
        <v>19.95</v>
      </c>
      <c r="AK27" s="20">
        <f t="shared" si="6"/>
        <v>17.75</v>
      </c>
      <c r="AL27" s="20">
        <f t="shared" si="7"/>
        <v>11.9</v>
      </c>
      <c r="AM27" s="20">
        <f t="shared" si="8"/>
        <v>23.7</v>
      </c>
      <c r="AN27" s="20">
        <f t="shared" si="9"/>
        <v>30.45</v>
      </c>
      <c r="AO27" s="20">
        <f t="shared" si="10"/>
        <v>13.5</v>
      </c>
      <c r="AP27" s="20">
        <f t="shared" si="11"/>
        <v>14.700000000000001</v>
      </c>
      <c r="AQ27" s="20">
        <f t="shared" si="12"/>
        <v>37.75</v>
      </c>
      <c r="AR27" s="20">
        <f t="shared" si="13"/>
        <v>45.15</v>
      </c>
      <c r="AS27" s="35">
        <f t="shared" si="30"/>
        <v>333.59999999999991</v>
      </c>
      <c r="AU27" s="47">
        <v>167308</v>
      </c>
      <c r="AV27" s="37">
        <f>IF((AU27-AU26&lt;0),"0",AU27-AU26)</f>
        <v>2551</v>
      </c>
      <c r="AW27" s="35">
        <f t="shared" si="14"/>
        <v>5.1020000000000003</v>
      </c>
    </row>
    <row r="28" spans="1:49" x14ac:dyDescent="0.25">
      <c r="A28" s="23">
        <v>44430</v>
      </c>
      <c r="B28" s="40">
        <v>81</v>
      </c>
      <c r="C28" s="24">
        <v>6739440</v>
      </c>
      <c r="D28" s="24">
        <v>16659010</v>
      </c>
      <c r="E28" s="24">
        <v>3008530</v>
      </c>
      <c r="F28" s="24">
        <v>3610020</v>
      </c>
      <c r="G28" s="24">
        <v>10701680</v>
      </c>
      <c r="H28" s="24">
        <v>5767500</v>
      </c>
      <c r="I28" s="24">
        <v>5255460</v>
      </c>
      <c r="J28" s="24">
        <v>6207420</v>
      </c>
      <c r="K28" s="24">
        <v>9563330</v>
      </c>
      <c r="L28" s="24">
        <v>4022080</v>
      </c>
      <c r="M28" s="24">
        <v>8128390</v>
      </c>
      <c r="N28" s="24">
        <v>12560410</v>
      </c>
      <c r="O28" s="24">
        <v>17319670</v>
      </c>
      <c r="Q28" s="37">
        <f t="shared" si="17"/>
        <v>1000</v>
      </c>
      <c r="R28" s="37">
        <f t="shared" si="18"/>
        <v>15180</v>
      </c>
      <c r="S28" s="37">
        <f t="shared" si="16"/>
        <v>4280</v>
      </c>
      <c r="T28" s="37">
        <f t="shared" si="19"/>
        <v>1680</v>
      </c>
      <c r="U28" s="37">
        <f t="shared" si="20"/>
        <v>3870</v>
      </c>
      <c r="V28" s="37">
        <f t="shared" si="21"/>
        <v>3430</v>
      </c>
      <c r="W28" s="37">
        <f t="shared" si="22"/>
        <v>2370</v>
      </c>
      <c r="X28" s="37">
        <f t="shared" si="23"/>
        <v>4430</v>
      </c>
      <c r="Y28" s="37">
        <f t="shared" si="24"/>
        <v>5960</v>
      </c>
      <c r="Z28" s="37">
        <f t="shared" si="25"/>
        <v>2620</v>
      </c>
      <c r="AA28" s="37">
        <f t="shared" si="26"/>
        <v>2860</v>
      </c>
      <c r="AB28" s="37">
        <f t="shared" si="27"/>
        <v>7490</v>
      </c>
      <c r="AC28" s="37">
        <f t="shared" si="28"/>
        <v>8740</v>
      </c>
      <c r="AD28" s="35">
        <f t="shared" si="29"/>
        <v>63910</v>
      </c>
      <c r="AF28" s="20">
        <f t="shared" si="1"/>
        <v>5</v>
      </c>
      <c r="AG28" s="20">
        <f t="shared" si="2"/>
        <v>75.900000000000006</v>
      </c>
      <c r="AH28" s="20">
        <f t="shared" si="3"/>
        <v>21.400000000000002</v>
      </c>
      <c r="AI28" s="20">
        <f t="shared" si="4"/>
        <v>8.4</v>
      </c>
      <c r="AJ28" s="20">
        <f t="shared" si="5"/>
        <v>19.350000000000001</v>
      </c>
      <c r="AK28" s="20">
        <f t="shared" si="6"/>
        <v>17.150000000000002</v>
      </c>
      <c r="AL28" s="20">
        <f t="shared" si="7"/>
        <v>11.85</v>
      </c>
      <c r="AM28" s="20">
        <f t="shared" si="8"/>
        <v>22.150000000000002</v>
      </c>
      <c r="AN28" s="20">
        <f t="shared" si="9"/>
        <v>29.8</v>
      </c>
      <c r="AO28" s="20">
        <f t="shared" si="10"/>
        <v>13.1</v>
      </c>
      <c r="AP28" s="20">
        <f t="shared" si="11"/>
        <v>14.3</v>
      </c>
      <c r="AQ28" s="20">
        <f t="shared" si="12"/>
        <v>37.450000000000003</v>
      </c>
      <c r="AR28" s="20">
        <f t="shared" si="13"/>
        <v>43.7</v>
      </c>
      <c r="AS28" s="35">
        <f t="shared" si="30"/>
        <v>319.55</v>
      </c>
      <c r="AU28" s="47">
        <v>169825</v>
      </c>
      <c r="AV28" s="37">
        <f>IF((AU28-AU27&lt;0),"0",AU28-AU27)</f>
        <v>2517</v>
      </c>
      <c r="AW28" s="35">
        <f t="shared" si="14"/>
        <v>5.0339999999999998</v>
      </c>
    </row>
    <row r="29" spans="1:49" x14ac:dyDescent="0.25">
      <c r="A29" s="23">
        <v>44431</v>
      </c>
      <c r="B29" s="40">
        <v>99</v>
      </c>
      <c r="C29" s="24">
        <v>6742280</v>
      </c>
      <c r="D29" s="24">
        <v>16673860</v>
      </c>
      <c r="E29" s="24">
        <v>3012570</v>
      </c>
      <c r="F29" s="24">
        <v>3611720</v>
      </c>
      <c r="G29" s="24">
        <v>10705690</v>
      </c>
      <c r="H29" s="24">
        <v>5771000</v>
      </c>
      <c r="I29" s="24">
        <v>5257820</v>
      </c>
      <c r="J29" s="24">
        <v>6211540</v>
      </c>
      <c r="K29" s="24">
        <v>9569390</v>
      </c>
      <c r="L29" s="24">
        <v>4024750</v>
      </c>
      <c r="M29" s="24">
        <v>8131340</v>
      </c>
      <c r="N29" s="24">
        <v>12567720</v>
      </c>
      <c r="O29" s="24">
        <v>17328460</v>
      </c>
      <c r="Q29" s="37">
        <f t="shared" si="17"/>
        <v>2840</v>
      </c>
      <c r="R29" s="37">
        <f t="shared" si="18"/>
        <v>14850</v>
      </c>
      <c r="S29" s="37">
        <f t="shared" si="16"/>
        <v>4040</v>
      </c>
      <c r="T29" s="37">
        <f t="shared" si="19"/>
        <v>1700</v>
      </c>
      <c r="U29" s="37">
        <f t="shared" si="20"/>
        <v>4010</v>
      </c>
      <c r="V29" s="37">
        <f t="shared" si="21"/>
        <v>3500</v>
      </c>
      <c r="W29" s="37">
        <f t="shared" si="22"/>
        <v>2360</v>
      </c>
      <c r="X29" s="37">
        <f t="shared" si="23"/>
        <v>4120</v>
      </c>
      <c r="Y29" s="37">
        <f t="shared" si="24"/>
        <v>6060</v>
      </c>
      <c r="Z29" s="37">
        <f t="shared" si="25"/>
        <v>2670</v>
      </c>
      <c r="AA29" s="37">
        <f t="shared" si="26"/>
        <v>2950</v>
      </c>
      <c r="AB29" s="37">
        <f t="shared" si="27"/>
        <v>7310</v>
      </c>
      <c r="AC29" s="37">
        <f t="shared" si="28"/>
        <v>8790</v>
      </c>
      <c r="AD29" s="35">
        <f t="shared" si="29"/>
        <v>65200</v>
      </c>
      <c r="AF29" s="20">
        <f t="shared" si="1"/>
        <v>14.200000000000001</v>
      </c>
      <c r="AG29" s="20">
        <f t="shared" si="2"/>
        <v>74.25</v>
      </c>
      <c r="AH29" s="20">
        <f t="shared" si="3"/>
        <v>20.2</v>
      </c>
      <c r="AI29" s="20">
        <f t="shared" si="4"/>
        <v>8.5</v>
      </c>
      <c r="AJ29" s="20">
        <f t="shared" si="5"/>
        <v>20.05</v>
      </c>
      <c r="AK29" s="20">
        <f t="shared" si="6"/>
        <v>17.5</v>
      </c>
      <c r="AL29" s="20">
        <f t="shared" si="7"/>
        <v>11.8</v>
      </c>
      <c r="AM29" s="20">
        <f t="shared" si="8"/>
        <v>20.6</v>
      </c>
      <c r="AN29" s="20">
        <f t="shared" si="9"/>
        <v>30.3</v>
      </c>
      <c r="AO29" s="20">
        <f t="shared" si="10"/>
        <v>13.35</v>
      </c>
      <c r="AP29" s="20">
        <f t="shared" si="11"/>
        <v>14.75</v>
      </c>
      <c r="AQ29" s="20">
        <f t="shared" si="12"/>
        <v>36.550000000000004</v>
      </c>
      <c r="AR29" s="20">
        <f t="shared" si="13"/>
        <v>43.95</v>
      </c>
      <c r="AS29" s="35">
        <f t="shared" si="30"/>
        <v>326</v>
      </c>
      <c r="AU29" s="47">
        <v>172577</v>
      </c>
      <c r="AV29" s="37">
        <f t="shared" ref="AV29:AV35" si="34">IF((AU29-AU28&lt;0),"0",AU29-AU28)</f>
        <v>2752</v>
      </c>
      <c r="AW29" s="35">
        <f t="shared" si="14"/>
        <v>5.5040000000000004</v>
      </c>
    </row>
    <row r="30" spans="1:49" x14ac:dyDescent="0.25">
      <c r="A30" s="23">
        <v>44432</v>
      </c>
      <c r="B30" s="40">
        <v>103</v>
      </c>
      <c r="C30" s="24">
        <v>6744620</v>
      </c>
      <c r="D30" s="24">
        <v>16689000</v>
      </c>
      <c r="E30" s="24">
        <v>3016490</v>
      </c>
      <c r="F30" s="24">
        <v>3613460</v>
      </c>
      <c r="G30" s="24">
        <v>10709560</v>
      </c>
      <c r="H30" s="24">
        <v>5774500</v>
      </c>
      <c r="I30" s="24">
        <v>5260130</v>
      </c>
      <c r="J30" s="24">
        <v>6216160</v>
      </c>
      <c r="K30" s="24">
        <v>9575340</v>
      </c>
      <c r="L30" s="24">
        <v>4027430</v>
      </c>
      <c r="M30" s="24">
        <v>8134220</v>
      </c>
      <c r="N30" s="24">
        <v>12574900</v>
      </c>
      <c r="O30" s="24">
        <v>17336150</v>
      </c>
      <c r="Q30" s="37">
        <f t="shared" si="17"/>
        <v>2340</v>
      </c>
      <c r="R30" s="37">
        <f t="shared" si="18"/>
        <v>15140</v>
      </c>
      <c r="S30" s="37">
        <f t="shared" si="16"/>
        <v>3920</v>
      </c>
      <c r="T30" s="37">
        <f t="shared" si="19"/>
        <v>1740</v>
      </c>
      <c r="U30" s="37">
        <f t="shared" si="20"/>
        <v>3870</v>
      </c>
      <c r="V30" s="37">
        <f t="shared" si="21"/>
        <v>3500</v>
      </c>
      <c r="W30" s="37">
        <f t="shared" si="22"/>
        <v>2310</v>
      </c>
      <c r="X30" s="37">
        <f t="shared" si="23"/>
        <v>4620</v>
      </c>
      <c r="Y30" s="37">
        <f t="shared" si="24"/>
        <v>5950</v>
      </c>
      <c r="Z30" s="37">
        <f t="shared" si="25"/>
        <v>2680</v>
      </c>
      <c r="AA30" s="37">
        <f t="shared" si="26"/>
        <v>2880</v>
      </c>
      <c r="AB30" s="37">
        <f t="shared" si="27"/>
        <v>7180</v>
      </c>
      <c r="AC30" s="37">
        <f t="shared" si="28"/>
        <v>7690</v>
      </c>
      <c r="AD30" s="35">
        <f t="shared" si="29"/>
        <v>63820</v>
      </c>
      <c r="AF30" s="20">
        <f t="shared" si="1"/>
        <v>11.700000000000001</v>
      </c>
      <c r="AG30" s="20">
        <f t="shared" si="2"/>
        <v>75.7</v>
      </c>
      <c r="AH30" s="20">
        <f t="shared" si="3"/>
        <v>19.600000000000001</v>
      </c>
      <c r="AI30" s="20">
        <f t="shared" si="4"/>
        <v>8.7000000000000011</v>
      </c>
      <c r="AJ30" s="20">
        <f t="shared" si="5"/>
        <v>19.350000000000001</v>
      </c>
      <c r="AK30" s="20">
        <f t="shared" si="6"/>
        <v>17.5</v>
      </c>
      <c r="AL30" s="20">
        <f t="shared" si="7"/>
        <v>11.55</v>
      </c>
      <c r="AM30" s="20">
        <f t="shared" si="8"/>
        <v>23.1</v>
      </c>
      <c r="AN30" s="20">
        <f t="shared" si="9"/>
        <v>29.75</v>
      </c>
      <c r="AO30" s="20">
        <f t="shared" si="10"/>
        <v>13.4</v>
      </c>
      <c r="AP30" s="20">
        <f t="shared" si="11"/>
        <v>14.4</v>
      </c>
      <c r="AQ30" s="20">
        <f t="shared" si="12"/>
        <v>35.9</v>
      </c>
      <c r="AR30" s="20">
        <f t="shared" si="13"/>
        <v>38.450000000000003</v>
      </c>
      <c r="AS30" s="35">
        <f t="shared" si="30"/>
        <v>319.10000000000002</v>
      </c>
      <c r="AU30" s="47">
        <v>174889</v>
      </c>
      <c r="AV30" s="37">
        <f t="shared" si="34"/>
        <v>2312</v>
      </c>
      <c r="AW30" s="35">
        <f t="shared" si="14"/>
        <v>4.6239999999999997</v>
      </c>
    </row>
    <row r="31" spans="1:49" x14ac:dyDescent="0.25">
      <c r="A31" s="23">
        <v>44433</v>
      </c>
      <c r="B31" s="40">
        <v>105</v>
      </c>
      <c r="C31" s="24">
        <v>6746130</v>
      </c>
      <c r="D31" s="24">
        <v>16702570</v>
      </c>
      <c r="E31" s="24">
        <v>3020120</v>
      </c>
      <c r="F31" s="24">
        <v>3615230</v>
      </c>
      <c r="G31" s="24">
        <v>10713430</v>
      </c>
      <c r="H31" s="24">
        <v>5777970</v>
      </c>
      <c r="I31" s="24">
        <v>5262430</v>
      </c>
      <c r="J31" s="24">
        <v>6220980</v>
      </c>
      <c r="K31" s="24">
        <v>9581330</v>
      </c>
      <c r="L31" s="24">
        <v>4030120</v>
      </c>
      <c r="M31" s="24">
        <v>8137210</v>
      </c>
      <c r="N31" s="24">
        <v>12582340</v>
      </c>
      <c r="O31" s="24">
        <v>17344430</v>
      </c>
      <c r="Q31" s="37">
        <f>IF((C31-C30&lt;0), "0",C31-C30)</f>
        <v>1510</v>
      </c>
      <c r="R31" s="37">
        <f t="shared" si="18"/>
        <v>13570</v>
      </c>
      <c r="S31" s="37">
        <f t="shared" si="16"/>
        <v>3630</v>
      </c>
      <c r="T31" s="37">
        <f t="shared" si="19"/>
        <v>1770</v>
      </c>
      <c r="U31" s="37">
        <f t="shared" si="20"/>
        <v>3870</v>
      </c>
      <c r="V31" s="37">
        <f t="shared" si="21"/>
        <v>3470</v>
      </c>
      <c r="W31" s="37">
        <f t="shared" si="22"/>
        <v>2300</v>
      </c>
      <c r="X31" s="37">
        <f t="shared" si="23"/>
        <v>4820</v>
      </c>
      <c r="Y31" s="37">
        <f t="shared" si="24"/>
        <v>5990</v>
      </c>
      <c r="Z31" s="37">
        <f t="shared" si="25"/>
        <v>2690</v>
      </c>
      <c r="AA31" s="37">
        <f t="shared" si="26"/>
        <v>2990</v>
      </c>
      <c r="AB31" s="37">
        <f t="shared" si="27"/>
        <v>7440</v>
      </c>
      <c r="AC31" s="37">
        <f t="shared" si="28"/>
        <v>8280</v>
      </c>
      <c r="AD31" s="35">
        <f t="shared" si="29"/>
        <v>62330</v>
      </c>
      <c r="AF31" s="20">
        <f t="shared" si="1"/>
        <v>7.55</v>
      </c>
      <c r="AG31" s="20">
        <f t="shared" si="2"/>
        <v>67.849999999999994</v>
      </c>
      <c r="AH31" s="20">
        <f t="shared" si="3"/>
        <v>18.150000000000002</v>
      </c>
      <c r="AI31" s="20">
        <f t="shared" si="4"/>
        <v>8.85</v>
      </c>
      <c r="AJ31" s="20">
        <f t="shared" si="5"/>
        <v>19.350000000000001</v>
      </c>
      <c r="AK31" s="20">
        <f t="shared" si="6"/>
        <v>17.350000000000001</v>
      </c>
      <c r="AL31" s="20">
        <f t="shared" si="7"/>
        <v>11.5</v>
      </c>
      <c r="AM31" s="20">
        <f t="shared" si="8"/>
        <v>24.1</v>
      </c>
      <c r="AN31" s="20">
        <f t="shared" si="9"/>
        <v>29.95</v>
      </c>
      <c r="AO31" s="20">
        <f t="shared" si="10"/>
        <v>13.450000000000001</v>
      </c>
      <c r="AP31" s="20">
        <f t="shared" si="11"/>
        <v>14.950000000000001</v>
      </c>
      <c r="AQ31" s="20">
        <f t="shared" si="12"/>
        <v>37.200000000000003</v>
      </c>
      <c r="AR31" s="20">
        <f t="shared" si="13"/>
        <v>41.4</v>
      </c>
      <c r="AS31" s="35">
        <f t="shared" si="30"/>
        <v>311.64999999999992</v>
      </c>
      <c r="AU31" s="47">
        <v>177858</v>
      </c>
      <c r="AV31" s="37">
        <f t="shared" si="34"/>
        <v>2969</v>
      </c>
      <c r="AW31" s="35">
        <f t="shared" si="14"/>
        <v>5.9379999999999997</v>
      </c>
    </row>
    <row r="32" spans="1:49" x14ac:dyDescent="0.25">
      <c r="A32" s="23">
        <v>44434</v>
      </c>
      <c r="B32" s="40">
        <v>143</v>
      </c>
      <c r="C32" s="24">
        <v>6747180</v>
      </c>
      <c r="D32" s="24">
        <v>16716500</v>
      </c>
      <c r="E32" s="24">
        <v>3023860</v>
      </c>
      <c r="F32" s="24">
        <v>3616920</v>
      </c>
      <c r="G32" s="24">
        <v>10717510</v>
      </c>
      <c r="H32" s="24">
        <v>5781510</v>
      </c>
      <c r="I32" s="24">
        <v>5264800</v>
      </c>
      <c r="J32" s="24">
        <v>6226030</v>
      </c>
      <c r="K32" s="24">
        <v>9587430</v>
      </c>
      <c r="L32" s="24">
        <v>4033020</v>
      </c>
      <c r="M32" s="24">
        <v>8140530</v>
      </c>
      <c r="N32" s="24">
        <v>12590010</v>
      </c>
      <c r="O32" s="24">
        <v>17354030</v>
      </c>
      <c r="Q32" s="37">
        <f>IF((C32-C31&lt;0), "0",C32-C31)</f>
        <v>1050</v>
      </c>
      <c r="R32" s="37">
        <f t="shared" si="18"/>
        <v>13930</v>
      </c>
      <c r="S32" s="37">
        <f t="shared" si="16"/>
        <v>3740</v>
      </c>
      <c r="T32" s="37">
        <f t="shared" si="19"/>
        <v>1690</v>
      </c>
      <c r="U32" s="37">
        <f t="shared" si="20"/>
        <v>4080</v>
      </c>
      <c r="V32" s="37">
        <f t="shared" si="21"/>
        <v>3540</v>
      </c>
      <c r="W32" s="37">
        <f t="shared" si="22"/>
        <v>2370</v>
      </c>
      <c r="X32" s="37">
        <f t="shared" si="23"/>
        <v>5050</v>
      </c>
      <c r="Y32" s="37">
        <f t="shared" si="24"/>
        <v>6100</v>
      </c>
      <c r="Z32" s="37">
        <f t="shared" si="25"/>
        <v>2900</v>
      </c>
      <c r="AA32" s="37">
        <f t="shared" si="26"/>
        <v>3320</v>
      </c>
      <c r="AB32" s="37">
        <f t="shared" si="27"/>
        <v>7670</v>
      </c>
      <c r="AC32" s="37">
        <f t="shared" si="28"/>
        <v>9600</v>
      </c>
      <c r="AD32" s="35">
        <f t="shared" si="29"/>
        <v>65040</v>
      </c>
      <c r="AF32" s="20">
        <f t="shared" si="1"/>
        <v>5.25</v>
      </c>
      <c r="AG32" s="20">
        <f t="shared" si="2"/>
        <v>69.650000000000006</v>
      </c>
      <c r="AH32" s="20">
        <f t="shared" si="3"/>
        <v>18.7</v>
      </c>
      <c r="AI32" s="20">
        <f t="shared" si="4"/>
        <v>8.4499999999999993</v>
      </c>
      <c r="AJ32" s="20">
        <f t="shared" si="5"/>
        <v>20.400000000000002</v>
      </c>
      <c r="AK32" s="20">
        <f t="shared" si="6"/>
        <v>17.7</v>
      </c>
      <c r="AL32" s="20">
        <f t="shared" si="7"/>
        <v>11.85</v>
      </c>
      <c r="AM32" s="20">
        <f t="shared" si="8"/>
        <v>25.25</v>
      </c>
      <c r="AN32" s="20">
        <f t="shared" si="9"/>
        <v>30.5</v>
      </c>
      <c r="AO32" s="20">
        <f t="shared" si="10"/>
        <v>14.5</v>
      </c>
      <c r="AP32" s="20">
        <f t="shared" si="11"/>
        <v>16.600000000000001</v>
      </c>
      <c r="AQ32" s="20">
        <f t="shared" si="12"/>
        <v>38.35</v>
      </c>
      <c r="AR32" s="20">
        <f t="shared" si="13"/>
        <v>48</v>
      </c>
      <c r="AS32" s="35">
        <f t="shared" si="30"/>
        <v>325.2</v>
      </c>
      <c r="AU32" s="47">
        <v>180547</v>
      </c>
      <c r="AV32" s="37">
        <f t="shared" si="34"/>
        <v>2689</v>
      </c>
      <c r="AW32" s="35">
        <f t="shared" si="14"/>
        <v>5.3780000000000001</v>
      </c>
    </row>
    <row r="33" spans="1:49" x14ac:dyDescent="0.25">
      <c r="A33" s="23">
        <v>44435</v>
      </c>
      <c r="B33" s="40">
        <v>122</v>
      </c>
      <c r="C33" s="24">
        <v>6748160</v>
      </c>
      <c r="D33" s="24">
        <v>16730420</v>
      </c>
      <c r="E33" s="24">
        <v>3027670</v>
      </c>
      <c r="F33" s="24">
        <v>3618560</v>
      </c>
      <c r="G33" s="24">
        <v>10721580</v>
      </c>
      <c r="H33" s="24">
        <v>5785080</v>
      </c>
      <c r="I33" s="24">
        <v>5267140</v>
      </c>
      <c r="J33" s="24">
        <v>6231140</v>
      </c>
      <c r="K33" s="24">
        <v>9593430</v>
      </c>
      <c r="L33" s="24">
        <v>4035840</v>
      </c>
      <c r="M33" s="24">
        <v>8143900</v>
      </c>
      <c r="N33" s="24">
        <v>12597480</v>
      </c>
      <c r="O33" s="24">
        <v>17364420</v>
      </c>
      <c r="Q33" s="37">
        <f>IF((C33-C32&lt;0), "0",C33-C32)</f>
        <v>980</v>
      </c>
      <c r="R33" s="37">
        <f t="shared" si="18"/>
        <v>13920</v>
      </c>
      <c r="S33" s="37">
        <f t="shared" si="16"/>
        <v>3810</v>
      </c>
      <c r="T33" s="37">
        <f t="shared" si="19"/>
        <v>1640</v>
      </c>
      <c r="U33" s="37">
        <f t="shared" si="20"/>
        <v>4070</v>
      </c>
      <c r="V33" s="37">
        <f t="shared" si="21"/>
        <v>3570</v>
      </c>
      <c r="W33" s="37">
        <f t="shared" si="22"/>
        <v>2340</v>
      </c>
      <c r="X33" s="37">
        <f t="shared" si="23"/>
        <v>5110</v>
      </c>
      <c r="Y33" s="37">
        <f t="shared" si="24"/>
        <v>6000</v>
      </c>
      <c r="Z33" s="37">
        <f t="shared" si="25"/>
        <v>2820</v>
      </c>
      <c r="AA33" s="37">
        <f t="shared" si="26"/>
        <v>3370</v>
      </c>
      <c r="AB33" s="37">
        <f t="shared" si="27"/>
        <v>7470</v>
      </c>
      <c r="AC33" s="37">
        <f t="shared" si="28"/>
        <v>10390</v>
      </c>
      <c r="AD33" s="35">
        <f t="shared" si="29"/>
        <v>65490</v>
      </c>
      <c r="AF33" s="20">
        <f t="shared" si="1"/>
        <v>4.9000000000000004</v>
      </c>
      <c r="AG33" s="20">
        <f t="shared" si="2"/>
        <v>69.600000000000009</v>
      </c>
      <c r="AH33" s="20">
        <f t="shared" si="3"/>
        <v>19.05</v>
      </c>
      <c r="AI33" s="20">
        <f t="shared" si="4"/>
        <v>8.1999999999999993</v>
      </c>
      <c r="AJ33" s="20">
        <f t="shared" si="5"/>
        <v>20.350000000000001</v>
      </c>
      <c r="AK33" s="20">
        <f t="shared" si="6"/>
        <v>17.850000000000001</v>
      </c>
      <c r="AL33" s="20">
        <f t="shared" si="7"/>
        <v>11.700000000000001</v>
      </c>
      <c r="AM33" s="20">
        <f t="shared" si="8"/>
        <v>25.55</v>
      </c>
      <c r="AN33" s="20">
        <f t="shared" si="9"/>
        <v>30</v>
      </c>
      <c r="AO33" s="20">
        <f t="shared" si="10"/>
        <v>14.1</v>
      </c>
      <c r="AP33" s="20">
        <f t="shared" si="11"/>
        <v>16.850000000000001</v>
      </c>
      <c r="AQ33" s="20">
        <f t="shared" si="12"/>
        <v>37.35</v>
      </c>
      <c r="AR33" s="20">
        <f t="shared" si="13"/>
        <v>51.95</v>
      </c>
      <c r="AS33" s="35">
        <f t="shared" si="30"/>
        <v>327.45</v>
      </c>
      <c r="AU33" s="47">
        <v>183166</v>
      </c>
      <c r="AV33" s="37">
        <f t="shared" si="34"/>
        <v>2619</v>
      </c>
      <c r="AW33" s="35">
        <f t="shared" si="14"/>
        <v>5.2380000000000004</v>
      </c>
    </row>
    <row r="34" spans="1:49" x14ac:dyDescent="0.25">
      <c r="A34" s="23">
        <v>44436</v>
      </c>
      <c r="B34" s="51">
        <v>96</v>
      </c>
      <c r="C34" s="50">
        <v>6749170</v>
      </c>
      <c r="D34" s="24">
        <v>16744480</v>
      </c>
      <c r="E34" s="24">
        <v>3031430</v>
      </c>
      <c r="F34" s="24">
        <v>3620250</v>
      </c>
      <c r="G34" s="24">
        <v>10725770</v>
      </c>
      <c r="H34" s="24">
        <v>5788680</v>
      </c>
      <c r="I34" s="24">
        <v>5269550</v>
      </c>
      <c r="J34" s="24">
        <v>6236130</v>
      </c>
      <c r="K34" s="24">
        <v>9599540</v>
      </c>
      <c r="L34" s="24">
        <v>4038560</v>
      </c>
      <c r="M34" s="24">
        <v>8147250</v>
      </c>
      <c r="N34" s="24">
        <v>12605040</v>
      </c>
      <c r="O34" s="24">
        <v>17374420</v>
      </c>
      <c r="Q34" s="37">
        <f>IF((C34-C33&lt;0), "0",C34-C33)</f>
        <v>1010</v>
      </c>
      <c r="R34" s="37">
        <f t="shared" si="18"/>
        <v>14060</v>
      </c>
      <c r="S34" s="37">
        <f t="shared" si="16"/>
        <v>3760</v>
      </c>
      <c r="T34" s="37">
        <f t="shared" si="19"/>
        <v>1690</v>
      </c>
      <c r="U34" s="37">
        <f t="shared" si="20"/>
        <v>4190</v>
      </c>
      <c r="V34" s="37">
        <f t="shared" si="21"/>
        <v>3600</v>
      </c>
      <c r="W34" s="37">
        <f t="shared" si="22"/>
        <v>2410</v>
      </c>
      <c r="X34" s="37">
        <f t="shared" si="23"/>
        <v>4990</v>
      </c>
      <c r="Y34" s="37">
        <f t="shared" si="24"/>
        <v>6110</v>
      </c>
      <c r="Z34" s="37">
        <f t="shared" si="25"/>
        <v>2720</v>
      </c>
      <c r="AA34" s="37">
        <f t="shared" si="26"/>
        <v>3350</v>
      </c>
      <c r="AB34" s="37">
        <f t="shared" si="27"/>
        <v>7560</v>
      </c>
      <c r="AC34" s="37">
        <f t="shared" si="28"/>
        <v>10000</v>
      </c>
      <c r="AD34" s="35">
        <f t="shared" si="29"/>
        <v>65450</v>
      </c>
      <c r="AF34" s="20">
        <f>Q34*$D$39</f>
        <v>5.05</v>
      </c>
      <c r="AG34" s="20">
        <f t="shared" si="2"/>
        <v>70.3</v>
      </c>
      <c r="AH34" s="20">
        <f t="shared" si="3"/>
        <v>18.8</v>
      </c>
      <c r="AI34" s="20">
        <f t="shared" si="4"/>
        <v>8.4499999999999993</v>
      </c>
      <c r="AJ34" s="20">
        <f t="shared" si="5"/>
        <v>20.95</v>
      </c>
      <c r="AK34" s="20">
        <f t="shared" si="6"/>
        <v>18</v>
      </c>
      <c r="AL34" s="20">
        <f t="shared" si="7"/>
        <v>12.05</v>
      </c>
      <c r="AM34" s="20">
        <f t="shared" si="8"/>
        <v>24.95</v>
      </c>
      <c r="AN34" s="20">
        <f t="shared" si="9"/>
        <v>30.55</v>
      </c>
      <c r="AO34" s="20">
        <f t="shared" si="10"/>
        <v>13.6</v>
      </c>
      <c r="AP34" s="20">
        <f t="shared" si="11"/>
        <v>16.75</v>
      </c>
      <c r="AQ34" s="20">
        <f t="shared" si="12"/>
        <v>37.800000000000004</v>
      </c>
      <c r="AR34" s="20">
        <f t="shared" si="13"/>
        <v>50</v>
      </c>
      <c r="AS34" s="35">
        <f>SUM(AF34:AR34)</f>
        <v>327.25</v>
      </c>
      <c r="AU34" s="47">
        <v>185651</v>
      </c>
      <c r="AV34" s="37">
        <f t="shared" si="34"/>
        <v>2485</v>
      </c>
      <c r="AW34" s="35">
        <f t="shared" si="14"/>
        <v>4.97</v>
      </c>
    </row>
    <row r="35" spans="1:49" x14ac:dyDescent="0.25">
      <c r="A35" s="23">
        <v>44437</v>
      </c>
      <c r="B35" s="40">
        <v>93</v>
      </c>
      <c r="C35" s="24">
        <v>6754530</v>
      </c>
      <c r="D35" s="24">
        <v>16759070</v>
      </c>
      <c r="E35" s="24">
        <v>3035250</v>
      </c>
      <c r="F35" s="24">
        <v>3621970</v>
      </c>
      <c r="G35" s="24">
        <v>10729700</v>
      </c>
      <c r="H35" s="24">
        <v>5792170</v>
      </c>
      <c r="I35" s="24">
        <v>5271910</v>
      </c>
      <c r="J35" s="24">
        <v>6240480</v>
      </c>
      <c r="K35" s="24">
        <v>9605150</v>
      </c>
      <c r="L35" s="24">
        <v>4041190</v>
      </c>
      <c r="M35" s="24">
        <v>8150400</v>
      </c>
      <c r="N35" s="24">
        <v>12612700</v>
      </c>
      <c r="O35" s="24">
        <v>17383040</v>
      </c>
      <c r="Q35" s="37">
        <f>IF((C35-C34&lt;0), "0",C35-C34)</f>
        <v>5360</v>
      </c>
      <c r="R35" s="37">
        <f t="shared" si="18"/>
        <v>14590</v>
      </c>
      <c r="S35" s="37">
        <f t="shared" si="16"/>
        <v>3820</v>
      </c>
      <c r="T35" s="37">
        <f t="shared" si="19"/>
        <v>1720</v>
      </c>
      <c r="U35" s="37">
        <f t="shared" si="20"/>
        <v>3930</v>
      </c>
      <c r="V35" s="37">
        <f t="shared" si="21"/>
        <v>3490</v>
      </c>
      <c r="W35" s="37">
        <f t="shared" si="22"/>
        <v>2360</v>
      </c>
      <c r="X35" s="37">
        <f t="shared" si="23"/>
        <v>4350</v>
      </c>
      <c r="Y35" s="37">
        <f t="shared" si="24"/>
        <v>5610</v>
      </c>
      <c r="Z35" s="37">
        <f t="shared" si="25"/>
        <v>2630</v>
      </c>
      <c r="AA35" s="37">
        <f t="shared" si="26"/>
        <v>3150</v>
      </c>
      <c r="AB35" s="37">
        <f t="shared" si="27"/>
        <v>7660</v>
      </c>
      <c r="AC35" s="37">
        <f t="shared" si="28"/>
        <v>8620</v>
      </c>
      <c r="AD35" s="35">
        <f t="shared" si="29"/>
        <v>67290</v>
      </c>
      <c r="AF35" s="20">
        <f t="shared" si="1"/>
        <v>26.8</v>
      </c>
      <c r="AG35" s="20">
        <f t="shared" si="2"/>
        <v>72.95</v>
      </c>
      <c r="AH35" s="20">
        <f t="shared" si="3"/>
        <v>19.100000000000001</v>
      </c>
      <c r="AI35" s="20">
        <f t="shared" si="4"/>
        <v>8.6</v>
      </c>
      <c r="AJ35" s="20">
        <f t="shared" si="5"/>
        <v>19.650000000000002</v>
      </c>
      <c r="AK35" s="20">
        <f t="shared" si="6"/>
        <v>17.45</v>
      </c>
      <c r="AL35" s="20">
        <f t="shared" si="7"/>
        <v>11.8</v>
      </c>
      <c r="AM35" s="20">
        <f t="shared" si="8"/>
        <v>21.75</v>
      </c>
      <c r="AN35" s="20">
        <f t="shared" si="9"/>
        <v>28.05</v>
      </c>
      <c r="AO35" s="20">
        <f t="shared" si="10"/>
        <v>13.15</v>
      </c>
      <c r="AP35" s="20">
        <f t="shared" si="11"/>
        <v>15.75</v>
      </c>
      <c r="AQ35" s="20">
        <f t="shared" si="12"/>
        <v>38.300000000000004</v>
      </c>
      <c r="AR35" s="20">
        <f t="shared" si="13"/>
        <v>43.1</v>
      </c>
      <c r="AS35" s="35">
        <f>SUM(AF35:AR35)</f>
        <v>336.45000000000005</v>
      </c>
      <c r="AU35" s="47">
        <v>188382</v>
      </c>
      <c r="AV35" s="37">
        <f t="shared" si="34"/>
        <v>2731</v>
      </c>
      <c r="AW35" s="35">
        <f t="shared" si="14"/>
        <v>5.4619999999999997</v>
      </c>
    </row>
    <row r="36" spans="1:49" x14ac:dyDescent="0.25">
      <c r="A36" s="23">
        <v>44438</v>
      </c>
      <c r="B36" s="40">
        <v>88</v>
      </c>
      <c r="C36" s="24">
        <v>6765310</v>
      </c>
      <c r="D36" s="24">
        <v>16774030</v>
      </c>
      <c r="E36" s="24">
        <v>3038960</v>
      </c>
      <c r="F36" s="24">
        <v>3623730</v>
      </c>
      <c r="G36" s="24">
        <v>10733760</v>
      </c>
      <c r="H36" s="24">
        <v>5795720</v>
      </c>
      <c r="I36" s="24">
        <v>5274260</v>
      </c>
      <c r="J36" s="52">
        <v>6244760</v>
      </c>
      <c r="K36" s="24">
        <v>9610700</v>
      </c>
      <c r="L36" s="24">
        <v>4043800</v>
      </c>
      <c r="M36" s="24">
        <v>8153370</v>
      </c>
      <c r="N36" s="24">
        <v>12620120</v>
      </c>
      <c r="O36" s="24">
        <v>17391200</v>
      </c>
      <c r="Q36" s="37">
        <f t="shared" ref="Q36:AA36" si="35">IF((C36-C35&lt;0), "0",C36-C35)</f>
        <v>10780</v>
      </c>
      <c r="R36" s="37">
        <f t="shared" si="35"/>
        <v>14960</v>
      </c>
      <c r="S36" s="37">
        <f t="shared" si="35"/>
        <v>3710</v>
      </c>
      <c r="T36" s="37">
        <f t="shared" si="35"/>
        <v>1760</v>
      </c>
      <c r="U36" s="37">
        <f t="shared" si="35"/>
        <v>4060</v>
      </c>
      <c r="V36" s="37">
        <f t="shared" si="35"/>
        <v>3550</v>
      </c>
      <c r="W36" s="37">
        <f t="shared" si="35"/>
        <v>2350</v>
      </c>
      <c r="X36" s="37">
        <f t="shared" si="35"/>
        <v>4280</v>
      </c>
      <c r="Y36" s="37">
        <f t="shared" si="35"/>
        <v>5550</v>
      </c>
      <c r="Z36" s="37">
        <f t="shared" si="35"/>
        <v>2610</v>
      </c>
      <c r="AA36" s="37">
        <f t="shared" si="35"/>
        <v>2970</v>
      </c>
      <c r="AB36" s="37">
        <f t="shared" si="27"/>
        <v>7420</v>
      </c>
      <c r="AC36" s="37">
        <f t="shared" si="28"/>
        <v>8160</v>
      </c>
      <c r="AD36" s="35">
        <f t="shared" si="29"/>
        <v>72160</v>
      </c>
      <c r="AF36" s="20">
        <f t="shared" si="1"/>
        <v>53.9</v>
      </c>
      <c r="AG36" s="20">
        <f t="shared" si="2"/>
        <v>74.8</v>
      </c>
      <c r="AH36" s="20">
        <f t="shared" si="3"/>
        <v>18.55</v>
      </c>
      <c r="AI36" s="20">
        <f t="shared" si="4"/>
        <v>8.8000000000000007</v>
      </c>
      <c r="AJ36" s="20">
        <f t="shared" si="5"/>
        <v>20.3</v>
      </c>
      <c r="AK36" s="20">
        <f t="shared" si="6"/>
        <v>17.75</v>
      </c>
      <c r="AL36" s="20">
        <f t="shared" si="7"/>
        <v>11.75</v>
      </c>
      <c r="AM36" s="20">
        <f t="shared" si="8"/>
        <v>21.400000000000002</v>
      </c>
      <c r="AN36" s="20">
        <f t="shared" si="9"/>
        <v>27.75</v>
      </c>
      <c r="AO36" s="20">
        <f t="shared" si="10"/>
        <v>13.05</v>
      </c>
      <c r="AP36" s="20">
        <f t="shared" si="11"/>
        <v>14.85</v>
      </c>
      <c r="AQ36" s="20">
        <f t="shared" si="12"/>
        <v>37.1</v>
      </c>
      <c r="AR36" s="20">
        <f t="shared" si="13"/>
        <v>40.800000000000004</v>
      </c>
      <c r="AS36" s="35">
        <f>SUM(AF36:AR36)</f>
        <v>360.80000000000007</v>
      </c>
      <c r="AU36" s="47">
        <v>191182</v>
      </c>
      <c r="AV36" s="37">
        <f t="shared" ref="AV36:AV37" si="36">IF((AU36-AU35&lt;0),"0",AU36-AU35)</f>
        <v>2800</v>
      </c>
      <c r="AW36" s="35">
        <f t="shared" ref="AW36:AW37" si="37">AV36*$D$40</f>
        <v>5.6000000000000005</v>
      </c>
    </row>
    <row r="37" spans="1:49" x14ac:dyDescent="0.25">
      <c r="A37" s="23">
        <v>44439</v>
      </c>
      <c r="B37" s="40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Q37" s="37" t="str">
        <f t="shared" ref="Q37" si="38">IF((C37-C36&lt;0), "0",C37-C36)</f>
        <v>0</v>
      </c>
      <c r="R37" s="37" t="str">
        <f t="shared" ref="R37" si="39">IF((D37-D36&lt;0), "0",D37-D36)</f>
        <v>0</v>
      </c>
      <c r="S37" s="37" t="str">
        <f t="shared" ref="S37" si="40">IF((E37-E36&lt;0), "0",E37-E36)</f>
        <v>0</v>
      </c>
      <c r="T37" s="37" t="str">
        <f t="shared" ref="T37" si="41">IF((F37-F36&lt;0), "0",F37-F36)</f>
        <v>0</v>
      </c>
      <c r="U37" s="37" t="str">
        <f t="shared" ref="U37" si="42">IF((G37-G36&lt;0), "0",G37-G36)</f>
        <v>0</v>
      </c>
      <c r="V37" s="37" t="str">
        <f t="shared" ref="V37" si="43">IF((H37-H36&lt;0), "0",H37-H36)</f>
        <v>0</v>
      </c>
      <c r="W37" s="37" t="str">
        <f t="shared" ref="W37" si="44">IF((I37-I36&lt;0), "0",I37-I36)</f>
        <v>0</v>
      </c>
      <c r="X37" s="37" t="str">
        <f t="shared" ref="X37" si="45">IF((J37-J36&lt;0), "0",J37-J36)</f>
        <v>0</v>
      </c>
      <c r="Y37" s="37" t="str">
        <f t="shared" ref="Y37" si="46">IF((K37-K36&lt;0), "0",K37-K36)</f>
        <v>0</v>
      </c>
      <c r="Z37" s="37" t="str">
        <f t="shared" ref="Z37" si="47">IF((L37-L36&lt;0), "0",L37-L36)</f>
        <v>0</v>
      </c>
      <c r="AA37" s="37" t="str">
        <f t="shared" ref="AA37" si="48">IF((M37-M36&lt;0), "0",M37-M36)</f>
        <v>0</v>
      </c>
      <c r="AB37" s="37" t="str">
        <f t="shared" si="27"/>
        <v>0</v>
      </c>
      <c r="AC37" s="37" t="str">
        <f t="shared" si="28"/>
        <v>0</v>
      </c>
      <c r="AD37" s="35">
        <f t="shared" si="29"/>
        <v>0</v>
      </c>
      <c r="AF37" s="20">
        <f t="shared" ref="AF37" si="49">Q37*$D$39</f>
        <v>0</v>
      </c>
      <c r="AG37" s="20">
        <f t="shared" ref="AG37" si="50">R37*$D$39</f>
        <v>0</v>
      </c>
      <c r="AH37" s="20">
        <f t="shared" ref="AH37" si="51">S37*$D$39</f>
        <v>0</v>
      </c>
      <c r="AI37" s="20">
        <f t="shared" ref="AI37" si="52">T37*$D$39</f>
        <v>0</v>
      </c>
      <c r="AJ37" s="20">
        <f t="shared" ref="AJ37" si="53">U37*$D$39</f>
        <v>0</v>
      </c>
      <c r="AK37" s="20">
        <f t="shared" ref="AK37" si="54">V37*$D$39</f>
        <v>0</v>
      </c>
      <c r="AL37" s="20">
        <f t="shared" ref="AL37" si="55">W37*$D$39</f>
        <v>0</v>
      </c>
      <c r="AM37" s="20">
        <f t="shared" ref="AM37" si="56">X37*$D$39</f>
        <v>0</v>
      </c>
      <c r="AN37" s="20">
        <f t="shared" ref="AN37" si="57">Y37*$D$39</f>
        <v>0</v>
      </c>
      <c r="AO37" s="20">
        <f t="shared" ref="AO37" si="58">Z37*$D$39</f>
        <v>0</v>
      </c>
      <c r="AP37" s="20">
        <f t="shared" ref="AP37" si="59">AA37*$D$39</f>
        <v>0</v>
      </c>
      <c r="AQ37" s="20">
        <f t="shared" ref="AQ37" si="60">AB37*$D$39</f>
        <v>0</v>
      </c>
      <c r="AR37" s="20">
        <f t="shared" ref="AR37" si="61">AC37*$D$39</f>
        <v>0</v>
      </c>
      <c r="AS37" s="35">
        <f>SUM(AF37:AR37)</f>
        <v>0</v>
      </c>
      <c r="AU37" s="47"/>
      <c r="AV37" s="37" t="str">
        <f t="shared" si="36"/>
        <v>0</v>
      </c>
      <c r="AW37" s="35">
        <f t="shared" si="37"/>
        <v>0</v>
      </c>
    </row>
    <row r="38" spans="1:49" ht="15.75" customHeight="1" x14ac:dyDescent="0.25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>SUM(Q7:Q37)</f>
        <v>47630</v>
      </c>
      <c r="R38" s="38">
        <f t="shared" ref="R38:AD38" si="62">SUM(R7:R37)</f>
        <v>424380</v>
      </c>
      <c r="S38" s="38">
        <f t="shared" si="62"/>
        <v>115080</v>
      </c>
      <c r="T38" s="38">
        <f t="shared" si="62"/>
        <v>50170</v>
      </c>
      <c r="U38" s="38">
        <f t="shared" si="62"/>
        <v>120850</v>
      </c>
      <c r="V38" s="38">
        <f t="shared" si="62"/>
        <v>103250</v>
      </c>
      <c r="W38" s="38">
        <f t="shared" si="62"/>
        <v>69800</v>
      </c>
      <c r="X38" s="38">
        <f t="shared" si="62"/>
        <v>130880</v>
      </c>
      <c r="Y38" s="38">
        <f t="shared" si="62"/>
        <v>169320</v>
      </c>
      <c r="Z38" s="38">
        <f t="shared" si="62"/>
        <v>78030</v>
      </c>
      <c r="AA38" s="38">
        <f t="shared" si="62"/>
        <v>90520</v>
      </c>
      <c r="AB38" s="38">
        <f t="shared" si="62"/>
        <v>226450</v>
      </c>
      <c r="AC38" s="38">
        <f t="shared" si="62"/>
        <v>270660</v>
      </c>
      <c r="AD38" s="38">
        <f t="shared" si="62"/>
        <v>1897020</v>
      </c>
      <c r="AF38" s="35">
        <f>SUM(AF7:AF37)</f>
        <v>238.15000000000003</v>
      </c>
      <c r="AG38" s="35">
        <f t="shared" ref="AG38:AS38" si="63">SUM(AG7:AG37)</f>
        <v>2121.9000000000005</v>
      </c>
      <c r="AH38" s="35">
        <f t="shared" si="63"/>
        <v>575.39999999999986</v>
      </c>
      <c r="AI38" s="35">
        <f t="shared" si="63"/>
        <v>250.84999999999997</v>
      </c>
      <c r="AJ38" s="35">
        <f t="shared" si="63"/>
        <v>604.25</v>
      </c>
      <c r="AK38" s="35">
        <f t="shared" si="63"/>
        <v>516.25</v>
      </c>
      <c r="AL38" s="35">
        <f t="shared" si="63"/>
        <v>349</v>
      </c>
      <c r="AM38" s="35">
        <f t="shared" si="63"/>
        <v>654.4</v>
      </c>
      <c r="AN38" s="35">
        <f t="shared" si="63"/>
        <v>846.59999999999991</v>
      </c>
      <c r="AO38" s="35">
        <f t="shared" si="63"/>
        <v>390.15</v>
      </c>
      <c r="AP38" s="35">
        <f t="shared" si="63"/>
        <v>452.6</v>
      </c>
      <c r="AQ38" s="35">
        <f t="shared" si="63"/>
        <v>1132.2499999999998</v>
      </c>
      <c r="AR38" s="35">
        <f t="shared" si="63"/>
        <v>1353.3</v>
      </c>
      <c r="AS38" s="35">
        <f t="shared" si="63"/>
        <v>9485.1</v>
      </c>
      <c r="AU38" s="48"/>
      <c r="AV38" s="34">
        <f>SUM(AV7:AV37)</f>
        <v>79065</v>
      </c>
      <c r="AW38" s="35">
        <f>SUM(AW7:AW37)</f>
        <v>158.13</v>
      </c>
    </row>
    <row r="39" spans="1:49" x14ac:dyDescent="0.25">
      <c r="D39">
        <v>5.0000000000000001E-3</v>
      </c>
      <c r="AV39" s="36">
        <f>AV38*0.00378541*1000</f>
        <v>299293.44164999999</v>
      </c>
    </row>
    <row r="40" spans="1:49" x14ac:dyDescent="0.25">
      <c r="D40">
        <v>2E-3</v>
      </c>
      <c r="AV40">
        <f>AV39/31</f>
        <v>9654.6271500000003</v>
      </c>
    </row>
    <row r="41" spans="1:49" x14ac:dyDescent="0.25">
      <c r="AV41">
        <f>AV38*0.00378541</f>
        <v>299.29344164999998</v>
      </c>
    </row>
    <row r="44" spans="1:49" x14ac:dyDescent="0.25">
      <c r="AU44" s="46">
        <f>0.002</f>
        <v>2E-3</v>
      </c>
      <c r="AV44">
        <v>3.7854099999999999E-3</v>
      </c>
    </row>
    <row r="45" spans="1:49" x14ac:dyDescent="0.25">
      <c r="AV45">
        <f>AU44/AV44</f>
        <v>0.52834435371597799</v>
      </c>
    </row>
  </sheetData>
  <mergeCells count="6">
    <mergeCell ref="AU4:AU5"/>
    <mergeCell ref="AV4:AV5"/>
    <mergeCell ref="AW4:AW5"/>
    <mergeCell ref="D4:O4"/>
    <mergeCell ref="Q4:AC4"/>
    <mergeCell ref="AF4:AR4"/>
  </mergeCells>
  <dataValidations count="1">
    <dataValidation type="decimal" errorStyle="warning" allowBlank="1" showErrorMessage="1" errorTitle="SU KONTURU BİTİYOR" error="ACİL SU KONTURU ALINMASI LAZIM" promptTitle="SU KONTURU BİTİYOR" sqref="F12:F13 E3:E11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Choki Zangmo</cp:lastModifiedBy>
  <cp:lastPrinted>2019-07-02T08:10:14Z</cp:lastPrinted>
  <dcterms:created xsi:type="dcterms:W3CDTF">2017-05-22T13:08:25Z</dcterms:created>
  <dcterms:modified xsi:type="dcterms:W3CDTF">2021-08-31T04:27:10Z</dcterms:modified>
</cp:coreProperties>
</file>