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<sst xmlns="http://schemas.openxmlformats.org/spreadsheetml/2006/main" count="129" uniqueCount="50">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</sst>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62500</v>
      </c>
      <c r="F10" s="11">
        <v>5.0000000000000001E-3</v>
      </c>
      <c r="G10" s="12">
        <f>Submetering!R10</f>
        <v>684.02358700000002</v>
      </c>
      <c r="H10" s="11">
        <v>0.52800000000000002</v>
      </c>
      <c r="I10" s="12">
        <f>Hotel!B15</f>
        <v>110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54571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138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67209</v>
      </c>
      <c r="F12" s="11">
        <v>5.0000000000000001E-3</v>
      </c>
      <c r="G12" s="12">
        <f>Submetering!R12</f>
        <v>583.33168099999989</v>
      </c>
      <c r="H12" s="11">
        <v>0.52800000000000002</v>
      </c>
      <c r="I12" s="12">
        <f>Hotel!B17</f>
        <v>184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59570</v>
      </c>
      <c r="F13" s="11">
        <v>5.0000000000000001E-3</v>
      </c>
      <c r="G13" s="12">
        <f>Submetering!R13</f>
        <v>623.83556799999997</v>
      </c>
      <c r="H13" s="11">
        <v>0.52800000000000002</v>
      </c>
      <c r="I13" s="12">
        <f>Hotel!B18</f>
        <v>115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52990</v>
      </c>
      <c r="F14" s="11">
        <v>5.0000000000000001E-3</v>
      </c>
      <c r="G14" s="12">
        <f>Submetering!R14</f>
        <v>590.90250099999992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53510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123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52620</v>
      </c>
      <c r="F16" s="11">
        <v>5.0000000000000001E-3</v>
      </c>
      <c r="G16" s="12">
        <f>Submetering!R16</f>
        <v>599.60894399999995</v>
      </c>
      <c r="H16" s="11">
        <v>0.52800000000000002</v>
      </c>
      <c r="I16" s="12">
        <f>Hotel!B21</f>
        <v>123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6980</v>
      </c>
      <c r="F10" s="4">
        <f>Hotel!R15</f>
        <v>3340</v>
      </c>
      <c r="G10" s="4">
        <f>Hotel!S15</f>
        <v>3220</v>
      </c>
      <c r="H10" s="4">
        <f>Hotel!T15</f>
        <v>3030</v>
      </c>
      <c r="I10" s="4">
        <f>Hotel!U15</f>
        <v>5130</v>
      </c>
      <c r="J10" s="4">
        <f>Hotel!V15</f>
        <v>4030</v>
      </c>
      <c r="K10" s="4">
        <f>Hotel!W15</f>
        <v>2930</v>
      </c>
      <c r="L10" s="4">
        <f>Hotel!X15</f>
        <v>4250</v>
      </c>
      <c r="M10" s="4">
        <f>Hotel!Y15</f>
        <v>5750</v>
      </c>
      <c r="N10" s="4">
        <f>Hotel!Z15</f>
        <v>2630</v>
      </c>
      <c r="O10" s="4">
        <f>Hotel!AA15</f>
        <v>3030</v>
      </c>
      <c r="P10" s="4">
        <f>Hotel!AB15</f>
        <v>7910</v>
      </c>
      <c r="Q10" s="4">
        <f>Hotel!AC15</f>
        <v>10270</v>
      </c>
      <c r="R10" s="4">
        <f>Hotel!AV15*0.00378541*100</f>
        <v>684.02358700000002</v>
      </c>
      <c r="S10" s="4">
        <f>Hotel!B15</f>
        <v>110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4710</v>
      </c>
      <c r="F11" s="4">
        <f>Hotel!R16</f>
        <v>2630</v>
      </c>
      <c r="G11" s="4">
        <f>Hotel!S16</f>
        <v>3380</v>
      </c>
      <c r="H11" s="4">
        <f>Hotel!T16</f>
        <v>80</v>
      </c>
      <c r="I11" s="4">
        <f>Hotel!U16</f>
        <v>4790</v>
      </c>
      <c r="J11" s="4">
        <f>Hotel!V16</f>
        <v>3820</v>
      </c>
      <c r="K11" s="4">
        <f>Hotel!W16</f>
        <v>2890</v>
      </c>
      <c r="L11" s="4">
        <f>Hotel!X16</f>
        <v>4070</v>
      </c>
      <c r="M11" s="4">
        <f>Hotel!Y16</f>
        <v>5400</v>
      </c>
      <c r="N11" s="4">
        <f>Hotel!Z16</f>
        <v>2530</v>
      </c>
      <c r="O11" s="4">
        <f>Hotel!AA16</f>
        <v>2910</v>
      </c>
      <c r="P11" s="4">
        <f>Hotel!AB16</f>
        <v>7310</v>
      </c>
      <c r="Q11" s="4">
        <f>Hotel!AC16</f>
        <v>10051</v>
      </c>
      <c r="R11" s="4">
        <f>Hotel!AV16*0.00378541*100</f>
        <v>564.78317200000004</v>
      </c>
      <c r="S11" s="4">
        <f>Hotel!B16</f>
        <v>138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10120</v>
      </c>
      <c r="F12" s="4">
        <f>Hotel!R17</f>
        <v>4120</v>
      </c>
      <c r="G12" s="4">
        <f>Hotel!S17</f>
        <v>3170</v>
      </c>
      <c r="H12" s="4">
        <f>Hotel!T17</f>
        <v>1670</v>
      </c>
      <c r="I12" s="4">
        <f>Hotel!U17</f>
        <v>5440</v>
      </c>
      <c r="J12" s="4">
        <f>Hotel!V17</f>
        <v>4030</v>
      </c>
      <c r="K12" s="4">
        <f>Hotel!W17</f>
        <v>3380</v>
      </c>
      <c r="L12" s="4">
        <f>Hotel!X17</f>
        <v>4550</v>
      </c>
      <c r="M12" s="4">
        <f>Hotel!Y17</f>
        <v>5690</v>
      </c>
      <c r="N12" s="4">
        <f>Hotel!Z17</f>
        <v>2900</v>
      </c>
      <c r="O12" s="4">
        <f>Hotel!AA17</f>
        <v>3320</v>
      </c>
      <c r="P12" s="4">
        <f>Hotel!AB17</f>
        <v>7820</v>
      </c>
      <c r="Q12" s="4">
        <f>Hotel!AC17</f>
        <v>10999</v>
      </c>
      <c r="R12" s="4">
        <f>Hotel!AV17*0.00378541*100</f>
        <v>583.33168099999989</v>
      </c>
      <c r="S12" s="4">
        <f>Hotel!B17</f>
        <v>184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6870</v>
      </c>
      <c r="F13" s="4">
        <f>Hotel!R18</f>
        <v>3180</v>
      </c>
      <c r="G13" s="4">
        <f>Hotel!S18</f>
        <v>3050</v>
      </c>
      <c r="H13" s="4">
        <f>Hotel!T18</f>
        <v>1500</v>
      </c>
      <c r="I13" s="4">
        <f>Hotel!U18</f>
        <v>5150</v>
      </c>
      <c r="J13" s="4">
        <f>Hotel!V18</f>
        <v>3530</v>
      </c>
      <c r="K13" s="4">
        <f>Hotel!W18</f>
        <v>3000</v>
      </c>
      <c r="L13" s="4">
        <f>Hotel!X18</f>
        <v>4310</v>
      </c>
      <c r="M13" s="4">
        <f>Hotel!Y18</f>
        <v>5400</v>
      </c>
      <c r="N13" s="4">
        <f>Hotel!Z18</f>
        <v>2670</v>
      </c>
      <c r="O13" s="4">
        <f>Hotel!AA18</f>
        <v>3070</v>
      </c>
      <c r="P13" s="4">
        <f>Hotel!AB18</f>
        <v>7490</v>
      </c>
      <c r="Q13" s="4">
        <f>Hotel!AC18</f>
        <v>10350</v>
      </c>
      <c r="R13" s="4">
        <f>Hotel!AV18*0.00378541*100</f>
        <v>623.83556799999997</v>
      </c>
      <c r="S13" s="4">
        <f>Hotel!B18</f>
        <v>115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580</v>
      </c>
      <c r="F14" s="4">
        <f>Hotel!R19</f>
        <v>1850</v>
      </c>
      <c r="G14" s="4">
        <f>Hotel!S19</f>
        <v>4220</v>
      </c>
      <c r="H14" s="4">
        <f>Hotel!T19</f>
        <v>1500</v>
      </c>
      <c r="I14" s="4">
        <f>Hotel!U19</f>
        <v>5110</v>
      </c>
      <c r="J14" s="4">
        <f>Hotel!V19</f>
        <v>3540</v>
      </c>
      <c r="K14" s="4">
        <f>Hotel!W19</f>
        <v>2950</v>
      </c>
      <c r="L14" s="4">
        <f>Hotel!X19</f>
        <v>4260</v>
      </c>
      <c r="M14" s="4">
        <f>Hotel!Y19</f>
        <v>5330</v>
      </c>
      <c r="N14" s="4">
        <f>Hotel!Z19</f>
        <v>2670</v>
      </c>
      <c r="O14" s="4">
        <f>Hotel!AA19</f>
        <v>3080</v>
      </c>
      <c r="P14" s="4">
        <f>Hotel!AB19</f>
        <v>7440</v>
      </c>
      <c r="Q14" s="4">
        <f>Hotel!AC19</f>
        <v>10460</v>
      </c>
      <c r="R14" s="4">
        <f>Hotel!AV19*0.00378541*100</f>
        <v>590.90250099999992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580</v>
      </c>
      <c r="F15" s="4">
        <f>Hotel!R20</f>
        <v>1860</v>
      </c>
      <c r="G15" s="4">
        <f>Hotel!S20</f>
        <v>3750</v>
      </c>
      <c r="H15" s="4">
        <f>Hotel!T20</f>
        <v>1490</v>
      </c>
      <c r="I15" s="4">
        <f>Hotel!U20</f>
        <v>5220</v>
      </c>
      <c r="J15" s="4">
        <f>Hotel!V20</f>
        <v>3560</v>
      </c>
      <c r="K15" s="4">
        <f>Hotel!W20</f>
        <v>3270</v>
      </c>
      <c r="L15" s="4">
        <f>Hotel!X20</f>
        <v>4540</v>
      </c>
      <c r="M15" s="4">
        <f>Hotel!Y20</f>
        <v>5450</v>
      </c>
      <c r="N15" s="4">
        <f>Hotel!Z20</f>
        <v>2510</v>
      </c>
      <c r="O15" s="4">
        <f>Hotel!AA20</f>
        <v>2910</v>
      </c>
      <c r="P15" s="4">
        <f>Hotel!AB20</f>
        <v>7690</v>
      </c>
      <c r="Q15" s="4">
        <f>Hotel!AC20</f>
        <v>10680</v>
      </c>
      <c r="R15" s="4">
        <f>Hotel!AV20*0.00378541*100</f>
        <v>519.35825199999999</v>
      </c>
      <c r="S15" s="4">
        <f>Hotel!B20</f>
        <v>123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580</v>
      </c>
      <c r="F16" s="4">
        <f>Hotel!R21</f>
        <v>1840</v>
      </c>
      <c r="G16" s="4">
        <f>Hotel!S21</f>
        <v>3450</v>
      </c>
      <c r="H16" s="4">
        <f>Hotel!T21</f>
        <v>1450</v>
      </c>
      <c r="I16" s="4">
        <f>Hotel!U21</f>
        <v>5190</v>
      </c>
      <c r="J16" s="4">
        <f>Hotel!V21</f>
        <v>3560</v>
      </c>
      <c r="K16" s="4">
        <f>Hotel!W21</f>
        <v>3340</v>
      </c>
      <c r="L16" s="4">
        <f>Hotel!X21</f>
        <v>4650</v>
      </c>
      <c r="M16" s="4">
        <f>Hotel!Y21</f>
        <v>5400</v>
      </c>
      <c r="N16" s="4">
        <f>Hotel!Z21</f>
        <v>2400</v>
      </c>
      <c r="O16" s="4">
        <f>Hotel!AA21</f>
        <v>2830</v>
      </c>
      <c r="P16" s="4">
        <f>Hotel!AB21</f>
        <v>7530</v>
      </c>
      <c r="Q16" s="4">
        <f>Hotel!AC21</f>
        <v>10400</v>
      </c>
      <c r="R16" s="4">
        <f>Hotel!AV21*0.00378541*100</f>
        <v>599.60894399999995</v>
      </c>
      <c r="S16" s="4">
        <f>Hotel!B21</f>
        <v>123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21" sqref="AU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>
        <v>110</v>
      </c>
      <c r="C15" s="51">
        <v>8592060</v>
      </c>
      <c r="D15" s="51">
        <v>20970160</v>
      </c>
      <c r="E15" s="51">
        <v>3759530</v>
      </c>
      <c r="F15" s="51">
        <v>4343800</v>
      </c>
      <c r="G15" s="51">
        <v>12796440</v>
      </c>
      <c r="H15" s="51">
        <v>7571700</v>
      </c>
      <c r="I15" s="51">
        <v>6563370</v>
      </c>
      <c r="J15" s="51">
        <v>8172390</v>
      </c>
      <c r="K15" s="51">
        <v>11878820</v>
      </c>
      <c r="L15" s="51">
        <v>5182590</v>
      </c>
      <c r="M15" s="51">
        <v>9498970</v>
      </c>
      <c r="N15" s="51">
        <v>15742020</v>
      </c>
      <c r="O15" s="51">
        <v>22020850</v>
      </c>
      <c r="Q15" s="37">
        <f t="shared" si="17"/>
        <v>6980</v>
      </c>
      <c r="R15" s="37">
        <f t="shared" si="18"/>
        <v>3340</v>
      </c>
      <c r="S15" s="37">
        <f t="shared" si="16"/>
        <v>3220</v>
      </c>
      <c r="T15" s="37">
        <f t="shared" si="19"/>
        <v>3030</v>
      </c>
      <c r="U15" s="37">
        <f t="shared" si="20"/>
        <v>5130</v>
      </c>
      <c r="V15" s="37">
        <f t="shared" si="21"/>
        <v>4030</v>
      </c>
      <c r="W15" s="37">
        <f t="shared" si="22"/>
        <v>2930</v>
      </c>
      <c r="X15" s="37">
        <f t="shared" si="23"/>
        <v>4250</v>
      </c>
      <c r="Y15" s="37">
        <f t="shared" si="24"/>
        <v>5750</v>
      </c>
      <c r="Z15" s="37">
        <f t="shared" si="25"/>
        <v>2630</v>
      </c>
      <c r="AA15" s="37">
        <f t="shared" si="26"/>
        <v>3030</v>
      </c>
      <c r="AB15" s="37">
        <f t="shared" si="27"/>
        <v>7910</v>
      </c>
      <c r="AC15" s="37">
        <f t="shared" si="28"/>
        <v>10270</v>
      </c>
      <c r="AD15" s="35">
        <f t="shared" si="29"/>
        <v>62500</v>
      </c>
      <c r="AF15" s="20">
        <f t="shared" si="1"/>
        <v>34.9</v>
      </c>
      <c r="AG15" s="20">
        <f t="shared" si="2"/>
        <v>16.7</v>
      </c>
      <c r="AH15" s="20">
        <f t="shared" si="3"/>
        <v>16.100000000000001</v>
      </c>
      <c r="AI15" s="20">
        <f t="shared" si="4"/>
        <v>15.15</v>
      </c>
      <c r="AJ15" s="20">
        <f t="shared" si="5"/>
        <v>25.650000000000002</v>
      </c>
      <c r="AK15" s="20">
        <f t="shared" si="6"/>
        <v>20.150000000000002</v>
      </c>
      <c r="AL15" s="20">
        <f t="shared" si="7"/>
        <v>14.65</v>
      </c>
      <c r="AM15" s="20">
        <f t="shared" si="8"/>
        <v>21.25</v>
      </c>
      <c r="AN15" s="20">
        <f t="shared" si="9"/>
        <v>28.75</v>
      </c>
      <c r="AO15" s="20">
        <f t="shared" si="10"/>
        <v>13.15</v>
      </c>
      <c r="AP15" s="20">
        <f t="shared" si="11"/>
        <v>15.15</v>
      </c>
      <c r="AQ15" s="20">
        <f t="shared" si="12"/>
        <v>39.550000000000004</v>
      </c>
      <c r="AR15" s="20">
        <f t="shared" si="13"/>
        <v>51.35</v>
      </c>
      <c r="AS15" s="35">
        <f t="shared" si="30"/>
        <v>312.50000000000006</v>
      </c>
      <c r="AU15" s="54">
        <v>312999</v>
      </c>
      <c r="AV15" s="37">
        <f t="shared" si="31"/>
        <v>1807</v>
      </c>
      <c r="AW15" s="37">
        <f>AV15*100*AV44</f>
        <v>684.02358700000002</v>
      </c>
      <c r="AX15" s="35">
        <f t="shared" si="14"/>
        <v>3.6139999999999999</v>
      </c>
    </row>
    <row r="16" spans="1:50" x14ac:dyDescent="0.25">
      <c r="A16" s="23">
        <v>44875</v>
      </c>
      <c r="B16" s="40">
        <v>138</v>
      </c>
      <c r="C16" s="52">
        <v>8596770</v>
      </c>
      <c r="D16" s="52">
        <v>20972790</v>
      </c>
      <c r="E16" s="52">
        <v>3762910</v>
      </c>
      <c r="F16" s="52">
        <v>4343880</v>
      </c>
      <c r="G16" s="52">
        <v>12801230</v>
      </c>
      <c r="H16" s="52">
        <v>7575520</v>
      </c>
      <c r="I16" s="52">
        <v>6566260</v>
      </c>
      <c r="J16" s="52">
        <v>8176460</v>
      </c>
      <c r="K16" s="52">
        <v>11884220</v>
      </c>
      <c r="L16" s="52">
        <v>5185120</v>
      </c>
      <c r="M16" s="52">
        <v>9501880</v>
      </c>
      <c r="N16" s="52">
        <v>15749330</v>
      </c>
      <c r="O16" s="52">
        <v>22030901</v>
      </c>
      <c r="Q16" s="37">
        <f t="shared" si="17"/>
        <v>4710</v>
      </c>
      <c r="R16" s="37">
        <f t="shared" si="18"/>
        <v>2630</v>
      </c>
      <c r="S16" s="37">
        <f t="shared" si="16"/>
        <v>3380</v>
      </c>
      <c r="T16" s="37">
        <f t="shared" si="19"/>
        <v>80</v>
      </c>
      <c r="U16" s="37">
        <f>IF((G16-G15&lt;0), "0",G16-G15)</f>
        <v>4790</v>
      </c>
      <c r="V16" s="37">
        <f>IF((H16-H15&lt;0), "0",H16-H15)</f>
        <v>3820</v>
      </c>
      <c r="W16" s="37">
        <f t="shared" si="22"/>
        <v>2890</v>
      </c>
      <c r="X16" s="37">
        <f t="shared" si="23"/>
        <v>4070</v>
      </c>
      <c r="Y16" s="37">
        <f t="shared" si="24"/>
        <v>5400</v>
      </c>
      <c r="Z16" s="37">
        <f t="shared" si="25"/>
        <v>2530</v>
      </c>
      <c r="AA16" s="37">
        <f t="shared" si="26"/>
        <v>2910</v>
      </c>
      <c r="AB16" s="37">
        <f t="shared" si="27"/>
        <v>7310</v>
      </c>
      <c r="AC16" s="37">
        <f t="shared" si="28"/>
        <v>10051</v>
      </c>
      <c r="AD16" s="35">
        <f t="shared" si="29"/>
        <v>54571</v>
      </c>
      <c r="AF16" s="20">
        <f t="shared" si="1"/>
        <v>23.55</v>
      </c>
      <c r="AG16" s="20">
        <f t="shared" si="2"/>
        <v>13.15</v>
      </c>
      <c r="AH16" s="20">
        <f t="shared" si="3"/>
        <v>16.899999999999999</v>
      </c>
      <c r="AI16" s="20">
        <f t="shared" si="4"/>
        <v>0.4</v>
      </c>
      <c r="AJ16" s="20">
        <f t="shared" si="5"/>
        <v>23.95</v>
      </c>
      <c r="AK16" s="20">
        <f t="shared" si="6"/>
        <v>19.100000000000001</v>
      </c>
      <c r="AL16" s="20">
        <f t="shared" si="7"/>
        <v>14.450000000000001</v>
      </c>
      <c r="AM16" s="20">
        <f t="shared" si="8"/>
        <v>20.350000000000001</v>
      </c>
      <c r="AN16" s="20">
        <f t="shared" si="9"/>
        <v>27</v>
      </c>
      <c r="AO16" s="20">
        <f t="shared" si="10"/>
        <v>12.65</v>
      </c>
      <c r="AP16" s="20">
        <f t="shared" si="11"/>
        <v>14.55</v>
      </c>
      <c r="AQ16" s="20">
        <f t="shared" si="12"/>
        <v>36.550000000000004</v>
      </c>
      <c r="AR16" s="20">
        <f t="shared" si="13"/>
        <v>50.255000000000003</v>
      </c>
      <c r="AS16" s="35">
        <f t="shared" si="30"/>
        <v>272.85500000000008</v>
      </c>
      <c r="AU16" s="55">
        <v>314491</v>
      </c>
      <c r="AV16" s="37">
        <f t="shared" si="31"/>
        <v>1492</v>
      </c>
      <c r="AW16" s="37">
        <f>AV16*100*AV44</f>
        <v>564.78317200000004</v>
      </c>
      <c r="AX16" s="35">
        <f t="shared" si="14"/>
        <v>2.984</v>
      </c>
    </row>
    <row r="17" spans="1:50" x14ac:dyDescent="0.25">
      <c r="A17" s="23">
        <v>44876</v>
      </c>
      <c r="B17" s="40">
        <v>184</v>
      </c>
      <c r="C17" s="51">
        <v>8606890</v>
      </c>
      <c r="D17" s="51">
        <v>20976910</v>
      </c>
      <c r="E17" s="51">
        <v>3766080</v>
      </c>
      <c r="F17" s="51">
        <v>4345550</v>
      </c>
      <c r="G17" s="51">
        <v>12806670</v>
      </c>
      <c r="H17" s="51">
        <v>7579550</v>
      </c>
      <c r="I17" s="51">
        <v>6569640</v>
      </c>
      <c r="J17" s="51">
        <v>8181010</v>
      </c>
      <c r="K17" s="51">
        <v>11889910</v>
      </c>
      <c r="L17" s="51">
        <v>5188020</v>
      </c>
      <c r="M17" s="51">
        <v>9505200</v>
      </c>
      <c r="N17" s="51">
        <v>15757150</v>
      </c>
      <c r="O17" s="51">
        <v>22041900</v>
      </c>
      <c r="Q17" s="37">
        <f t="shared" si="17"/>
        <v>10120</v>
      </c>
      <c r="R17" s="37">
        <f t="shared" si="18"/>
        <v>4120</v>
      </c>
      <c r="S17" s="37">
        <f t="shared" si="16"/>
        <v>3170</v>
      </c>
      <c r="T17" s="37">
        <f t="shared" si="19"/>
        <v>1670</v>
      </c>
      <c r="U17" s="37">
        <f>IF((G17-G16&lt;0), "0",G17-G16)</f>
        <v>5440</v>
      </c>
      <c r="V17" s="37">
        <f>IF((H17-H16&lt;0), "0",H17-H16)</f>
        <v>4030</v>
      </c>
      <c r="W17" s="37">
        <f t="shared" si="22"/>
        <v>3380</v>
      </c>
      <c r="X17" s="37">
        <f t="shared" si="23"/>
        <v>4550</v>
      </c>
      <c r="Y17" s="37">
        <f t="shared" si="24"/>
        <v>5690</v>
      </c>
      <c r="Z17" s="37">
        <f t="shared" si="25"/>
        <v>2900</v>
      </c>
      <c r="AA17" s="37">
        <f t="shared" si="26"/>
        <v>3320</v>
      </c>
      <c r="AB17" s="37">
        <f t="shared" si="27"/>
        <v>7820</v>
      </c>
      <c r="AC17" s="37">
        <f t="shared" si="28"/>
        <v>10999</v>
      </c>
      <c r="AD17" s="35">
        <f t="shared" si="29"/>
        <v>67209</v>
      </c>
      <c r="AF17" s="20">
        <f t="shared" si="1"/>
        <v>50.6</v>
      </c>
      <c r="AG17" s="20">
        <f t="shared" si="2"/>
        <v>20.6</v>
      </c>
      <c r="AH17" s="20">
        <f t="shared" si="3"/>
        <v>15.85</v>
      </c>
      <c r="AI17" s="20">
        <f t="shared" si="4"/>
        <v>8.35</v>
      </c>
      <c r="AJ17" s="20">
        <f t="shared" si="5"/>
        <v>27.2</v>
      </c>
      <c r="AK17" s="20">
        <f t="shared" si="6"/>
        <v>20.150000000000002</v>
      </c>
      <c r="AL17" s="20">
        <f t="shared" si="7"/>
        <v>16.899999999999999</v>
      </c>
      <c r="AM17" s="20">
        <f t="shared" si="8"/>
        <v>22.75</v>
      </c>
      <c r="AN17" s="20">
        <f t="shared" si="9"/>
        <v>28.45</v>
      </c>
      <c r="AO17" s="20">
        <f t="shared" si="10"/>
        <v>14.5</v>
      </c>
      <c r="AP17" s="20">
        <f t="shared" si="11"/>
        <v>16.600000000000001</v>
      </c>
      <c r="AQ17" s="20">
        <f t="shared" si="12"/>
        <v>39.1</v>
      </c>
      <c r="AR17" s="20">
        <f t="shared" si="13"/>
        <v>54.995000000000005</v>
      </c>
      <c r="AS17" s="35">
        <f t="shared" si="30"/>
        <v>336.04500000000002</v>
      </c>
      <c r="AU17" s="58">
        <v>316032</v>
      </c>
      <c r="AV17" s="37">
        <f t="shared" si="31"/>
        <v>1541</v>
      </c>
      <c r="AW17" s="37">
        <f>AV17*100*AV44</f>
        <v>583.331681</v>
      </c>
      <c r="AX17" s="35">
        <f t="shared" si="14"/>
        <v>3.0819999999999999</v>
      </c>
    </row>
    <row r="18" spans="1:50" x14ac:dyDescent="0.25">
      <c r="A18" s="23">
        <v>44877</v>
      </c>
      <c r="B18" s="40">
        <v>115</v>
      </c>
      <c r="C18" s="52">
        <v>8613760</v>
      </c>
      <c r="D18" s="52">
        <v>20980090</v>
      </c>
      <c r="E18" s="52">
        <v>3769130</v>
      </c>
      <c r="F18" s="52">
        <v>4347050</v>
      </c>
      <c r="G18" s="52">
        <v>12811820</v>
      </c>
      <c r="H18" s="52">
        <v>7583080</v>
      </c>
      <c r="I18" s="52">
        <v>6572640</v>
      </c>
      <c r="J18" s="52">
        <v>8185320</v>
      </c>
      <c r="K18" s="52">
        <v>11895310</v>
      </c>
      <c r="L18" s="52">
        <v>5190690</v>
      </c>
      <c r="M18" s="52">
        <v>9508270</v>
      </c>
      <c r="N18" s="52">
        <v>15764640</v>
      </c>
      <c r="O18" s="52">
        <v>22052250</v>
      </c>
      <c r="Q18" s="37">
        <f t="shared" si="17"/>
        <v>6870</v>
      </c>
      <c r="R18" s="37">
        <f t="shared" si="18"/>
        <v>3180</v>
      </c>
      <c r="S18" s="37">
        <f t="shared" si="16"/>
        <v>3050</v>
      </c>
      <c r="T18" s="37">
        <f t="shared" si="19"/>
        <v>1500</v>
      </c>
      <c r="U18" s="37">
        <f t="shared" si="20"/>
        <v>5150</v>
      </c>
      <c r="V18" s="37">
        <f t="shared" si="21"/>
        <v>3530</v>
      </c>
      <c r="W18" s="37">
        <f t="shared" si="22"/>
        <v>3000</v>
      </c>
      <c r="X18" s="37">
        <f t="shared" si="23"/>
        <v>4310</v>
      </c>
      <c r="Y18" s="37">
        <f t="shared" si="24"/>
        <v>5400</v>
      </c>
      <c r="Z18" s="37">
        <f t="shared" si="25"/>
        <v>2670</v>
      </c>
      <c r="AA18" s="37">
        <f t="shared" si="26"/>
        <v>3070</v>
      </c>
      <c r="AB18" s="37">
        <f t="shared" si="27"/>
        <v>7490</v>
      </c>
      <c r="AC18" s="37">
        <f t="shared" si="28"/>
        <v>10350</v>
      </c>
      <c r="AD18" s="35">
        <f t="shared" si="29"/>
        <v>59570</v>
      </c>
      <c r="AF18" s="20">
        <f t="shared" si="1"/>
        <v>34.35</v>
      </c>
      <c r="AG18" s="20">
        <f t="shared" si="2"/>
        <v>15.9</v>
      </c>
      <c r="AH18" s="20">
        <f t="shared" si="3"/>
        <v>15.25</v>
      </c>
      <c r="AI18" s="20">
        <f t="shared" si="4"/>
        <v>7.5</v>
      </c>
      <c r="AJ18" s="20">
        <f t="shared" si="5"/>
        <v>25.75</v>
      </c>
      <c r="AK18" s="20">
        <f t="shared" si="6"/>
        <v>17.650000000000002</v>
      </c>
      <c r="AL18" s="20">
        <f t="shared" si="7"/>
        <v>15</v>
      </c>
      <c r="AM18" s="20">
        <f t="shared" si="8"/>
        <v>21.55</v>
      </c>
      <c r="AN18" s="20">
        <f t="shared" si="9"/>
        <v>27</v>
      </c>
      <c r="AO18" s="20">
        <f t="shared" si="10"/>
        <v>13.35</v>
      </c>
      <c r="AP18" s="20">
        <f t="shared" si="11"/>
        <v>15.35</v>
      </c>
      <c r="AQ18" s="20">
        <f t="shared" si="12"/>
        <v>37.450000000000003</v>
      </c>
      <c r="AR18" s="20">
        <f t="shared" si="13"/>
        <v>51.75</v>
      </c>
      <c r="AS18" s="35">
        <f t="shared" si="30"/>
        <v>297.85000000000002</v>
      </c>
      <c r="AU18" s="55">
        <v>317680</v>
      </c>
      <c r="AV18" s="37">
        <f t="shared" si="31"/>
        <v>1648</v>
      </c>
      <c r="AW18" s="37">
        <f>AV18*100*AV44</f>
        <v>623.83556799999997</v>
      </c>
      <c r="AX18" s="35">
        <f t="shared" si="14"/>
        <v>3.2960000000000003</v>
      </c>
    </row>
    <row r="19" spans="1:50" x14ac:dyDescent="0.25">
      <c r="A19" s="23">
        <v>44878</v>
      </c>
      <c r="B19" s="40">
        <v>148</v>
      </c>
      <c r="C19" s="51">
        <v>8614340</v>
      </c>
      <c r="D19" s="51">
        <v>20981940</v>
      </c>
      <c r="E19" s="51">
        <v>3773350</v>
      </c>
      <c r="F19" s="51">
        <v>4348550</v>
      </c>
      <c r="G19" s="51">
        <v>12816930</v>
      </c>
      <c r="H19" s="51">
        <v>7586620</v>
      </c>
      <c r="I19" s="51">
        <v>6575590</v>
      </c>
      <c r="J19" s="51">
        <v>8189580</v>
      </c>
      <c r="K19" s="51">
        <v>11900640</v>
      </c>
      <c r="L19" s="51">
        <v>5193360</v>
      </c>
      <c r="M19" s="51">
        <v>9511350</v>
      </c>
      <c r="N19" s="51">
        <v>15772080</v>
      </c>
      <c r="O19" s="51">
        <v>22062710</v>
      </c>
      <c r="Q19" s="37">
        <f t="shared" si="17"/>
        <v>580</v>
      </c>
      <c r="R19" s="37">
        <f t="shared" si="18"/>
        <v>1850</v>
      </c>
      <c r="S19" s="37">
        <f t="shared" si="16"/>
        <v>4220</v>
      </c>
      <c r="T19" s="37">
        <f t="shared" si="19"/>
        <v>1500</v>
      </c>
      <c r="U19" s="37">
        <f t="shared" si="20"/>
        <v>5110</v>
      </c>
      <c r="V19" s="37">
        <f t="shared" si="21"/>
        <v>3540</v>
      </c>
      <c r="W19" s="37">
        <f t="shared" si="22"/>
        <v>2950</v>
      </c>
      <c r="X19" s="37">
        <f t="shared" si="23"/>
        <v>4260</v>
      </c>
      <c r="Y19" s="37">
        <f t="shared" si="24"/>
        <v>5330</v>
      </c>
      <c r="Z19" s="37">
        <f t="shared" si="25"/>
        <v>2670</v>
      </c>
      <c r="AA19" s="37">
        <f t="shared" si="26"/>
        <v>3080</v>
      </c>
      <c r="AB19" s="37">
        <f t="shared" si="27"/>
        <v>7440</v>
      </c>
      <c r="AC19" s="37">
        <f t="shared" si="28"/>
        <v>10460</v>
      </c>
      <c r="AD19" s="35">
        <f t="shared" si="29"/>
        <v>52990</v>
      </c>
      <c r="AF19" s="20">
        <f t="shared" si="1"/>
        <v>2.9</v>
      </c>
      <c r="AG19" s="20">
        <f t="shared" si="2"/>
        <v>9.25</v>
      </c>
      <c r="AH19" s="20">
        <f t="shared" si="3"/>
        <v>21.1</v>
      </c>
      <c r="AI19" s="20">
        <f t="shared" si="4"/>
        <v>7.5</v>
      </c>
      <c r="AJ19" s="20">
        <f t="shared" si="5"/>
        <v>25.55</v>
      </c>
      <c r="AK19" s="20">
        <f t="shared" si="6"/>
        <v>17.7</v>
      </c>
      <c r="AL19" s="20">
        <f t="shared" si="7"/>
        <v>14.75</v>
      </c>
      <c r="AM19" s="20">
        <f t="shared" si="8"/>
        <v>21.3</v>
      </c>
      <c r="AN19" s="20">
        <f t="shared" si="9"/>
        <v>26.650000000000002</v>
      </c>
      <c r="AO19" s="20">
        <f t="shared" si="10"/>
        <v>13.35</v>
      </c>
      <c r="AP19" s="20">
        <f t="shared" si="11"/>
        <v>15.4</v>
      </c>
      <c r="AQ19" s="20">
        <f t="shared" si="12"/>
        <v>37.200000000000003</v>
      </c>
      <c r="AR19" s="20">
        <f t="shared" si="13"/>
        <v>52.300000000000004</v>
      </c>
      <c r="AS19" s="35">
        <f t="shared" si="30"/>
        <v>264.95</v>
      </c>
      <c r="AU19" s="54">
        <v>319241</v>
      </c>
      <c r="AV19" s="37">
        <f t="shared" si="31"/>
        <v>1561</v>
      </c>
      <c r="AW19" s="37">
        <f>AV19*100*AV44</f>
        <v>590.90250100000003</v>
      </c>
      <c r="AX19" s="35">
        <f t="shared" si="14"/>
        <v>3.1219999999999999</v>
      </c>
    </row>
    <row r="20" spans="1:50" x14ac:dyDescent="0.25">
      <c r="A20" s="23">
        <v>44879</v>
      </c>
      <c r="B20" s="40">
        <v>123</v>
      </c>
      <c r="C20" s="52">
        <v>8614920</v>
      </c>
      <c r="D20" s="52">
        <v>20983800</v>
      </c>
      <c r="E20" s="52">
        <v>3777100</v>
      </c>
      <c r="F20" s="52">
        <v>4350040</v>
      </c>
      <c r="G20" s="52">
        <v>12822150</v>
      </c>
      <c r="H20" s="52">
        <v>7590180</v>
      </c>
      <c r="I20" s="52">
        <v>6578860</v>
      </c>
      <c r="J20" s="52">
        <v>8194120</v>
      </c>
      <c r="K20" s="52">
        <v>11906090</v>
      </c>
      <c r="L20" s="52">
        <v>5195870</v>
      </c>
      <c r="M20" s="52">
        <v>9514260</v>
      </c>
      <c r="N20" s="52">
        <v>15779770</v>
      </c>
      <c r="O20" s="52">
        <v>22073390</v>
      </c>
      <c r="Q20" s="37">
        <f t="shared" si="17"/>
        <v>580</v>
      </c>
      <c r="R20" s="37">
        <f t="shared" si="18"/>
        <v>1860</v>
      </c>
      <c r="S20" s="37">
        <f t="shared" si="16"/>
        <v>3750</v>
      </c>
      <c r="T20" s="37">
        <f t="shared" si="19"/>
        <v>1490</v>
      </c>
      <c r="U20" s="37">
        <f t="shared" si="20"/>
        <v>5220</v>
      </c>
      <c r="V20" s="37">
        <f t="shared" si="21"/>
        <v>3560</v>
      </c>
      <c r="W20" s="37">
        <f t="shared" si="22"/>
        <v>3270</v>
      </c>
      <c r="X20" s="37">
        <f t="shared" si="23"/>
        <v>4540</v>
      </c>
      <c r="Y20" s="37">
        <f t="shared" si="24"/>
        <v>5450</v>
      </c>
      <c r="Z20" s="37">
        <f t="shared" si="25"/>
        <v>2510</v>
      </c>
      <c r="AA20" s="37">
        <f t="shared" si="26"/>
        <v>2910</v>
      </c>
      <c r="AB20" s="37">
        <f t="shared" si="27"/>
        <v>7690</v>
      </c>
      <c r="AC20" s="37">
        <f t="shared" si="28"/>
        <v>10680</v>
      </c>
      <c r="AD20" s="35">
        <f t="shared" si="29"/>
        <v>53510</v>
      </c>
      <c r="AF20" s="20">
        <f t="shared" si="1"/>
        <v>2.9</v>
      </c>
      <c r="AG20" s="20">
        <f t="shared" si="2"/>
        <v>9.3000000000000007</v>
      </c>
      <c r="AH20" s="20">
        <f t="shared" si="3"/>
        <v>18.75</v>
      </c>
      <c r="AI20" s="20">
        <f t="shared" si="4"/>
        <v>7.45</v>
      </c>
      <c r="AJ20" s="20">
        <f t="shared" si="5"/>
        <v>26.1</v>
      </c>
      <c r="AK20" s="20">
        <f t="shared" si="6"/>
        <v>17.8</v>
      </c>
      <c r="AL20" s="20">
        <f t="shared" si="7"/>
        <v>16.350000000000001</v>
      </c>
      <c r="AM20" s="20">
        <f t="shared" si="8"/>
        <v>22.7</v>
      </c>
      <c r="AN20" s="20">
        <f t="shared" si="9"/>
        <v>27.25</v>
      </c>
      <c r="AO20" s="20">
        <f t="shared" si="10"/>
        <v>12.55</v>
      </c>
      <c r="AP20" s="20">
        <f t="shared" si="11"/>
        <v>14.55</v>
      </c>
      <c r="AQ20" s="20">
        <f t="shared" si="12"/>
        <v>38.450000000000003</v>
      </c>
      <c r="AR20" s="20">
        <f t="shared" si="13"/>
        <v>53.4</v>
      </c>
      <c r="AS20" s="35">
        <f t="shared" si="30"/>
        <v>267.55</v>
      </c>
      <c r="AU20" s="55">
        <v>320613</v>
      </c>
      <c r="AV20" s="37">
        <f t="shared" si="31"/>
        <v>1372</v>
      </c>
      <c r="AW20" s="37">
        <f>AV20*100*AV44</f>
        <v>519.35825199999999</v>
      </c>
      <c r="AX20" s="35">
        <f t="shared" si="14"/>
        <v>2.7440000000000002</v>
      </c>
    </row>
    <row r="21" spans="1:50" x14ac:dyDescent="0.25">
      <c r="A21" s="23">
        <v>44880</v>
      </c>
      <c r="B21" s="40">
        <v>123</v>
      </c>
      <c r="C21" s="51">
        <v>8615500</v>
      </c>
      <c r="D21" s="51">
        <v>20985640</v>
      </c>
      <c r="E21" s="51">
        <v>3780550</v>
      </c>
      <c r="F21" s="51">
        <v>4351490</v>
      </c>
      <c r="G21" s="51">
        <v>12827340</v>
      </c>
      <c r="H21" s="51">
        <v>7593740</v>
      </c>
      <c r="I21" s="51">
        <v>6582200</v>
      </c>
      <c r="J21" s="51">
        <v>8198770</v>
      </c>
      <c r="K21" s="51">
        <v>11911490</v>
      </c>
      <c r="L21" s="51">
        <v>5198270</v>
      </c>
      <c r="M21" s="51">
        <v>9517090</v>
      </c>
      <c r="N21" s="51">
        <v>15787300</v>
      </c>
      <c r="O21" s="51">
        <v>22083790</v>
      </c>
      <c r="Q21" s="37">
        <f t="shared" si="17"/>
        <v>580</v>
      </c>
      <c r="R21" s="37">
        <f t="shared" si="18"/>
        <v>1840</v>
      </c>
      <c r="S21" s="37">
        <f t="shared" si="16"/>
        <v>3450</v>
      </c>
      <c r="T21" s="37">
        <f t="shared" si="19"/>
        <v>1450</v>
      </c>
      <c r="U21" s="37">
        <f t="shared" si="20"/>
        <v>5190</v>
      </c>
      <c r="V21" s="37">
        <f t="shared" si="21"/>
        <v>3560</v>
      </c>
      <c r="W21" s="37">
        <f t="shared" si="22"/>
        <v>3340</v>
      </c>
      <c r="X21" s="37">
        <f t="shared" si="23"/>
        <v>4650</v>
      </c>
      <c r="Y21" s="37">
        <f t="shared" si="24"/>
        <v>5400</v>
      </c>
      <c r="Z21" s="37">
        <f t="shared" si="25"/>
        <v>2400</v>
      </c>
      <c r="AA21" s="37">
        <f t="shared" si="26"/>
        <v>2830</v>
      </c>
      <c r="AB21" s="37">
        <f t="shared" si="27"/>
        <v>7530</v>
      </c>
      <c r="AC21" s="37">
        <f t="shared" si="28"/>
        <v>10400</v>
      </c>
      <c r="AD21" s="35">
        <f t="shared" si="29"/>
        <v>52620</v>
      </c>
      <c r="AF21" s="20">
        <f t="shared" si="1"/>
        <v>2.9</v>
      </c>
      <c r="AG21" s="20">
        <f t="shared" si="2"/>
        <v>9.2000000000000011</v>
      </c>
      <c r="AH21" s="20">
        <f t="shared" si="3"/>
        <v>17.25</v>
      </c>
      <c r="AI21" s="20">
        <f t="shared" si="4"/>
        <v>7.25</v>
      </c>
      <c r="AJ21" s="20">
        <f t="shared" si="5"/>
        <v>25.95</v>
      </c>
      <c r="AK21" s="20">
        <f t="shared" si="6"/>
        <v>17.8</v>
      </c>
      <c r="AL21" s="20">
        <f t="shared" si="7"/>
        <v>16.7</v>
      </c>
      <c r="AM21" s="20">
        <f t="shared" si="8"/>
        <v>23.25</v>
      </c>
      <c r="AN21" s="20">
        <f t="shared" si="9"/>
        <v>27</v>
      </c>
      <c r="AO21" s="20">
        <f t="shared" si="10"/>
        <v>12</v>
      </c>
      <c r="AP21" s="20">
        <f t="shared" si="11"/>
        <v>14.15</v>
      </c>
      <c r="AQ21" s="20">
        <f t="shared" si="12"/>
        <v>37.65</v>
      </c>
      <c r="AR21" s="20">
        <f t="shared" si="13"/>
        <v>52</v>
      </c>
      <c r="AS21" s="35">
        <f t="shared" si="30"/>
        <v>263.10000000000002</v>
      </c>
      <c r="AU21" s="54">
        <v>322197</v>
      </c>
      <c r="AV21" s="37">
        <f>IF((AU21-AU20&lt;0),"0",AU21-AU20)</f>
        <v>1584</v>
      </c>
      <c r="AW21" s="37">
        <f>AV21*100*AV44</f>
        <v>599.60894399999995</v>
      </c>
      <c r="AX21" s="35">
        <f t="shared" si="14"/>
        <v>3.1680000000000001</v>
      </c>
    </row>
    <row r="22" spans="1:50" x14ac:dyDescent="0.25">
      <c r="A22" s="23">
        <v>44881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 t="str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44883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44885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61200</v>
      </c>
      <c r="R38" s="38">
        <f t="shared" ref="R38:AD38" si="60">SUM(R7:R37)</f>
        <v>38280</v>
      </c>
      <c r="S38" s="38">
        <f t="shared" si="60"/>
        <v>51890</v>
      </c>
      <c r="T38" s="38">
        <f t="shared" si="60"/>
        <v>22840</v>
      </c>
      <c r="U38" s="38">
        <f t="shared" si="60"/>
        <v>73850</v>
      </c>
      <c r="V38" s="38">
        <f t="shared" si="60"/>
        <v>56810</v>
      </c>
      <c r="W38" s="38">
        <f t="shared" si="60"/>
        <v>45730</v>
      </c>
      <c r="X38" s="38">
        <f t="shared" si="60"/>
        <v>64400</v>
      </c>
      <c r="Y38" s="38">
        <f t="shared" si="60"/>
        <v>80920</v>
      </c>
      <c r="Z38" s="38">
        <f t="shared" si="60"/>
        <v>38300</v>
      </c>
      <c r="AA38" s="38">
        <f t="shared" si="60"/>
        <v>43320</v>
      </c>
      <c r="AB38" s="38">
        <f t="shared" si="60"/>
        <v>114320</v>
      </c>
      <c r="AC38" s="38">
        <f t="shared" si="60"/>
        <v>160670</v>
      </c>
      <c r="AD38" s="38">
        <f t="shared" si="60"/>
        <v>852530</v>
      </c>
      <c r="AF38" s="35">
        <f>SUM(AF7:AF37)</f>
        <v>306</v>
      </c>
      <c r="AG38" s="35">
        <f t="shared" ref="AG38:AS38" si="61">SUM(AG7:AG37)</f>
        <v>191.4</v>
      </c>
      <c r="AH38" s="35">
        <f t="shared" si="61"/>
        <v>259.45</v>
      </c>
      <c r="AI38" s="35">
        <f t="shared" si="61"/>
        <v>114.2</v>
      </c>
      <c r="AJ38" s="35">
        <f t="shared" si="61"/>
        <v>369.25</v>
      </c>
      <c r="AK38" s="35">
        <f t="shared" si="61"/>
        <v>284.05</v>
      </c>
      <c r="AL38" s="35">
        <f t="shared" si="61"/>
        <v>228.64999999999998</v>
      </c>
      <c r="AM38" s="35">
        <f t="shared" si="61"/>
        <v>322</v>
      </c>
      <c r="AN38" s="35">
        <f t="shared" si="61"/>
        <v>404.59999999999997</v>
      </c>
      <c r="AO38" s="35">
        <f t="shared" si="61"/>
        <v>191.50000000000003</v>
      </c>
      <c r="AP38" s="35">
        <f t="shared" si="61"/>
        <v>216.60000000000002</v>
      </c>
      <c r="AQ38" s="35">
        <f t="shared" si="61"/>
        <v>571.6</v>
      </c>
      <c r="AR38" s="35">
        <f t="shared" si="61"/>
        <v>803.35</v>
      </c>
      <c r="AS38" s="35">
        <f t="shared" si="61"/>
        <v>4262.6500000000005</v>
      </c>
      <c r="AU38" s="46"/>
      <c r="AV38" s="34">
        <f>SUM(AV7:AV37)</f>
        <v>23787</v>
      </c>
      <c r="AW38" s="34">
        <f>SUM(AW7:AW37)</f>
        <v>9004.3547669999989</v>
      </c>
      <c r="AX38" s="35">
        <f>SUM(AX7:AX37)</f>
        <v>47.573999999999998</v>
      </c>
    </row>
    <row r="39" spans="1:50" x14ac:dyDescent="0.25">
      <c r="B39" s="39">
        <f>SUM(B7:B37)</f>
        <v>1770</v>
      </c>
      <c r="D39">
        <v>5.0000000000000001E-3</v>
      </c>
      <c r="AV39" s="36"/>
      <c r="AW39" s="50">
        <f>AW38/31</f>
        <v>290.46305699999999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2022-11-16T05:58:07Z</dcterms:modified>
</cp:coreProperties>
</file>