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"/>
    </mc:Choice>
  </mc:AlternateContent>
  <bookViews>
    <workbookView xWindow="-105" yWindow="-105" windowWidth="19425" windowHeight="10425" tabRatio="816" activeTab="1"/>
  </bookViews>
  <sheets>
    <sheet name="TOTAL" sheetId="36" r:id="rId1"/>
    <sheet name="SUBMETERING" sheetId="31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2" i="36" l="1"/>
  <c r="I32" i="36"/>
  <c r="G32" i="36"/>
  <c r="E32" i="36"/>
  <c r="K37" i="31" l="1"/>
  <c r="Q35" i="31"/>
  <c r="Q34" i="31"/>
  <c r="R34" i="31" s="1"/>
  <c r="Q33" i="31"/>
  <c r="R33" i="31" s="1"/>
  <c r="Q32" i="31"/>
  <c r="R32" i="31" s="1"/>
  <c r="Q31" i="31"/>
  <c r="R31" i="31" s="1"/>
  <c r="Q30" i="31"/>
  <c r="R30" i="31" s="1"/>
  <c r="Q29" i="31"/>
  <c r="R29" i="31" s="1"/>
  <c r="Q28" i="31"/>
  <c r="R28" i="31" s="1"/>
  <c r="Q27" i="31"/>
  <c r="R27" i="31" s="1"/>
  <c r="Q26" i="31"/>
  <c r="R26" i="31" s="1"/>
  <c r="Q25" i="31"/>
  <c r="R25" i="31" s="1"/>
  <c r="Q24" i="31"/>
  <c r="R24" i="31" s="1"/>
  <c r="Q23" i="31"/>
  <c r="R23" i="31" s="1"/>
  <c r="Q22" i="31"/>
  <c r="R22" i="31" s="1"/>
  <c r="Q21" i="31"/>
  <c r="R21" i="31" s="1"/>
  <c r="Q20" i="31"/>
  <c r="R20" i="31" s="1"/>
  <c r="Q19" i="31"/>
  <c r="R19" i="31" s="1"/>
  <c r="Q18" i="31"/>
  <c r="R18" i="31" s="1"/>
  <c r="Q17" i="31"/>
  <c r="R17" i="31" s="1"/>
  <c r="Q16" i="31"/>
  <c r="R16" i="31" s="1"/>
  <c r="Q15" i="31"/>
  <c r="R15" i="31" s="1"/>
  <c r="Q14" i="31"/>
  <c r="R14" i="31" s="1"/>
  <c r="R13" i="31"/>
  <c r="Q13" i="31"/>
  <c r="Q12" i="31"/>
  <c r="R12" i="31" s="1"/>
  <c r="Q11" i="31"/>
  <c r="R11" i="31" s="1"/>
  <c r="Q10" i="31"/>
  <c r="R10" i="31" s="1"/>
  <c r="Q9" i="31"/>
  <c r="R9" i="31" s="1"/>
  <c r="Q8" i="31"/>
  <c r="R8" i="31" s="1"/>
  <c r="Q7" i="31"/>
  <c r="R7" i="31" s="1"/>
  <c r="Q6" i="31"/>
  <c r="R6" i="31" s="1"/>
  <c r="Q5" i="31"/>
  <c r="R5" i="31" s="1"/>
  <c r="J32" i="36"/>
  <c r="H32" i="36"/>
  <c r="F32" i="36"/>
  <c r="B32" i="36"/>
  <c r="R35" i="31" l="1"/>
  <c r="K32" i="3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4" i="36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J3" i="36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H3" i="36"/>
  <c r="H4" i="36" s="1"/>
  <c r="F3" i="36"/>
  <c r="F4" i="36" s="1"/>
  <c r="F5" i="36" s="1"/>
  <c r="F6" i="36" s="1"/>
  <c r="F7" i="36" s="1"/>
  <c r="F8" i="36" s="1"/>
  <c r="F9" i="36" s="1"/>
  <c r="B3" i="36"/>
  <c r="N2" i="36"/>
  <c r="L32" i="36" l="1"/>
  <c r="F10" i="36"/>
  <c r="F11" i="36" s="1"/>
  <c r="F12" i="36" s="1"/>
  <c r="F13" i="36" s="1"/>
  <c r="F14" i="36" s="1"/>
  <c r="F15" i="36" s="1"/>
  <c r="F16" i="36" s="1"/>
  <c r="F17" i="36" s="1"/>
  <c r="H5" i="36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K10" i="36"/>
  <c r="K5" i="36"/>
  <c r="L10" i="36" l="1"/>
  <c r="L5" i="36"/>
  <c r="K18" i="36"/>
  <c r="K14" i="36"/>
  <c r="K30" i="36"/>
  <c r="K7" i="36"/>
  <c r="E2" i="36"/>
  <c r="E13" i="36"/>
  <c r="I28" i="36"/>
  <c r="E21" i="36"/>
  <c r="E5" i="36"/>
  <c r="I22" i="36"/>
  <c r="I18" i="36"/>
  <c r="I8" i="36"/>
  <c r="I23" i="36"/>
  <c r="I2" i="36"/>
  <c r="I11" i="36"/>
  <c r="I7" i="36"/>
  <c r="I29" i="36"/>
  <c r="E20" i="36"/>
  <c r="I16" i="36"/>
  <c r="E22" i="36"/>
  <c r="I14" i="36"/>
  <c r="I20" i="36"/>
  <c r="I27" i="36"/>
  <c r="I13" i="36"/>
  <c r="E16" i="36"/>
  <c r="I26" i="36"/>
  <c r="I3" i="36"/>
  <c r="F18" i="36"/>
  <c r="I9" i="36"/>
  <c r="E4" i="36"/>
  <c r="E3" i="36"/>
  <c r="E18" i="36" l="1"/>
  <c r="E30" i="36"/>
  <c r="K22" i="36"/>
  <c r="K19" i="36"/>
  <c r="K28" i="36"/>
  <c r="K21" i="36"/>
  <c r="K16" i="36"/>
  <c r="K9" i="36"/>
  <c r="K3" i="36"/>
  <c r="K13" i="36"/>
  <c r="K20" i="36"/>
  <c r="K2" i="36"/>
  <c r="K31" i="36"/>
  <c r="K12" i="36"/>
  <c r="K4" i="36"/>
  <c r="L14" i="36"/>
  <c r="K11" i="36"/>
  <c r="K24" i="36"/>
  <c r="L7" i="36"/>
  <c r="K8" i="36"/>
  <c r="K15" i="36"/>
  <c r="L30" i="36"/>
  <c r="K17" i="36"/>
  <c r="K23" i="36"/>
  <c r="K26" i="36"/>
  <c r="K6" i="36"/>
  <c r="K29" i="36"/>
  <c r="K27" i="36"/>
  <c r="L18" i="36"/>
  <c r="E28" i="36"/>
  <c r="E9" i="36"/>
  <c r="I21" i="36"/>
  <c r="I12" i="36"/>
  <c r="I30" i="36"/>
  <c r="I31" i="36"/>
  <c r="E24" i="36"/>
  <c r="I24" i="36"/>
  <c r="E26" i="36"/>
  <c r="I19" i="36"/>
  <c r="E29" i="36"/>
  <c r="E27" i="36"/>
  <c r="E12" i="36"/>
  <c r="I10" i="36"/>
  <c r="I17" i="36"/>
  <c r="U10" i="31"/>
  <c r="E7" i="36"/>
  <c r="I4" i="36"/>
  <c r="I15" i="36"/>
  <c r="E25" i="36"/>
  <c r="R37" i="31"/>
  <c r="I25" i="36"/>
  <c r="I5" i="36"/>
  <c r="E19" i="36"/>
  <c r="E15" i="36"/>
  <c r="E31" i="36"/>
  <c r="G7" i="36"/>
  <c r="E23" i="36"/>
  <c r="E14" i="36"/>
  <c r="I6" i="36"/>
  <c r="F19" i="36"/>
  <c r="Q37" i="31"/>
  <c r="N37" i="31"/>
  <c r="M37" i="31"/>
  <c r="I37" i="31"/>
  <c r="H37" i="31"/>
  <c r="G37" i="31"/>
  <c r="U17" i="31"/>
  <c r="T37" i="31"/>
  <c r="S37" i="31"/>
  <c r="U6" i="31"/>
  <c r="U35" i="31" l="1"/>
  <c r="L26" i="36"/>
  <c r="L2" i="36"/>
  <c r="L9" i="36"/>
  <c r="L19" i="36"/>
  <c r="L6" i="36"/>
  <c r="L11" i="36"/>
  <c r="L31" i="36"/>
  <c r="L3" i="36"/>
  <c r="L28" i="36"/>
  <c r="L8" i="36"/>
  <c r="U16" i="31"/>
  <c r="L23" i="36"/>
  <c r="L16" i="36"/>
  <c r="L24" i="36"/>
  <c r="L21" i="36"/>
  <c r="L4" i="36"/>
  <c r="L22" i="36"/>
  <c r="L17" i="36"/>
  <c r="L13" i="36"/>
  <c r="L15" i="36"/>
  <c r="L27" i="36"/>
  <c r="L20" i="36"/>
  <c r="L29" i="36"/>
  <c r="L12" i="36"/>
  <c r="K25" i="36"/>
  <c r="G13" i="36"/>
  <c r="O13" i="36" s="1"/>
  <c r="U7" i="31"/>
  <c r="O7" i="36"/>
  <c r="E8" i="36"/>
  <c r="U11" i="31"/>
  <c r="G14" i="36"/>
  <c r="O14" i="36" s="1"/>
  <c r="G4" i="36"/>
  <c r="O4" i="36" s="1"/>
  <c r="U9" i="31"/>
  <c r="E6" i="36"/>
  <c r="E10" i="36"/>
  <c r="G3" i="36"/>
  <c r="O3" i="36" s="1"/>
  <c r="U30" i="31"/>
  <c r="G6" i="36"/>
  <c r="E17" i="36"/>
  <c r="E11" i="36"/>
  <c r="G27" i="36"/>
  <c r="G8" i="36"/>
  <c r="F20" i="36"/>
  <c r="U25" i="31"/>
  <c r="U8" i="31"/>
  <c r="U32" i="31"/>
  <c r="J37" i="31"/>
  <c r="U33" i="31"/>
  <c r="U27" i="31"/>
  <c r="U24" i="31"/>
  <c r="U23" i="31"/>
  <c r="U29" i="31"/>
  <c r="U21" i="31"/>
  <c r="U15" i="31"/>
  <c r="U26" i="31"/>
  <c r="E37" i="31"/>
  <c r="G2" i="36"/>
  <c r="O2" i="36" s="1"/>
  <c r="U22" i="31"/>
  <c r="U12" i="31"/>
  <c r="U34" i="31"/>
  <c r="U31" i="31"/>
  <c r="O37" i="31"/>
  <c r="U18" i="31"/>
  <c r="U19" i="31"/>
  <c r="P37" i="31"/>
  <c r="L25" i="36" l="1"/>
  <c r="U28" i="31"/>
  <c r="U13" i="31"/>
  <c r="G20" i="36"/>
  <c r="O20" i="36" s="1"/>
  <c r="G5" i="36"/>
  <c r="O5" i="36" s="1"/>
  <c r="G28" i="36"/>
  <c r="G9" i="36"/>
  <c r="O9" i="36" s="1"/>
  <c r="G23" i="36"/>
  <c r="U20" i="31"/>
  <c r="O8" i="36"/>
  <c r="G26" i="36"/>
  <c r="G18" i="36"/>
  <c r="O18" i="36" s="1"/>
  <c r="U14" i="31"/>
  <c r="G16" i="36"/>
  <c r="O16" i="36" s="1"/>
  <c r="G17" i="36"/>
  <c r="O17" i="36" s="1"/>
  <c r="G19" i="36"/>
  <c r="O19" i="36" s="1"/>
  <c r="G24" i="36"/>
  <c r="G11" i="36"/>
  <c r="O11" i="36" s="1"/>
  <c r="G12" i="36"/>
  <c r="O12" i="36" s="1"/>
  <c r="G29" i="36"/>
  <c r="O6" i="36"/>
  <c r="G30" i="36"/>
  <c r="G10" i="36"/>
  <c r="O10" i="36" s="1"/>
  <c r="G22" i="36"/>
  <c r="G21" i="36"/>
  <c r="G31" i="36"/>
  <c r="G15" i="36"/>
  <c r="O15" i="36" s="1"/>
  <c r="G25" i="36"/>
  <c r="F21" i="36"/>
  <c r="U5" i="31"/>
  <c r="F37" i="31"/>
  <c r="F22" i="36" l="1"/>
  <c r="O21" i="36"/>
  <c r="U37" i="31"/>
  <c r="L37" i="31"/>
  <c r="F23" i="36" l="1"/>
  <c r="O22" i="36"/>
  <c r="F24" i="36" l="1"/>
  <c r="O23" i="36"/>
  <c r="F25" i="36" l="1"/>
  <c r="O24" i="36"/>
  <c r="F26" i="36" l="1"/>
  <c r="O25" i="36"/>
  <c r="F27" i="36" l="1"/>
  <c r="O26" i="36"/>
  <c r="F28" i="36" l="1"/>
  <c r="O27" i="36"/>
  <c r="F29" i="36" l="1"/>
  <c r="O28" i="36"/>
  <c r="O29" i="36" l="1"/>
  <c r="F30" i="36"/>
  <c r="F31" i="36" l="1"/>
  <c r="O30" i="36"/>
  <c r="O31" i="36" l="1"/>
</calcChain>
</file>

<file path=xl/sharedStrings.xml><?xml version="1.0" encoding="utf-8"?>
<sst xmlns="http://schemas.openxmlformats.org/spreadsheetml/2006/main" count="110" uniqueCount="68">
  <si>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</si>
  <si>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</si>
  <si>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</si>
  <si>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</si>
  <si>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</si>
  <si>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</si>
  <si>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</si>
  <si>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</si>
  <si>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</si>
  <si>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</si>
  <si>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</si>
  <si>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</si>
  <si>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</si>
  <si>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</si>
  <si>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</si>
  <si>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</si>
  <si>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r>
      <t xml:space="preserve">    UTILITIES CONSUMPTION REPORT(2020-11)  </t>
    </r>
    <r>
      <rPr>
        <b/>
        <sz val="10"/>
        <rFont val="仿宋"/>
        <family val="3"/>
        <charset val="134"/>
      </rPr>
      <t>电费从2019年8月1号开始下降改为0.675169/Kwh，天然气从2020年9月1号开始下降改为3.95/m³2020年裙楼空调冷量价格为291.66/Mw.h+每天固定人工等1655.02元</t>
    </r>
  </si>
  <si>
    <t>DATE                      日期</t>
  </si>
  <si>
    <t>Out door Temp℃                                 户外          温度</t>
  </si>
  <si>
    <t>Event Cover                                        宴会         人数</t>
  </si>
  <si>
    <t>RoomOcc.%            客房率</t>
  </si>
  <si>
    <t>Kitchen Gas               厨房天然气                (RMB3.95/m³)</t>
  </si>
  <si>
    <t>Boiler Gas           锅炉天然气(蒸汽)
(RMB3.95/m³)</t>
  </si>
  <si>
    <t>Boiler Gas                锅炉天然气(热水)
(RMB3.95/m³)</t>
  </si>
  <si>
    <t>General Gas               总天然气               (RMB3.95/m³)</t>
  </si>
  <si>
    <t>Chiller Electricity Consumption                   空调主机用电量                       (RMB0.675169/Kwh)</t>
    <phoneticPr fontId="2" type="noConversion"/>
  </si>
  <si>
    <r>
      <t>General electricity      总电量</t>
    </r>
    <r>
      <rPr>
        <b/>
        <sz val="9"/>
        <rFont val="仿宋"/>
        <family val="3"/>
        <charset val="134"/>
      </rPr>
      <t>(*10000)(RMB0.675169/Kwh)</t>
    </r>
    <phoneticPr fontId="2" type="noConversion"/>
  </si>
  <si>
    <t>Podium AC Consumption              裙楼空调用量              (Mw/h)Rmb291.66/MwH+1655.02/天</t>
    <phoneticPr fontId="2" type="noConversion"/>
  </si>
  <si>
    <t>Water Consumption         水用量</t>
    <phoneticPr fontId="2" type="noConversion"/>
  </si>
  <si>
    <t>Daily Total Utility Expense(RMB)                            每日能耗总费用</t>
  </si>
  <si>
    <r>
      <t>domestic Water 生活水RMB3.46/m</t>
    </r>
    <r>
      <rPr>
        <b/>
        <vertAlign val="superscript"/>
        <sz val="10"/>
        <rFont val="仿宋"/>
        <family val="3"/>
        <charset val="134"/>
      </rPr>
      <t xml:space="preserve">3 </t>
    </r>
  </si>
  <si>
    <t>Totalgas (m³)</t>
    <phoneticPr fontId="2" type="noConversion"/>
  </si>
  <si>
    <t>Total RMB</t>
  </si>
  <si>
    <t>Total RMB</t>
    <phoneticPr fontId="2" type="noConversion"/>
  </si>
  <si>
    <t>Totalgas(m³)</t>
    <phoneticPr fontId="2" type="noConversion"/>
  </si>
  <si>
    <t>Totalgas   (m³)</t>
    <phoneticPr fontId="2" type="noConversion"/>
  </si>
  <si>
    <t>Total electric (KWH)</t>
    <phoneticPr fontId="2" type="noConversion"/>
  </si>
  <si>
    <t>Total electric  (KWH)</t>
    <phoneticPr fontId="2" type="noConversion"/>
  </si>
  <si>
    <t>Total 
(Mw/h0</t>
    <phoneticPr fontId="2" type="noConversion"/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</si>
  <si>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  <phoneticPr fontId="2" type="noConversion"/>
  </si>
  <si>
    <t>13/23</t>
    <phoneticPr fontId="2" type="noConversion"/>
  </si>
  <si>
    <t>Aver.</t>
  </si>
  <si>
    <t>Total</t>
  </si>
  <si>
    <t>11\21</t>
    <phoneticPr fontId="2" type="noConversion"/>
  </si>
  <si>
    <t>9\19</t>
    <phoneticPr fontId="2" type="noConversion"/>
  </si>
  <si>
    <t>13\23</t>
    <phoneticPr fontId="2" type="noConversion"/>
  </si>
  <si>
    <t>11\23</t>
    <phoneticPr fontId="2" type="noConversion"/>
  </si>
  <si>
    <t>12\23</t>
    <phoneticPr fontId="2" type="noConversion"/>
  </si>
  <si>
    <t>16\23</t>
    <phoneticPr fontId="2" type="noConversion"/>
  </si>
  <si>
    <t>17\23</t>
    <phoneticPr fontId="2" type="noConversion"/>
  </si>
  <si>
    <t>19\25</t>
    <phoneticPr fontId="2" type="noConversion"/>
  </si>
  <si>
    <t>10\16</t>
    <phoneticPr fontId="2" type="noConversion"/>
  </si>
  <si>
    <t>10\15</t>
    <phoneticPr fontId="2" type="noConversion"/>
  </si>
  <si>
    <t>9\14</t>
    <phoneticPr fontId="2" type="noConversion"/>
  </si>
  <si>
    <t>11\14</t>
    <phoneticPr fontId="2" type="noConversion"/>
  </si>
  <si>
    <t>9\13</t>
    <phoneticPr fontId="2" type="noConversion"/>
  </si>
  <si>
    <t>9\16</t>
    <phoneticPr fontId="2" type="noConversion"/>
  </si>
  <si>
    <t>9\17</t>
  </si>
  <si>
    <t>15\21</t>
    <phoneticPr fontId="2" type="noConversion"/>
  </si>
  <si>
    <t>14/20</t>
    <phoneticPr fontId="2" type="noConversion"/>
  </si>
  <si>
    <t>14/21</t>
    <phoneticPr fontId="2" type="noConversion"/>
  </si>
  <si>
    <t>16/23</t>
    <phoneticPr fontId="2" type="noConversion"/>
  </si>
  <si>
    <t>15/26</t>
    <phoneticPr fontId="2" type="noConversion"/>
  </si>
  <si>
    <t>16/26</t>
    <phoneticPr fontId="2" type="noConversion"/>
  </si>
  <si>
    <t>9\26</t>
    <phoneticPr fontId="2" type="noConversion"/>
  </si>
  <si>
    <t>4\15</t>
    <phoneticPr fontId="2" type="noConversion"/>
  </si>
  <si>
    <t>4\14</t>
    <phoneticPr fontId="2" type="noConversion"/>
  </si>
  <si>
    <t>5\16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</si>
</sst>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64" formatCode="0_ "/>
    <numFmt numFmtId="165" formatCode="[$￥-804]#,##0.00"/>
    <numFmt numFmtId="166" formatCode="[$￥-804]#,##0.00_);[Red]\([$￥-804]#,##0.00\)"/>
  </numFmts>
  <fonts count="2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b/>
      <sz val="7"/>
      <name val="仿宋"/>
      <family val="3"/>
      <charset val="134"/>
    </font>
    <font>
      <b/>
      <vertAlign val="superscript"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locked="0"/>
    </xf>
    <xf numFmtId="41" fontId="7" fillId="0" borderId="4" xfId="0" applyNumberFormat="1" applyFont="1" applyBorder="1" applyAlignment="1" applyProtection="1">
      <alignment horizontal="center" vertical="center"/>
      <protection locked="0"/>
    </xf>
    <xf numFmtId="41" fontId="7" fillId="3" borderId="5" xfId="0" applyNumberFormat="1" applyFont="1" applyFill="1" applyBorder="1" applyAlignment="1" applyProtection="1">
      <alignment horizontal="center" vertical="center"/>
      <protection locked="0"/>
    </xf>
    <xf numFmtId="165" fontId="7" fillId="0" borderId="6" xfId="0" applyNumberFormat="1" applyFont="1" applyBorder="1" applyAlignment="1" applyProtection="1">
      <alignment horizontal="center" vertical="center"/>
      <protection locked="0"/>
    </xf>
    <xf numFmtId="166" fontId="7" fillId="0" borderId="6" xfId="0" applyNumberFormat="1" applyFont="1" applyBorder="1" applyAlignment="1" applyProtection="1">
      <alignment horizontal="center" vertical="center"/>
      <protection locked="0"/>
    </xf>
    <xf numFmtId="166" fontId="7" fillId="0" borderId="7" xfId="0" applyNumberFormat="1" applyFont="1" applyBorder="1" applyAlignment="1" applyProtection="1">
      <alignment horizontal="center" vertical="center"/>
      <protection locked="0"/>
    </xf>
    <xf numFmtId="165" fontId="7" fillId="3" borderId="5" xfId="0" applyNumberFormat="1" applyFont="1" applyFill="1" applyBorder="1" applyAlignment="1" applyProtection="1">
      <alignment horizontal="center" vertical="center"/>
      <protection locked="0"/>
    </xf>
    <xf numFmtId="166" fontId="7" fillId="3" borderId="5" xfId="0" applyNumberFormat="1" applyFont="1" applyFill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  <xf numFmtId="41" fontId="7" fillId="3" borderId="15" xfId="0" applyNumberFormat="1" applyFont="1" applyFill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41" fontId="7" fillId="0" borderId="17" xfId="0" applyNumberFormat="1" applyFont="1" applyBorder="1" applyAlignment="1" applyProtection="1">
      <alignment horizontal="center" vertical="center"/>
      <protection locked="0"/>
    </xf>
    <xf numFmtId="41" fontId="7" fillId="0" borderId="2" xfId="0" applyNumberFormat="1" applyFont="1" applyBorder="1" applyAlignment="1" applyProtection="1">
      <alignment horizontal="center" vertical="center"/>
      <protection locked="0"/>
    </xf>
    <xf numFmtId="166" fontId="7" fillId="0" borderId="18" xfId="0" applyNumberFormat="1" applyFont="1" applyBorder="1" applyAlignment="1" applyProtection="1">
      <alignment horizontal="center" vertical="center"/>
      <protection locked="0"/>
    </xf>
    <xf numFmtId="166" fontId="7" fillId="0" borderId="1" xfId="0" applyNumberFormat="1" applyFont="1" applyBorder="1" applyAlignment="1" applyProtection="1">
      <alignment horizontal="center" vertical="center"/>
      <protection locked="0"/>
    </xf>
    <xf numFmtId="165" fontId="7" fillId="0" borderId="7" xfId="0" applyNumberFormat="1" applyFont="1" applyBorder="1" applyAlignment="1" applyProtection="1">
      <alignment horizontal="center" vertical="center"/>
      <protection locked="0"/>
    </xf>
    <xf numFmtId="165" fontId="7" fillId="3" borderId="19" xfId="0" applyNumberFormat="1" applyFont="1" applyFill="1" applyBorder="1" applyAlignment="1" applyProtection="1">
      <alignment horizontal="center" vertical="center"/>
      <protection locked="0"/>
    </xf>
    <xf numFmtId="165" fontId="7" fillId="0" borderId="18" xfId="0" applyNumberFormat="1" applyFont="1" applyBorder="1" applyAlignment="1" applyProtection="1">
      <alignment horizontal="center" vertical="center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165" fontId="7" fillId="3" borderId="15" xfId="0" applyNumberFormat="1" applyFont="1" applyFill="1" applyBorder="1" applyAlignment="1" applyProtection="1">
      <alignment horizontal="center" vertical="center"/>
      <protection locked="0"/>
    </xf>
    <xf numFmtId="166" fontId="7" fillId="3" borderId="19" xfId="0" applyNumberFormat="1" applyFont="1" applyFill="1" applyBorder="1" applyAlignment="1" applyProtection="1">
      <alignment horizontal="center" vertical="center"/>
      <protection locked="0"/>
    </xf>
    <xf numFmtId="166" fontId="9" fillId="0" borderId="20" xfId="0" applyNumberFormat="1" applyFont="1" applyBorder="1" applyAlignment="1" applyProtection="1">
      <alignment horizontal="center" vertical="center" wrapText="1"/>
      <protection locked="0"/>
    </xf>
    <xf numFmtId="166" fontId="9" fillId="0" borderId="21" xfId="0" applyNumberFormat="1" applyFont="1" applyBorder="1" applyAlignment="1" applyProtection="1">
      <alignment horizontal="center" vertical="center" wrapText="1"/>
      <protection locked="0"/>
    </xf>
    <xf numFmtId="41" fontId="15" fillId="0" borderId="11" xfId="0" applyNumberFormat="1" applyFont="1" applyBorder="1" applyAlignment="1" applyProtection="1">
      <alignment horizontal="center" vertical="center" wrapText="1"/>
      <protection locked="0"/>
    </xf>
    <xf numFmtId="41" fontId="14" fillId="0" borderId="22" xfId="0" applyNumberFormat="1" applyFont="1" applyBorder="1" applyAlignment="1" applyProtection="1">
      <alignment horizontal="center" vertical="center" wrapText="1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16" fillId="0" borderId="5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1" fontId="16" fillId="0" borderId="5" xfId="1" applyNumberFormat="1" applyFont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6" fillId="0" borderId="0" xfId="1" applyFont="1" applyAlignment="1">
      <alignment wrapText="1"/>
    </xf>
    <xf numFmtId="0" fontId="16" fillId="0" borderId="0" xfId="1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1" fontId="19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7" fillId="0" borderId="5" xfId="1" applyFont="1" applyBorder="1" applyAlignment="1">
      <alignment horizontal="center" wrapText="1"/>
    </xf>
    <xf numFmtId="2" fontId="20" fillId="0" borderId="0" xfId="1" applyNumberFormat="1" applyFont="1" applyAlignment="1">
      <alignment horizontal="center"/>
    </xf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26" xfId="0" applyFont="1" applyBorder="1" applyAlignment="1" applyProtection="1">
      <alignment horizontal="center" vertical="center" wrapText="1"/>
      <protection locked="0"/>
    </xf>
    <xf numFmtId="0" fontId="9" fillId="0" borderId="27" xfId="0" applyFont="1" applyBorder="1" applyAlignment="1" applyProtection="1">
      <alignment horizontal="center" vertical="center" wrapText="1"/>
      <protection locked="0"/>
    </xf>
    <xf numFmtId="0" fontId="9" fillId="0" borderId="28" xfId="0" applyFont="1" applyBorder="1" applyAlignment="1" applyProtection="1">
      <alignment horizontal="center" vertical="center" wrapText="1"/>
      <protection locked="0"/>
    </xf>
    <xf numFmtId="0" fontId="9" fillId="2" borderId="26" xfId="0" applyFont="1" applyFill="1" applyBorder="1" applyAlignment="1" applyProtection="1">
      <alignment horizontal="center" vertical="center" wrapText="1"/>
      <protection locked="0"/>
    </xf>
    <xf numFmtId="0" fontId="9" fillId="2" borderId="27" xfId="0" applyFont="1" applyFill="1" applyBorder="1" applyAlignment="1" applyProtection="1">
      <alignment horizontal="center" vertical="center" wrapText="1"/>
      <protection locked="0"/>
    </xf>
    <xf numFmtId="0" fontId="9" fillId="2" borderId="28" xfId="0" applyFont="1" applyFill="1" applyBorder="1" applyAlignment="1" applyProtection="1">
      <alignment horizontal="center" vertical="center" wrapText="1"/>
      <protection locked="0"/>
    </xf>
    <xf numFmtId="164" fontId="9" fillId="2" borderId="29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30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5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9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2" borderId="29" xfId="0" applyFont="1" applyFill="1" applyBorder="1" applyAlignment="1" applyProtection="1">
      <alignment horizontal="center" vertical="center" wrapText="1"/>
      <protection locked="0"/>
    </xf>
    <xf numFmtId="0" fontId="9" fillId="2" borderId="30" xfId="0" applyFont="1" applyFill="1" applyBorder="1" applyAlignment="1" applyProtection="1">
      <alignment horizontal="center" vertical="center" wrapText="1"/>
      <protection locked="0"/>
    </xf>
    <xf numFmtId="0" fontId="9" fillId="2" borderId="15" xfId="0" applyFont="1" applyFill="1" applyBorder="1" applyAlignment="1" applyProtection="1">
      <alignment horizontal="center" vertical="center" wrapText="1"/>
      <protection locked="0"/>
    </xf>
    <xf numFmtId="0" fontId="9" fillId="2" borderId="19" xfId="0" applyFont="1" applyFill="1" applyBorder="1" applyAlignment="1" applyProtection="1">
      <alignment horizontal="center" vertical="center" wrapText="1"/>
      <protection locked="0"/>
    </xf>
    <xf numFmtId="43" fontId="6" fillId="0" borderId="31" xfId="0" applyNumberFormat="1" applyFont="1" applyBorder="1" applyAlignment="1" applyProtection="1">
      <alignment horizontal="center" vertical="center"/>
      <protection locked="0"/>
    </xf>
    <xf numFmtId="43" fontId="6" fillId="0" borderId="32" xfId="0" applyNumberFormat="1" applyFont="1" applyBorder="1" applyAlignment="1" applyProtection="1">
      <alignment horizontal="center" vertical="center"/>
      <protection locked="0"/>
    </xf>
    <xf numFmtId="0" fontId="9" fillId="2" borderId="31" xfId="0" applyFont="1" applyFill="1" applyBorder="1" applyAlignment="1" applyProtection="1">
      <alignment horizontal="center" vertical="center" wrapText="1"/>
      <protection locked="0"/>
    </xf>
    <xf numFmtId="0" fontId="9" fillId="2" borderId="33" xfId="0" applyFont="1" applyFill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34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1" fontId="7" fillId="4" borderId="4" xfId="0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&#33021;&#28304;&#32479;&#35745;&#34920;Energy%20Consumption\2020&#33021;&#32791;&#25253;&#34920;\20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B1 &amp; 102F 锅炉房"/>
      <sheetName val="B4 水表"/>
      <sheetName val="68厨房"/>
      <sheetName val="厨房燃气"/>
      <sheetName val="主塔楼空调用电量"/>
      <sheetName val="裙楼空调用量"/>
      <sheetName val="Compatibility Report"/>
      <sheetName val="付款申请书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>
        <row r="4">
          <cell r="L4">
            <v>10</v>
          </cell>
        </row>
        <row r="5">
          <cell r="L5">
            <v>10</v>
          </cell>
        </row>
        <row r="6">
          <cell r="L6">
            <v>10</v>
          </cell>
        </row>
        <row r="7">
          <cell r="L7">
            <v>9</v>
          </cell>
        </row>
        <row r="8">
          <cell r="L8">
            <v>11</v>
          </cell>
        </row>
        <row r="9">
          <cell r="L9">
            <v>9</v>
          </cell>
        </row>
        <row r="10">
          <cell r="L10">
            <v>10</v>
          </cell>
        </row>
        <row r="11">
          <cell r="L11">
            <v>11</v>
          </cell>
        </row>
        <row r="12">
          <cell r="L12">
            <v>10</v>
          </cell>
        </row>
        <row r="13">
          <cell r="L13">
            <v>11</v>
          </cell>
        </row>
        <row r="14">
          <cell r="L14">
            <v>11</v>
          </cell>
        </row>
        <row r="15">
          <cell r="L15">
            <v>24</v>
          </cell>
        </row>
        <row r="16">
          <cell r="L16">
            <v>8</v>
          </cell>
        </row>
        <row r="17">
          <cell r="L17">
            <v>3</v>
          </cell>
        </row>
        <row r="18">
          <cell r="L18">
            <v>5</v>
          </cell>
        </row>
        <row r="19">
          <cell r="L19">
            <v>5</v>
          </cell>
        </row>
        <row r="20">
          <cell r="L20">
            <v>6</v>
          </cell>
        </row>
        <row r="21">
          <cell r="L21">
            <v>8</v>
          </cell>
        </row>
        <row r="22">
          <cell r="L22">
            <v>5</v>
          </cell>
        </row>
        <row r="23">
          <cell r="L23">
            <v>5</v>
          </cell>
        </row>
        <row r="24">
          <cell r="L24">
            <v>8</v>
          </cell>
        </row>
        <row r="25">
          <cell r="L25">
            <v>5</v>
          </cell>
        </row>
        <row r="26">
          <cell r="L26">
            <v>7</v>
          </cell>
        </row>
        <row r="27">
          <cell r="L27">
            <v>8</v>
          </cell>
        </row>
        <row r="28">
          <cell r="L28">
            <v>9</v>
          </cell>
        </row>
        <row r="29">
          <cell r="L29">
            <v>8</v>
          </cell>
        </row>
        <row r="30">
          <cell r="L30">
            <v>8</v>
          </cell>
        </row>
        <row r="31">
          <cell r="L31">
            <v>12</v>
          </cell>
        </row>
        <row r="32">
          <cell r="L32">
            <v>12</v>
          </cell>
        </row>
        <row r="33">
          <cell r="L33">
            <v>9</v>
          </cell>
        </row>
        <row r="34">
          <cell r="L34">
            <v>4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opLeftCell="A4" zoomScale="85" zoomScaleNormal="85" workbookViewId="0">
      <selection activeCell="I2" sqref="I2"/>
    </sheetView>
  </sheetViews>
  <sheetFormatPr defaultColWidth="10.125" defaultRowHeight="15"/>
  <cols>
    <col min="1" max="1" width="10.75" style="61" customWidth="1"/>
    <col min="2" max="3" width="10.125" style="55"/>
    <col min="4" max="4" width="11.75" style="56" customWidth="1"/>
    <col min="5" max="5" width="11" style="57" customWidth="1"/>
    <col min="6" max="6" width="11" style="64" customWidth="1"/>
    <col min="7" max="7" width="10.125" style="61"/>
    <col min="8" max="8" width="10.125" style="64"/>
    <col min="9" max="9" width="10.125" style="61"/>
    <col min="10" max="12" width="10.125" style="64"/>
    <col min="13" max="14" width="10.125" style="57"/>
    <col min="15" max="15" width="0" style="60" hidden="1" customWidth="1"/>
    <col min="16" max="258" width="10.125" style="60"/>
    <col min="259" max="259" width="10.75" style="60" customWidth="1"/>
    <col min="260" max="261" width="10.125" style="60"/>
    <col min="262" max="262" width="11.75" style="60" customWidth="1"/>
    <col min="263" max="264" width="11" style="60" customWidth="1"/>
    <col min="265" max="270" width="10.125" style="60"/>
    <col min="271" max="271" width="0" style="60" hidden="1" customWidth="1"/>
    <col min="272" max="514" width="10.125" style="60"/>
    <col min="515" max="515" width="10.75" style="60" customWidth="1"/>
    <col min="516" max="517" width="10.125" style="60"/>
    <col min="518" max="518" width="11.75" style="60" customWidth="1"/>
    <col min="519" max="520" width="11" style="60" customWidth="1"/>
    <col min="521" max="526" width="10.125" style="60"/>
    <col min="527" max="527" width="0" style="60" hidden="1" customWidth="1"/>
    <col min="528" max="770" width="10.125" style="60"/>
    <col min="771" max="771" width="10.75" style="60" customWidth="1"/>
    <col min="772" max="773" width="10.125" style="60"/>
    <col min="774" max="774" width="11.75" style="60" customWidth="1"/>
    <col min="775" max="776" width="11" style="60" customWidth="1"/>
    <col min="777" max="782" width="10.125" style="60"/>
    <col min="783" max="783" width="0" style="60" hidden="1" customWidth="1"/>
    <col min="784" max="1026" width="10.125" style="60"/>
    <col min="1027" max="1027" width="10.75" style="60" customWidth="1"/>
    <col min="1028" max="1029" width="10.125" style="60"/>
    <col min="1030" max="1030" width="11.75" style="60" customWidth="1"/>
    <col min="1031" max="1032" width="11" style="60" customWidth="1"/>
    <col min="1033" max="1038" width="10.125" style="60"/>
    <col min="1039" max="1039" width="0" style="60" hidden="1" customWidth="1"/>
    <col min="1040" max="1282" width="10.125" style="60"/>
    <col min="1283" max="1283" width="10.75" style="60" customWidth="1"/>
    <col min="1284" max="1285" width="10.125" style="60"/>
    <col min="1286" max="1286" width="11.75" style="60" customWidth="1"/>
    <col min="1287" max="1288" width="11" style="60" customWidth="1"/>
    <col min="1289" max="1294" width="10.125" style="60"/>
    <col min="1295" max="1295" width="0" style="60" hidden="1" customWidth="1"/>
    <col min="1296" max="1538" width="10.125" style="60"/>
    <col min="1539" max="1539" width="10.75" style="60" customWidth="1"/>
    <col min="1540" max="1541" width="10.125" style="60"/>
    <col min="1542" max="1542" width="11.75" style="60" customWidth="1"/>
    <col min="1543" max="1544" width="11" style="60" customWidth="1"/>
    <col min="1545" max="1550" width="10.125" style="60"/>
    <col min="1551" max="1551" width="0" style="60" hidden="1" customWidth="1"/>
    <col min="1552" max="1794" width="10.125" style="60"/>
    <col min="1795" max="1795" width="10.75" style="60" customWidth="1"/>
    <col min="1796" max="1797" width="10.125" style="60"/>
    <col min="1798" max="1798" width="11.75" style="60" customWidth="1"/>
    <col min="1799" max="1800" width="11" style="60" customWidth="1"/>
    <col min="1801" max="1806" width="10.125" style="60"/>
    <col min="1807" max="1807" width="0" style="60" hidden="1" customWidth="1"/>
    <col min="1808" max="2050" width="10.125" style="60"/>
    <col min="2051" max="2051" width="10.75" style="60" customWidth="1"/>
    <col min="2052" max="2053" width="10.125" style="60"/>
    <col min="2054" max="2054" width="11.75" style="60" customWidth="1"/>
    <col min="2055" max="2056" width="11" style="60" customWidth="1"/>
    <col min="2057" max="2062" width="10.125" style="60"/>
    <col min="2063" max="2063" width="0" style="60" hidden="1" customWidth="1"/>
    <col min="2064" max="2306" width="10.125" style="60"/>
    <col min="2307" max="2307" width="10.75" style="60" customWidth="1"/>
    <col min="2308" max="2309" width="10.125" style="60"/>
    <col min="2310" max="2310" width="11.75" style="60" customWidth="1"/>
    <col min="2311" max="2312" width="11" style="60" customWidth="1"/>
    <col min="2313" max="2318" width="10.125" style="60"/>
    <col min="2319" max="2319" width="0" style="60" hidden="1" customWidth="1"/>
    <col min="2320" max="2562" width="10.125" style="60"/>
    <col min="2563" max="2563" width="10.75" style="60" customWidth="1"/>
    <col min="2564" max="2565" width="10.125" style="60"/>
    <col min="2566" max="2566" width="11.75" style="60" customWidth="1"/>
    <col min="2567" max="2568" width="11" style="60" customWidth="1"/>
    <col min="2569" max="2574" width="10.125" style="60"/>
    <col min="2575" max="2575" width="0" style="60" hidden="1" customWidth="1"/>
    <col min="2576" max="2818" width="10.125" style="60"/>
    <col min="2819" max="2819" width="10.75" style="60" customWidth="1"/>
    <col min="2820" max="2821" width="10.125" style="60"/>
    <col min="2822" max="2822" width="11.75" style="60" customWidth="1"/>
    <col min="2823" max="2824" width="11" style="60" customWidth="1"/>
    <col min="2825" max="2830" width="10.125" style="60"/>
    <col min="2831" max="2831" width="0" style="60" hidden="1" customWidth="1"/>
    <col min="2832" max="3074" width="10.125" style="60"/>
    <col min="3075" max="3075" width="10.75" style="60" customWidth="1"/>
    <col min="3076" max="3077" width="10.125" style="60"/>
    <col min="3078" max="3078" width="11.75" style="60" customWidth="1"/>
    <col min="3079" max="3080" width="11" style="60" customWidth="1"/>
    <col min="3081" max="3086" width="10.125" style="60"/>
    <col min="3087" max="3087" width="0" style="60" hidden="1" customWidth="1"/>
    <col min="3088" max="3330" width="10.125" style="60"/>
    <col min="3331" max="3331" width="10.75" style="60" customWidth="1"/>
    <col min="3332" max="3333" width="10.125" style="60"/>
    <col min="3334" max="3334" width="11.75" style="60" customWidth="1"/>
    <col min="3335" max="3336" width="11" style="60" customWidth="1"/>
    <col min="3337" max="3342" width="10.125" style="60"/>
    <col min="3343" max="3343" width="0" style="60" hidden="1" customWidth="1"/>
    <col min="3344" max="3586" width="10.125" style="60"/>
    <col min="3587" max="3587" width="10.75" style="60" customWidth="1"/>
    <col min="3588" max="3589" width="10.125" style="60"/>
    <col min="3590" max="3590" width="11.75" style="60" customWidth="1"/>
    <col min="3591" max="3592" width="11" style="60" customWidth="1"/>
    <col min="3593" max="3598" width="10.125" style="60"/>
    <col min="3599" max="3599" width="0" style="60" hidden="1" customWidth="1"/>
    <col min="3600" max="3842" width="10.125" style="60"/>
    <col min="3843" max="3843" width="10.75" style="60" customWidth="1"/>
    <col min="3844" max="3845" width="10.125" style="60"/>
    <col min="3846" max="3846" width="11.75" style="60" customWidth="1"/>
    <col min="3847" max="3848" width="11" style="60" customWidth="1"/>
    <col min="3849" max="3854" width="10.125" style="60"/>
    <col min="3855" max="3855" width="0" style="60" hidden="1" customWidth="1"/>
    <col min="3856" max="4098" width="10.125" style="60"/>
    <col min="4099" max="4099" width="10.75" style="60" customWidth="1"/>
    <col min="4100" max="4101" width="10.125" style="60"/>
    <col min="4102" max="4102" width="11.75" style="60" customWidth="1"/>
    <col min="4103" max="4104" width="11" style="60" customWidth="1"/>
    <col min="4105" max="4110" width="10.125" style="60"/>
    <col min="4111" max="4111" width="0" style="60" hidden="1" customWidth="1"/>
    <col min="4112" max="4354" width="10.125" style="60"/>
    <col min="4355" max="4355" width="10.75" style="60" customWidth="1"/>
    <col min="4356" max="4357" width="10.125" style="60"/>
    <col min="4358" max="4358" width="11.75" style="60" customWidth="1"/>
    <col min="4359" max="4360" width="11" style="60" customWidth="1"/>
    <col min="4361" max="4366" width="10.125" style="60"/>
    <col min="4367" max="4367" width="0" style="60" hidden="1" customWidth="1"/>
    <col min="4368" max="4610" width="10.125" style="60"/>
    <col min="4611" max="4611" width="10.75" style="60" customWidth="1"/>
    <col min="4612" max="4613" width="10.125" style="60"/>
    <col min="4614" max="4614" width="11.75" style="60" customWidth="1"/>
    <col min="4615" max="4616" width="11" style="60" customWidth="1"/>
    <col min="4617" max="4622" width="10.125" style="60"/>
    <col min="4623" max="4623" width="0" style="60" hidden="1" customWidth="1"/>
    <col min="4624" max="4866" width="10.125" style="60"/>
    <col min="4867" max="4867" width="10.75" style="60" customWidth="1"/>
    <col min="4868" max="4869" width="10.125" style="60"/>
    <col min="4870" max="4870" width="11.75" style="60" customWidth="1"/>
    <col min="4871" max="4872" width="11" style="60" customWidth="1"/>
    <col min="4873" max="4878" width="10.125" style="60"/>
    <col min="4879" max="4879" width="0" style="60" hidden="1" customWidth="1"/>
    <col min="4880" max="5122" width="10.125" style="60"/>
    <col min="5123" max="5123" width="10.75" style="60" customWidth="1"/>
    <col min="5124" max="5125" width="10.125" style="60"/>
    <col min="5126" max="5126" width="11.75" style="60" customWidth="1"/>
    <col min="5127" max="5128" width="11" style="60" customWidth="1"/>
    <col min="5129" max="5134" width="10.125" style="60"/>
    <col min="5135" max="5135" width="0" style="60" hidden="1" customWidth="1"/>
    <col min="5136" max="5378" width="10.125" style="60"/>
    <col min="5379" max="5379" width="10.75" style="60" customWidth="1"/>
    <col min="5380" max="5381" width="10.125" style="60"/>
    <col min="5382" max="5382" width="11.75" style="60" customWidth="1"/>
    <col min="5383" max="5384" width="11" style="60" customWidth="1"/>
    <col min="5385" max="5390" width="10.125" style="60"/>
    <col min="5391" max="5391" width="0" style="60" hidden="1" customWidth="1"/>
    <col min="5392" max="5634" width="10.125" style="60"/>
    <col min="5635" max="5635" width="10.75" style="60" customWidth="1"/>
    <col min="5636" max="5637" width="10.125" style="60"/>
    <col min="5638" max="5638" width="11.75" style="60" customWidth="1"/>
    <col min="5639" max="5640" width="11" style="60" customWidth="1"/>
    <col min="5641" max="5646" width="10.125" style="60"/>
    <col min="5647" max="5647" width="0" style="60" hidden="1" customWidth="1"/>
    <col min="5648" max="5890" width="10.125" style="60"/>
    <col min="5891" max="5891" width="10.75" style="60" customWidth="1"/>
    <col min="5892" max="5893" width="10.125" style="60"/>
    <col min="5894" max="5894" width="11.75" style="60" customWidth="1"/>
    <col min="5895" max="5896" width="11" style="60" customWidth="1"/>
    <col min="5897" max="5902" width="10.125" style="60"/>
    <col min="5903" max="5903" width="0" style="60" hidden="1" customWidth="1"/>
    <col min="5904" max="6146" width="10.125" style="60"/>
    <col min="6147" max="6147" width="10.75" style="60" customWidth="1"/>
    <col min="6148" max="6149" width="10.125" style="60"/>
    <col min="6150" max="6150" width="11.75" style="60" customWidth="1"/>
    <col min="6151" max="6152" width="11" style="60" customWidth="1"/>
    <col min="6153" max="6158" width="10.125" style="60"/>
    <col min="6159" max="6159" width="0" style="60" hidden="1" customWidth="1"/>
    <col min="6160" max="6402" width="10.125" style="60"/>
    <col min="6403" max="6403" width="10.75" style="60" customWidth="1"/>
    <col min="6404" max="6405" width="10.125" style="60"/>
    <col min="6406" max="6406" width="11.75" style="60" customWidth="1"/>
    <col min="6407" max="6408" width="11" style="60" customWidth="1"/>
    <col min="6409" max="6414" width="10.125" style="60"/>
    <col min="6415" max="6415" width="0" style="60" hidden="1" customWidth="1"/>
    <col min="6416" max="6658" width="10.125" style="60"/>
    <col min="6659" max="6659" width="10.75" style="60" customWidth="1"/>
    <col min="6660" max="6661" width="10.125" style="60"/>
    <col min="6662" max="6662" width="11.75" style="60" customWidth="1"/>
    <col min="6663" max="6664" width="11" style="60" customWidth="1"/>
    <col min="6665" max="6670" width="10.125" style="60"/>
    <col min="6671" max="6671" width="0" style="60" hidden="1" customWidth="1"/>
    <col min="6672" max="6914" width="10.125" style="60"/>
    <col min="6915" max="6915" width="10.75" style="60" customWidth="1"/>
    <col min="6916" max="6917" width="10.125" style="60"/>
    <col min="6918" max="6918" width="11.75" style="60" customWidth="1"/>
    <col min="6919" max="6920" width="11" style="60" customWidth="1"/>
    <col min="6921" max="6926" width="10.125" style="60"/>
    <col min="6927" max="6927" width="0" style="60" hidden="1" customWidth="1"/>
    <col min="6928" max="7170" width="10.125" style="60"/>
    <col min="7171" max="7171" width="10.75" style="60" customWidth="1"/>
    <col min="7172" max="7173" width="10.125" style="60"/>
    <col min="7174" max="7174" width="11.75" style="60" customWidth="1"/>
    <col min="7175" max="7176" width="11" style="60" customWidth="1"/>
    <col min="7177" max="7182" width="10.125" style="60"/>
    <col min="7183" max="7183" width="0" style="60" hidden="1" customWidth="1"/>
    <col min="7184" max="7426" width="10.125" style="60"/>
    <col min="7427" max="7427" width="10.75" style="60" customWidth="1"/>
    <col min="7428" max="7429" width="10.125" style="60"/>
    <col min="7430" max="7430" width="11.75" style="60" customWidth="1"/>
    <col min="7431" max="7432" width="11" style="60" customWidth="1"/>
    <col min="7433" max="7438" width="10.125" style="60"/>
    <col min="7439" max="7439" width="0" style="60" hidden="1" customWidth="1"/>
    <col min="7440" max="7682" width="10.125" style="60"/>
    <col min="7683" max="7683" width="10.75" style="60" customWidth="1"/>
    <col min="7684" max="7685" width="10.125" style="60"/>
    <col min="7686" max="7686" width="11.75" style="60" customWidth="1"/>
    <col min="7687" max="7688" width="11" style="60" customWidth="1"/>
    <col min="7689" max="7694" width="10.125" style="60"/>
    <col min="7695" max="7695" width="0" style="60" hidden="1" customWidth="1"/>
    <col min="7696" max="7938" width="10.125" style="60"/>
    <col min="7939" max="7939" width="10.75" style="60" customWidth="1"/>
    <col min="7940" max="7941" width="10.125" style="60"/>
    <col min="7942" max="7942" width="11.75" style="60" customWidth="1"/>
    <col min="7943" max="7944" width="11" style="60" customWidth="1"/>
    <col min="7945" max="7950" width="10.125" style="60"/>
    <col min="7951" max="7951" width="0" style="60" hidden="1" customWidth="1"/>
    <col min="7952" max="8194" width="10.125" style="60"/>
    <col min="8195" max="8195" width="10.75" style="60" customWidth="1"/>
    <col min="8196" max="8197" width="10.125" style="60"/>
    <col min="8198" max="8198" width="11.75" style="60" customWidth="1"/>
    <col min="8199" max="8200" width="11" style="60" customWidth="1"/>
    <col min="8201" max="8206" width="10.125" style="60"/>
    <col min="8207" max="8207" width="0" style="60" hidden="1" customWidth="1"/>
    <col min="8208" max="8450" width="10.125" style="60"/>
    <col min="8451" max="8451" width="10.75" style="60" customWidth="1"/>
    <col min="8452" max="8453" width="10.125" style="60"/>
    <col min="8454" max="8454" width="11.75" style="60" customWidth="1"/>
    <col min="8455" max="8456" width="11" style="60" customWidth="1"/>
    <col min="8457" max="8462" width="10.125" style="60"/>
    <col min="8463" max="8463" width="0" style="60" hidden="1" customWidth="1"/>
    <col min="8464" max="8706" width="10.125" style="60"/>
    <col min="8707" max="8707" width="10.75" style="60" customWidth="1"/>
    <col min="8708" max="8709" width="10.125" style="60"/>
    <col min="8710" max="8710" width="11.75" style="60" customWidth="1"/>
    <col min="8711" max="8712" width="11" style="60" customWidth="1"/>
    <col min="8713" max="8718" width="10.125" style="60"/>
    <col min="8719" max="8719" width="0" style="60" hidden="1" customWidth="1"/>
    <col min="8720" max="8962" width="10.125" style="60"/>
    <col min="8963" max="8963" width="10.75" style="60" customWidth="1"/>
    <col min="8964" max="8965" width="10.125" style="60"/>
    <col min="8966" max="8966" width="11.75" style="60" customWidth="1"/>
    <col min="8967" max="8968" width="11" style="60" customWidth="1"/>
    <col min="8969" max="8974" width="10.125" style="60"/>
    <col min="8975" max="8975" width="0" style="60" hidden="1" customWidth="1"/>
    <col min="8976" max="9218" width="10.125" style="60"/>
    <col min="9219" max="9219" width="10.75" style="60" customWidth="1"/>
    <col min="9220" max="9221" width="10.125" style="60"/>
    <col min="9222" max="9222" width="11.75" style="60" customWidth="1"/>
    <col min="9223" max="9224" width="11" style="60" customWidth="1"/>
    <col min="9225" max="9230" width="10.125" style="60"/>
    <col min="9231" max="9231" width="0" style="60" hidden="1" customWidth="1"/>
    <col min="9232" max="9474" width="10.125" style="60"/>
    <col min="9475" max="9475" width="10.75" style="60" customWidth="1"/>
    <col min="9476" max="9477" width="10.125" style="60"/>
    <col min="9478" max="9478" width="11.75" style="60" customWidth="1"/>
    <col min="9479" max="9480" width="11" style="60" customWidth="1"/>
    <col min="9481" max="9486" width="10.125" style="60"/>
    <col min="9487" max="9487" width="0" style="60" hidden="1" customWidth="1"/>
    <col min="9488" max="9730" width="10.125" style="60"/>
    <col min="9731" max="9731" width="10.75" style="60" customWidth="1"/>
    <col min="9732" max="9733" width="10.125" style="60"/>
    <col min="9734" max="9734" width="11.75" style="60" customWidth="1"/>
    <col min="9735" max="9736" width="11" style="60" customWidth="1"/>
    <col min="9737" max="9742" width="10.125" style="60"/>
    <col min="9743" max="9743" width="0" style="60" hidden="1" customWidth="1"/>
    <col min="9744" max="9986" width="10.125" style="60"/>
    <col min="9987" max="9987" width="10.75" style="60" customWidth="1"/>
    <col min="9988" max="9989" width="10.125" style="60"/>
    <col min="9990" max="9990" width="11.75" style="60" customWidth="1"/>
    <col min="9991" max="9992" width="11" style="60" customWidth="1"/>
    <col min="9993" max="9998" width="10.125" style="60"/>
    <col min="9999" max="9999" width="0" style="60" hidden="1" customWidth="1"/>
    <col min="10000" max="10242" width="10.125" style="60"/>
    <col min="10243" max="10243" width="10.75" style="60" customWidth="1"/>
    <col min="10244" max="10245" width="10.125" style="60"/>
    <col min="10246" max="10246" width="11.75" style="60" customWidth="1"/>
    <col min="10247" max="10248" width="11" style="60" customWidth="1"/>
    <col min="10249" max="10254" width="10.125" style="60"/>
    <col min="10255" max="10255" width="0" style="60" hidden="1" customWidth="1"/>
    <col min="10256" max="10498" width="10.125" style="60"/>
    <col min="10499" max="10499" width="10.75" style="60" customWidth="1"/>
    <col min="10500" max="10501" width="10.125" style="60"/>
    <col min="10502" max="10502" width="11.75" style="60" customWidth="1"/>
    <col min="10503" max="10504" width="11" style="60" customWidth="1"/>
    <col min="10505" max="10510" width="10.125" style="60"/>
    <col min="10511" max="10511" width="0" style="60" hidden="1" customWidth="1"/>
    <col min="10512" max="10754" width="10.125" style="60"/>
    <col min="10755" max="10755" width="10.75" style="60" customWidth="1"/>
    <col min="10756" max="10757" width="10.125" style="60"/>
    <col min="10758" max="10758" width="11.75" style="60" customWidth="1"/>
    <col min="10759" max="10760" width="11" style="60" customWidth="1"/>
    <col min="10761" max="10766" width="10.125" style="60"/>
    <col min="10767" max="10767" width="0" style="60" hidden="1" customWidth="1"/>
    <col min="10768" max="11010" width="10.125" style="60"/>
    <col min="11011" max="11011" width="10.75" style="60" customWidth="1"/>
    <col min="11012" max="11013" width="10.125" style="60"/>
    <col min="11014" max="11014" width="11.75" style="60" customWidth="1"/>
    <col min="11015" max="11016" width="11" style="60" customWidth="1"/>
    <col min="11017" max="11022" width="10.125" style="60"/>
    <col min="11023" max="11023" width="0" style="60" hidden="1" customWidth="1"/>
    <col min="11024" max="11266" width="10.125" style="60"/>
    <col min="11267" max="11267" width="10.75" style="60" customWidth="1"/>
    <col min="11268" max="11269" width="10.125" style="60"/>
    <col min="11270" max="11270" width="11.75" style="60" customWidth="1"/>
    <col min="11271" max="11272" width="11" style="60" customWidth="1"/>
    <col min="11273" max="11278" width="10.125" style="60"/>
    <col min="11279" max="11279" width="0" style="60" hidden="1" customWidth="1"/>
    <col min="11280" max="11522" width="10.125" style="60"/>
    <col min="11523" max="11523" width="10.75" style="60" customWidth="1"/>
    <col min="11524" max="11525" width="10.125" style="60"/>
    <col min="11526" max="11526" width="11.75" style="60" customWidth="1"/>
    <col min="11527" max="11528" width="11" style="60" customWidth="1"/>
    <col min="11529" max="11534" width="10.125" style="60"/>
    <col min="11535" max="11535" width="0" style="60" hidden="1" customWidth="1"/>
    <col min="11536" max="11778" width="10.125" style="60"/>
    <col min="11779" max="11779" width="10.75" style="60" customWidth="1"/>
    <col min="11780" max="11781" width="10.125" style="60"/>
    <col min="11782" max="11782" width="11.75" style="60" customWidth="1"/>
    <col min="11783" max="11784" width="11" style="60" customWidth="1"/>
    <col min="11785" max="11790" width="10.125" style="60"/>
    <col min="11791" max="11791" width="0" style="60" hidden="1" customWidth="1"/>
    <col min="11792" max="12034" width="10.125" style="60"/>
    <col min="12035" max="12035" width="10.75" style="60" customWidth="1"/>
    <col min="12036" max="12037" width="10.125" style="60"/>
    <col min="12038" max="12038" width="11.75" style="60" customWidth="1"/>
    <col min="12039" max="12040" width="11" style="60" customWidth="1"/>
    <col min="12041" max="12046" width="10.125" style="60"/>
    <col min="12047" max="12047" width="0" style="60" hidden="1" customWidth="1"/>
    <col min="12048" max="12290" width="10.125" style="60"/>
    <col min="12291" max="12291" width="10.75" style="60" customWidth="1"/>
    <col min="12292" max="12293" width="10.125" style="60"/>
    <col min="12294" max="12294" width="11.75" style="60" customWidth="1"/>
    <col min="12295" max="12296" width="11" style="60" customWidth="1"/>
    <col min="12297" max="12302" width="10.125" style="60"/>
    <col min="12303" max="12303" width="0" style="60" hidden="1" customWidth="1"/>
    <col min="12304" max="12546" width="10.125" style="60"/>
    <col min="12547" max="12547" width="10.75" style="60" customWidth="1"/>
    <col min="12548" max="12549" width="10.125" style="60"/>
    <col min="12550" max="12550" width="11.75" style="60" customWidth="1"/>
    <col min="12551" max="12552" width="11" style="60" customWidth="1"/>
    <col min="12553" max="12558" width="10.125" style="60"/>
    <col min="12559" max="12559" width="0" style="60" hidden="1" customWidth="1"/>
    <col min="12560" max="12802" width="10.125" style="60"/>
    <col min="12803" max="12803" width="10.75" style="60" customWidth="1"/>
    <col min="12804" max="12805" width="10.125" style="60"/>
    <col min="12806" max="12806" width="11.75" style="60" customWidth="1"/>
    <col min="12807" max="12808" width="11" style="60" customWidth="1"/>
    <col min="12809" max="12814" width="10.125" style="60"/>
    <col min="12815" max="12815" width="0" style="60" hidden="1" customWidth="1"/>
    <col min="12816" max="13058" width="10.125" style="60"/>
    <col min="13059" max="13059" width="10.75" style="60" customWidth="1"/>
    <col min="13060" max="13061" width="10.125" style="60"/>
    <col min="13062" max="13062" width="11.75" style="60" customWidth="1"/>
    <col min="13063" max="13064" width="11" style="60" customWidth="1"/>
    <col min="13065" max="13070" width="10.125" style="60"/>
    <col min="13071" max="13071" width="0" style="60" hidden="1" customWidth="1"/>
    <col min="13072" max="13314" width="10.125" style="60"/>
    <col min="13315" max="13315" width="10.75" style="60" customWidth="1"/>
    <col min="13316" max="13317" width="10.125" style="60"/>
    <col min="13318" max="13318" width="11.75" style="60" customWidth="1"/>
    <col min="13319" max="13320" width="11" style="60" customWidth="1"/>
    <col min="13321" max="13326" width="10.125" style="60"/>
    <col min="13327" max="13327" width="0" style="60" hidden="1" customWidth="1"/>
    <col min="13328" max="13570" width="10.125" style="60"/>
    <col min="13571" max="13571" width="10.75" style="60" customWidth="1"/>
    <col min="13572" max="13573" width="10.125" style="60"/>
    <col min="13574" max="13574" width="11.75" style="60" customWidth="1"/>
    <col min="13575" max="13576" width="11" style="60" customWidth="1"/>
    <col min="13577" max="13582" width="10.125" style="60"/>
    <col min="13583" max="13583" width="0" style="60" hidden="1" customWidth="1"/>
    <col min="13584" max="13826" width="10.125" style="60"/>
    <col min="13827" max="13827" width="10.75" style="60" customWidth="1"/>
    <col min="13828" max="13829" width="10.125" style="60"/>
    <col min="13830" max="13830" width="11.75" style="60" customWidth="1"/>
    <col min="13831" max="13832" width="11" style="60" customWidth="1"/>
    <col min="13833" max="13838" width="10.125" style="60"/>
    <col min="13839" max="13839" width="0" style="60" hidden="1" customWidth="1"/>
    <col min="13840" max="14082" width="10.125" style="60"/>
    <col min="14083" max="14083" width="10.75" style="60" customWidth="1"/>
    <col min="14084" max="14085" width="10.125" style="60"/>
    <col min="14086" max="14086" width="11.75" style="60" customWidth="1"/>
    <col min="14087" max="14088" width="11" style="60" customWidth="1"/>
    <col min="14089" max="14094" width="10.125" style="60"/>
    <col min="14095" max="14095" width="0" style="60" hidden="1" customWidth="1"/>
    <col min="14096" max="14338" width="10.125" style="60"/>
    <col min="14339" max="14339" width="10.75" style="60" customWidth="1"/>
    <col min="14340" max="14341" width="10.125" style="60"/>
    <col min="14342" max="14342" width="11.75" style="60" customWidth="1"/>
    <col min="14343" max="14344" width="11" style="60" customWidth="1"/>
    <col min="14345" max="14350" width="10.125" style="60"/>
    <col min="14351" max="14351" width="0" style="60" hidden="1" customWidth="1"/>
    <col min="14352" max="14594" width="10.125" style="60"/>
    <col min="14595" max="14595" width="10.75" style="60" customWidth="1"/>
    <col min="14596" max="14597" width="10.125" style="60"/>
    <col min="14598" max="14598" width="11.75" style="60" customWidth="1"/>
    <col min="14599" max="14600" width="11" style="60" customWidth="1"/>
    <col min="14601" max="14606" width="10.125" style="60"/>
    <col min="14607" max="14607" width="0" style="60" hidden="1" customWidth="1"/>
    <col min="14608" max="14850" width="10.125" style="60"/>
    <col min="14851" max="14851" width="10.75" style="60" customWidth="1"/>
    <col min="14852" max="14853" width="10.125" style="60"/>
    <col min="14854" max="14854" width="11.75" style="60" customWidth="1"/>
    <col min="14855" max="14856" width="11" style="60" customWidth="1"/>
    <col min="14857" max="14862" width="10.125" style="60"/>
    <col min="14863" max="14863" width="0" style="60" hidden="1" customWidth="1"/>
    <col min="14864" max="15106" width="10.125" style="60"/>
    <col min="15107" max="15107" width="10.75" style="60" customWidth="1"/>
    <col min="15108" max="15109" width="10.125" style="60"/>
    <col min="15110" max="15110" width="11.75" style="60" customWidth="1"/>
    <col min="15111" max="15112" width="11" style="60" customWidth="1"/>
    <col min="15113" max="15118" width="10.125" style="60"/>
    <col min="15119" max="15119" width="0" style="60" hidden="1" customWidth="1"/>
    <col min="15120" max="15362" width="10.125" style="60"/>
    <col min="15363" max="15363" width="10.75" style="60" customWidth="1"/>
    <col min="15364" max="15365" width="10.125" style="60"/>
    <col min="15366" max="15366" width="11.75" style="60" customWidth="1"/>
    <col min="15367" max="15368" width="11" style="60" customWidth="1"/>
    <col min="15369" max="15374" width="10.125" style="60"/>
    <col min="15375" max="15375" width="0" style="60" hidden="1" customWidth="1"/>
    <col min="15376" max="15618" width="10.125" style="60"/>
    <col min="15619" max="15619" width="10.75" style="60" customWidth="1"/>
    <col min="15620" max="15621" width="10.125" style="60"/>
    <col min="15622" max="15622" width="11.75" style="60" customWidth="1"/>
    <col min="15623" max="15624" width="11" style="60" customWidth="1"/>
    <col min="15625" max="15630" width="10.125" style="60"/>
    <col min="15631" max="15631" width="0" style="60" hidden="1" customWidth="1"/>
    <col min="15632" max="15874" width="10.125" style="60"/>
    <col min="15875" max="15875" width="10.75" style="60" customWidth="1"/>
    <col min="15876" max="15877" width="10.125" style="60"/>
    <col min="15878" max="15878" width="11.75" style="60" customWidth="1"/>
    <col min="15879" max="15880" width="11" style="60" customWidth="1"/>
    <col min="15881" max="15886" width="10.125" style="60"/>
    <col min="15887" max="15887" width="0" style="60" hidden="1" customWidth="1"/>
    <col min="15888" max="16130" width="10.125" style="60"/>
    <col min="16131" max="16131" width="10.75" style="60" customWidth="1"/>
    <col min="16132" max="16133" width="10.125" style="60"/>
    <col min="16134" max="16134" width="11.75" style="60" customWidth="1"/>
    <col min="16135" max="16136" width="11" style="60" customWidth="1"/>
    <col min="16137" max="16142" width="10.125" style="60"/>
    <col min="16143" max="16143" width="0" style="60" hidden="1" customWidth="1"/>
    <col min="16144" max="16384" width="10.125" style="60"/>
  </cols>
  <sheetData>
    <row r="1" spans="1:15" s="53" customFormat="1" ht="60">
      <c r="A1" s="47" t="s">
        <v>0</v>
      </c>
      <c r="B1" s="48" t="s">
        <v>1</v>
      </c>
      <c r="C1" s="48" t="s">
        <v>2</v>
      </c>
      <c r="D1" s="49" t="s">
        <v>3</v>
      </c>
      <c r="E1" s="50" t="s">
        <v>4</v>
      </c>
      <c r="F1" s="62" t="s">
        <v>5</v>
      </c>
      <c r="G1" s="50" t="s">
        <v>6</v>
      </c>
      <c r="H1" s="62" t="s">
        <v>7</v>
      </c>
      <c r="I1" s="51" t="s">
        <v>8</v>
      </c>
      <c r="J1" s="62" t="s">
        <v>9</v>
      </c>
      <c r="K1" s="51" t="s">
        <v>10</v>
      </c>
      <c r="L1" s="62" t="s">
        <v>11</v>
      </c>
      <c r="M1" s="50" t="s">
        <v>12</v>
      </c>
      <c r="N1" s="50" t="s">
        <v>13</v>
      </c>
      <c r="O1" s="52" t="s">
        <v>14</v>
      </c>
    </row>
    <row r="2" spans="1:15">
      <c r="A2" s="54" t="s">
        <v>15</v>
      </c>
      <c r="B2" s="55">
        <v>1</v>
      </c>
      <c r="C2" s="55">
        <v>12</v>
      </c>
      <c r="D2" s="56">
        <v>2020</v>
      </c>
      <c r="E2" s="57">
        <f>SUBMETERING!O5+SUBMETERING!M5</f>
        <v>38290.000000000451</v>
      </c>
      <c r="F2" s="63">
        <v>0.67516900000000002</v>
      </c>
      <c r="G2" s="58">
        <f>SUBMETERING!E5+SUBMETERING!G5+SUBMETERING!I5+SUBMETERING!K5</f>
        <v>4978</v>
      </c>
      <c r="H2" s="63">
        <v>3.95</v>
      </c>
      <c r="I2" s="58">
        <f>SUBMETERING!S5</f>
        <v>160</v>
      </c>
      <c r="J2" s="63">
        <v>3.46</v>
      </c>
      <c r="K2" s="65">
        <f>SUBMETERING!Q5*1000</f>
        <v>10000</v>
      </c>
      <c r="L2" s="63">
        <f>SUBMETERING!R5/TOTAL!K2</f>
        <v>0.45716200000000007</v>
      </c>
      <c r="M2" s="57">
        <f>(SUBMETERING!D5/100)*344</f>
        <v>261.99039999999997</v>
      </c>
      <c r="N2" s="57">
        <f>'[1]Consommation mensuel énergie'!E10</f>
        <v>0</v>
      </c>
      <c r="O2" s="59" t="e">
        <f>E2*F2+G2*H2+#REF!*#REF!+I2*J2</f>
        <v>#REF!</v>
      </c>
    </row>
    <row r="3" spans="1:15">
      <c r="A3" s="54" t="s">
        <v>15</v>
      </c>
      <c r="B3" s="55">
        <f>B2+1</f>
        <v>2</v>
      </c>
      <c r="C3" s="55">
        <v>12</v>
      </c>
      <c r="D3" s="56">
        <v>2020</v>
      </c>
      <c r="E3" s="57">
        <f>SUBMETERING!O6+SUBMETERING!M6</f>
        <v>33708.000000001637</v>
      </c>
      <c r="F3" s="63">
        <f>F2</f>
        <v>0.67516900000000002</v>
      </c>
      <c r="G3" s="58">
        <f>SUBMETERING!E6+SUBMETERING!G6+SUBMETERING!I6+SUBMETERING!K6</f>
        <v>6382</v>
      </c>
      <c r="H3" s="63">
        <f>H2</f>
        <v>3.95</v>
      </c>
      <c r="I3" s="58">
        <f>SUBMETERING!S6</f>
        <v>186</v>
      </c>
      <c r="J3" s="63">
        <f>J2</f>
        <v>3.46</v>
      </c>
      <c r="K3" s="65">
        <f>SUBMETERING!Q6*1000</f>
        <v>10000</v>
      </c>
      <c r="L3" s="63">
        <f>SUBMETERING!R6/TOTAL!K3</f>
        <v>0.45716200000000007</v>
      </c>
      <c r="M3" s="57">
        <f>(SUBMETERING!D6/100)*344</f>
        <v>298.00720000000001</v>
      </c>
      <c r="N3" s="57">
        <f>'[1]Consommation mensuel énergie'!E11</f>
        <v>0</v>
      </c>
      <c r="O3" s="59" t="e">
        <f>E3*F3+G3*H3+#REF!*#REF!+I3*J3</f>
        <v>#REF!</v>
      </c>
    </row>
    <row r="4" spans="1:15">
      <c r="A4" s="54" t="s">
        <v>15</v>
      </c>
      <c r="B4" s="55">
        <f t="shared" ref="B4:B32" si="0">B3+1</f>
        <v>3</v>
      </c>
      <c r="C4" s="55">
        <v>12</v>
      </c>
      <c r="D4" s="56">
        <v>2020</v>
      </c>
      <c r="E4" s="57">
        <f>SUBMETERING!O7+SUBMETERING!M7</f>
        <v>33720.999999999091</v>
      </c>
      <c r="F4" s="63">
        <f t="shared" ref="F4:F32" si="1">F3</f>
        <v>0.67516900000000002</v>
      </c>
      <c r="G4" s="58">
        <f>SUBMETERING!E7+SUBMETERING!G7+SUBMETERING!I7+SUBMETERING!K7</f>
        <v>6732</v>
      </c>
      <c r="H4" s="63">
        <f t="shared" ref="H4:H32" si="2">H3</f>
        <v>3.95</v>
      </c>
      <c r="I4" s="58">
        <f>SUBMETERING!S7</f>
        <v>160</v>
      </c>
      <c r="J4" s="63">
        <f t="shared" ref="J4:J32" si="3">J3</f>
        <v>3.46</v>
      </c>
      <c r="K4" s="65">
        <f>SUBMETERING!Q7*1000</f>
        <v>10000</v>
      </c>
      <c r="L4" s="63">
        <f>SUBMETERING!R7/TOTAL!K4</f>
        <v>0.45716200000000007</v>
      </c>
      <c r="M4" s="57">
        <f>(SUBMETERING!D7/100)*344</f>
        <v>324.0136</v>
      </c>
      <c r="N4" s="57">
        <f>'[1]Consommation mensuel énergie'!E12</f>
        <v>0</v>
      </c>
      <c r="O4" s="59" t="e">
        <f>E4*F4+G4*H4+#REF!*#REF!+I4*J4</f>
        <v>#REF!</v>
      </c>
    </row>
    <row r="5" spans="1:15">
      <c r="A5" s="54" t="s">
        <v>15</v>
      </c>
      <c r="B5" s="55">
        <f t="shared" si="0"/>
        <v>4</v>
      </c>
      <c r="C5" s="55">
        <v>12</v>
      </c>
      <c r="D5" s="56">
        <v>2020</v>
      </c>
      <c r="E5" s="57">
        <f>SUBMETERING!O8+SUBMETERING!M8</f>
        <v>33410.999999999272</v>
      </c>
      <c r="F5" s="63">
        <f t="shared" si="1"/>
        <v>0.67516900000000002</v>
      </c>
      <c r="G5" s="58">
        <f>SUBMETERING!E8+SUBMETERING!G8+SUBMETERING!I8+SUBMETERING!K8</f>
        <v>7344</v>
      </c>
      <c r="H5" s="63">
        <f t="shared" si="2"/>
        <v>3.95</v>
      </c>
      <c r="I5" s="58">
        <f>SUBMETERING!S8</f>
        <v>169</v>
      </c>
      <c r="J5" s="63">
        <f t="shared" si="3"/>
        <v>3.46</v>
      </c>
      <c r="K5" s="65">
        <f>SUBMETERING!Q8*1000</f>
        <v>9000</v>
      </c>
      <c r="L5" s="63">
        <f>SUBMETERING!R8/TOTAL!K5</f>
        <v>0.47555111111111109</v>
      </c>
      <c r="M5" s="57">
        <f>(SUBMETERING!D8/100)*344</f>
        <v>332.95760000000001</v>
      </c>
      <c r="N5" s="57">
        <f>'[1]Consommation mensuel énergie'!E13</f>
        <v>0</v>
      </c>
      <c r="O5" s="59" t="e">
        <f>E5*F5+G5*H5+#REF!*#REF!+I5*J5</f>
        <v>#REF!</v>
      </c>
    </row>
    <row r="6" spans="1:15">
      <c r="A6" s="54" t="s">
        <v>15</v>
      </c>
      <c r="B6" s="55">
        <f t="shared" si="0"/>
        <v>5</v>
      </c>
      <c r="C6" s="55">
        <v>12</v>
      </c>
      <c r="D6" s="56">
        <v>2020</v>
      </c>
      <c r="E6" s="57">
        <f>SUBMETERING!O9+SUBMETERING!M9</f>
        <v>32472.00000000191</v>
      </c>
      <c r="F6" s="63">
        <f t="shared" si="1"/>
        <v>0.67516900000000002</v>
      </c>
      <c r="G6" s="58">
        <f>SUBMETERING!E9+SUBMETERING!G9+SUBMETERING!I9+SUBMETERING!K9</f>
        <v>7636</v>
      </c>
      <c r="H6" s="63">
        <f t="shared" si="2"/>
        <v>3.95</v>
      </c>
      <c r="I6" s="58">
        <f>SUBMETERING!S9</f>
        <v>163</v>
      </c>
      <c r="J6" s="63">
        <f t="shared" si="3"/>
        <v>3.46</v>
      </c>
      <c r="K6" s="65">
        <f>SUBMETERING!Q9*1000</f>
        <v>11000</v>
      </c>
      <c r="L6" s="63">
        <f>SUBMETERING!R9/TOTAL!K6</f>
        <v>0.4421163636363637</v>
      </c>
      <c r="M6" s="57">
        <f>(SUBMETERING!D9/100)*344</f>
        <v>306.88239999999996</v>
      </c>
      <c r="N6" s="57">
        <f>'[1]Consommation mensuel énergie'!E14</f>
        <v>0</v>
      </c>
      <c r="O6" s="59" t="e">
        <f>E6*F6+G6*H6+#REF!*#REF!+I6*J6</f>
        <v>#REF!</v>
      </c>
    </row>
    <row r="7" spans="1:15">
      <c r="A7" s="54" t="s">
        <v>15</v>
      </c>
      <c r="B7" s="55">
        <f t="shared" si="0"/>
        <v>6</v>
      </c>
      <c r="C7" s="55">
        <v>12</v>
      </c>
      <c r="D7" s="56">
        <v>2020</v>
      </c>
      <c r="E7" s="57">
        <f>SUBMETERING!O10+SUBMETERING!M10</f>
        <v>30189.999999998818</v>
      </c>
      <c r="F7" s="63">
        <f t="shared" si="1"/>
        <v>0.67516900000000002</v>
      </c>
      <c r="G7" s="58">
        <f>SUBMETERING!E10+SUBMETERING!G10+SUBMETERING!I10+SUBMETERING!K10</f>
        <v>7400</v>
      </c>
      <c r="H7" s="63">
        <f t="shared" si="2"/>
        <v>3.95</v>
      </c>
      <c r="I7" s="58">
        <f>SUBMETERING!S10</f>
        <v>164</v>
      </c>
      <c r="J7" s="63">
        <f t="shared" si="3"/>
        <v>3.46</v>
      </c>
      <c r="K7" s="65">
        <f>SUBMETERING!Q10*1000</f>
        <v>9000</v>
      </c>
      <c r="L7" s="63">
        <f>SUBMETERING!R10/TOTAL!K7</f>
        <v>0.47555111111111109</v>
      </c>
      <c r="M7" s="57">
        <f>(SUBMETERING!D10/100)*344</f>
        <v>266.01519999999999</v>
      </c>
      <c r="N7" s="57">
        <f>'[1]Consommation mensuel énergie'!E15</f>
        <v>0</v>
      </c>
      <c r="O7" s="59" t="e">
        <f>E7*F7+G7*H7+#REF!*#REF!+I7*J7</f>
        <v>#REF!</v>
      </c>
    </row>
    <row r="8" spans="1:15">
      <c r="A8" s="54" t="s">
        <v>15</v>
      </c>
      <c r="B8" s="55">
        <f t="shared" si="0"/>
        <v>7</v>
      </c>
      <c r="C8" s="55">
        <v>12</v>
      </c>
      <c r="D8" s="56">
        <v>2020</v>
      </c>
      <c r="E8" s="57">
        <f>SUBMETERING!O11+SUBMETERING!M11</f>
        <v>37420.000000001819</v>
      </c>
      <c r="F8" s="63">
        <f t="shared" si="1"/>
        <v>0.67516900000000002</v>
      </c>
      <c r="G8" s="58">
        <f>SUBMETERING!E11+SUBMETERING!G11+SUBMETERING!I11+SUBMETERING!K11</f>
        <v>6610</v>
      </c>
      <c r="H8" s="63">
        <f t="shared" si="2"/>
        <v>3.95</v>
      </c>
      <c r="I8" s="58">
        <f>SUBMETERING!S11</f>
        <v>129</v>
      </c>
      <c r="J8" s="63">
        <f t="shared" si="3"/>
        <v>3.46</v>
      </c>
      <c r="K8" s="65">
        <f>SUBMETERING!Q11*1000</f>
        <v>10000</v>
      </c>
      <c r="L8" s="63">
        <f>SUBMETERING!R11/TOTAL!K8</f>
        <v>0.45716200000000007</v>
      </c>
      <c r="M8" s="57">
        <f>(SUBMETERING!D11/100)*344</f>
        <v>252.01440000000002</v>
      </c>
      <c r="N8" s="57">
        <f>'[1]Consommation mensuel énergie'!E16</f>
        <v>0</v>
      </c>
      <c r="O8" s="59" t="e">
        <f>E8*F8+G8*H8+#REF!*#REF!+I8*J8</f>
        <v>#REF!</v>
      </c>
    </row>
    <row r="9" spans="1:15">
      <c r="A9" s="54" t="s">
        <v>15</v>
      </c>
      <c r="B9" s="55">
        <f t="shared" si="0"/>
        <v>8</v>
      </c>
      <c r="C9" s="55">
        <v>12</v>
      </c>
      <c r="D9" s="56">
        <v>2020</v>
      </c>
      <c r="E9" s="57">
        <f>SUBMETERING!O12+SUBMETERING!M12</f>
        <v>33132.999999999913</v>
      </c>
      <c r="F9" s="63">
        <f t="shared" si="1"/>
        <v>0.67516900000000002</v>
      </c>
      <c r="G9" s="58">
        <f>SUBMETERING!E12+SUBMETERING!G12+SUBMETERING!I12+SUBMETERING!K12</f>
        <v>6810</v>
      </c>
      <c r="H9" s="63">
        <f t="shared" si="2"/>
        <v>3.95</v>
      </c>
      <c r="I9" s="58">
        <f>SUBMETERING!S12</f>
        <v>157</v>
      </c>
      <c r="J9" s="63">
        <f t="shared" si="3"/>
        <v>3.46</v>
      </c>
      <c r="K9" s="65">
        <f>SUBMETERING!Q12*1000</f>
        <v>11000</v>
      </c>
      <c r="L9" s="63">
        <f>SUBMETERING!R12/TOTAL!K9</f>
        <v>0.4421163636363637</v>
      </c>
      <c r="M9" s="57">
        <f>(SUBMETERING!D12/100)*344</f>
        <v>300.00240000000002</v>
      </c>
      <c r="N9" s="57">
        <f>'[1]Consommation mensuel énergie'!E17</f>
        <v>0</v>
      </c>
      <c r="O9" s="59" t="e">
        <f>E9*F9+G9*H9+#REF!*#REF!+I9*J9</f>
        <v>#REF!</v>
      </c>
    </row>
    <row r="10" spans="1:15">
      <c r="A10" s="54" t="s">
        <v>15</v>
      </c>
      <c r="B10" s="55">
        <f t="shared" si="0"/>
        <v>9</v>
      </c>
      <c r="C10" s="55">
        <v>12</v>
      </c>
      <c r="D10" s="56">
        <v>2020</v>
      </c>
      <c r="E10" s="57">
        <f>SUBMETERING!O13+SUBMETERING!M13</f>
        <v>33075.999999997366</v>
      </c>
      <c r="F10" s="63">
        <f t="shared" si="1"/>
        <v>0.67516900000000002</v>
      </c>
      <c r="G10" s="58">
        <f>SUBMETERING!E13+SUBMETERING!G13+SUBMETERING!I13+SUBMETERING!K13</f>
        <v>6772</v>
      </c>
      <c r="H10" s="63">
        <f t="shared" si="2"/>
        <v>3.95</v>
      </c>
      <c r="I10" s="58">
        <f>SUBMETERING!S13</f>
        <v>161</v>
      </c>
      <c r="J10" s="63">
        <f t="shared" si="3"/>
        <v>3.46</v>
      </c>
      <c r="K10" s="65">
        <f>SUBMETERING!Q13*1000</f>
        <v>10000</v>
      </c>
      <c r="L10" s="63">
        <f>SUBMETERING!R13/TOTAL!K10</f>
        <v>0.45716200000000007</v>
      </c>
      <c r="M10" s="57">
        <f>(SUBMETERING!D13/100)*344</f>
        <v>315.9984</v>
      </c>
      <c r="N10" s="57">
        <f>'[1]Consommation mensuel énergie'!E18</f>
        <v>0</v>
      </c>
      <c r="O10" s="59" t="e">
        <f>E10*F10+G10*H10+#REF!*#REF!+I10*J10</f>
        <v>#REF!</v>
      </c>
    </row>
    <row r="11" spans="1:15">
      <c r="A11" s="54" t="s">
        <v>15</v>
      </c>
      <c r="B11" s="55">
        <f t="shared" si="0"/>
        <v>10</v>
      </c>
      <c r="C11" s="55">
        <v>12</v>
      </c>
      <c r="D11" s="56">
        <v>2020</v>
      </c>
      <c r="E11" s="57">
        <f>SUBMETERING!O14+SUBMETERING!M14</f>
        <v>35882.000000000276</v>
      </c>
      <c r="F11" s="63">
        <f t="shared" si="1"/>
        <v>0.67516900000000002</v>
      </c>
      <c r="G11" s="58">
        <f>SUBMETERING!E14+SUBMETERING!G14+SUBMETERING!I14+SUBMETERING!K14</f>
        <v>6886</v>
      </c>
      <c r="H11" s="63">
        <f t="shared" si="2"/>
        <v>3.95</v>
      </c>
      <c r="I11" s="58">
        <f>SUBMETERING!S14</f>
        <v>171</v>
      </c>
      <c r="J11" s="63">
        <f t="shared" si="3"/>
        <v>3.46</v>
      </c>
      <c r="K11" s="65">
        <f>SUBMETERING!Q14*1000</f>
        <v>11000</v>
      </c>
      <c r="L11" s="63">
        <f>SUBMETERING!R14/TOTAL!K11</f>
        <v>0.4421163636363637</v>
      </c>
      <c r="M11" s="57">
        <f>(SUBMETERING!D14/100)*344</f>
        <v>299.00479999999999</v>
      </c>
      <c r="N11" s="57">
        <f>'[1]Consommation mensuel énergie'!E19</f>
        <v>0</v>
      </c>
      <c r="O11" s="59" t="e">
        <f>E11*F11+G11*H11+#REF!*#REF!+I11*J11</f>
        <v>#REF!</v>
      </c>
    </row>
    <row r="12" spans="1:15">
      <c r="A12" s="54" t="s">
        <v>15</v>
      </c>
      <c r="B12" s="55">
        <f t="shared" si="0"/>
        <v>11</v>
      </c>
      <c r="C12" s="55">
        <v>12</v>
      </c>
      <c r="D12" s="56">
        <v>2020</v>
      </c>
      <c r="E12" s="57">
        <f>SUBMETERING!O15+SUBMETERING!M15</f>
        <v>35462.000000000546</v>
      </c>
      <c r="F12" s="63">
        <f t="shared" si="1"/>
        <v>0.67516900000000002</v>
      </c>
      <c r="G12" s="58">
        <f>SUBMETERING!E15+SUBMETERING!G15+SUBMETERING!I15+SUBMETERING!K15</f>
        <v>6836</v>
      </c>
      <c r="H12" s="63">
        <f t="shared" si="2"/>
        <v>3.95</v>
      </c>
      <c r="I12" s="58">
        <f>SUBMETERING!S15</f>
        <v>219</v>
      </c>
      <c r="J12" s="63">
        <f t="shared" si="3"/>
        <v>3.46</v>
      </c>
      <c r="K12" s="65">
        <f>SUBMETERING!Q15*1000</f>
        <v>11000</v>
      </c>
      <c r="L12" s="63">
        <f>SUBMETERING!R15/TOTAL!K12</f>
        <v>0.4421163636363637</v>
      </c>
      <c r="M12" s="57">
        <f>(SUBMETERING!D15/100)*344</f>
        <v>309.01519999999999</v>
      </c>
      <c r="N12" s="57">
        <f>'[1]Consommation mensuel énergie'!E20</f>
        <v>0</v>
      </c>
      <c r="O12" s="59" t="e">
        <f>E12*F12+G12*H12+#REF!*#REF!+I12*J12</f>
        <v>#REF!</v>
      </c>
    </row>
    <row r="13" spans="1:15">
      <c r="A13" s="54" t="s">
        <v>15</v>
      </c>
      <c r="B13" s="55">
        <f t="shared" si="0"/>
        <v>12</v>
      </c>
      <c r="C13" s="55">
        <v>12</v>
      </c>
      <c r="D13" s="56">
        <v>2020</v>
      </c>
      <c r="E13" s="57">
        <f>SUBMETERING!O16+SUBMETERING!M16</f>
        <v>36443.999999999549</v>
      </c>
      <c r="F13" s="63">
        <f t="shared" si="1"/>
        <v>0.67516900000000002</v>
      </c>
      <c r="G13" s="58">
        <f>SUBMETERING!E16+SUBMETERING!G16+SUBMETERING!I16+SUBMETERING!K16</f>
        <v>7622</v>
      </c>
      <c r="H13" s="63">
        <f t="shared" si="2"/>
        <v>3.95</v>
      </c>
      <c r="I13" s="58">
        <f>SUBMETERING!S16</f>
        <v>209</v>
      </c>
      <c r="J13" s="63">
        <f t="shared" si="3"/>
        <v>3.46</v>
      </c>
      <c r="K13" s="65">
        <f>SUBMETERING!Q16*1000</f>
        <v>24000</v>
      </c>
      <c r="L13" s="63">
        <f>SUBMETERING!R16/TOTAL!K13</f>
        <v>0.36061916666666671</v>
      </c>
      <c r="M13" s="57">
        <f>(SUBMETERING!D16/100)*344</f>
        <v>327.00639999999999</v>
      </c>
      <c r="N13" s="57">
        <f>'[1]Consommation mensuel énergie'!E21</f>
        <v>0</v>
      </c>
      <c r="O13" s="59" t="e">
        <f>E13*F13+G13*H13+#REF!*#REF!+I13*J13</f>
        <v>#REF!</v>
      </c>
    </row>
    <row r="14" spans="1:15">
      <c r="A14" s="54" t="s">
        <v>15</v>
      </c>
      <c r="B14" s="55">
        <f t="shared" si="0"/>
        <v>13</v>
      </c>
      <c r="C14" s="55">
        <v>12</v>
      </c>
      <c r="D14" s="56">
        <v>2020</v>
      </c>
      <c r="E14" s="57">
        <f>SUBMETERING!O17+SUBMETERING!M17</f>
        <v>35041.000000000364</v>
      </c>
      <c r="F14" s="63">
        <f t="shared" si="1"/>
        <v>0.67516900000000002</v>
      </c>
      <c r="G14" s="58">
        <f>SUBMETERING!E17+SUBMETERING!G17+SUBMETERING!I17+SUBMETERING!K17</f>
        <v>7334</v>
      </c>
      <c r="H14" s="63">
        <f t="shared" si="2"/>
        <v>3.95</v>
      </c>
      <c r="I14" s="58">
        <f>SUBMETERING!S17</f>
        <v>154</v>
      </c>
      <c r="J14" s="63">
        <f t="shared" si="3"/>
        <v>3.46</v>
      </c>
      <c r="K14" s="65">
        <f>SUBMETERING!Q17*1000</f>
        <v>8000</v>
      </c>
      <c r="L14" s="63">
        <f>SUBMETERING!R17/TOTAL!K14</f>
        <v>0.49853750000000002</v>
      </c>
      <c r="M14" s="57">
        <f>(SUBMETERING!D17/100)*344</f>
        <v>266.01519999999999</v>
      </c>
      <c r="N14" s="57">
        <f>'[1]Consommation mensuel énergie'!E22</f>
        <v>0</v>
      </c>
      <c r="O14" s="59" t="e">
        <f>E14*F14+G14*H14+#REF!*#REF!+I14*J14</f>
        <v>#REF!</v>
      </c>
    </row>
    <row r="15" spans="1:15">
      <c r="A15" s="54" t="s">
        <v>15</v>
      </c>
      <c r="B15" s="55">
        <f t="shared" si="0"/>
        <v>14</v>
      </c>
      <c r="C15" s="55">
        <v>12</v>
      </c>
      <c r="D15" s="56">
        <v>2020</v>
      </c>
      <c r="E15" s="57">
        <f>SUBMETERING!O18+SUBMETERING!M18</f>
        <v>32406.999999999909</v>
      </c>
      <c r="F15" s="63">
        <f t="shared" si="1"/>
        <v>0.67516900000000002</v>
      </c>
      <c r="G15" s="58">
        <f>SUBMETERING!E18+SUBMETERING!G18+SUBMETERING!I18+SUBMETERING!K18</f>
        <v>6906</v>
      </c>
      <c r="H15" s="63">
        <f t="shared" si="2"/>
        <v>3.95</v>
      </c>
      <c r="I15" s="58">
        <f>SUBMETERING!S18</f>
        <v>170</v>
      </c>
      <c r="J15" s="63">
        <f t="shared" si="3"/>
        <v>3.46</v>
      </c>
      <c r="K15" s="65">
        <f>SUBMETERING!Q18*1000</f>
        <v>3000</v>
      </c>
      <c r="L15" s="63">
        <f>SUBMETERING!R18/TOTAL!K15</f>
        <v>0.84333333333333338</v>
      </c>
      <c r="M15" s="57">
        <f>(SUBMETERING!D18/100)*344</f>
        <v>278.05520000000001</v>
      </c>
      <c r="N15" s="57">
        <f>'[1]Consommation mensuel énergie'!E23</f>
        <v>0</v>
      </c>
      <c r="O15" s="59" t="e">
        <f>E15*F15+G15*H15+#REF!*#REF!+I15*J15</f>
        <v>#REF!</v>
      </c>
    </row>
    <row r="16" spans="1:15">
      <c r="A16" s="54" t="s">
        <v>15</v>
      </c>
      <c r="B16" s="55">
        <f t="shared" si="0"/>
        <v>15</v>
      </c>
      <c r="C16" s="55">
        <v>12</v>
      </c>
      <c r="D16" s="56">
        <v>2020</v>
      </c>
      <c r="E16" s="57">
        <f>SUBMETERING!O19+SUBMETERING!M19</f>
        <v>30389.000000000728</v>
      </c>
      <c r="F16" s="63">
        <f t="shared" si="1"/>
        <v>0.67516900000000002</v>
      </c>
      <c r="G16" s="58">
        <f>SUBMETERING!E19+SUBMETERING!G19+SUBMETERING!I19+SUBMETERING!K19</f>
        <v>7554</v>
      </c>
      <c r="H16" s="63">
        <f t="shared" si="2"/>
        <v>3.95</v>
      </c>
      <c r="I16" s="58">
        <f>SUBMETERING!S19</f>
        <v>148</v>
      </c>
      <c r="J16" s="63">
        <f t="shared" si="3"/>
        <v>3.46</v>
      </c>
      <c r="K16" s="65">
        <f>SUBMETERING!Q19*1000</f>
        <v>5000</v>
      </c>
      <c r="L16" s="63">
        <f>SUBMETERING!R19/TOTAL!K16</f>
        <v>0.622664</v>
      </c>
      <c r="M16" s="57">
        <f>(SUBMETERING!D19/100)*344</f>
        <v>287.1712</v>
      </c>
      <c r="N16" s="57">
        <f>'[1]Consommation mensuel énergie'!E24</f>
        <v>0</v>
      </c>
      <c r="O16" s="59" t="e">
        <f>E16*F16+G16*H16+#REF!*#REF!+I16*J16</f>
        <v>#REF!</v>
      </c>
    </row>
    <row r="17" spans="1:15">
      <c r="A17" s="54" t="s">
        <v>15</v>
      </c>
      <c r="B17" s="55">
        <f t="shared" si="0"/>
        <v>16</v>
      </c>
      <c r="C17" s="55">
        <v>12</v>
      </c>
      <c r="D17" s="56">
        <v>2020</v>
      </c>
      <c r="E17" s="57">
        <f>SUBMETERING!O20+SUBMETERING!M20</f>
        <v>31032.000000000364</v>
      </c>
      <c r="F17" s="63">
        <f t="shared" si="1"/>
        <v>0.67516900000000002</v>
      </c>
      <c r="G17" s="58">
        <f>SUBMETERING!E20+SUBMETERING!G20+SUBMETERING!I20+SUBMETERING!K20</f>
        <v>7424</v>
      </c>
      <c r="H17" s="63">
        <f t="shared" si="2"/>
        <v>3.95</v>
      </c>
      <c r="I17" s="58">
        <f>SUBMETERING!S20</f>
        <v>147</v>
      </c>
      <c r="J17" s="63">
        <f t="shared" si="3"/>
        <v>3.46</v>
      </c>
      <c r="K17" s="65">
        <f>SUBMETERING!Q20*1000</f>
        <v>5000</v>
      </c>
      <c r="L17" s="63">
        <f>SUBMETERING!R20/TOTAL!K17</f>
        <v>0.622664</v>
      </c>
      <c r="M17" s="57">
        <f>(SUBMETERING!D20/100)*344</f>
        <v>303.40800000000002</v>
      </c>
      <c r="N17" s="57">
        <f>'[1]Consommation mensuel énergie'!E25</f>
        <v>0</v>
      </c>
      <c r="O17" s="59" t="e">
        <f>E17*F17+G17*H17+#REF!*#REF!+I17*J17</f>
        <v>#REF!</v>
      </c>
    </row>
    <row r="18" spans="1:15">
      <c r="A18" s="54" t="s">
        <v>15</v>
      </c>
      <c r="B18" s="55">
        <f t="shared" si="0"/>
        <v>17</v>
      </c>
      <c r="C18" s="55">
        <v>12</v>
      </c>
      <c r="D18" s="56">
        <v>2020</v>
      </c>
      <c r="E18" s="57">
        <f>SUBMETERING!O21+SUBMETERING!M21</f>
        <v>30054.999999998727</v>
      </c>
      <c r="F18" s="63">
        <f t="shared" si="1"/>
        <v>0.67516900000000002</v>
      </c>
      <c r="G18" s="58">
        <f>SUBMETERING!E21+SUBMETERING!G21+SUBMETERING!I21+SUBMETERING!K21</f>
        <v>7112</v>
      </c>
      <c r="H18" s="63">
        <f t="shared" si="2"/>
        <v>3.95</v>
      </c>
      <c r="I18" s="58">
        <f>SUBMETERING!S21</f>
        <v>153</v>
      </c>
      <c r="J18" s="63">
        <f t="shared" si="3"/>
        <v>3.46</v>
      </c>
      <c r="K18" s="65">
        <f>SUBMETERING!Q21*1000</f>
        <v>6000</v>
      </c>
      <c r="L18" s="63">
        <f>SUBMETERING!R21/TOTAL!K18</f>
        <v>0.56749666666666665</v>
      </c>
      <c r="M18" s="57">
        <f>(SUBMETERING!D21/100)*344</f>
        <v>321.98399999999998</v>
      </c>
      <c r="N18" s="57">
        <f>'[1]Consommation mensuel énergie'!E26</f>
        <v>0</v>
      </c>
      <c r="O18" s="59" t="e">
        <f>E18*F18+G18*H18+#REF!*#REF!+I18*J18</f>
        <v>#REF!</v>
      </c>
    </row>
    <row r="19" spans="1:15">
      <c r="A19" s="54" t="s">
        <v>15</v>
      </c>
      <c r="B19" s="55">
        <f t="shared" si="0"/>
        <v>18</v>
      </c>
      <c r="C19" s="55">
        <v>12</v>
      </c>
      <c r="D19" s="56">
        <v>2020</v>
      </c>
      <c r="E19" s="57">
        <f>SUBMETERING!O22+SUBMETERING!M22</f>
        <v>31951.999999999727</v>
      </c>
      <c r="F19" s="63">
        <f t="shared" si="1"/>
        <v>0.67516900000000002</v>
      </c>
      <c r="G19" s="58">
        <f>SUBMETERING!E22+SUBMETERING!G22+SUBMETERING!I22+SUBMETERING!K22</f>
        <v>8890</v>
      </c>
      <c r="H19" s="63">
        <f t="shared" si="2"/>
        <v>3.95</v>
      </c>
      <c r="I19" s="58">
        <f>SUBMETERING!S22</f>
        <v>150</v>
      </c>
      <c r="J19" s="63">
        <f t="shared" si="3"/>
        <v>3.46</v>
      </c>
      <c r="K19" s="65">
        <f>SUBMETERING!Q22*1000</f>
        <v>8000</v>
      </c>
      <c r="L19" s="63">
        <f>SUBMETERING!R22/TOTAL!K19</f>
        <v>0.49853750000000002</v>
      </c>
      <c r="M19" s="57">
        <f>(SUBMETERING!D22/100)*344</f>
        <v>301</v>
      </c>
      <c r="N19" s="57">
        <f>'[1]Consommation mensuel énergie'!E27</f>
        <v>0</v>
      </c>
      <c r="O19" s="59" t="e">
        <f>E19*F19+G19*H19+#REF!*#REF!+I19*J19</f>
        <v>#REF!</v>
      </c>
    </row>
    <row r="20" spans="1:15">
      <c r="A20" s="54" t="s">
        <v>15</v>
      </c>
      <c r="B20" s="55">
        <f t="shared" si="0"/>
        <v>19</v>
      </c>
      <c r="C20" s="55">
        <v>12</v>
      </c>
      <c r="D20" s="56">
        <v>2020</v>
      </c>
      <c r="E20" s="57">
        <f>SUBMETERING!O23+SUBMETERING!M23</f>
        <v>30901.999999999909</v>
      </c>
      <c r="F20" s="63">
        <f t="shared" si="1"/>
        <v>0.67516900000000002</v>
      </c>
      <c r="G20" s="58">
        <f>SUBMETERING!E23+SUBMETERING!G23+SUBMETERING!I23+SUBMETERING!K23</f>
        <v>8338</v>
      </c>
      <c r="H20" s="63">
        <f t="shared" si="2"/>
        <v>3.95</v>
      </c>
      <c r="I20" s="58">
        <f>SUBMETERING!S23</f>
        <v>160</v>
      </c>
      <c r="J20" s="63">
        <f t="shared" si="3"/>
        <v>3.46</v>
      </c>
      <c r="K20" s="65">
        <f>SUBMETERING!Q23*1000</f>
        <v>5000</v>
      </c>
      <c r="L20" s="63">
        <f>SUBMETERING!R23/TOTAL!K20</f>
        <v>0.622664</v>
      </c>
      <c r="M20" s="57">
        <f>(SUBMETERING!D23/100)*344</f>
        <v>301</v>
      </c>
      <c r="N20" s="57">
        <f>'[1]Consommation mensuel énergie'!E28</f>
        <v>0</v>
      </c>
      <c r="O20" s="59" t="e">
        <f>E20*F20+G20*H20+#REF!*#REF!+I20*J20</f>
        <v>#REF!</v>
      </c>
    </row>
    <row r="21" spans="1:15">
      <c r="A21" s="54" t="s">
        <v>15</v>
      </c>
      <c r="B21" s="55">
        <f t="shared" si="0"/>
        <v>20</v>
      </c>
      <c r="C21" s="55">
        <v>12</v>
      </c>
      <c r="D21" s="56">
        <v>2020</v>
      </c>
      <c r="E21" s="57">
        <f>SUBMETERING!O24+SUBMETERING!M24</f>
        <v>31020.000000000091</v>
      </c>
      <c r="F21" s="63">
        <f t="shared" si="1"/>
        <v>0.67516900000000002</v>
      </c>
      <c r="G21" s="58">
        <f>SUBMETERING!E24+SUBMETERING!G24+SUBMETERING!I24+SUBMETERING!K24</f>
        <v>8080</v>
      </c>
      <c r="H21" s="63">
        <f t="shared" si="2"/>
        <v>3.95</v>
      </c>
      <c r="I21" s="58">
        <f>SUBMETERING!S24</f>
        <v>238</v>
      </c>
      <c r="J21" s="63">
        <f t="shared" si="3"/>
        <v>3.46</v>
      </c>
      <c r="K21" s="65">
        <f>SUBMETERING!Q24*1000</f>
        <v>5000</v>
      </c>
      <c r="L21" s="63">
        <f>SUBMETERING!R24/TOTAL!K21</f>
        <v>0.622664</v>
      </c>
      <c r="M21" s="57">
        <f>(SUBMETERING!D24/100)*344</f>
        <v>252.01440000000002</v>
      </c>
      <c r="N21" s="57">
        <f>'[1]Consommation mensuel énergie'!E29</f>
        <v>0</v>
      </c>
      <c r="O21" s="59" t="e">
        <f>E21*F21+G21*H21+#REF!*#REF!+I21*J21</f>
        <v>#REF!</v>
      </c>
    </row>
    <row r="22" spans="1:15">
      <c r="A22" s="54" t="s">
        <v>15</v>
      </c>
      <c r="B22" s="55">
        <f t="shared" si="0"/>
        <v>21</v>
      </c>
      <c r="C22" s="55">
        <v>12</v>
      </c>
      <c r="D22" s="56">
        <v>2020</v>
      </c>
      <c r="E22" s="57">
        <f>SUBMETERING!O25+SUBMETERING!M25</f>
        <v>34062.000000002001</v>
      </c>
      <c r="F22" s="63">
        <f t="shared" si="1"/>
        <v>0.67516900000000002</v>
      </c>
      <c r="G22" s="58">
        <f>SUBMETERING!E25+SUBMETERING!G25+SUBMETERING!I25+SUBMETERING!K25</f>
        <v>7872</v>
      </c>
      <c r="H22" s="63">
        <f t="shared" si="2"/>
        <v>3.95</v>
      </c>
      <c r="I22" s="58">
        <f>SUBMETERING!S25</f>
        <v>132</v>
      </c>
      <c r="J22" s="63">
        <f t="shared" si="3"/>
        <v>3.46</v>
      </c>
      <c r="K22" s="65">
        <f>SUBMETERING!Q25*1000</f>
        <v>8000</v>
      </c>
      <c r="L22" s="63">
        <f>SUBMETERING!R25/TOTAL!K22</f>
        <v>0.49853750000000002</v>
      </c>
      <c r="M22" s="57">
        <f>(SUBMETERING!D25/100)*344</f>
        <v>305.988</v>
      </c>
      <c r="N22" s="57">
        <f>'[1]Consommation mensuel énergie'!E30</f>
        <v>0</v>
      </c>
      <c r="O22" s="59" t="e">
        <f>E22*F22+G22*H22+#REF!*#REF!+I22*J22</f>
        <v>#REF!</v>
      </c>
    </row>
    <row r="23" spans="1:15">
      <c r="A23" s="54" t="s">
        <v>15</v>
      </c>
      <c r="B23" s="55">
        <f t="shared" si="0"/>
        <v>22</v>
      </c>
      <c r="C23" s="55">
        <v>12</v>
      </c>
      <c r="D23" s="56">
        <v>2020</v>
      </c>
      <c r="E23" s="57">
        <f>SUBMETERING!O26+SUBMETERING!M26</f>
        <v>28637.999999998636</v>
      </c>
      <c r="F23" s="63">
        <f t="shared" si="1"/>
        <v>0.67516900000000002</v>
      </c>
      <c r="G23" s="58">
        <f>SUBMETERING!E26+SUBMETERING!G26+SUBMETERING!I26+SUBMETERING!K26</f>
        <v>7270</v>
      </c>
      <c r="H23" s="63">
        <f t="shared" si="2"/>
        <v>3.95</v>
      </c>
      <c r="I23" s="58">
        <f>SUBMETERING!S26</f>
        <v>150</v>
      </c>
      <c r="J23" s="63">
        <f t="shared" si="3"/>
        <v>3.46</v>
      </c>
      <c r="K23" s="65">
        <f>SUBMETERING!Q26*1000</f>
        <v>5000</v>
      </c>
      <c r="L23" s="63">
        <f>SUBMETERING!R26/TOTAL!K23</f>
        <v>0.622664</v>
      </c>
      <c r="M23" s="57">
        <f>(SUBMETERING!D26/100)*344</f>
        <v>264.98320000000001</v>
      </c>
      <c r="N23" s="57">
        <f>'[1]Consommation mensuel énergie'!E31</f>
        <v>0</v>
      </c>
      <c r="O23" s="59" t="e">
        <f>E23*F23+G23*H23+#REF!*#REF!+I23*J23</f>
        <v>#REF!</v>
      </c>
    </row>
    <row r="24" spans="1:15">
      <c r="A24" s="54" t="s">
        <v>15</v>
      </c>
      <c r="B24" s="55">
        <f t="shared" si="0"/>
        <v>23</v>
      </c>
      <c r="C24" s="55">
        <v>12</v>
      </c>
      <c r="D24" s="56">
        <v>2020</v>
      </c>
      <c r="E24" s="57">
        <f>SUBMETERING!O27+SUBMETERING!M27</f>
        <v>34129.000000001091</v>
      </c>
      <c r="F24" s="63">
        <f t="shared" si="1"/>
        <v>0.67516900000000002</v>
      </c>
      <c r="G24" s="58">
        <f>SUBMETERING!E27+SUBMETERING!G27+SUBMETERING!I27+SUBMETERING!K27</f>
        <v>7122</v>
      </c>
      <c r="H24" s="63">
        <f t="shared" si="2"/>
        <v>3.95</v>
      </c>
      <c r="I24" s="58">
        <f>SUBMETERING!S27</f>
        <v>180</v>
      </c>
      <c r="J24" s="63">
        <f t="shared" si="3"/>
        <v>3.46</v>
      </c>
      <c r="K24" s="65">
        <f>SUBMETERING!Q27*1000</f>
        <v>7000</v>
      </c>
      <c r="L24" s="63">
        <f>SUBMETERING!R27/TOTAL!K24</f>
        <v>0.52809142857142866</v>
      </c>
      <c r="M24" s="57">
        <f>(SUBMETERING!D27/100)*344</f>
        <v>260.99279999999999</v>
      </c>
      <c r="N24" s="57">
        <f>'[1]Consommation mensuel énergie'!E32</f>
        <v>0</v>
      </c>
      <c r="O24" s="59" t="e">
        <f>E24*F24+G24*H24+#REF!*#REF!+I24*J24</f>
        <v>#REF!</v>
      </c>
    </row>
    <row r="25" spans="1:15">
      <c r="A25" s="54" t="s">
        <v>15</v>
      </c>
      <c r="B25" s="55">
        <f t="shared" si="0"/>
        <v>24</v>
      </c>
      <c r="C25" s="55">
        <v>12</v>
      </c>
      <c r="D25" s="56">
        <v>2020</v>
      </c>
      <c r="E25" s="57">
        <f>SUBMETERING!O28+SUBMETERING!M28</f>
        <v>35611.999999999913</v>
      </c>
      <c r="F25" s="63">
        <f t="shared" si="1"/>
        <v>0.67516900000000002</v>
      </c>
      <c r="G25" s="58">
        <f>SUBMETERING!E28+SUBMETERING!G28+SUBMETERING!I28+SUBMETERING!K28</f>
        <v>7488</v>
      </c>
      <c r="H25" s="63">
        <f t="shared" si="2"/>
        <v>3.95</v>
      </c>
      <c r="I25" s="58">
        <f>SUBMETERING!S28</f>
        <v>209</v>
      </c>
      <c r="J25" s="63">
        <f t="shared" si="3"/>
        <v>3.46</v>
      </c>
      <c r="K25" s="65">
        <f>SUBMETERING!Q28*1000</f>
        <v>8000</v>
      </c>
      <c r="L25" s="63">
        <f>SUBMETERING!R28/TOTAL!K25</f>
        <v>0.49853750000000002</v>
      </c>
      <c r="M25" s="57">
        <f>(SUBMETERING!D28/100)*344</f>
        <v>297.00960000000003</v>
      </c>
      <c r="N25" s="57">
        <f>'[1]Consommation mensuel énergie'!E33</f>
        <v>0</v>
      </c>
      <c r="O25" s="59" t="e">
        <f>E25*F25+G25*H25+#REF!*#REF!+I25*J25</f>
        <v>#REF!</v>
      </c>
    </row>
    <row r="26" spans="1:15">
      <c r="A26" s="54" t="s">
        <v>15</v>
      </c>
      <c r="B26" s="55">
        <f>B25+1</f>
        <v>25</v>
      </c>
      <c r="C26" s="55">
        <v>12</v>
      </c>
      <c r="D26" s="56">
        <v>2020</v>
      </c>
      <c r="E26" s="57">
        <f>SUBMETERING!O29+SUBMETERING!M29</f>
        <v>33603.000000000815</v>
      </c>
      <c r="F26" s="63">
        <f t="shared" si="1"/>
        <v>0.67516900000000002</v>
      </c>
      <c r="G26" s="58">
        <f>SUBMETERING!E29+SUBMETERING!G29+SUBMETERING!I29+SUBMETERING!K29</f>
        <v>7782</v>
      </c>
      <c r="H26" s="63">
        <f t="shared" si="2"/>
        <v>3.95</v>
      </c>
      <c r="I26" s="58">
        <f>SUBMETERING!S29</f>
        <v>193</v>
      </c>
      <c r="J26" s="63">
        <f t="shared" si="3"/>
        <v>3.46</v>
      </c>
      <c r="K26" s="65">
        <f>SUBMETERING!Q29*1000</f>
        <v>9000</v>
      </c>
      <c r="L26" s="63">
        <f>SUBMETERING!R29/TOTAL!K26</f>
        <v>0.47555111111111109</v>
      </c>
      <c r="M26" s="57">
        <f>(SUBMETERING!D29/100)*344</f>
        <v>300.00240000000002</v>
      </c>
      <c r="N26" s="57">
        <f>'[1]Consommation mensuel énergie'!E34</f>
        <v>0</v>
      </c>
      <c r="O26" s="59" t="e">
        <f>E26*F26+G26*H26+#REF!*#REF!+I26*J26</f>
        <v>#REF!</v>
      </c>
    </row>
    <row r="27" spans="1:15">
      <c r="A27" s="54" t="s">
        <v>15</v>
      </c>
      <c r="B27" s="55">
        <f t="shared" si="0"/>
        <v>26</v>
      </c>
      <c r="C27" s="55">
        <v>12</v>
      </c>
      <c r="D27" s="56">
        <v>2020</v>
      </c>
      <c r="E27" s="57">
        <f>SUBMETERING!O30+SUBMETERING!M30</f>
        <v>33525.999999998545</v>
      </c>
      <c r="F27" s="63">
        <f t="shared" si="1"/>
        <v>0.67516900000000002</v>
      </c>
      <c r="G27" s="58">
        <f>SUBMETERING!E30+SUBMETERING!G30+SUBMETERING!I30+SUBMETERING!K30</f>
        <v>7748</v>
      </c>
      <c r="H27" s="63">
        <f t="shared" si="2"/>
        <v>3.95</v>
      </c>
      <c r="I27" s="58">
        <f>SUBMETERING!S30</f>
        <v>206</v>
      </c>
      <c r="J27" s="63">
        <f t="shared" si="3"/>
        <v>3.46</v>
      </c>
      <c r="K27" s="65">
        <f>SUBMETERING!Q30*1000</f>
        <v>8000</v>
      </c>
      <c r="L27" s="63">
        <f>SUBMETERING!R30/TOTAL!K27</f>
        <v>0.49853750000000002</v>
      </c>
      <c r="M27" s="57">
        <f>(SUBMETERING!D30/100)*344</f>
        <v>314.00319999999999</v>
      </c>
      <c r="N27" s="57">
        <f>'[1]Consommation mensuel énergie'!E35</f>
        <v>0</v>
      </c>
      <c r="O27" s="59" t="e">
        <f>E27*F27+G27*H27+#REF!*#REF!+I27*J27</f>
        <v>#REF!</v>
      </c>
    </row>
    <row r="28" spans="1:15">
      <c r="A28" s="54" t="s">
        <v>15</v>
      </c>
      <c r="B28" s="55">
        <f t="shared" si="0"/>
        <v>27</v>
      </c>
      <c r="C28" s="55">
        <v>12</v>
      </c>
      <c r="D28" s="56">
        <v>2020</v>
      </c>
      <c r="E28" s="57">
        <f>SUBMETERING!O31+SUBMETERING!M31</f>
        <v>35995.999999999724</v>
      </c>
      <c r="F28" s="63">
        <f t="shared" si="1"/>
        <v>0.67516900000000002</v>
      </c>
      <c r="G28" s="58">
        <f>SUBMETERING!E31+SUBMETERING!G31+SUBMETERING!I31+SUBMETERING!K31</f>
        <v>7172</v>
      </c>
      <c r="H28" s="63">
        <f t="shared" si="2"/>
        <v>3.95</v>
      </c>
      <c r="I28" s="58">
        <f>SUBMETERING!S31</f>
        <v>188</v>
      </c>
      <c r="J28" s="63">
        <f t="shared" si="3"/>
        <v>3.46</v>
      </c>
      <c r="K28" s="65">
        <f>SUBMETERING!Q31*1000</f>
        <v>8000</v>
      </c>
      <c r="L28" s="63">
        <f>SUBMETERING!R31/TOTAL!K28</f>
        <v>0.49853750000000002</v>
      </c>
      <c r="M28" s="57">
        <f>(SUBMETERING!D31/100)*344</f>
        <v>244.99679999999998</v>
      </c>
      <c r="N28" s="57">
        <f>'[1]Consommation mensuel énergie'!E36</f>
        <v>0</v>
      </c>
      <c r="O28" s="59" t="e">
        <f>E28*F28+G28*H28+#REF!*#REF!+I28*J28</f>
        <v>#REF!</v>
      </c>
    </row>
    <row r="29" spans="1:15">
      <c r="A29" s="54" t="s">
        <v>15</v>
      </c>
      <c r="B29" s="55">
        <f t="shared" si="0"/>
        <v>28</v>
      </c>
      <c r="C29" s="55">
        <v>12</v>
      </c>
      <c r="D29" s="56">
        <v>2020</v>
      </c>
      <c r="E29" s="57">
        <f>SUBMETERING!O32+SUBMETERING!M32</f>
        <v>36746.999999999724</v>
      </c>
      <c r="F29" s="63">
        <f t="shared" si="1"/>
        <v>0.67516900000000002</v>
      </c>
      <c r="G29" s="58">
        <f>SUBMETERING!E32+SUBMETERING!G32+SUBMETERING!I32+SUBMETERING!K32</f>
        <v>6802</v>
      </c>
      <c r="H29" s="63">
        <f t="shared" si="2"/>
        <v>3.95</v>
      </c>
      <c r="I29" s="58">
        <f>SUBMETERING!S32</f>
        <v>217</v>
      </c>
      <c r="J29" s="63">
        <f t="shared" si="3"/>
        <v>3.46</v>
      </c>
      <c r="K29" s="65">
        <f>SUBMETERING!Q32*1000</f>
        <v>12000</v>
      </c>
      <c r="L29" s="63">
        <f>SUBMETERING!R32/TOTAL!K29</f>
        <v>0.4295783333333334</v>
      </c>
      <c r="M29" s="57">
        <f>(SUBMETERING!D32/100)*344</f>
        <v>240.00880000000001</v>
      </c>
      <c r="N29" s="57">
        <f>'[1]Consommation mensuel énergie'!E37</f>
        <v>0</v>
      </c>
      <c r="O29" s="59" t="e">
        <f>E29*F29+G29*H29+#REF!*#REF!+I29*J29</f>
        <v>#REF!</v>
      </c>
    </row>
    <row r="30" spans="1:15">
      <c r="A30" s="54" t="s">
        <v>15</v>
      </c>
      <c r="B30" s="55">
        <f t="shared" si="0"/>
        <v>29</v>
      </c>
      <c r="C30" s="55">
        <v>12</v>
      </c>
      <c r="D30" s="56">
        <v>2020</v>
      </c>
      <c r="E30" s="57">
        <f>SUBMETERING!O33+SUBMETERING!M33</f>
        <v>37833.000000001543</v>
      </c>
      <c r="F30" s="63">
        <f t="shared" si="1"/>
        <v>0.67516900000000002</v>
      </c>
      <c r="G30" s="58">
        <f>SUBMETERING!E33+SUBMETERING!G33+SUBMETERING!I33+SUBMETERING!K33</f>
        <v>6888</v>
      </c>
      <c r="H30" s="63">
        <f t="shared" si="2"/>
        <v>3.95</v>
      </c>
      <c r="I30" s="58">
        <f>SUBMETERING!S33</f>
        <v>163</v>
      </c>
      <c r="J30" s="63">
        <f t="shared" si="3"/>
        <v>3.46</v>
      </c>
      <c r="K30" s="65">
        <f>SUBMETERING!Q33*1000</f>
        <v>12000</v>
      </c>
      <c r="L30" s="63">
        <f>SUBMETERING!R33/TOTAL!K30</f>
        <v>0.4295783333333334</v>
      </c>
      <c r="M30" s="57">
        <f>(SUBMETERING!D33/100)*344</f>
        <v>249.98480000000001</v>
      </c>
      <c r="N30" s="57">
        <f>'[1]Consommation mensuel énergie'!E38</f>
        <v>0</v>
      </c>
      <c r="O30" s="59" t="e">
        <f>E30*F30+G30*H30+#REF!*#REF!+I30*J30</f>
        <v>#REF!</v>
      </c>
    </row>
    <row r="31" spans="1:15">
      <c r="A31" s="54" t="s">
        <v>15</v>
      </c>
      <c r="B31" s="55">
        <f t="shared" si="0"/>
        <v>30</v>
      </c>
      <c r="C31" s="55">
        <v>12</v>
      </c>
      <c r="D31" s="56">
        <v>2020</v>
      </c>
      <c r="E31" s="57">
        <f>SUBMETERING!O34+SUBMETERING!M34</f>
        <v>30766.000000000546</v>
      </c>
      <c r="F31" s="63">
        <f t="shared" si="1"/>
        <v>0.67516900000000002</v>
      </c>
      <c r="G31" s="58">
        <f>SUBMETERING!E34+SUBMETERING!G34+SUBMETERING!I34+SUBMETERING!K34</f>
        <v>7694</v>
      </c>
      <c r="H31" s="63">
        <f t="shared" si="2"/>
        <v>3.95</v>
      </c>
      <c r="I31" s="58">
        <f>SUBMETERING!S34</f>
        <v>151</v>
      </c>
      <c r="J31" s="63">
        <f t="shared" si="3"/>
        <v>3.46</v>
      </c>
      <c r="K31" s="65">
        <f>SUBMETERING!Q34*1000</f>
        <v>9000</v>
      </c>
      <c r="L31" s="63">
        <f>SUBMETERING!R34/TOTAL!K31</f>
        <v>0.47555111111111109</v>
      </c>
      <c r="M31" s="57">
        <f>(SUBMETERING!D34/100)*344</f>
        <v>227.31519999999998</v>
      </c>
      <c r="N31" s="57">
        <f>'[1]Consommation mensuel énergie'!E39</f>
        <v>0</v>
      </c>
      <c r="O31" s="59" t="e">
        <f>E31*F31+G31*H31+#REF!*#REF!+I31*J31</f>
        <v>#REF!</v>
      </c>
    </row>
    <row r="32" spans="1:15">
      <c r="A32" s="54" t="s">
        <v>15</v>
      </c>
      <c r="B32" s="55">
        <f t="shared" si="0"/>
        <v>31</v>
      </c>
      <c r="C32" s="55">
        <v>12</v>
      </c>
      <c r="D32" s="56">
        <v>2020</v>
      </c>
      <c r="E32" s="57">
        <f>SUBMETERING!O35+SUBMETERING!M35</f>
        <v>33733.999999998094</v>
      </c>
      <c r="F32" s="63">
        <f t="shared" si="1"/>
        <v>0.67516900000000002</v>
      </c>
      <c r="G32" s="58">
        <f>SUBMETERING!E35+SUBMETERING!G35+SUBMETERING!I35+SUBMETERING!K35</f>
        <v>8216</v>
      </c>
      <c r="H32" s="63">
        <f t="shared" si="2"/>
        <v>3.95</v>
      </c>
      <c r="I32" s="58">
        <f>SUBMETERING!S35</f>
        <v>174</v>
      </c>
      <c r="J32" s="63">
        <f t="shared" si="3"/>
        <v>3.46</v>
      </c>
      <c r="K32" s="65">
        <f>SUBMETERING!Q35*1000</f>
        <v>4000</v>
      </c>
      <c r="L32" s="63">
        <f>SUBMETERING!R35/TOTAL!K32</f>
        <v>0.70541500000000001</v>
      </c>
      <c r="M32" s="57">
        <f>(SUBMETERING!D35/100)*344</f>
        <v>333.85199999999998</v>
      </c>
      <c r="N32" s="57">
        <v>0</v>
      </c>
      <c r="O32" s="59"/>
    </row>
    <row r="33" spans="1:15" s="57" customFormat="1">
      <c r="A33" s="61"/>
      <c r="B33" s="55"/>
      <c r="C33" s="55"/>
      <c r="D33" s="56"/>
      <c r="F33" s="63"/>
      <c r="G33" s="58"/>
      <c r="H33" s="63"/>
      <c r="I33" s="58"/>
      <c r="J33" s="63"/>
      <c r="K33" s="63"/>
      <c r="L33" s="63"/>
      <c r="O33" s="60"/>
    </row>
    <row r="34" spans="1:15" s="57" customFormat="1">
      <c r="A34" s="61"/>
      <c r="B34" s="55"/>
      <c r="C34" s="55"/>
      <c r="D34" s="56"/>
      <c r="F34" s="63"/>
      <c r="G34" s="58"/>
      <c r="H34" s="63"/>
      <c r="I34" s="58"/>
      <c r="J34" s="63"/>
      <c r="K34" s="63"/>
      <c r="L34" s="63"/>
      <c r="O34" s="60"/>
    </row>
    <row r="35" spans="1:15" s="57" customFormat="1">
      <c r="A35" s="61"/>
      <c r="B35" s="55"/>
      <c r="C35" s="55"/>
      <c r="D35" s="56"/>
      <c r="F35" s="63"/>
      <c r="G35" s="58"/>
      <c r="H35" s="63"/>
      <c r="I35" s="58"/>
      <c r="J35" s="63"/>
      <c r="K35" s="63"/>
      <c r="L35" s="63"/>
      <c r="O35" s="60"/>
    </row>
    <row r="36" spans="1:15" s="57" customFormat="1">
      <c r="A36" s="61"/>
      <c r="B36" s="55"/>
      <c r="C36" s="55"/>
      <c r="D36" s="56"/>
      <c r="F36" s="63"/>
      <c r="G36" s="58"/>
      <c r="H36" s="63"/>
      <c r="I36" s="58"/>
      <c r="J36" s="63"/>
      <c r="K36" s="63"/>
      <c r="L36" s="63"/>
      <c r="O36" s="60"/>
    </row>
    <row r="37" spans="1:15" s="57" customFormat="1">
      <c r="A37" s="61"/>
      <c r="B37" s="55"/>
      <c r="C37" s="55"/>
      <c r="D37" s="56"/>
      <c r="F37" s="63"/>
      <c r="G37" s="58"/>
      <c r="H37" s="63"/>
      <c r="I37" s="58"/>
      <c r="J37" s="63"/>
      <c r="K37" s="63"/>
      <c r="L37" s="63"/>
      <c r="O37" s="60"/>
    </row>
    <row r="38" spans="1:15" s="57" customFormat="1">
      <c r="A38" s="61"/>
      <c r="B38" s="55"/>
      <c r="C38" s="55"/>
      <c r="D38" s="56"/>
      <c r="F38" s="63"/>
      <c r="G38" s="58"/>
      <c r="H38" s="63"/>
      <c r="I38" s="58"/>
      <c r="J38" s="63"/>
      <c r="K38" s="63"/>
      <c r="L38" s="63"/>
      <c r="O38" s="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abSelected="1" topLeftCell="D1" zoomScaleNormal="100" workbookViewId="0">
      <selection activeCell="S5" sqref="S5"/>
    </sheetView>
  </sheetViews>
  <sheetFormatPr defaultColWidth="9" defaultRowHeight="14.25"/>
  <cols>
    <col min="1" max="1" width="4.625" style="2" customWidth="1"/>
    <col min="2" max="4" width="6.625" style="2" customWidth="1"/>
    <col min="5" max="5" width="8.625" style="2" customWidth="1"/>
    <col min="6" max="6" width="11.625" style="2" customWidth="1"/>
    <col min="7" max="7" width="7.625" style="3" customWidth="1"/>
    <col min="8" max="8" width="12.25" style="2" customWidth="1"/>
    <col min="9" max="9" width="8.25" style="2" customWidth="1"/>
    <col min="10" max="10" width="11.625" style="2" customWidth="1"/>
    <col min="11" max="11" width="8.625" style="2" customWidth="1"/>
    <col min="12" max="12" width="13.625" style="2" customWidth="1"/>
    <col min="13" max="13" width="8.625" style="2" customWidth="1"/>
    <col min="14" max="14" width="13.625" style="2" customWidth="1"/>
    <col min="15" max="15" width="9.625" style="2" customWidth="1"/>
    <col min="16" max="16" width="13.625" style="2" customWidth="1"/>
    <col min="17" max="17" width="7.875" style="2" customWidth="1"/>
    <col min="18" max="18" width="12.625" style="2" customWidth="1"/>
    <col min="19" max="19" width="6.625" style="2" customWidth="1"/>
    <col min="20" max="20" width="11.625" style="1" customWidth="1"/>
    <col min="21" max="21" width="15.625" style="9" customWidth="1"/>
    <col min="22" max="25" width="8" style="2" bestFit="1" customWidth="1"/>
    <col min="26" max="26" width="16.25" style="2" customWidth="1"/>
    <col min="27" max="16384" width="9" style="2"/>
  </cols>
  <sheetData>
    <row r="1" spans="1:21" ht="24" customHeight="1" thickBot="1">
      <c r="A1" s="66" t="s">
        <v>16</v>
      </c>
      <c r="B1" s="66"/>
      <c r="C1" s="66"/>
      <c r="D1" s="66"/>
      <c r="E1" s="66"/>
      <c r="F1" s="66"/>
      <c r="G1" s="67"/>
      <c r="H1" s="66"/>
      <c r="I1" s="66"/>
      <c r="J1" s="66"/>
      <c r="K1" s="66"/>
      <c r="L1" s="66"/>
      <c r="M1" s="66"/>
      <c r="N1" s="66"/>
      <c r="O1" s="68"/>
      <c r="P1" s="68"/>
      <c r="Q1" s="68"/>
      <c r="R1" s="68"/>
      <c r="S1" s="68"/>
      <c r="T1" s="68"/>
      <c r="U1" s="68"/>
    </row>
    <row r="2" spans="1:21" s="10" customFormat="1" ht="26.25" customHeight="1" thickBot="1">
      <c r="A2" s="69" t="s">
        <v>17</v>
      </c>
      <c r="B2" s="72" t="s">
        <v>18</v>
      </c>
      <c r="C2" s="72" t="s">
        <v>19</v>
      </c>
      <c r="D2" s="69" t="s">
        <v>20</v>
      </c>
      <c r="E2" s="75" t="s">
        <v>21</v>
      </c>
      <c r="F2" s="76"/>
      <c r="G2" s="79" t="s">
        <v>22</v>
      </c>
      <c r="H2" s="91"/>
      <c r="I2" s="94" t="s">
        <v>23</v>
      </c>
      <c r="J2" s="91"/>
      <c r="K2" s="79" t="s">
        <v>24</v>
      </c>
      <c r="L2" s="80"/>
      <c r="M2" s="79" t="s">
        <v>25</v>
      </c>
      <c r="N2" s="80"/>
      <c r="O2" s="83" t="s">
        <v>26</v>
      </c>
      <c r="P2" s="84"/>
      <c r="Q2" s="98" t="s">
        <v>27</v>
      </c>
      <c r="R2" s="99"/>
      <c r="S2" s="96" t="s">
        <v>28</v>
      </c>
      <c r="T2" s="97"/>
      <c r="U2" s="80" t="s">
        <v>29</v>
      </c>
    </row>
    <row r="3" spans="1:21" s="11" customFormat="1" ht="38.25" customHeight="1" thickBot="1">
      <c r="A3" s="70"/>
      <c r="B3" s="73"/>
      <c r="C3" s="73"/>
      <c r="D3" s="70"/>
      <c r="E3" s="77"/>
      <c r="F3" s="78"/>
      <c r="G3" s="92"/>
      <c r="H3" s="93"/>
      <c r="I3" s="95"/>
      <c r="J3" s="93"/>
      <c r="K3" s="81"/>
      <c r="L3" s="82"/>
      <c r="M3" s="81"/>
      <c r="N3" s="82"/>
      <c r="O3" s="85"/>
      <c r="P3" s="86"/>
      <c r="Q3" s="100"/>
      <c r="R3" s="101"/>
      <c r="S3" s="89" t="s">
        <v>30</v>
      </c>
      <c r="T3" s="90"/>
      <c r="U3" s="70"/>
    </row>
    <row r="4" spans="1:21" s="10" customFormat="1" ht="24.75" customHeight="1" thickBot="1">
      <c r="A4" s="71"/>
      <c r="B4" s="74"/>
      <c r="C4" s="74"/>
      <c r="D4" s="71"/>
      <c r="E4" s="20" t="s">
        <v>31</v>
      </c>
      <c r="F4" s="21" t="s">
        <v>32</v>
      </c>
      <c r="G4" s="20" t="s">
        <v>31</v>
      </c>
      <c r="H4" s="21" t="s">
        <v>33</v>
      </c>
      <c r="I4" s="22" t="s">
        <v>34</v>
      </c>
      <c r="J4" s="23" t="s">
        <v>33</v>
      </c>
      <c r="K4" s="22" t="s">
        <v>35</v>
      </c>
      <c r="L4" s="23" t="s">
        <v>33</v>
      </c>
      <c r="M4" s="24" t="s">
        <v>36</v>
      </c>
      <c r="N4" s="21" t="s">
        <v>32</v>
      </c>
      <c r="O4" s="20" t="s">
        <v>37</v>
      </c>
      <c r="P4" s="21" t="s">
        <v>32</v>
      </c>
      <c r="Q4" s="25" t="s">
        <v>38</v>
      </c>
      <c r="R4" s="26" t="s">
        <v>33</v>
      </c>
      <c r="S4" s="20" t="s">
        <v>39</v>
      </c>
      <c r="T4" s="21" t="s">
        <v>32</v>
      </c>
      <c r="U4" s="71"/>
    </row>
    <row r="5" spans="1:21" s="4" customFormat="1" ht="22.5" customHeight="1" thickBot="1">
      <c r="A5" s="44">
        <v>1</v>
      </c>
      <c r="B5" s="27" t="s">
        <v>40</v>
      </c>
      <c r="C5" s="12">
        <v>448</v>
      </c>
      <c r="D5" s="29">
        <v>76.16</v>
      </c>
      <c r="E5" s="13">
        <v>713</v>
      </c>
      <c r="F5" s="32">
        <v>2973.21</v>
      </c>
      <c r="G5" s="13">
        <v>888</v>
      </c>
      <c r="H5" s="15">
        <v>3702.96</v>
      </c>
      <c r="I5" s="30">
        <v>888</v>
      </c>
      <c r="J5" s="36">
        <v>3702.96</v>
      </c>
      <c r="K5" s="13">
        <v>2489</v>
      </c>
      <c r="L5" s="15">
        <v>10379.129999999999</v>
      </c>
      <c r="M5" s="30">
        <v>6290</v>
      </c>
      <c r="N5" s="32">
        <v>4246.8130099999998</v>
      </c>
      <c r="O5" s="13">
        <v>32000.000000000455</v>
      </c>
      <c r="P5" s="16">
        <v>21605.408000000309</v>
      </c>
      <c r="Q5" s="31">
        <f>SUM([2]裙楼空调用量!L4)</f>
        <v>10</v>
      </c>
      <c r="R5" s="33">
        <f>IF(Q5*417&gt;0,Q5*291.66+1655.02)</f>
        <v>4571.6200000000008</v>
      </c>
      <c r="S5" s="13">
        <v>160</v>
      </c>
      <c r="T5" s="16">
        <v>596.59199999999998</v>
      </c>
      <c r="U5" s="40">
        <f>SUM(L5+P5+R5+T5)</f>
        <v>37152.750000000306</v>
      </c>
    </row>
    <row r="6" spans="1:21" s="4" customFormat="1" ht="22.5" customHeight="1" thickBot="1">
      <c r="A6" s="45">
        <v>2</v>
      </c>
      <c r="B6" s="27" t="s">
        <v>43</v>
      </c>
      <c r="C6" s="12">
        <v>428</v>
      </c>
      <c r="D6" s="29">
        <v>86.63</v>
      </c>
      <c r="E6" s="13">
        <v>775</v>
      </c>
      <c r="F6" s="32">
        <v>3231.75</v>
      </c>
      <c r="G6" s="13">
        <v>1433</v>
      </c>
      <c r="H6" s="15">
        <v>5975.61</v>
      </c>
      <c r="I6" s="30">
        <v>983</v>
      </c>
      <c r="J6" s="36">
        <v>4099.1099999999997</v>
      </c>
      <c r="K6" s="13">
        <v>3191</v>
      </c>
      <c r="L6" s="15">
        <v>13306.47</v>
      </c>
      <c r="M6" s="30">
        <v>5508</v>
      </c>
      <c r="N6" s="32">
        <v>3718.830852</v>
      </c>
      <c r="O6" s="13">
        <v>28200.000000001637</v>
      </c>
      <c r="P6" s="16">
        <v>19039.765800001107</v>
      </c>
      <c r="Q6" s="31">
        <f>SUM([2]裙楼空调用量!L5)</f>
        <v>10</v>
      </c>
      <c r="R6" s="33">
        <f t="shared" ref="R6:R35" si="0">IF(Q6*417&gt;0,Q6*291.66+1655.02)</f>
        <v>4571.6200000000008</v>
      </c>
      <c r="S6" s="13">
        <v>186</v>
      </c>
      <c r="T6" s="16">
        <v>693.53819999999996</v>
      </c>
      <c r="U6" s="40">
        <f t="shared" ref="U6:U33" si="1">SUM(L6+P6+R6+T6)</f>
        <v>37611.394000001113</v>
      </c>
    </row>
    <row r="7" spans="1:21" s="4" customFormat="1" ht="22.5" customHeight="1" thickBot="1">
      <c r="A7" s="45">
        <v>3</v>
      </c>
      <c r="B7" s="27" t="s">
        <v>44</v>
      </c>
      <c r="C7" s="12">
        <v>903</v>
      </c>
      <c r="D7" s="29">
        <v>94.19</v>
      </c>
      <c r="E7" s="13">
        <v>653</v>
      </c>
      <c r="F7" s="32">
        <v>2723.0099999999998</v>
      </c>
      <c r="G7" s="13">
        <v>1459</v>
      </c>
      <c r="H7" s="15">
        <v>6084.03</v>
      </c>
      <c r="I7" s="30">
        <v>1254</v>
      </c>
      <c r="J7" s="36">
        <v>5229.18</v>
      </c>
      <c r="K7" s="13">
        <v>3366</v>
      </c>
      <c r="L7" s="15">
        <v>14036.22</v>
      </c>
      <c r="M7" s="30">
        <v>5221</v>
      </c>
      <c r="N7" s="32">
        <v>3525.0573490000002</v>
      </c>
      <c r="O7" s="13">
        <v>28499.999999999091</v>
      </c>
      <c r="P7" s="16">
        <v>19242.316499999386</v>
      </c>
      <c r="Q7" s="31">
        <f>SUM([2]裙楼空调用量!L6)</f>
        <v>10</v>
      </c>
      <c r="R7" s="33">
        <f t="shared" si="0"/>
        <v>4571.6200000000008</v>
      </c>
      <c r="S7" s="13">
        <v>160</v>
      </c>
      <c r="T7" s="16">
        <v>596.59199999999998</v>
      </c>
      <c r="U7" s="40">
        <f t="shared" si="1"/>
        <v>38446.748499999383</v>
      </c>
    </row>
    <row r="8" spans="1:21" s="4" customFormat="1" ht="22.5" customHeight="1" thickBot="1">
      <c r="A8" s="45">
        <v>4</v>
      </c>
      <c r="B8" s="27" t="s">
        <v>43</v>
      </c>
      <c r="C8" s="12">
        <v>511</v>
      </c>
      <c r="D8" s="29">
        <v>96.79</v>
      </c>
      <c r="E8" s="13">
        <v>635</v>
      </c>
      <c r="F8" s="32">
        <v>2647.95</v>
      </c>
      <c r="G8" s="13">
        <v>1610</v>
      </c>
      <c r="H8" s="15">
        <v>6713.7</v>
      </c>
      <c r="I8" s="30">
        <v>1427</v>
      </c>
      <c r="J8" s="36">
        <v>5950.59</v>
      </c>
      <c r="K8" s="13">
        <v>3672</v>
      </c>
      <c r="L8" s="15">
        <v>15312.24</v>
      </c>
      <c r="M8" s="30">
        <v>5111</v>
      </c>
      <c r="N8" s="32">
        <v>3450.788759</v>
      </c>
      <c r="O8" s="13">
        <v>28299.999999999272</v>
      </c>
      <c r="P8" s="16">
        <v>19107.282699999509</v>
      </c>
      <c r="Q8" s="31">
        <f>SUM([2]裙楼空调用量!L7)</f>
        <v>9</v>
      </c>
      <c r="R8" s="33">
        <f t="shared" si="0"/>
        <v>4279.96</v>
      </c>
      <c r="S8" s="13">
        <v>169</v>
      </c>
      <c r="T8" s="16">
        <v>630.15030000000002</v>
      </c>
      <c r="U8" s="40">
        <f t="shared" si="1"/>
        <v>39329.632999999507</v>
      </c>
    </row>
    <row r="9" spans="1:21" s="4" customFormat="1" ht="22.5" customHeight="1" thickBot="1">
      <c r="A9" s="45">
        <v>5</v>
      </c>
      <c r="B9" s="27" t="s">
        <v>45</v>
      </c>
      <c r="C9" s="12">
        <v>1037</v>
      </c>
      <c r="D9" s="29">
        <v>89.21</v>
      </c>
      <c r="E9" s="13">
        <v>865</v>
      </c>
      <c r="F9" s="32">
        <v>3607.0499999999997</v>
      </c>
      <c r="G9" s="13">
        <v>1560</v>
      </c>
      <c r="H9" s="15">
        <v>6505.2</v>
      </c>
      <c r="I9" s="30">
        <v>1393</v>
      </c>
      <c r="J9" s="36">
        <v>5808.8099999999995</v>
      </c>
      <c r="K9" s="13">
        <v>3818</v>
      </c>
      <c r="L9" s="15">
        <v>15921.06</v>
      </c>
      <c r="M9" s="30">
        <v>4572</v>
      </c>
      <c r="N9" s="32">
        <v>3086.872668</v>
      </c>
      <c r="O9" s="13">
        <v>27900.00000000191</v>
      </c>
      <c r="P9" s="16">
        <v>18837.215100001289</v>
      </c>
      <c r="Q9" s="31">
        <f>SUM([2]裙楼空调用量!L8)</f>
        <v>11</v>
      </c>
      <c r="R9" s="33">
        <f t="shared" si="0"/>
        <v>4863.2800000000007</v>
      </c>
      <c r="S9" s="13">
        <v>163</v>
      </c>
      <c r="T9" s="16">
        <v>607.77809999999999</v>
      </c>
      <c r="U9" s="40">
        <f t="shared" si="1"/>
        <v>40229.333200001289</v>
      </c>
    </row>
    <row r="10" spans="1:21" s="4" customFormat="1" ht="22.5" customHeight="1" thickBot="1">
      <c r="A10" s="45">
        <v>6</v>
      </c>
      <c r="B10" s="27" t="s">
        <v>46</v>
      </c>
      <c r="C10" s="12">
        <v>710</v>
      </c>
      <c r="D10" s="29">
        <v>77.33</v>
      </c>
      <c r="E10" s="13">
        <v>747</v>
      </c>
      <c r="F10" s="32">
        <v>3114.99</v>
      </c>
      <c r="G10" s="13">
        <v>1601</v>
      </c>
      <c r="H10" s="15">
        <v>6676.17</v>
      </c>
      <c r="I10" s="30">
        <v>1352</v>
      </c>
      <c r="J10" s="36">
        <v>5637.84</v>
      </c>
      <c r="K10" s="13">
        <v>3700</v>
      </c>
      <c r="L10" s="15">
        <v>15429</v>
      </c>
      <c r="M10" s="30">
        <v>3890</v>
      </c>
      <c r="N10" s="32">
        <v>2626.4074100000003</v>
      </c>
      <c r="O10" s="13">
        <v>26299.999999998818</v>
      </c>
      <c r="P10" s="16">
        <v>17756.944699999203</v>
      </c>
      <c r="Q10" s="31">
        <f>SUM([2]裙楼空调用量!L9)</f>
        <v>9</v>
      </c>
      <c r="R10" s="33">
        <f t="shared" si="0"/>
        <v>4279.96</v>
      </c>
      <c r="S10" s="13">
        <v>164</v>
      </c>
      <c r="T10" s="16">
        <v>611.5068</v>
      </c>
      <c r="U10" s="40">
        <f t="shared" si="1"/>
        <v>38077.411499999209</v>
      </c>
    </row>
    <row r="11" spans="1:21" s="4" customFormat="1" ht="22.5" customHeight="1" thickBot="1">
      <c r="A11" s="45">
        <v>7</v>
      </c>
      <c r="B11" s="27" t="s">
        <v>47</v>
      </c>
      <c r="C11" s="12">
        <v>1604</v>
      </c>
      <c r="D11" s="29">
        <v>73.260000000000005</v>
      </c>
      <c r="E11" s="13">
        <v>643</v>
      </c>
      <c r="F11" s="32">
        <v>2681.31</v>
      </c>
      <c r="G11" s="13">
        <v>1630</v>
      </c>
      <c r="H11" s="15">
        <v>6797.0999999999995</v>
      </c>
      <c r="I11" s="30">
        <v>1032</v>
      </c>
      <c r="J11" s="36">
        <v>4303.4399999999996</v>
      </c>
      <c r="K11" s="13">
        <v>3305</v>
      </c>
      <c r="L11" s="15">
        <v>13781.85</v>
      </c>
      <c r="M11" s="30">
        <v>6920</v>
      </c>
      <c r="N11" s="32">
        <v>4672.1694800000005</v>
      </c>
      <c r="O11" s="13">
        <v>30500.000000001819</v>
      </c>
      <c r="P11" s="16">
        <v>20592.65450000123</v>
      </c>
      <c r="Q11" s="31">
        <f>SUM([2]裙楼空调用量!L10)</f>
        <v>10</v>
      </c>
      <c r="R11" s="33">
        <f t="shared" si="0"/>
        <v>4571.6200000000008</v>
      </c>
      <c r="S11" s="13">
        <v>129</v>
      </c>
      <c r="T11" s="16">
        <v>481.00229999999999</v>
      </c>
      <c r="U11" s="40">
        <f t="shared" si="1"/>
        <v>39427.126800001235</v>
      </c>
    </row>
    <row r="12" spans="1:21" s="4" customFormat="1" ht="22.5" customHeight="1" thickBot="1">
      <c r="A12" s="45">
        <v>8</v>
      </c>
      <c r="B12" s="27" t="s">
        <v>48</v>
      </c>
      <c r="C12" s="12">
        <v>368</v>
      </c>
      <c r="D12" s="29">
        <v>87.21</v>
      </c>
      <c r="E12" s="13">
        <v>712</v>
      </c>
      <c r="F12" s="32">
        <v>2969.04</v>
      </c>
      <c r="G12" s="13">
        <v>1508</v>
      </c>
      <c r="H12" s="15">
        <v>6288.36</v>
      </c>
      <c r="I12" s="30">
        <v>1185</v>
      </c>
      <c r="J12" s="36">
        <v>4941.45</v>
      </c>
      <c r="K12" s="13">
        <v>3405</v>
      </c>
      <c r="L12" s="15">
        <v>14198.85</v>
      </c>
      <c r="M12" s="30">
        <v>5533</v>
      </c>
      <c r="N12" s="32">
        <v>3735.7100770000002</v>
      </c>
      <c r="O12" s="13">
        <v>27599.999999999909</v>
      </c>
      <c r="P12" s="16">
        <v>18634.66439999994</v>
      </c>
      <c r="Q12" s="31">
        <f>SUM([2]裙楼空调用量!L11)</f>
        <v>11</v>
      </c>
      <c r="R12" s="33">
        <f t="shared" si="0"/>
        <v>4863.2800000000007</v>
      </c>
      <c r="S12" s="13">
        <v>157</v>
      </c>
      <c r="T12" s="16">
        <v>585.40589999999997</v>
      </c>
      <c r="U12" s="40">
        <f t="shared" si="1"/>
        <v>38282.200299999939</v>
      </c>
    </row>
    <row r="13" spans="1:21" s="4" customFormat="1" ht="22.5" customHeight="1" thickBot="1">
      <c r="A13" s="45">
        <v>9</v>
      </c>
      <c r="B13" s="27" t="s">
        <v>48</v>
      </c>
      <c r="C13" s="12">
        <v>434</v>
      </c>
      <c r="D13" s="29">
        <v>91.86</v>
      </c>
      <c r="E13" s="13">
        <v>763</v>
      </c>
      <c r="F13" s="32">
        <v>3181.71</v>
      </c>
      <c r="G13" s="13">
        <v>1518</v>
      </c>
      <c r="H13" s="15">
        <v>6330.0599999999995</v>
      </c>
      <c r="I13" s="30">
        <v>1105</v>
      </c>
      <c r="J13" s="36">
        <v>4607.8500000000004</v>
      </c>
      <c r="K13" s="13">
        <v>3386</v>
      </c>
      <c r="L13" s="15">
        <v>14119.619999999999</v>
      </c>
      <c r="M13" s="30">
        <v>5176</v>
      </c>
      <c r="N13" s="32">
        <v>3494.6747439999999</v>
      </c>
      <c r="O13" s="13">
        <v>27899.999999997362</v>
      </c>
      <c r="P13" s="16">
        <v>18837.215099998219</v>
      </c>
      <c r="Q13" s="31">
        <f>SUM([2]裙楼空调用量!L12)</f>
        <v>10</v>
      </c>
      <c r="R13" s="33">
        <f t="shared" si="0"/>
        <v>4571.6200000000008</v>
      </c>
      <c r="S13" s="13">
        <v>161</v>
      </c>
      <c r="T13" s="16">
        <v>600.32069999999999</v>
      </c>
      <c r="U13" s="40">
        <f t="shared" si="1"/>
        <v>38128.77579999822</v>
      </c>
    </row>
    <row r="14" spans="1:21" s="4" customFormat="1" ht="22.5" customHeight="1" thickBot="1">
      <c r="A14" s="45">
        <v>10</v>
      </c>
      <c r="B14" s="27" t="s">
        <v>49</v>
      </c>
      <c r="C14" s="12">
        <v>630</v>
      </c>
      <c r="D14" s="29">
        <v>86.92</v>
      </c>
      <c r="E14" s="13">
        <v>718</v>
      </c>
      <c r="F14" s="32">
        <v>2994.06</v>
      </c>
      <c r="G14" s="13">
        <v>1571</v>
      </c>
      <c r="H14" s="15">
        <v>6551.07</v>
      </c>
      <c r="I14" s="30">
        <v>1154</v>
      </c>
      <c r="J14" s="36">
        <v>4812.18</v>
      </c>
      <c r="K14" s="13">
        <v>3443</v>
      </c>
      <c r="L14" s="15">
        <v>14357.31</v>
      </c>
      <c r="M14" s="30">
        <v>6182</v>
      </c>
      <c r="N14" s="32">
        <v>4173.8947580000004</v>
      </c>
      <c r="O14" s="13">
        <v>29700.000000000273</v>
      </c>
      <c r="P14" s="16">
        <v>20052.519300000185</v>
      </c>
      <c r="Q14" s="31">
        <f>SUM([2]裙楼空调用量!L13)</f>
        <v>11</v>
      </c>
      <c r="R14" s="33">
        <f t="shared" si="0"/>
        <v>4863.2800000000007</v>
      </c>
      <c r="S14" s="13">
        <v>171</v>
      </c>
      <c r="T14" s="16">
        <v>637.60770000000002</v>
      </c>
      <c r="U14" s="40">
        <f t="shared" si="1"/>
        <v>39910.717000000186</v>
      </c>
    </row>
    <row r="15" spans="1:21" s="4" customFormat="1" ht="22.5" customHeight="1" thickBot="1">
      <c r="A15" s="45">
        <v>11</v>
      </c>
      <c r="B15" s="27" t="s">
        <v>50</v>
      </c>
      <c r="C15" s="12">
        <v>1020</v>
      </c>
      <c r="D15" s="29">
        <v>89.83</v>
      </c>
      <c r="E15" s="13">
        <v>737</v>
      </c>
      <c r="F15" s="32">
        <v>3073.29</v>
      </c>
      <c r="G15" s="13">
        <v>1545</v>
      </c>
      <c r="H15" s="15">
        <v>6442.65</v>
      </c>
      <c r="I15" s="30">
        <v>1136</v>
      </c>
      <c r="J15" s="36">
        <v>4737.12</v>
      </c>
      <c r="K15" s="13">
        <v>3418</v>
      </c>
      <c r="L15" s="15">
        <v>14253.06</v>
      </c>
      <c r="M15" s="30">
        <v>6062</v>
      </c>
      <c r="N15" s="32">
        <v>4092.8744780000002</v>
      </c>
      <c r="O15" s="13">
        <v>29400.000000000546</v>
      </c>
      <c r="P15" s="16">
        <v>19849.968600000368</v>
      </c>
      <c r="Q15" s="31">
        <f>SUM([2]裙楼空调用量!L14)</f>
        <v>11</v>
      </c>
      <c r="R15" s="33">
        <f t="shared" si="0"/>
        <v>4863.2800000000007</v>
      </c>
      <c r="S15" s="13">
        <v>219</v>
      </c>
      <c r="T15" s="16">
        <v>816.58529999999996</v>
      </c>
      <c r="U15" s="40">
        <f t="shared" si="1"/>
        <v>39782.893900000367</v>
      </c>
    </row>
    <row r="16" spans="1:21" s="4" customFormat="1" ht="22.5" customHeight="1" thickBot="1">
      <c r="A16" s="45">
        <v>12</v>
      </c>
      <c r="B16" s="27" t="s">
        <v>50</v>
      </c>
      <c r="C16" s="12">
        <v>1182</v>
      </c>
      <c r="D16" s="29">
        <v>95.06</v>
      </c>
      <c r="E16" s="13">
        <v>1032</v>
      </c>
      <c r="F16" s="32">
        <v>4303.4399999999996</v>
      </c>
      <c r="G16" s="13">
        <v>1587</v>
      </c>
      <c r="H16" s="15">
        <v>6617.79</v>
      </c>
      <c r="I16" s="30">
        <v>1192</v>
      </c>
      <c r="J16" s="36">
        <v>4970.6400000000003</v>
      </c>
      <c r="K16" s="13">
        <v>3811</v>
      </c>
      <c r="L16" s="15">
        <v>15891.869999999999</v>
      </c>
      <c r="M16" s="30">
        <v>5944</v>
      </c>
      <c r="N16" s="32">
        <v>4013.2045360000002</v>
      </c>
      <c r="O16" s="13">
        <v>30499.999999999545</v>
      </c>
      <c r="P16" s="16">
        <v>20592.654499999695</v>
      </c>
      <c r="Q16" s="31">
        <f>SUM([2]裙楼空调用量!L15)</f>
        <v>24</v>
      </c>
      <c r="R16" s="33">
        <f t="shared" si="0"/>
        <v>8654.86</v>
      </c>
      <c r="S16" s="13">
        <v>209</v>
      </c>
      <c r="T16" s="16">
        <v>779.29829999999993</v>
      </c>
      <c r="U16" s="40">
        <f t="shared" si="1"/>
        <v>45918.682799999697</v>
      </c>
    </row>
    <row r="17" spans="1:21" s="4" customFormat="1" ht="22.5" customHeight="1" thickBot="1">
      <c r="A17" s="45">
        <v>13</v>
      </c>
      <c r="B17" s="27" t="s">
        <v>51</v>
      </c>
      <c r="C17" s="12">
        <v>20</v>
      </c>
      <c r="D17" s="29">
        <v>77.33</v>
      </c>
      <c r="E17" s="13">
        <v>793</v>
      </c>
      <c r="F17" s="32">
        <v>3306.81</v>
      </c>
      <c r="G17" s="13">
        <v>1601</v>
      </c>
      <c r="H17" s="15">
        <v>6676.17</v>
      </c>
      <c r="I17" s="30">
        <v>1273</v>
      </c>
      <c r="J17" s="36">
        <v>5308.41</v>
      </c>
      <c r="K17" s="13">
        <v>3667</v>
      </c>
      <c r="L17" s="15">
        <v>15291.39</v>
      </c>
      <c r="M17" s="30">
        <v>5441</v>
      </c>
      <c r="N17" s="32">
        <v>3673.594529</v>
      </c>
      <c r="O17" s="13">
        <v>29600.000000000364</v>
      </c>
      <c r="P17" s="16">
        <v>19985.002400000245</v>
      </c>
      <c r="Q17" s="31">
        <f>SUM([2]裙楼空调用量!L16)</f>
        <v>8</v>
      </c>
      <c r="R17" s="33">
        <f t="shared" si="0"/>
        <v>3988.3</v>
      </c>
      <c r="S17" s="13">
        <v>154</v>
      </c>
      <c r="T17" s="16">
        <v>574.21979999999996</v>
      </c>
      <c r="U17" s="40">
        <f t="shared" si="1"/>
        <v>39838.912200000246</v>
      </c>
    </row>
    <row r="18" spans="1:21" s="4" customFormat="1" ht="22.5" customHeight="1" thickBot="1">
      <c r="A18" s="45">
        <v>14</v>
      </c>
      <c r="B18" s="27" t="s">
        <v>52</v>
      </c>
      <c r="C18" s="12">
        <v>220</v>
      </c>
      <c r="D18" s="29">
        <v>80.83</v>
      </c>
      <c r="E18" s="13">
        <v>553</v>
      </c>
      <c r="F18" s="32">
        <v>2306.0099999999998</v>
      </c>
      <c r="G18" s="13">
        <v>1536</v>
      </c>
      <c r="H18" s="15">
        <v>6405.12</v>
      </c>
      <c r="I18" s="30">
        <v>1364</v>
      </c>
      <c r="J18" s="36">
        <v>5687.88</v>
      </c>
      <c r="K18" s="13">
        <v>3453</v>
      </c>
      <c r="L18" s="15">
        <v>14399.01</v>
      </c>
      <c r="M18" s="30">
        <v>4807</v>
      </c>
      <c r="N18" s="32">
        <v>3245.5373830000003</v>
      </c>
      <c r="O18" s="13">
        <v>27599.999999999909</v>
      </c>
      <c r="P18" s="16">
        <v>18634.66439999994</v>
      </c>
      <c r="Q18" s="31">
        <f>SUM([2]裙楼空调用量!L17)</f>
        <v>3</v>
      </c>
      <c r="R18" s="33">
        <f t="shared" si="0"/>
        <v>2530</v>
      </c>
      <c r="S18" s="13">
        <v>170</v>
      </c>
      <c r="T18" s="16">
        <v>633.87900000000002</v>
      </c>
      <c r="U18" s="40">
        <f t="shared" si="1"/>
        <v>36197.553399999939</v>
      </c>
    </row>
    <row r="19" spans="1:21" s="4" customFormat="1" ht="22.5" customHeight="1" thickBot="1">
      <c r="A19" s="45">
        <v>15</v>
      </c>
      <c r="B19" s="27" t="s">
        <v>53</v>
      </c>
      <c r="C19" s="12">
        <v>440</v>
      </c>
      <c r="D19" s="29">
        <v>83.48</v>
      </c>
      <c r="E19" s="13">
        <v>624</v>
      </c>
      <c r="F19" s="32">
        <v>2602.08</v>
      </c>
      <c r="G19" s="13">
        <v>1602</v>
      </c>
      <c r="H19" s="15">
        <v>6680.34</v>
      </c>
      <c r="I19" s="30">
        <v>1551</v>
      </c>
      <c r="J19" s="36">
        <v>6467.67</v>
      </c>
      <c r="K19" s="13">
        <v>3777</v>
      </c>
      <c r="L19" s="15">
        <v>15750.09</v>
      </c>
      <c r="M19" s="30">
        <v>3689</v>
      </c>
      <c r="N19" s="32">
        <v>2490.698441</v>
      </c>
      <c r="O19" s="13">
        <v>26700.000000000728</v>
      </c>
      <c r="P19" s="16">
        <v>18027.012300000493</v>
      </c>
      <c r="Q19" s="31">
        <f>SUM([2]裙楼空调用量!L18)</f>
        <v>5</v>
      </c>
      <c r="R19" s="33">
        <f t="shared" si="0"/>
        <v>3113.32</v>
      </c>
      <c r="S19" s="13">
        <v>148</v>
      </c>
      <c r="T19" s="16">
        <v>551.84759999999994</v>
      </c>
      <c r="U19" s="40">
        <f t="shared" si="1"/>
        <v>37442.269900000494</v>
      </c>
    </row>
    <row r="20" spans="1:21" s="4" customFormat="1" ht="22.5" customHeight="1" thickBot="1">
      <c r="A20" s="45">
        <v>16</v>
      </c>
      <c r="B20" s="27" t="s">
        <v>54</v>
      </c>
      <c r="C20" s="12">
        <v>128</v>
      </c>
      <c r="D20" s="29">
        <v>88.2</v>
      </c>
      <c r="E20" s="13">
        <v>681</v>
      </c>
      <c r="F20" s="32">
        <v>2839.77</v>
      </c>
      <c r="G20" s="13">
        <v>1456</v>
      </c>
      <c r="H20" s="15">
        <v>6071.5199999999995</v>
      </c>
      <c r="I20" s="30">
        <v>1575</v>
      </c>
      <c r="J20" s="36">
        <v>6567.75</v>
      </c>
      <c r="K20" s="13">
        <v>3712</v>
      </c>
      <c r="L20" s="15">
        <v>15479.039999999999</v>
      </c>
      <c r="M20" s="30">
        <v>3932</v>
      </c>
      <c r="N20" s="32">
        <v>2654.7645080000002</v>
      </c>
      <c r="O20" s="13">
        <v>27100.000000000364</v>
      </c>
      <c r="P20" s="16">
        <v>18297.079900000244</v>
      </c>
      <c r="Q20" s="31">
        <f>SUM([2]裙楼空调用量!L19)</f>
        <v>5</v>
      </c>
      <c r="R20" s="33">
        <f t="shared" si="0"/>
        <v>3113.32</v>
      </c>
      <c r="S20" s="13">
        <v>147</v>
      </c>
      <c r="T20" s="16">
        <v>548.11889999999994</v>
      </c>
      <c r="U20" s="40">
        <f t="shared" si="1"/>
        <v>37437.558800000246</v>
      </c>
    </row>
    <row r="21" spans="1:21" s="4" customFormat="1" ht="22.5" customHeight="1" thickBot="1">
      <c r="A21" s="45">
        <v>17</v>
      </c>
      <c r="B21" s="27" t="s">
        <v>55</v>
      </c>
      <c r="C21" s="12">
        <v>785</v>
      </c>
      <c r="D21" s="29">
        <v>93.6</v>
      </c>
      <c r="E21" s="13">
        <v>624</v>
      </c>
      <c r="F21" s="32">
        <v>2602.08</v>
      </c>
      <c r="G21" s="13">
        <v>1584</v>
      </c>
      <c r="H21" s="15">
        <v>6605.28</v>
      </c>
      <c r="I21" s="30">
        <v>1348</v>
      </c>
      <c r="J21" s="36">
        <v>5621.16</v>
      </c>
      <c r="K21" s="13">
        <v>3556</v>
      </c>
      <c r="L21" s="15">
        <v>14828.52</v>
      </c>
      <c r="M21" s="30">
        <v>3655</v>
      </c>
      <c r="N21" s="32">
        <v>2467.7426949999999</v>
      </c>
      <c r="O21" s="13">
        <v>26399.999999998727</v>
      </c>
      <c r="P21" s="16">
        <v>17824.46159999914</v>
      </c>
      <c r="Q21" s="31">
        <f>SUM([2]裙楼空调用量!L20)</f>
        <v>6</v>
      </c>
      <c r="R21" s="33">
        <f t="shared" si="0"/>
        <v>3404.98</v>
      </c>
      <c r="S21" s="13">
        <v>153</v>
      </c>
      <c r="T21" s="16">
        <v>570.49109999999996</v>
      </c>
      <c r="U21" s="40">
        <f t="shared" si="1"/>
        <v>36628.452699999143</v>
      </c>
    </row>
    <row r="22" spans="1:21" s="4" customFormat="1" ht="22.5" customHeight="1" thickBot="1">
      <c r="A22" s="45">
        <v>18</v>
      </c>
      <c r="B22" s="27" t="s">
        <v>56</v>
      </c>
      <c r="C22" s="12">
        <v>1987</v>
      </c>
      <c r="D22" s="29">
        <v>87.5</v>
      </c>
      <c r="E22" s="13">
        <v>772</v>
      </c>
      <c r="F22" s="32">
        <v>3219.24</v>
      </c>
      <c r="G22" s="13">
        <v>1718</v>
      </c>
      <c r="H22" s="15">
        <v>7164.0599999999995</v>
      </c>
      <c r="I22" s="30">
        <v>1955</v>
      </c>
      <c r="J22" s="36">
        <v>8152.3499999999995</v>
      </c>
      <c r="K22" s="13">
        <v>4445</v>
      </c>
      <c r="L22" s="15">
        <v>18535.650000000001</v>
      </c>
      <c r="M22" s="30">
        <v>4152</v>
      </c>
      <c r="N22" s="32">
        <v>2803.301688</v>
      </c>
      <c r="O22" s="13">
        <v>27799.999999999727</v>
      </c>
      <c r="P22" s="16">
        <v>18769.698199999817</v>
      </c>
      <c r="Q22" s="31">
        <f>SUM([2]裙楼空调用量!L21)</f>
        <v>8</v>
      </c>
      <c r="R22" s="33">
        <f t="shared" si="0"/>
        <v>3988.3</v>
      </c>
      <c r="S22" s="13">
        <v>150</v>
      </c>
      <c r="T22" s="16">
        <v>559.30499999999995</v>
      </c>
      <c r="U22" s="40">
        <f t="shared" si="1"/>
        <v>41852.953199999822</v>
      </c>
    </row>
    <row r="23" spans="1:21" s="4" customFormat="1" ht="22.5" customHeight="1" thickBot="1">
      <c r="A23" s="45">
        <v>19</v>
      </c>
      <c r="B23" s="27" t="s">
        <v>57</v>
      </c>
      <c r="C23" s="12">
        <v>786</v>
      </c>
      <c r="D23" s="29">
        <v>87.5</v>
      </c>
      <c r="E23" s="13">
        <v>816</v>
      </c>
      <c r="F23" s="32">
        <v>3402.72</v>
      </c>
      <c r="G23" s="13">
        <v>1645</v>
      </c>
      <c r="H23" s="15">
        <v>6859.65</v>
      </c>
      <c r="I23" s="30">
        <v>1708</v>
      </c>
      <c r="J23" s="36">
        <v>7122.36</v>
      </c>
      <c r="K23" s="13">
        <v>4169</v>
      </c>
      <c r="L23" s="15">
        <v>17384.73</v>
      </c>
      <c r="M23" s="30">
        <v>3302</v>
      </c>
      <c r="N23" s="32">
        <v>2229.408038</v>
      </c>
      <c r="O23" s="13">
        <v>27599.999999999909</v>
      </c>
      <c r="P23" s="16">
        <v>18634.66439999994</v>
      </c>
      <c r="Q23" s="31">
        <f>SUM([2]裙楼空调用量!L22)</f>
        <v>5</v>
      </c>
      <c r="R23" s="33">
        <f t="shared" si="0"/>
        <v>3113.32</v>
      </c>
      <c r="S23" s="13">
        <v>160</v>
      </c>
      <c r="T23" s="16">
        <v>596.59199999999998</v>
      </c>
      <c r="U23" s="40">
        <f t="shared" si="1"/>
        <v>39729.306399999936</v>
      </c>
    </row>
    <row r="24" spans="1:21" s="4" customFormat="1" ht="22.5" customHeight="1" thickBot="1">
      <c r="A24" s="45">
        <v>20</v>
      </c>
      <c r="B24" s="27" t="s">
        <v>44</v>
      </c>
      <c r="C24" s="12">
        <v>1121</v>
      </c>
      <c r="D24" s="29">
        <v>73.260000000000005</v>
      </c>
      <c r="E24" s="13">
        <v>708</v>
      </c>
      <c r="F24" s="32">
        <v>2952.36</v>
      </c>
      <c r="G24" s="13">
        <v>1673</v>
      </c>
      <c r="H24" s="15">
        <v>6976.41</v>
      </c>
      <c r="I24" s="30">
        <v>1659</v>
      </c>
      <c r="J24" s="36">
        <v>6918.03</v>
      </c>
      <c r="K24" s="13">
        <v>4040</v>
      </c>
      <c r="L24" s="15">
        <v>16846.8</v>
      </c>
      <c r="M24" s="30">
        <v>3620</v>
      </c>
      <c r="N24" s="32">
        <v>2444.1117800000002</v>
      </c>
      <c r="O24" s="13">
        <v>27400.000000000091</v>
      </c>
      <c r="P24" s="16">
        <v>18499.630600000062</v>
      </c>
      <c r="Q24" s="31">
        <f>SUM([2]裙楼空调用量!L23)</f>
        <v>5</v>
      </c>
      <c r="R24" s="33">
        <f t="shared" si="0"/>
        <v>3113.32</v>
      </c>
      <c r="S24" s="13">
        <v>238</v>
      </c>
      <c r="T24" s="16">
        <v>887.43060000000003</v>
      </c>
      <c r="U24" s="40">
        <f t="shared" si="1"/>
        <v>39347.181200000065</v>
      </c>
    </row>
    <row r="25" spans="1:21" s="4" customFormat="1" ht="22.5" customHeight="1" thickBot="1">
      <c r="A25" s="45">
        <v>21</v>
      </c>
      <c r="B25" s="27" t="s">
        <v>58</v>
      </c>
      <c r="C25" s="12">
        <v>147</v>
      </c>
      <c r="D25" s="29">
        <v>88.95</v>
      </c>
      <c r="E25" s="13">
        <v>815</v>
      </c>
      <c r="F25" s="32">
        <v>3398.5499999999997</v>
      </c>
      <c r="G25" s="13">
        <v>1588</v>
      </c>
      <c r="H25" s="15">
        <v>6621.96</v>
      </c>
      <c r="I25" s="30">
        <v>1533</v>
      </c>
      <c r="J25" s="36">
        <v>6392.61</v>
      </c>
      <c r="K25" s="13">
        <v>3936</v>
      </c>
      <c r="L25" s="15">
        <v>16413.12</v>
      </c>
      <c r="M25" s="30">
        <v>3762</v>
      </c>
      <c r="N25" s="32">
        <v>2539.9857780000002</v>
      </c>
      <c r="O25" s="13">
        <v>30300.000000002001</v>
      </c>
      <c r="P25" s="16">
        <v>20457.620700001353</v>
      </c>
      <c r="Q25" s="31">
        <f>SUM([2]裙楼空调用量!L24)</f>
        <v>8</v>
      </c>
      <c r="R25" s="33">
        <f t="shared" si="0"/>
        <v>3988.3</v>
      </c>
      <c r="S25" s="13">
        <v>132</v>
      </c>
      <c r="T25" s="16">
        <v>492.1884</v>
      </c>
      <c r="U25" s="40">
        <f t="shared" si="1"/>
        <v>41351.22910000135</v>
      </c>
    </row>
    <row r="26" spans="1:21" s="4" customFormat="1" ht="22.5" customHeight="1" thickBot="1">
      <c r="A26" s="45">
        <v>22</v>
      </c>
      <c r="B26" s="27" t="s">
        <v>59</v>
      </c>
      <c r="C26" s="12">
        <v>224</v>
      </c>
      <c r="D26" s="29">
        <v>77.03</v>
      </c>
      <c r="E26" s="13">
        <v>547</v>
      </c>
      <c r="F26" s="32">
        <v>2280.9899999999998</v>
      </c>
      <c r="G26" s="13">
        <v>1592</v>
      </c>
      <c r="H26" s="15">
        <v>6638.64</v>
      </c>
      <c r="I26" s="30">
        <v>1496</v>
      </c>
      <c r="J26" s="36">
        <v>6238.32</v>
      </c>
      <c r="K26" s="13">
        <v>3635</v>
      </c>
      <c r="L26" s="15">
        <v>15157.949999999999</v>
      </c>
      <c r="M26" s="30">
        <v>4638</v>
      </c>
      <c r="N26" s="32">
        <v>3131.433822</v>
      </c>
      <c r="O26" s="13">
        <v>23999.999999998636</v>
      </c>
      <c r="P26" s="16">
        <v>16204.05599999908</v>
      </c>
      <c r="Q26" s="31">
        <f>SUM([2]裙楼空调用量!L25)</f>
        <v>5</v>
      </c>
      <c r="R26" s="33">
        <f t="shared" si="0"/>
        <v>3113.32</v>
      </c>
      <c r="S26" s="13">
        <v>150</v>
      </c>
      <c r="T26" s="16">
        <v>559.30499999999995</v>
      </c>
      <c r="U26" s="40">
        <f t="shared" si="1"/>
        <v>35034.630999999077</v>
      </c>
    </row>
    <row r="27" spans="1:21" s="4" customFormat="1" ht="22.5" customHeight="1" thickBot="1">
      <c r="A27" s="45">
        <v>23</v>
      </c>
      <c r="B27" s="27" t="s">
        <v>40</v>
      </c>
      <c r="C27" s="12">
        <v>326</v>
      </c>
      <c r="D27" s="29">
        <v>75.87</v>
      </c>
      <c r="E27" s="13">
        <v>641</v>
      </c>
      <c r="F27" s="32">
        <v>2672.97</v>
      </c>
      <c r="G27" s="13">
        <v>1569</v>
      </c>
      <c r="H27" s="15">
        <v>6542.73</v>
      </c>
      <c r="I27" s="30">
        <v>1351</v>
      </c>
      <c r="J27" s="36">
        <v>5633.67</v>
      </c>
      <c r="K27" s="13">
        <v>3561</v>
      </c>
      <c r="L27" s="15">
        <v>14849.369999999999</v>
      </c>
      <c r="M27" s="30">
        <v>5329</v>
      </c>
      <c r="N27" s="32">
        <v>3597.9756010000001</v>
      </c>
      <c r="O27" s="13">
        <v>28800.000000001091</v>
      </c>
      <c r="P27" s="16">
        <v>19444.867200000739</v>
      </c>
      <c r="Q27" s="31">
        <f>SUM([2]裙楼空调用量!L26)</f>
        <v>7</v>
      </c>
      <c r="R27" s="33">
        <f t="shared" si="0"/>
        <v>3696.6400000000003</v>
      </c>
      <c r="S27" s="13">
        <v>180</v>
      </c>
      <c r="T27" s="16">
        <v>671.16599999999994</v>
      </c>
      <c r="U27" s="40">
        <f t="shared" si="1"/>
        <v>38662.043200000735</v>
      </c>
    </row>
    <row r="28" spans="1:21" s="4" customFormat="1" ht="22.5" customHeight="1" thickBot="1">
      <c r="A28" s="45">
        <v>24</v>
      </c>
      <c r="B28" s="27" t="s">
        <v>60</v>
      </c>
      <c r="C28" s="12">
        <v>238</v>
      </c>
      <c r="D28" s="29">
        <v>86.34</v>
      </c>
      <c r="E28" s="13">
        <v>759</v>
      </c>
      <c r="F28" s="32">
        <v>3165.0299999999997</v>
      </c>
      <c r="G28" s="13">
        <v>1590</v>
      </c>
      <c r="H28" s="15">
        <v>6630.3</v>
      </c>
      <c r="I28" s="30">
        <v>1395</v>
      </c>
      <c r="J28" s="36">
        <v>5817.15</v>
      </c>
      <c r="K28" s="13">
        <v>3744</v>
      </c>
      <c r="L28" s="15">
        <v>15612.48</v>
      </c>
      <c r="M28" s="30">
        <v>5512</v>
      </c>
      <c r="N28" s="32">
        <v>3721.531528</v>
      </c>
      <c r="O28" s="13">
        <v>30099.999999999909</v>
      </c>
      <c r="P28" s="16">
        <v>20322.58689999994</v>
      </c>
      <c r="Q28" s="31">
        <f>SUM([2]裙楼空调用量!L27)</f>
        <v>8</v>
      </c>
      <c r="R28" s="33">
        <f t="shared" si="0"/>
        <v>3988.3</v>
      </c>
      <c r="S28" s="13">
        <v>209</v>
      </c>
      <c r="T28" s="16">
        <v>779.29829999999993</v>
      </c>
      <c r="U28" s="40">
        <f t="shared" si="1"/>
        <v>40702.665199999945</v>
      </c>
    </row>
    <row r="29" spans="1:21" s="4" customFormat="1" ht="22.5" customHeight="1" thickBot="1">
      <c r="A29" s="45">
        <v>25</v>
      </c>
      <c r="B29" s="27" t="s">
        <v>61</v>
      </c>
      <c r="C29" s="12">
        <v>656</v>
      </c>
      <c r="D29" s="29">
        <v>87.21</v>
      </c>
      <c r="E29" s="13">
        <v>826</v>
      </c>
      <c r="F29" s="32">
        <v>3444.42</v>
      </c>
      <c r="G29" s="13">
        <v>1558</v>
      </c>
      <c r="H29" s="15">
        <v>6496.86</v>
      </c>
      <c r="I29" s="30">
        <v>1507</v>
      </c>
      <c r="J29" s="36">
        <v>6284.19</v>
      </c>
      <c r="K29" s="13">
        <v>3891</v>
      </c>
      <c r="L29" s="15">
        <v>16225.47</v>
      </c>
      <c r="M29" s="30">
        <v>4503</v>
      </c>
      <c r="N29" s="32">
        <v>3040.2860070000002</v>
      </c>
      <c r="O29" s="13">
        <v>29100.000000000819</v>
      </c>
      <c r="P29" s="16">
        <v>19647.417900000553</v>
      </c>
      <c r="Q29" s="31">
        <f>SUM([2]裙楼空调用量!L28)</f>
        <v>9</v>
      </c>
      <c r="R29" s="33">
        <f t="shared" si="0"/>
        <v>4279.96</v>
      </c>
      <c r="S29" s="13">
        <v>193</v>
      </c>
      <c r="T29" s="16">
        <v>719.63909999999998</v>
      </c>
      <c r="U29" s="40">
        <f t="shared" si="1"/>
        <v>40872.487000000554</v>
      </c>
    </row>
    <row r="30" spans="1:21" s="4" customFormat="1" ht="22.5" customHeight="1" thickBot="1">
      <c r="A30" s="45">
        <v>26</v>
      </c>
      <c r="B30" s="27" t="s">
        <v>62</v>
      </c>
      <c r="C30" s="12">
        <v>402</v>
      </c>
      <c r="D30" s="29">
        <v>91.28</v>
      </c>
      <c r="E30" s="13">
        <v>814</v>
      </c>
      <c r="F30" s="32">
        <v>3394.38</v>
      </c>
      <c r="G30" s="13">
        <v>1591</v>
      </c>
      <c r="H30" s="15">
        <v>6634.47</v>
      </c>
      <c r="I30" s="30">
        <v>1469</v>
      </c>
      <c r="J30" s="36">
        <v>6125.73</v>
      </c>
      <c r="K30" s="13">
        <v>3874</v>
      </c>
      <c r="L30" s="15">
        <v>16154.58</v>
      </c>
      <c r="M30" s="30">
        <v>4426</v>
      </c>
      <c r="N30" s="32">
        <v>2988.297994</v>
      </c>
      <c r="O30" s="13">
        <v>29099.999999998545</v>
      </c>
      <c r="P30" s="16">
        <v>19647.417899999018</v>
      </c>
      <c r="Q30" s="31">
        <f>SUM([2]裙楼空调用量!L29)</f>
        <v>8</v>
      </c>
      <c r="R30" s="33">
        <f t="shared" si="0"/>
        <v>3988.3</v>
      </c>
      <c r="S30" s="13">
        <v>206</v>
      </c>
      <c r="T30" s="16">
        <v>768.11220000000003</v>
      </c>
      <c r="U30" s="40">
        <f t="shared" si="1"/>
        <v>40558.410099999026</v>
      </c>
    </row>
    <row r="31" spans="1:21" s="4" customFormat="1" ht="22.5" customHeight="1" thickBot="1">
      <c r="A31" s="45">
        <v>27</v>
      </c>
      <c r="B31" s="27" t="s">
        <v>63</v>
      </c>
      <c r="C31" s="12">
        <v>955</v>
      </c>
      <c r="D31" s="29">
        <v>71.22</v>
      </c>
      <c r="E31" s="13">
        <v>794</v>
      </c>
      <c r="F31" s="32">
        <v>3310.98</v>
      </c>
      <c r="G31" s="13">
        <v>1599</v>
      </c>
      <c r="H31" s="15">
        <v>6667.83</v>
      </c>
      <c r="I31" s="30">
        <v>1193</v>
      </c>
      <c r="J31" s="36">
        <v>4974.8099999999995</v>
      </c>
      <c r="K31" s="13">
        <v>3586</v>
      </c>
      <c r="L31" s="15">
        <v>14953.619999999999</v>
      </c>
      <c r="M31" s="30">
        <v>5696</v>
      </c>
      <c r="N31" s="32">
        <v>3845.762624</v>
      </c>
      <c r="O31" s="13">
        <v>30299.999999999727</v>
      </c>
      <c r="P31" s="16">
        <v>20457.620699999818</v>
      </c>
      <c r="Q31" s="31">
        <f>SUM([2]裙楼空调用量!L30)</f>
        <v>8</v>
      </c>
      <c r="R31" s="33">
        <f t="shared" si="0"/>
        <v>3988.3</v>
      </c>
      <c r="S31" s="13">
        <v>188</v>
      </c>
      <c r="T31" s="16">
        <v>700.99559999999997</v>
      </c>
      <c r="U31" s="40">
        <f t="shared" si="1"/>
        <v>40100.536299999825</v>
      </c>
    </row>
    <row r="32" spans="1:21" s="4" customFormat="1" ht="22.5" customHeight="1" thickBot="1">
      <c r="A32" s="45">
        <v>28</v>
      </c>
      <c r="B32" s="27" t="s">
        <v>64</v>
      </c>
      <c r="C32" s="12">
        <v>214</v>
      </c>
      <c r="D32" s="29">
        <v>69.77</v>
      </c>
      <c r="E32" s="13">
        <v>649</v>
      </c>
      <c r="F32" s="32">
        <v>2706.33</v>
      </c>
      <c r="G32" s="13">
        <v>1637</v>
      </c>
      <c r="H32" s="15">
        <v>6826.29</v>
      </c>
      <c r="I32" s="30">
        <v>1115</v>
      </c>
      <c r="J32" s="36">
        <v>4649.55</v>
      </c>
      <c r="K32" s="13">
        <v>3401</v>
      </c>
      <c r="L32" s="15">
        <v>14182.17</v>
      </c>
      <c r="M32" s="30">
        <v>6447</v>
      </c>
      <c r="N32" s="32">
        <v>4352.8145430000004</v>
      </c>
      <c r="O32" s="13">
        <v>30299.999999999727</v>
      </c>
      <c r="P32" s="16">
        <v>20457.620699999818</v>
      </c>
      <c r="Q32" s="31">
        <f>SUM([2]裙楼空调用量!L31)</f>
        <v>12</v>
      </c>
      <c r="R32" s="33">
        <f t="shared" si="0"/>
        <v>5154.9400000000005</v>
      </c>
      <c r="S32" s="13">
        <v>217</v>
      </c>
      <c r="T32" s="16">
        <v>809.12789999999995</v>
      </c>
      <c r="U32" s="40">
        <f t="shared" si="1"/>
        <v>40603.858599999818</v>
      </c>
    </row>
    <row r="33" spans="1:21" s="4" customFormat="1" ht="22.5" customHeight="1" thickBot="1">
      <c r="A33" s="45">
        <v>29</v>
      </c>
      <c r="B33" s="27" t="s">
        <v>65</v>
      </c>
      <c r="C33" s="12">
        <v>382</v>
      </c>
      <c r="D33" s="29">
        <v>72.67</v>
      </c>
      <c r="E33" s="13">
        <v>601</v>
      </c>
      <c r="F33" s="32">
        <v>2506.17</v>
      </c>
      <c r="G33" s="13">
        <v>1666</v>
      </c>
      <c r="H33" s="15">
        <v>6947.22</v>
      </c>
      <c r="I33" s="30">
        <v>1177</v>
      </c>
      <c r="J33" s="36">
        <v>4908.09</v>
      </c>
      <c r="K33" s="13">
        <v>3444</v>
      </c>
      <c r="L33" s="15">
        <v>14361.48</v>
      </c>
      <c r="M33" s="30">
        <v>7033</v>
      </c>
      <c r="N33" s="32">
        <v>4748.4635770000004</v>
      </c>
      <c r="O33" s="13">
        <v>30800.000000001546</v>
      </c>
      <c r="P33" s="16">
        <v>20795.205200001044</v>
      </c>
      <c r="Q33" s="31">
        <f>SUM([2]裙楼空调用量!L32)</f>
        <v>12</v>
      </c>
      <c r="R33" s="33">
        <f t="shared" si="0"/>
        <v>5154.9400000000005</v>
      </c>
      <c r="S33" s="13">
        <v>163</v>
      </c>
      <c r="T33" s="16">
        <v>607.77809999999999</v>
      </c>
      <c r="U33" s="40">
        <f t="shared" si="1"/>
        <v>40919.403300001046</v>
      </c>
    </row>
    <row r="34" spans="1:21" s="4" customFormat="1" ht="22.5" customHeight="1" thickBot="1">
      <c r="A34" s="45">
        <v>30</v>
      </c>
      <c r="B34" s="27" t="s">
        <v>66</v>
      </c>
      <c r="C34" s="12">
        <v>42</v>
      </c>
      <c r="D34" s="29">
        <v>66.08</v>
      </c>
      <c r="E34" s="13">
        <v>720</v>
      </c>
      <c r="F34" s="32">
        <v>3002.4</v>
      </c>
      <c r="G34" s="13">
        <v>1674</v>
      </c>
      <c r="H34" s="15">
        <v>6980.58</v>
      </c>
      <c r="I34" s="30">
        <v>1453</v>
      </c>
      <c r="J34" s="36">
        <v>6059.01</v>
      </c>
      <c r="K34" s="13">
        <v>3847</v>
      </c>
      <c r="L34" s="15">
        <v>16041.99</v>
      </c>
      <c r="M34" s="30">
        <v>3866</v>
      </c>
      <c r="N34" s="32">
        <v>2610.2033540000002</v>
      </c>
      <c r="O34" s="13">
        <v>26900.000000000546</v>
      </c>
      <c r="P34" s="16">
        <v>18162.046100000371</v>
      </c>
      <c r="Q34" s="31">
        <f>SUM([2]裙楼空调用量!L33)</f>
        <v>9</v>
      </c>
      <c r="R34" s="33">
        <f t="shared" si="0"/>
        <v>4279.96</v>
      </c>
      <c r="S34" s="102">
        <v>151</v>
      </c>
      <c r="T34" s="16">
        <v>563.03369999999995</v>
      </c>
      <c r="U34" s="40">
        <f>SUM(L34+P34+R34+T34)</f>
        <v>39047.029800000368</v>
      </c>
    </row>
    <row r="35" spans="1:21" s="4" customFormat="1" ht="22.5" customHeight="1">
      <c r="A35" s="45">
        <v>31</v>
      </c>
      <c r="B35" s="27" t="s">
        <v>67</v>
      </c>
      <c r="C35" s="12">
        <v>400</v>
      </c>
      <c r="D35" s="29">
        <v>97.05</v>
      </c>
      <c r="E35" s="13">
        <v>693</v>
      </c>
      <c r="F35" s="33">
        <v>2889.81</v>
      </c>
      <c r="G35" s="13">
        <v>1675</v>
      </c>
      <c r="H35" s="34">
        <v>6984.75</v>
      </c>
      <c r="I35" s="30">
        <v>1740</v>
      </c>
      <c r="J35" s="37">
        <v>7255.8</v>
      </c>
      <c r="K35" s="13">
        <v>4108</v>
      </c>
      <c r="L35" s="34">
        <v>17130.36</v>
      </c>
      <c r="M35" s="30">
        <v>4134</v>
      </c>
      <c r="N35" s="32">
        <v>2791.1486460000001</v>
      </c>
      <c r="O35" s="13">
        <v>29599.99999999809</v>
      </c>
      <c r="P35" s="16">
        <v>19985.00239999871</v>
      </c>
      <c r="Q35" s="31">
        <f>SUM([2]裙楼空调用量!L34)</f>
        <v>4</v>
      </c>
      <c r="R35" s="33">
        <f t="shared" si="0"/>
        <v>2821.66</v>
      </c>
      <c r="S35" s="102">
        <v>174</v>
      </c>
      <c r="T35" s="17">
        <v>648.79380000000003</v>
      </c>
      <c r="U35" s="40">
        <f>SUM(L35+P35+R35+T35)</f>
        <v>40585.816199998706</v>
      </c>
    </row>
    <row r="36" spans="1:21" s="4" customFormat="1" ht="22.5" customHeight="1" thickBot="1">
      <c r="A36" s="46" t="s">
        <v>41</v>
      </c>
      <c r="B36" s="27"/>
      <c r="C36" s="12"/>
      <c r="D36" s="29"/>
      <c r="E36" s="28"/>
      <c r="F36" s="19"/>
      <c r="G36" s="28"/>
      <c r="H36" s="35"/>
      <c r="I36" s="14"/>
      <c r="J36" s="18"/>
      <c r="K36" s="38"/>
      <c r="L36" s="35"/>
      <c r="M36" s="14"/>
      <c r="N36" s="19"/>
      <c r="O36" s="28"/>
      <c r="P36" s="39"/>
      <c r="Q36" s="14"/>
      <c r="R36" s="19"/>
      <c r="S36" s="28"/>
      <c r="T36" s="39"/>
      <c r="U36" s="41"/>
    </row>
    <row r="37" spans="1:21" s="4" customFormat="1" ht="23.1" customHeight="1" thickBot="1">
      <c r="A37" s="87" t="s">
        <v>42</v>
      </c>
      <c r="B37" s="88"/>
      <c r="C37" s="88"/>
      <c r="D37" s="88"/>
      <c r="E37" s="43">
        <f t="shared" ref="E37:U37" si="2">SUM(E5:E34)</f>
        <v>21730</v>
      </c>
      <c r="F37" s="43">
        <f t="shared" si="2"/>
        <v>90614.1</v>
      </c>
      <c r="G37" s="43">
        <f>SUM(G5:G34)</f>
        <v>46789</v>
      </c>
      <c r="H37" s="43">
        <f>SUM(H5:H34)</f>
        <v>195110.12999999995</v>
      </c>
      <c r="I37" s="43">
        <f t="shared" si="2"/>
        <v>40223</v>
      </c>
      <c r="J37" s="43">
        <f t="shared" si="2"/>
        <v>167729.91000000003</v>
      </c>
      <c r="K37" s="43">
        <f>SUM(K5:K36)</f>
        <v>112850</v>
      </c>
      <c r="L37" s="43">
        <f t="shared" si="2"/>
        <v>453454.1399999999</v>
      </c>
      <c r="M37" s="43">
        <f t="shared" si="2"/>
        <v>150219</v>
      </c>
      <c r="N37" s="43">
        <f t="shared" si="2"/>
        <v>101423.21201100001</v>
      </c>
      <c r="O37" s="43">
        <f t="shared" si="2"/>
        <v>856700.00000000303</v>
      </c>
      <c r="P37" s="43">
        <f>SUM(P5:P34)</f>
        <v>578417.28230000206</v>
      </c>
      <c r="Q37" s="43">
        <f t="shared" si="2"/>
        <v>267</v>
      </c>
      <c r="R37" s="43">
        <f t="shared" si="2"/>
        <v>127523.82000000008</v>
      </c>
      <c r="S37" s="43">
        <f t="shared" si="2"/>
        <v>5157</v>
      </c>
      <c r="T37" s="43">
        <f t="shared" si="2"/>
        <v>19228.905899999998</v>
      </c>
      <c r="U37" s="42">
        <f t="shared" si="2"/>
        <v>1178624.1482000025</v>
      </c>
    </row>
    <row r="38" spans="1:21" ht="19.5" customHeight="1">
      <c r="E38" s="5"/>
      <c r="F38" s="5"/>
      <c r="G38" s="6"/>
      <c r="P38" s="7"/>
      <c r="T38" s="2"/>
      <c r="U38" s="2"/>
    </row>
    <row r="39" spans="1:21" ht="19.149999999999999" customHeight="1">
      <c r="E39" s="8"/>
      <c r="F39" s="5"/>
      <c r="G39" s="6"/>
      <c r="P39" s="1"/>
      <c r="T39" s="2"/>
      <c r="U39" s="2"/>
    </row>
    <row r="40" spans="1:21" ht="19.149999999999999" customHeight="1">
      <c r="E40" s="9"/>
      <c r="P40" s="1"/>
      <c r="T40" s="2"/>
      <c r="U40" s="2"/>
    </row>
    <row r="41" spans="1:21" ht="19.149999999999999" customHeight="1">
      <c r="P41" s="1"/>
      <c r="T41" s="2"/>
      <c r="U41" s="2"/>
    </row>
    <row r="42" spans="1:21" ht="19.149999999999999" customHeight="1">
      <c r="P42" s="1"/>
      <c r="T42" s="2"/>
      <c r="U42" s="2"/>
    </row>
    <row r="43" spans="1:21" ht="19.149999999999999" customHeight="1">
      <c r="P43" s="1"/>
      <c r="T43" s="2"/>
      <c r="U43" s="2"/>
    </row>
    <row r="44" spans="1:21" ht="19.149999999999999" customHeight="1">
      <c r="P44" s="1"/>
      <c r="T44" s="2"/>
      <c r="U44" s="2"/>
    </row>
    <row r="45" spans="1:21" ht="19.149999999999999" customHeight="1">
      <c r="P45" s="1"/>
      <c r="T45" s="2"/>
      <c r="U45" s="2"/>
    </row>
    <row r="46" spans="1:21" ht="19.149999999999999" customHeight="1"/>
    <row r="47" spans="1:21" ht="19.149999999999999" customHeight="1"/>
    <row r="48" spans="1:21" ht="19.149999999999999" customHeight="1"/>
    <row r="49" ht="19.149999999999999" customHeight="1"/>
    <row r="50" ht="19.149999999999999" customHeight="1"/>
    <row r="51" ht="19.149999999999999" customHeight="1"/>
    <row r="52" ht="19.149999999999999" customHeight="1"/>
    <row r="53" ht="19.149999999999999" customHeight="1"/>
    <row r="54" ht="19.149999999999999" customHeight="1"/>
    <row r="55" ht="19.149999999999999" customHeight="1"/>
    <row r="56" ht="19.149999999999999" customHeight="1"/>
    <row r="57" ht="19.149999999999999" customHeight="1"/>
    <row r="58" ht="19.149999999999999" customHeight="1"/>
    <row r="59" ht="19.149999999999999" customHeight="1"/>
    <row r="60" ht="19.149999999999999" customHeight="1"/>
    <row r="61" ht="19.149999999999999" customHeight="1"/>
  </sheetData>
  <mergeCells count="16">
    <mergeCell ref="A37:D37"/>
    <mergeCell ref="U2:U4"/>
    <mergeCell ref="S3:T3"/>
    <mergeCell ref="G2:H3"/>
    <mergeCell ref="I2:J3"/>
    <mergeCell ref="S2:T2"/>
    <mergeCell ref="Q2:R3"/>
    <mergeCell ref="A1:U1"/>
    <mergeCell ref="A2:A4"/>
    <mergeCell ref="B2:B4"/>
    <mergeCell ref="C2:C4"/>
    <mergeCell ref="D2:D4"/>
    <mergeCell ref="E2:F3"/>
    <mergeCell ref="M2:N3"/>
    <mergeCell ref="O2:P3"/>
    <mergeCell ref="K2:L3"/>
  </mergeCells>
  <phoneticPr fontId="2" type="noConversion"/>
  <printOptions horizontalCentered="1" verticalCentered="1"/>
  <pageMargins left="0.23622047244094491" right="0.23622047244094491" top="0" bottom="0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SUBMETERING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</cp:lastModifiedBy>
  <cp:revision/>
  <dcterms:created xsi:type="dcterms:W3CDTF">2009-01-03T01:47:59Z</dcterms:created>
  <dcterms:modified xsi:type="dcterms:W3CDTF">2021-02-04T08:07:29Z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