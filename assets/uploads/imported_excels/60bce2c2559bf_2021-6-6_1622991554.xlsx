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mp.decembre" sheetId="2" r:id="rId1"/>
    <sheet name="Distribution de la consommation" sheetId="4" r:id="rId2"/>
  </sheets>
  <definedNames>
    <definedName name="_xlnm._FilterDatabase" localSheetId="0" hidden="1">'Comp.decembre'!$A$2:$BN$53</definedName>
    <definedName name="_xlnm.Print_Area" localSheetId="0">'Comp.decembre'!$B$2:$BN$53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5" i="2" l="1"/>
  <c r="AW46" i="2"/>
  <c r="AW47" i="2"/>
  <c r="AW48" i="2"/>
  <c r="AW49" i="2"/>
  <c r="AW50" i="2"/>
  <c r="AW51" i="2"/>
  <c r="AW52" i="2"/>
  <c r="AW44" i="2"/>
  <c r="E53" i="2" l="1"/>
  <c r="BI25" i="2" l="1"/>
  <c r="BI26" i="2"/>
  <c r="BI27" i="2"/>
  <c r="BI28" i="2"/>
  <c r="BI29" i="2"/>
  <c r="BI30" i="2"/>
  <c r="BI31" i="2"/>
  <c r="BI32" i="2"/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AW36" i="2" l="1"/>
  <c r="AU17" i="2"/>
  <c r="AU18" i="2"/>
  <c r="AW7" i="2"/>
  <c r="AW8" i="2"/>
  <c r="AW4" i="2"/>
  <c r="AW5" i="2"/>
  <c r="BG33" i="2"/>
  <c r="BG34" i="2"/>
  <c r="BG35" i="2"/>
  <c r="BG36" i="2"/>
  <c r="BG37" i="2"/>
  <c r="BA17" i="2"/>
  <c r="BA18" i="2"/>
  <c r="BA19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AY45" i="2" l="1"/>
  <c r="AW37" i="2"/>
  <c r="AK42" i="2" l="1"/>
  <c r="AK18" i="2"/>
  <c r="AM18" i="2"/>
  <c r="AM13" i="2"/>
  <c r="AC36" i="2" l="1"/>
  <c r="AC29" i="2"/>
  <c r="AC18" i="2"/>
  <c r="AE12" i="2"/>
  <c r="AC12" i="2"/>
  <c r="AC4" i="2"/>
  <c r="AC5" i="2"/>
  <c r="AC6" i="2"/>
  <c r="AC7" i="2"/>
  <c r="AC8" i="2"/>
  <c r="AC9" i="2"/>
  <c r="AC10" i="2"/>
  <c r="AC11" i="2"/>
  <c r="AC13" i="2"/>
  <c r="AC14" i="2"/>
  <c r="AE6" i="2"/>
  <c r="BK27" i="2" l="1"/>
  <c r="O3" i="2"/>
  <c r="I26" i="2"/>
  <c r="BC52" i="2" l="1"/>
  <c r="U49" i="2"/>
  <c r="AI47" i="2"/>
  <c r="AK36" i="2" l="1"/>
  <c r="AC30" i="2"/>
  <c r="AY25" i="2"/>
  <c r="AY24" i="2"/>
  <c r="BC18" i="2"/>
  <c r="AW10" i="2"/>
  <c r="AW6" i="2"/>
  <c r="AW9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4" i="2"/>
  <c r="I45" i="2"/>
  <c r="I46" i="2"/>
  <c r="I47" i="2"/>
  <c r="I48" i="2"/>
  <c r="I49" i="2"/>
  <c r="I50" i="2"/>
  <c r="I51" i="2"/>
  <c r="I5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4" i="2"/>
  <c r="K45" i="2"/>
  <c r="K46" i="2"/>
  <c r="K47" i="2"/>
  <c r="K48" i="2"/>
  <c r="K49" i="2"/>
  <c r="K50" i="2"/>
  <c r="K51" i="2"/>
  <c r="K5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4" i="2"/>
  <c r="M45" i="2"/>
  <c r="M46" i="2"/>
  <c r="M47" i="2"/>
  <c r="M48" i="2"/>
  <c r="M49" i="2"/>
  <c r="M50" i="2"/>
  <c r="M51" i="2"/>
  <c r="M5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4" i="2"/>
  <c r="O45" i="2"/>
  <c r="O46" i="2"/>
  <c r="O47" i="2"/>
  <c r="O48" i="2"/>
  <c r="O49" i="2"/>
  <c r="O50" i="2"/>
  <c r="O51" i="2"/>
  <c r="O5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4" i="2"/>
  <c r="U45" i="2"/>
  <c r="U46" i="2"/>
  <c r="U47" i="2"/>
  <c r="U48" i="2"/>
  <c r="U50" i="2"/>
  <c r="U51" i="2"/>
  <c r="U52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4" i="2"/>
  <c r="W45" i="2"/>
  <c r="W46" i="2"/>
  <c r="W47" i="2"/>
  <c r="W48" i="2"/>
  <c r="W49" i="2"/>
  <c r="W50" i="2"/>
  <c r="W51" i="2"/>
  <c r="W5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4" i="2"/>
  <c r="Y45" i="2"/>
  <c r="Y46" i="2"/>
  <c r="Y47" i="2"/>
  <c r="Y48" i="2"/>
  <c r="Y49" i="2"/>
  <c r="Y50" i="2"/>
  <c r="Y51" i="2"/>
  <c r="Y52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4" i="2"/>
  <c r="AA45" i="2"/>
  <c r="AA46" i="2"/>
  <c r="AA47" i="2"/>
  <c r="AA48" i="2"/>
  <c r="AA49" i="2"/>
  <c r="AA50" i="2"/>
  <c r="AA51" i="2"/>
  <c r="AA52" i="2"/>
  <c r="AC15" i="2"/>
  <c r="AC16" i="2"/>
  <c r="AC17" i="2"/>
  <c r="AC19" i="2"/>
  <c r="AC20" i="2"/>
  <c r="AC21" i="2"/>
  <c r="AC22" i="2"/>
  <c r="AC23" i="2"/>
  <c r="AC24" i="2"/>
  <c r="AC25" i="2"/>
  <c r="AC26" i="2"/>
  <c r="AC27" i="2"/>
  <c r="AC28" i="2"/>
  <c r="AC31" i="2"/>
  <c r="AC32" i="2"/>
  <c r="AC33" i="2"/>
  <c r="AC34" i="2"/>
  <c r="AC35" i="2"/>
  <c r="AC37" i="2"/>
  <c r="AC38" i="2"/>
  <c r="AC39" i="2"/>
  <c r="AC40" i="2"/>
  <c r="AC41" i="2"/>
  <c r="AC42" i="2"/>
  <c r="AC44" i="2"/>
  <c r="AC45" i="2"/>
  <c r="AC46" i="2"/>
  <c r="AC47" i="2"/>
  <c r="AC48" i="2"/>
  <c r="AC49" i="2"/>
  <c r="AC50" i="2"/>
  <c r="AC51" i="2"/>
  <c r="AC52" i="2"/>
  <c r="AE4" i="2"/>
  <c r="AE5" i="2"/>
  <c r="AE7" i="2"/>
  <c r="AE8" i="2"/>
  <c r="AE9" i="2"/>
  <c r="AE10" i="2"/>
  <c r="AE11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4" i="2"/>
  <c r="AE45" i="2"/>
  <c r="AE46" i="2"/>
  <c r="AE47" i="2"/>
  <c r="AE48" i="2"/>
  <c r="AE49" i="2"/>
  <c r="AE50" i="2"/>
  <c r="AE51" i="2"/>
  <c r="AE52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4" i="2"/>
  <c r="AG45" i="2"/>
  <c r="AG46" i="2"/>
  <c r="AG47" i="2"/>
  <c r="AG48" i="2"/>
  <c r="AG49" i="2"/>
  <c r="AG50" i="2"/>
  <c r="AG51" i="2"/>
  <c r="AG52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4" i="2"/>
  <c r="AI45" i="2"/>
  <c r="AI46" i="2"/>
  <c r="AI48" i="2"/>
  <c r="AI49" i="2"/>
  <c r="AI50" i="2"/>
  <c r="AI51" i="2"/>
  <c r="AI52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7" i="2"/>
  <c r="AK38" i="2"/>
  <c r="AK39" i="2"/>
  <c r="AK40" i="2"/>
  <c r="AK41" i="2"/>
  <c r="AK44" i="2"/>
  <c r="AK45" i="2"/>
  <c r="AK46" i="2"/>
  <c r="AK47" i="2"/>
  <c r="AK48" i="2"/>
  <c r="AK49" i="2"/>
  <c r="AK50" i="2"/>
  <c r="AK51" i="2"/>
  <c r="AK52" i="2"/>
  <c r="AM4" i="2"/>
  <c r="AM5" i="2"/>
  <c r="AM6" i="2"/>
  <c r="AM7" i="2"/>
  <c r="AM8" i="2"/>
  <c r="AM9" i="2"/>
  <c r="AM10" i="2"/>
  <c r="AM11" i="2"/>
  <c r="AM12" i="2"/>
  <c r="AM14" i="2"/>
  <c r="AM15" i="2"/>
  <c r="AM16" i="2"/>
  <c r="AM17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4" i="2"/>
  <c r="AM45" i="2"/>
  <c r="AM46" i="2"/>
  <c r="AM47" i="2"/>
  <c r="AM48" i="2"/>
  <c r="AM49" i="2"/>
  <c r="AM50" i="2"/>
  <c r="AM51" i="2"/>
  <c r="AM52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4" i="2"/>
  <c r="AO45" i="2"/>
  <c r="AO46" i="2"/>
  <c r="AO47" i="2"/>
  <c r="AO48" i="2"/>
  <c r="AO49" i="2"/>
  <c r="AO50" i="2"/>
  <c r="AO51" i="2"/>
  <c r="AO52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4" i="2"/>
  <c r="AQ45" i="2"/>
  <c r="AQ46" i="2"/>
  <c r="AQ47" i="2"/>
  <c r="AQ48" i="2"/>
  <c r="AQ49" i="2"/>
  <c r="AQ50" i="2"/>
  <c r="AQ51" i="2"/>
  <c r="AQ5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4" i="2"/>
  <c r="AS45" i="2"/>
  <c r="AS46" i="2"/>
  <c r="AS47" i="2"/>
  <c r="AS48" i="2"/>
  <c r="AS49" i="2"/>
  <c r="AS50" i="2"/>
  <c r="AS51" i="2"/>
  <c r="AS52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8" i="2"/>
  <c r="AW39" i="2"/>
  <c r="AW40" i="2"/>
  <c r="AW41" i="2"/>
  <c r="AW42" i="2"/>
  <c r="AW4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6" i="2"/>
  <c r="AY47" i="2"/>
  <c r="AY48" i="2"/>
  <c r="AY49" i="2"/>
  <c r="AY50" i="2"/>
  <c r="AY51" i="2"/>
  <c r="AY52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3" i="2"/>
  <c r="BK3" i="2"/>
  <c r="BI3" i="2"/>
  <c r="BG3" i="2"/>
  <c r="BE3" i="2"/>
  <c r="BC3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Q3" i="2"/>
  <c r="M3" i="2"/>
  <c r="K3" i="2"/>
  <c r="I3" i="2"/>
  <c r="G3" i="2"/>
  <c r="K53" i="2" l="1"/>
  <c r="O53" i="2" l="1"/>
  <c r="Q53" i="2"/>
  <c r="S53" i="2"/>
  <c r="U53" i="2"/>
  <c r="AG53" i="2"/>
  <c r="AO53" i="2"/>
  <c r="AW53" i="2"/>
  <c r="BE53" i="2"/>
  <c r="BM53" i="2"/>
  <c r="W53" i="2"/>
  <c r="AA53" i="2"/>
  <c r="AC53" i="2"/>
  <c r="AE53" i="2"/>
  <c r="AI53" i="2"/>
  <c r="AK53" i="2"/>
  <c r="AM53" i="2"/>
  <c r="AQ53" i="2"/>
  <c r="AS53" i="2"/>
  <c r="AU53" i="2"/>
  <c r="AY53" i="2"/>
  <c r="BA53" i="2"/>
  <c r="BC53" i="2"/>
  <c r="BG53" i="2"/>
  <c r="BI53" i="2"/>
  <c r="BK53" i="2"/>
  <c r="I53" i="2" l="1"/>
  <c r="M53" i="2"/>
  <c r="G53" i="2"/>
  <c r="Y5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3" i="2"/>
  <c r="D11" i="4" l="1"/>
  <c r="E11" i="4" s="1"/>
  <c r="D13" i="4"/>
  <c r="E13" i="4" s="1"/>
  <c r="D10" i="4"/>
  <c r="E10" i="4" s="1"/>
  <c r="D12" i="4"/>
  <c r="E12" i="4" s="1"/>
  <c r="D6" i="4"/>
  <c r="E6" i="4" s="1"/>
  <c r="D7" i="4"/>
  <c r="E7" i="4" s="1"/>
  <c r="D4" i="4"/>
  <c r="E4" i="4" s="1"/>
  <c r="D14" i="4"/>
  <c r="E14" i="4" s="1"/>
  <c r="D9" i="4"/>
  <c r="E9" i="4" s="1"/>
  <c r="D5" i="4"/>
  <c r="E5" i="4" s="1"/>
  <c r="D15" i="4"/>
  <c r="E15" i="4" s="1"/>
  <c r="BN53" i="2"/>
  <c r="D8" i="4"/>
  <c r="E8" i="4" s="1"/>
</calcChain>
</file>

<file path=xl/sharedStrings.xml><?xml version="1.0" encoding="utf-8"?>
<sst xmlns="http://schemas.openxmlformats.org/spreadsheetml/2006/main" count="178" uniqueCount="138">
  <si>
    <t>AFI.1/S</t>
  </si>
  <si>
    <t>Groupe Froid Indus 1</t>
  </si>
  <si>
    <t>1501/S</t>
  </si>
  <si>
    <t>Beach Bar</t>
  </si>
  <si>
    <t>1101/S</t>
  </si>
  <si>
    <t>SGX zone de service secours</t>
  </si>
  <si>
    <t>6300/S</t>
  </si>
  <si>
    <t>Gen.Rest.Spécialité Secours</t>
  </si>
  <si>
    <t>4305/S</t>
  </si>
  <si>
    <t>SGX Rest.Menu+ young adult</t>
  </si>
  <si>
    <t>Onduleur</t>
  </si>
  <si>
    <t>Onduleur Principal 1er</t>
  </si>
  <si>
    <t>A1/S</t>
  </si>
  <si>
    <t>Bloc A Hebergement</t>
  </si>
  <si>
    <t>B1/S</t>
  </si>
  <si>
    <t>Bloc B Hebergement</t>
  </si>
  <si>
    <t>TGBT Heb</t>
  </si>
  <si>
    <t>TGBT Hebergement</t>
  </si>
  <si>
    <t>T.Asc.1</t>
  </si>
  <si>
    <t>S1,S2,P2,P3,P6,P7</t>
  </si>
  <si>
    <t>Buanderie</t>
  </si>
  <si>
    <t>3400/S</t>
  </si>
  <si>
    <t>Gen.Spa.Secours</t>
  </si>
  <si>
    <t>T.Asc.2</t>
  </si>
  <si>
    <t>S3,S4</t>
  </si>
  <si>
    <t>AFI.2/S</t>
  </si>
  <si>
    <t xml:space="preserve">Groupe Froid Indus </t>
  </si>
  <si>
    <t>5200/S</t>
  </si>
  <si>
    <t>Gen.Reception Secours</t>
  </si>
  <si>
    <t>Surp.E.P</t>
  </si>
  <si>
    <t>Surpresseur Eau potable</t>
  </si>
  <si>
    <t>3301/S</t>
  </si>
  <si>
    <t>Service Comptabilité Secours</t>
  </si>
  <si>
    <t>4402/S</t>
  </si>
  <si>
    <t>Clim+Extraction Data Center</t>
  </si>
  <si>
    <t>3101/S</t>
  </si>
  <si>
    <t>SGX grand parking Area</t>
  </si>
  <si>
    <t>4302/S</t>
  </si>
  <si>
    <t>Cuisine rest.Menu secours</t>
  </si>
  <si>
    <t>T.Asc.3</t>
  </si>
  <si>
    <t>S5,S6,P4,P5,P9</t>
  </si>
  <si>
    <t>B3/S</t>
  </si>
  <si>
    <t>4303/S</t>
  </si>
  <si>
    <t>Parking valet + Standard secours</t>
  </si>
  <si>
    <t>5201/S</t>
  </si>
  <si>
    <t>Administration secours</t>
  </si>
  <si>
    <t>Ext.6/S</t>
  </si>
  <si>
    <t>Eclairage Grand piscine Ext Secours</t>
  </si>
  <si>
    <t>1102/S</t>
  </si>
  <si>
    <t>FM+SGX Buanderie Secours</t>
  </si>
  <si>
    <t>Orange</t>
  </si>
  <si>
    <t>Chauf.Vap</t>
  </si>
  <si>
    <t>FM chaudière à vapeur</t>
  </si>
  <si>
    <t>Ext.3/S</t>
  </si>
  <si>
    <t>Loge Gardien 2</t>
  </si>
  <si>
    <t>Ext.4/S</t>
  </si>
  <si>
    <t>Loge Gardien 1</t>
  </si>
  <si>
    <t>TGBT Securité</t>
  </si>
  <si>
    <t>TGBT Sécurité</t>
  </si>
  <si>
    <t>4100/S</t>
  </si>
  <si>
    <t>Gen.Centre congrés secours</t>
  </si>
  <si>
    <t>Chauff.Gauche</t>
  </si>
  <si>
    <t>FM chaufferie Gauche</t>
  </si>
  <si>
    <t>GEG1</t>
  </si>
  <si>
    <t>Groupe d'eau glacé 1</t>
  </si>
  <si>
    <t>4302/N</t>
  </si>
  <si>
    <t>FM cuisine Ballroom</t>
  </si>
  <si>
    <t>FM cuisine Rest.Menu</t>
  </si>
  <si>
    <t>4104/N</t>
  </si>
  <si>
    <t>GEG2</t>
  </si>
  <si>
    <t>Groupe d'eau glacé 2</t>
  </si>
  <si>
    <t>GEG3</t>
  </si>
  <si>
    <t>Groupe d'eau glacé 3</t>
  </si>
  <si>
    <t>FM grand p.Ext</t>
  </si>
  <si>
    <t>FM piscine extérieur</t>
  </si>
  <si>
    <t>4101/N</t>
  </si>
  <si>
    <t>Show power Centre Congrés</t>
  </si>
  <si>
    <t>GEG4</t>
  </si>
  <si>
    <t>Groupe d'eau glacé 4</t>
  </si>
  <si>
    <t>A1/N</t>
  </si>
  <si>
    <t>TE 19 4100/N</t>
  </si>
  <si>
    <t>Gene.Clim Centre congré</t>
  </si>
  <si>
    <t>B3/N</t>
  </si>
  <si>
    <t>6300/N</t>
  </si>
  <si>
    <t>FM rest.spécialité normal</t>
  </si>
  <si>
    <t>5302/N</t>
  </si>
  <si>
    <t>FM Cuisine reception normal</t>
  </si>
  <si>
    <t>3400/N</t>
  </si>
  <si>
    <t>Gene.Spa normal</t>
  </si>
  <si>
    <t>TE 13 4301/N</t>
  </si>
  <si>
    <t>Clim Zone Rest.Menu</t>
  </si>
  <si>
    <t>Designation</t>
  </si>
  <si>
    <t>Emplacement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</si>
  <si>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</si>
  <si>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</si>
  <si>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</si>
  <si>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</si>
  <si>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</si>
  <si>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</si>
  <si>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</si>
  <si>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</si>
  <si>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</si>
  <si>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</si>
  <si>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</si>
  <si>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</si>
  <si>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</si>
  <si>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</si>
  <si>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</si>
  <si>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</si>
  <si>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</si>
  <si>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</si>
  <si>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</si>
  <si>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</si>
  <si>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</si>
  <si>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</si>
  <si>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</si>
  <si>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</si>
  <si>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</si>
  <si>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</si>
  <si>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</si>
  <si>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</si>
  <si>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</si>
  <si>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</si>
  <si>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</si>
  <si>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Cons</t>
  </si>
  <si>
    <t>Total</t>
  </si>
  <si>
    <t>Kitchen</t>
  </si>
  <si>
    <t>Rooms</t>
  </si>
  <si>
    <t>Restaurants</t>
  </si>
  <si>
    <t>Meeting rooms</t>
  </si>
  <si>
    <t>Mechanical rooms</t>
  </si>
  <si>
    <t>Parking</t>
  </si>
  <si>
    <t>Laundry</t>
  </si>
  <si>
    <t>Elevators</t>
  </si>
  <si>
    <t>Chillers</t>
  </si>
  <si>
    <t>Spa</t>
  </si>
  <si>
    <t>Outside</t>
  </si>
  <si>
    <t>Data center +reception + zone service +Finance+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</si>
</sst>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/>
    <xf numFmtId="49" fontId="1" fillId="0" borderId="8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/>
    <xf numFmtId="0" fontId="3" fillId="0" borderId="0" xfId="0" applyFont="1"/>
    <xf numFmtId="0" fontId="5" fillId="0" borderId="1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27" xfId="0" applyBorder="1"/>
    <xf numFmtId="0" fontId="4" fillId="0" borderId="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/>
    <xf numFmtId="0" fontId="4" fillId="0" borderId="2" xfId="0" applyFont="1" applyBorder="1" applyAlignment="1">
      <alignment vertical="center"/>
    </xf>
    <xf numFmtId="0" fontId="1" fillId="5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0" fillId="0" borderId="16" xfId="0" applyFill="1" applyBorder="1" applyAlignment="1">
      <alignment horizontal="center" vertical="center"/>
    </xf>
    <xf numFmtId="0" fontId="0" fillId="0" borderId="23" xfId="0" applyFill="1" applyBorder="1"/>
    <xf numFmtId="0" fontId="0" fillId="0" borderId="26" xfId="0" applyFill="1" applyBorder="1"/>
    <xf numFmtId="0" fontId="0" fillId="0" borderId="3" xfId="0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0" xfId="0" applyFill="1"/>
    <xf numFmtId="0" fontId="0" fillId="0" borderId="17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23" xfId="0" applyFill="1" applyBorder="1"/>
    <xf numFmtId="0" fontId="0" fillId="16" borderId="26" xfId="0" applyFill="1" applyBorder="1"/>
    <xf numFmtId="0" fontId="0" fillId="16" borderId="3" xfId="0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 vertical="center"/>
    </xf>
    <xf numFmtId="1" fontId="2" fillId="16" borderId="21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FF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Gen.Centre Congrés secours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$34,'Comp.decembre'!$G$34,'Comp.decembre'!$I$34,'Comp.decembre'!$K$34,'Comp.decembre'!$M$34,'Comp.decembre'!$O$34,'Comp.decembre'!$Q$34,'Comp.decembre'!$S$34,'Comp.decembre'!$U$34,'Comp.decembre'!$W$34,'Comp.decembre'!$Y$34,'Comp.decembre'!$AA$34,'Comp.decembre'!$AC$34,'Comp.decembre'!$AE$34,'Comp.decembre'!$AG$34,'Comp.decembre'!$AI$34,'Comp.decembre'!$AK$34,'Comp.decembre'!$AM$34,'Comp.decembre'!$AO$34,'Comp.decembre'!$AQ$34,'Comp.decembre'!$AS$34,'Comp.decembre'!$AU$34,'Comp.decembre'!$AW$34,'Comp.decembre'!$AY$34,'Comp.decembre'!$BA$34,'Comp.decembre'!$BC$34,'Comp.decembre'!$BE$34,'Comp.decembre'!$BG$34,'Comp.decembre'!$BI$34,'Comp.decembre'!$BK$34)</c:f>
              <c:numCache>
                <c:formatCode>0</c:formatCode>
                <c:ptCount val="30"/>
                <c:pt idx="0" formatCode="General">
                  <c:v>0</c:v>
                </c:pt>
                <c:pt idx="1">
                  <c:v>500</c:v>
                </c:pt>
                <c:pt idx="2" formatCode="General">
                  <c:v>551</c:v>
                </c:pt>
                <c:pt idx="3" formatCode="General">
                  <c:v>639</c:v>
                </c:pt>
                <c:pt idx="4" formatCode="General">
                  <c:v>940</c:v>
                </c:pt>
                <c:pt idx="5" formatCode="General">
                  <c:v>981</c:v>
                </c:pt>
                <c:pt idx="6" formatCode="General">
                  <c:v>751</c:v>
                </c:pt>
                <c:pt idx="7" formatCode="General">
                  <c:v>922</c:v>
                </c:pt>
                <c:pt idx="8" formatCode="General">
                  <c:v>828</c:v>
                </c:pt>
                <c:pt idx="9" formatCode="General">
                  <c:v>735</c:v>
                </c:pt>
                <c:pt idx="10" formatCode="General">
                  <c:v>629</c:v>
                </c:pt>
                <c:pt idx="11" formatCode="General">
                  <c:v>596</c:v>
                </c:pt>
                <c:pt idx="12" formatCode="General">
                  <c:v>584</c:v>
                </c:pt>
                <c:pt idx="13" formatCode="General">
                  <c:v>613</c:v>
                </c:pt>
                <c:pt idx="14" formatCode="General">
                  <c:v>561</c:v>
                </c:pt>
                <c:pt idx="15" formatCode="General">
                  <c:v>590</c:v>
                </c:pt>
                <c:pt idx="16" formatCode="General">
                  <c:v>657</c:v>
                </c:pt>
                <c:pt idx="17" formatCode="General">
                  <c:v>777</c:v>
                </c:pt>
                <c:pt idx="18" formatCode="General">
                  <c:v>876</c:v>
                </c:pt>
                <c:pt idx="19" formatCode="General">
                  <c:v>1038</c:v>
                </c:pt>
                <c:pt idx="20" formatCode="General">
                  <c:v>1004</c:v>
                </c:pt>
                <c:pt idx="21" formatCode="General">
                  <c:v>957</c:v>
                </c:pt>
                <c:pt idx="22" formatCode="General">
                  <c:v>661</c:v>
                </c:pt>
                <c:pt idx="23" formatCode="General">
                  <c:v>611</c:v>
                </c:pt>
                <c:pt idx="24" formatCode="General">
                  <c:v>625</c:v>
                </c:pt>
                <c:pt idx="25" formatCode="General">
                  <c:v>651</c:v>
                </c:pt>
                <c:pt idx="26" formatCode="General">
                  <c:v>772</c:v>
                </c:pt>
                <c:pt idx="27" formatCode="General">
                  <c:v>940</c:v>
                </c:pt>
                <c:pt idx="28" formatCode="General">
                  <c:v>1180</c:v>
                </c:pt>
                <c:pt idx="29" formatCode="General">
                  <c:v>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A-40C5-9818-412AA2041CCC}"/>
            </c:ext>
          </c:extLst>
        </c:ser>
        <c:ser>
          <c:idx val="1"/>
          <c:order val="1"/>
          <c:tx>
            <c:v>FM Cuisine Rest.Menu Normal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$37,'Comp.decembre'!$G$37,'Comp.decembre'!$I$37,'Comp.decembre'!$K$37,'Comp.decembre'!$M$37,'Comp.decembre'!$O$37,'Comp.decembre'!$Q$37,'Comp.decembre'!$S$37,'Comp.decembre'!$U$37,'Comp.decembre'!$W$37,'Comp.decembre'!$Y$37,'Comp.decembre'!$AA$37,'Comp.decembre'!$AC$37,'Comp.decembre'!$AE$37,'Comp.decembre'!$AG$37,'Comp.decembre'!$AI$37,'Comp.decembre'!$AK$37,'Comp.decembre'!$AM$37,'Comp.decembre'!$AO$37,'Comp.decembre'!$AQ$37,'Comp.decembre'!$AS$37,'Comp.decembre'!$AU$37,'Comp.decembre'!$AW$37,'Comp.decembre'!$AY$37,'Comp.decembre'!$BA$37,'Comp.decembre'!$BC$37,'Comp.decembre'!$BE$37,'Comp.decembre'!$BG$37,'Comp.decembre'!$BI$37,'Comp.decembre'!$BK$37)</c:f>
              <c:numCache>
                <c:formatCode>0</c:formatCode>
                <c:ptCount val="30"/>
                <c:pt idx="0" formatCode="General">
                  <c:v>0</c:v>
                </c:pt>
                <c:pt idx="1">
                  <c:v>697</c:v>
                </c:pt>
                <c:pt idx="2" formatCode="General">
                  <c:v>616</c:v>
                </c:pt>
                <c:pt idx="3" formatCode="General">
                  <c:v>700</c:v>
                </c:pt>
                <c:pt idx="4" formatCode="General">
                  <c:v>673</c:v>
                </c:pt>
                <c:pt idx="5" formatCode="General">
                  <c:v>620</c:v>
                </c:pt>
                <c:pt idx="6" formatCode="General">
                  <c:v>641</c:v>
                </c:pt>
                <c:pt idx="7" formatCode="General">
                  <c:v>707</c:v>
                </c:pt>
                <c:pt idx="8" formatCode="General">
                  <c:v>625</c:v>
                </c:pt>
                <c:pt idx="9" formatCode="General">
                  <c:v>725</c:v>
                </c:pt>
                <c:pt idx="10" formatCode="General">
                  <c:v>734</c:v>
                </c:pt>
                <c:pt idx="11" formatCode="General">
                  <c:v>715</c:v>
                </c:pt>
                <c:pt idx="12" formatCode="General">
                  <c:v>631</c:v>
                </c:pt>
                <c:pt idx="13" formatCode="General">
                  <c:v>762</c:v>
                </c:pt>
                <c:pt idx="14" formatCode="General">
                  <c:v>689</c:v>
                </c:pt>
                <c:pt idx="15" formatCode="General">
                  <c:v>648</c:v>
                </c:pt>
                <c:pt idx="16" formatCode="General">
                  <c:v>716</c:v>
                </c:pt>
                <c:pt idx="17" formatCode="General">
                  <c:v>757</c:v>
                </c:pt>
                <c:pt idx="18" formatCode="General">
                  <c:v>659</c:v>
                </c:pt>
                <c:pt idx="19" formatCode="General">
                  <c:v>720</c:v>
                </c:pt>
                <c:pt idx="20" formatCode="General">
                  <c:v>807</c:v>
                </c:pt>
                <c:pt idx="21" formatCode="General">
                  <c:v>785</c:v>
                </c:pt>
                <c:pt idx="22" formatCode="General">
                  <c:v>847</c:v>
                </c:pt>
                <c:pt idx="23" formatCode="General">
                  <c:v>826</c:v>
                </c:pt>
                <c:pt idx="24" formatCode="General">
                  <c:v>772</c:v>
                </c:pt>
                <c:pt idx="25" formatCode="General">
                  <c:v>711</c:v>
                </c:pt>
                <c:pt idx="26" formatCode="General">
                  <c:v>807</c:v>
                </c:pt>
                <c:pt idx="27" formatCode="General">
                  <c:v>808</c:v>
                </c:pt>
                <c:pt idx="28" formatCode="General">
                  <c:v>890</c:v>
                </c:pt>
                <c:pt idx="29" formatCode="General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7-4134-9056-6739646445A3}"/>
            </c:ext>
          </c:extLst>
        </c:ser>
        <c:ser>
          <c:idx val="2"/>
          <c:order val="2"/>
          <c:tx>
            <c:v>FM Piscine Extérieur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$41,'Comp.decembre'!$G$41,'Comp.decembre'!$I$41,'Comp.decembre'!$K$41,'Comp.decembre'!$M$41,'Comp.decembre'!$O$41,'Comp.decembre'!$Q$41,'Comp.decembre'!$S$41,'Comp.decembre'!$U$41,'Comp.decembre'!$W$41,'Comp.decembre'!$Y$41,'Comp.decembre'!$AA$41,'Comp.decembre'!$AC$41,'Comp.decembre'!$AE$41,'Comp.decembre'!$AG$41,'Comp.decembre'!$AI$41,'Comp.decembre'!$AK$41,'Comp.decembre'!$AM$41,'Comp.decembre'!$AO$41,'Comp.decembre'!$AQ$41,'Comp.decembre'!$AS$41,'Comp.decembre'!$AU$41,'Comp.decembre'!$AW$41,'Comp.decembre'!$AY$41,'Comp.decembre'!$BA$41,'Comp.decembre'!$BC$41,'Comp.decembre'!$BE$41,'Comp.decembre'!$BG$41,'Comp.decembre'!$BI$41,'Comp.decembre'!$BK$41)</c:f>
              <c:numCache>
                <c:formatCode>0</c:formatCode>
                <c:ptCount val="30"/>
                <c:pt idx="0" formatCode="General">
                  <c:v>0</c:v>
                </c:pt>
                <c:pt idx="1">
                  <c:v>634</c:v>
                </c:pt>
                <c:pt idx="2" formatCode="General">
                  <c:v>589</c:v>
                </c:pt>
                <c:pt idx="3" formatCode="General">
                  <c:v>625</c:v>
                </c:pt>
                <c:pt idx="4" formatCode="General">
                  <c:v>625</c:v>
                </c:pt>
                <c:pt idx="5" formatCode="General">
                  <c:v>631</c:v>
                </c:pt>
                <c:pt idx="6" formatCode="General">
                  <c:v>627</c:v>
                </c:pt>
                <c:pt idx="7" formatCode="General">
                  <c:v>624</c:v>
                </c:pt>
                <c:pt idx="8" formatCode="General">
                  <c:v>516</c:v>
                </c:pt>
                <c:pt idx="9" formatCode="General">
                  <c:v>573</c:v>
                </c:pt>
                <c:pt idx="10" formatCode="General">
                  <c:v>573</c:v>
                </c:pt>
                <c:pt idx="11" formatCode="General">
                  <c:v>632</c:v>
                </c:pt>
                <c:pt idx="12" formatCode="General">
                  <c:v>673</c:v>
                </c:pt>
                <c:pt idx="13" formatCode="General">
                  <c:v>592</c:v>
                </c:pt>
                <c:pt idx="14" formatCode="General">
                  <c:v>580</c:v>
                </c:pt>
                <c:pt idx="15" formatCode="General">
                  <c:v>607</c:v>
                </c:pt>
                <c:pt idx="16" formatCode="General">
                  <c:v>612</c:v>
                </c:pt>
                <c:pt idx="17" formatCode="General">
                  <c:v>624</c:v>
                </c:pt>
                <c:pt idx="18" formatCode="General">
                  <c:v>623</c:v>
                </c:pt>
                <c:pt idx="19" formatCode="General">
                  <c:v>565</c:v>
                </c:pt>
                <c:pt idx="20" formatCode="General">
                  <c:v>604</c:v>
                </c:pt>
                <c:pt idx="21" formatCode="General">
                  <c:v>620</c:v>
                </c:pt>
                <c:pt idx="22" formatCode="General">
                  <c:v>606</c:v>
                </c:pt>
                <c:pt idx="23" formatCode="General">
                  <c:v>613</c:v>
                </c:pt>
                <c:pt idx="24" formatCode="General">
                  <c:v>627</c:v>
                </c:pt>
                <c:pt idx="25" formatCode="General">
                  <c:v>528</c:v>
                </c:pt>
                <c:pt idx="26" formatCode="General">
                  <c:v>597</c:v>
                </c:pt>
                <c:pt idx="27" formatCode="General">
                  <c:v>593</c:v>
                </c:pt>
                <c:pt idx="28" formatCode="General">
                  <c:v>796</c:v>
                </c:pt>
                <c:pt idx="29" formatCode="General">
                  <c:v>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7-4134-9056-6739646445A3}"/>
            </c:ext>
          </c:extLst>
        </c:ser>
        <c:ser>
          <c:idx val="3"/>
          <c:order val="3"/>
          <c:tx>
            <c:v>TGBT Hebergement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$52,'Comp.decembre'!$G$52,'Comp.decembre'!$I$52,'Comp.decembre'!$K$52,'Comp.decembre'!$M$52,'Comp.decembre'!$O$52,'Comp.decembre'!$Q$52,'Comp.decembre'!$S$52,'Comp.decembre'!$U$52,'Comp.decembre'!$W$52,'Comp.decembre'!$Y$52,'Comp.decembre'!$AA$52,'Comp.decembre'!$AC$52,'Comp.decembre'!$AE$52,'Comp.decembre'!$AG$52,'Comp.decembre'!$AI$52,'Comp.decembre'!$AK$52,'Comp.decembre'!$AM$52,'Comp.decembre'!$AO$52,'Comp.decembre'!$AQ$52,'Comp.decembre'!$AS$52,'Comp.decembre'!$AU$52,'Comp.decembre'!$AW$52,'Comp.decembre'!$AY$52,'Comp.decembre'!$BA$52,'Comp.decembre'!$BC$52,'Comp.decembre'!$BE$52,'Comp.decembre'!$BG$52,'Comp.decembre'!$BI$52,'Comp.decembre'!$BK$52,'Comp.decembre'!$BM$52)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356</c:v>
                </c:pt>
                <c:pt idx="2" formatCode="General">
                  <c:v>363</c:v>
                </c:pt>
                <c:pt idx="3" formatCode="General">
                  <c:v>369</c:v>
                </c:pt>
                <c:pt idx="4" formatCode="General">
                  <c:v>363</c:v>
                </c:pt>
                <c:pt idx="5" formatCode="General">
                  <c:v>380</c:v>
                </c:pt>
                <c:pt idx="6" formatCode="General">
                  <c:v>383</c:v>
                </c:pt>
                <c:pt idx="7" formatCode="General">
                  <c:v>371</c:v>
                </c:pt>
                <c:pt idx="8" formatCode="General">
                  <c:v>329</c:v>
                </c:pt>
                <c:pt idx="9" formatCode="General">
                  <c:v>351</c:v>
                </c:pt>
                <c:pt idx="10" formatCode="General">
                  <c:v>357</c:v>
                </c:pt>
                <c:pt idx="11" formatCode="General">
                  <c:v>359</c:v>
                </c:pt>
                <c:pt idx="12" formatCode="General">
                  <c:v>351</c:v>
                </c:pt>
                <c:pt idx="13" formatCode="General">
                  <c:v>357</c:v>
                </c:pt>
                <c:pt idx="14" formatCode="General">
                  <c:v>348</c:v>
                </c:pt>
                <c:pt idx="15" formatCode="General">
                  <c:v>342</c:v>
                </c:pt>
                <c:pt idx="16" formatCode="General">
                  <c:v>375</c:v>
                </c:pt>
                <c:pt idx="17" formatCode="General">
                  <c:v>354</c:v>
                </c:pt>
                <c:pt idx="18" formatCode="General">
                  <c:v>350</c:v>
                </c:pt>
                <c:pt idx="19" formatCode="General">
                  <c:v>356</c:v>
                </c:pt>
                <c:pt idx="20" formatCode="General">
                  <c:v>355</c:v>
                </c:pt>
                <c:pt idx="21" formatCode="General">
                  <c:v>360</c:v>
                </c:pt>
                <c:pt idx="22" formatCode="General">
                  <c:v>366</c:v>
                </c:pt>
                <c:pt idx="23" formatCode="General">
                  <c:v>363</c:v>
                </c:pt>
                <c:pt idx="24" formatCode="General">
                  <c:v>340</c:v>
                </c:pt>
                <c:pt idx="25" formatCode="General">
                  <c:v>322</c:v>
                </c:pt>
                <c:pt idx="26" formatCode="General">
                  <c:v>351</c:v>
                </c:pt>
                <c:pt idx="27" formatCode="General">
                  <c:v>351</c:v>
                </c:pt>
                <c:pt idx="28" formatCode="General">
                  <c:v>386</c:v>
                </c:pt>
                <c:pt idx="29" formatCode="General">
                  <c:v>364</c:v>
                </c:pt>
                <c:pt idx="30" formatCode="General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A-4BCF-AEA7-61D2DCD64F8D}"/>
            </c:ext>
          </c:extLst>
        </c:ser>
        <c:ser>
          <c:idx val="4"/>
          <c:order val="4"/>
          <c:tx>
            <c:v>Bloc B Hebergement</c:v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$10,'Comp.decembre'!$G$10,'Comp.decembre'!$I$10,'Comp.decembre'!$K$10,'Comp.decembre'!$M$10,'Comp.decembre'!$O$10,'Comp.decembre'!$Q$10,'Comp.decembre'!$S$10,'Comp.decembre'!$U$10,'Comp.decembre'!$W$10,'Comp.decembre'!$Y$10,'Comp.decembre'!$AA$10,'Comp.decembre'!$AC$10,'Comp.decembre'!$AE$10,'Comp.decembre'!$AG$10,'Comp.decembre'!$AI$10,'Comp.decembre'!$AK$10,'Comp.decembre'!$AM$10,'Comp.decembre'!$AO$10,'Comp.decembre'!$AQ$10,'Comp.decembre'!$AS$10,'Comp.decembre'!$AU$10,'Comp.decembre'!$AW$10,'Comp.decembre'!$AY$10,'Comp.decembre'!$BA$10,'Comp.decembre'!$BC$10,'Comp.decembre'!$BE$10,'Comp.decembre'!$BG$10,'Comp.decembre'!$BI$10,'Comp.decembre'!$BK$10,'Comp.decembre'!$BM$10)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354</c:v>
                </c:pt>
                <c:pt idx="2" formatCode="General">
                  <c:v>369</c:v>
                </c:pt>
                <c:pt idx="3" formatCode="General">
                  <c:v>372</c:v>
                </c:pt>
                <c:pt idx="4" formatCode="General">
                  <c:v>387</c:v>
                </c:pt>
                <c:pt idx="5" formatCode="General">
                  <c:v>366</c:v>
                </c:pt>
                <c:pt idx="6" formatCode="General">
                  <c:v>378</c:v>
                </c:pt>
                <c:pt idx="7" formatCode="General">
                  <c:v>384</c:v>
                </c:pt>
                <c:pt idx="8" formatCode="General">
                  <c:v>356</c:v>
                </c:pt>
                <c:pt idx="9" formatCode="General">
                  <c:v>388</c:v>
                </c:pt>
                <c:pt idx="10" formatCode="General">
                  <c:v>371</c:v>
                </c:pt>
                <c:pt idx="11" formatCode="General">
                  <c:v>378</c:v>
                </c:pt>
                <c:pt idx="12" formatCode="General">
                  <c:v>370</c:v>
                </c:pt>
                <c:pt idx="13" formatCode="General">
                  <c:v>385</c:v>
                </c:pt>
                <c:pt idx="14" formatCode="General">
                  <c:v>376</c:v>
                </c:pt>
                <c:pt idx="15" formatCode="General">
                  <c:v>366</c:v>
                </c:pt>
                <c:pt idx="16" formatCode="General">
                  <c:v>382</c:v>
                </c:pt>
                <c:pt idx="17" formatCode="General">
                  <c:v>385</c:v>
                </c:pt>
                <c:pt idx="18" formatCode="General">
                  <c:v>377</c:v>
                </c:pt>
                <c:pt idx="19" formatCode="General">
                  <c:v>373</c:v>
                </c:pt>
                <c:pt idx="20" formatCode="General">
                  <c:v>379</c:v>
                </c:pt>
                <c:pt idx="21" formatCode="General">
                  <c:v>380</c:v>
                </c:pt>
                <c:pt idx="22" formatCode="General">
                  <c:v>380</c:v>
                </c:pt>
                <c:pt idx="23" formatCode="General">
                  <c:v>370</c:v>
                </c:pt>
                <c:pt idx="24" formatCode="General">
                  <c:v>383</c:v>
                </c:pt>
                <c:pt idx="25" formatCode="General">
                  <c:v>393</c:v>
                </c:pt>
                <c:pt idx="26" formatCode="General">
                  <c:v>386</c:v>
                </c:pt>
                <c:pt idx="27" formatCode="General">
                  <c:v>377</c:v>
                </c:pt>
                <c:pt idx="28" formatCode="General">
                  <c:v>398</c:v>
                </c:pt>
                <c:pt idx="29" formatCode="General">
                  <c:v>385</c:v>
                </c:pt>
                <c:pt idx="30" formatCode="General">
                  <c:v>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9A-4BCF-AEA7-61D2DCD64F8D}"/>
            </c:ext>
          </c:extLst>
        </c:ser>
        <c:ser>
          <c:idx val="5"/>
          <c:order val="5"/>
          <c:tx>
            <c:v>Gen.Reception secours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$17,'Comp.decembre'!$G$17,'Comp.decembre'!$I$17,'Comp.decembre'!$K$17,'Comp.decembre'!$M$17,'Comp.decembre'!$O$17,'Comp.decembre'!$Q$17,'Comp.decembre'!$S$17,'Comp.decembre'!$U$17,'Comp.decembre'!$W$17,'Comp.decembre'!$Y$17,'Comp.decembre'!$AA$17,'Comp.decembre'!$AC$17,'Comp.decembre'!$AE$17,'Comp.decembre'!$AG$17,'Comp.decembre'!$AI$17,'Comp.decembre'!$AK$17,'Comp.decembre'!$AM$17,'Comp.decembre'!$AO$17,'Comp.decembre'!$AQ$17,'Comp.decembre'!$AS$17,'Comp.decembre'!$AU$17,'Comp.decembre'!$AW$17,'Comp.decembre'!$AY$17,'Comp.decembre'!$BA$17,'Comp.decembre'!$BC$17,'Comp.decembre'!$BE$17,'Comp.decembre'!$BG$17,'Comp.decembre'!$BI$17,'Comp.decembre'!$BK$17,'Comp.decembre'!$BM$17)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319</c:v>
                </c:pt>
                <c:pt idx="2" formatCode="General">
                  <c:v>302</c:v>
                </c:pt>
                <c:pt idx="3" formatCode="General">
                  <c:v>474</c:v>
                </c:pt>
                <c:pt idx="4" formatCode="General">
                  <c:v>331</c:v>
                </c:pt>
                <c:pt idx="5" formatCode="General">
                  <c:v>355</c:v>
                </c:pt>
                <c:pt idx="6" formatCode="General">
                  <c:v>404</c:v>
                </c:pt>
                <c:pt idx="7" formatCode="General">
                  <c:v>273</c:v>
                </c:pt>
                <c:pt idx="8" formatCode="General">
                  <c:v>246</c:v>
                </c:pt>
                <c:pt idx="9" formatCode="General">
                  <c:v>382</c:v>
                </c:pt>
                <c:pt idx="10" formatCode="General">
                  <c:v>430</c:v>
                </c:pt>
                <c:pt idx="11" formatCode="General">
                  <c:v>332</c:v>
                </c:pt>
                <c:pt idx="12" formatCode="General">
                  <c:v>422</c:v>
                </c:pt>
                <c:pt idx="13" formatCode="General">
                  <c:v>393</c:v>
                </c:pt>
                <c:pt idx="14" formatCode="General">
                  <c:v>344</c:v>
                </c:pt>
                <c:pt idx="15" formatCode="General">
                  <c:v>423</c:v>
                </c:pt>
                <c:pt idx="16" formatCode="General">
                  <c:v>462</c:v>
                </c:pt>
                <c:pt idx="17" formatCode="General">
                  <c:v>403</c:v>
                </c:pt>
                <c:pt idx="18" formatCode="General">
                  <c:v>376</c:v>
                </c:pt>
                <c:pt idx="19" formatCode="General">
                  <c:v>408</c:v>
                </c:pt>
                <c:pt idx="20" formatCode="General">
                  <c:v>366</c:v>
                </c:pt>
                <c:pt idx="21" formatCode="General">
                  <c:v>423</c:v>
                </c:pt>
                <c:pt idx="22" formatCode="General">
                  <c:v>448</c:v>
                </c:pt>
                <c:pt idx="23" formatCode="General">
                  <c:v>415</c:v>
                </c:pt>
                <c:pt idx="24" formatCode="General">
                  <c:v>394</c:v>
                </c:pt>
                <c:pt idx="25" formatCode="General">
                  <c:v>388</c:v>
                </c:pt>
                <c:pt idx="26" formatCode="General">
                  <c:v>515</c:v>
                </c:pt>
                <c:pt idx="27" formatCode="General">
                  <c:v>424</c:v>
                </c:pt>
                <c:pt idx="28" formatCode="General">
                  <c:v>378</c:v>
                </c:pt>
                <c:pt idx="29" formatCode="General">
                  <c:v>480</c:v>
                </c:pt>
                <c:pt idx="30" formatCode="General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9A-4BCF-AEA7-61D2DCD64F8D}"/>
            </c:ext>
          </c:extLst>
        </c:ser>
        <c:ser>
          <c:idx val="6"/>
          <c:order val="6"/>
          <c:tx>
            <c:v>SGX Grand parking Area</c:v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mp.decembre'!$E$21,'Comp.decembre'!$G$21,'Comp.decembre'!$I$21,'Comp.decembre'!$K$21,'Comp.decembre'!$M$21,'Comp.decembre'!$O$21,'Comp.decembre'!$Q$21,'Comp.decembre'!$S$21,'Comp.decembre'!$U$21,'Comp.decembre'!$W$21,'Comp.decembre'!$Y$21,'Comp.decembre'!$AA$21,'Comp.decembre'!$AC$21,'Comp.decembre'!$AE$21,'Comp.decembre'!$AG$21,'Comp.decembre'!$AI$21,'Comp.decembre'!$AK$21,'Comp.decembre'!$AM$21,'Comp.decembre'!$AO$21,'Comp.decembre'!$AQ$21,'Comp.decembre'!$AS$21,'Comp.decembre'!$AU$21,'Comp.decembre'!$AW$21,'Comp.decembre'!$AY$21,'Comp.decembre'!$BA$21,'Comp.decembre'!$BC$21,'Comp.decembre'!$BE$21,'Comp.decembre'!$BG$21,'Comp.decembre'!$BI$21,'Comp.decembre'!$BK$21,'Comp.decembre'!$BM$21)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184</c:v>
                </c:pt>
                <c:pt idx="2" formatCode="General">
                  <c:v>181</c:v>
                </c:pt>
                <c:pt idx="3" formatCode="General">
                  <c:v>187</c:v>
                </c:pt>
                <c:pt idx="4" formatCode="General">
                  <c:v>193</c:v>
                </c:pt>
                <c:pt idx="5" formatCode="General">
                  <c:v>180</c:v>
                </c:pt>
                <c:pt idx="6" formatCode="General">
                  <c:v>181</c:v>
                </c:pt>
                <c:pt idx="7" formatCode="General">
                  <c:v>189</c:v>
                </c:pt>
                <c:pt idx="8" formatCode="General">
                  <c:v>171</c:v>
                </c:pt>
                <c:pt idx="9" formatCode="General">
                  <c:v>206</c:v>
                </c:pt>
                <c:pt idx="10" formatCode="General">
                  <c:v>198</c:v>
                </c:pt>
                <c:pt idx="11" formatCode="General">
                  <c:v>195</c:v>
                </c:pt>
                <c:pt idx="12" formatCode="General">
                  <c:v>186</c:v>
                </c:pt>
                <c:pt idx="13" formatCode="General">
                  <c:v>187</c:v>
                </c:pt>
                <c:pt idx="14" formatCode="General">
                  <c:v>172</c:v>
                </c:pt>
                <c:pt idx="15" formatCode="General">
                  <c:v>176</c:v>
                </c:pt>
                <c:pt idx="16" formatCode="General">
                  <c:v>190</c:v>
                </c:pt>
                <c:pt idx="17" formatCode="General">
                  <c:v>188</c:v>
                </c:pt>
                <c:pt idx="18" formatCode="General">
                  <c:v>176</c:v>
                </c:pt>
                <c:pt idx="19" formatCode="General">
                  <c:v>187</c:v>
                </c:pt>
                <c:pt idx="20" formatCode="General">
                  <c:v>202</c:v>
                </c:pt>
                <c:pt idx="21" formatCode="General">
                  <c:v>174</c:v>
                </c:pt>
                <c:pt idx="22" formatCode="General">
                  <c:v>180</c:v>
                </c:pt>
                <c:pt idx="23" formatCode="General">
                  <c:v>175</c:v>
                </c:pt>
                <c:pt idx="24" formatCode="General">
                  <c:v>174</c:v>
                </c:pt>
                <c:pt idx="25" formatCode="General">
                  <c:v>200</c:v>
                </c:pt>
                <c:pt idx="26" formatCode="General">
                  <c:v>197</c:v>
                </c:pt>
                <c:pt idx="27" formatCode="General">
                  <c:v>206</c:v>
                </c:pt>
                <c:pt idx="28" formatCode="General">
                  <c:v>181</c:v>
                </c:pt>
                <c:pt idx="29" formatCode="General">
                  <c:v>177</c:v>
                </c:pt>
                <c:pt idx="30" formatCode="General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9A-4BCF-AEA7-61D2DCD64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86039936"/>
        <c:axId val="-1886033408"/>
      </c:lineChart>
      <c:catAx>
        <c:axId val="-188603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6033408"/>
        <c:crosses val="autoZero"/>
        <c:auto val="1"/>
        <c:lblAlgn val="ctr"/>
        <c:lblOffset val="100"/>
        <c:noMultiLvlLbl val="0"/>
      </c:catAx>
      <c:valAx>
        <c:axId val="-1886033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603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190499</xdr:rowOff>
    </xdr:from>
    <xdr:to>
      <xdr:col>31</xdr:col>
      <xdr:colOff>66675</xdr:colOff>
      <xdr:row>90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8"/>
  <sheetViews>
    <sheetView tabSelected="1" topLeftCell="AL12" zoomScale="86" zoomScaleNormal="86" workbookViewId="0">
      <selection activeCell="BL53" sqref="BL53"/>
    </sheetView>
  </sheetViews>
  <sheetFormatPr defaultRowHeight="15" outlineLevelCol="1" x14ac:dyDescent="0.25"/>
  <cols>
    <col min="1" max="1" width="3" customWidth="1"/>
    <col min="2" max="2" width="21.28515625" customWidth="1"/>
    <col min="3" max="3" width="31.5703125" customWidth="1"/>
    <col min="4" max="4" width="8.85546875" customWidth="1"/>
    <col min="5" max="5" width="8" customWidth="1" outlineLevel="1"/>
    <col min="6" max="6" width="9.140625" customWidth="1"/>
    <col min="7" max="7" width="10" customWidth="1" outlineLevel="1"/>
    <col min="8" max="8" width="8" customWidth="1"/>
    <col min="9" max="9" width="9.140625" customWidth="1" outlineLevel="1"/>
    <col min="10" max="10" width="9" customWidth="1"/>
    <col min="11" max="11" width="8.28515625" customWidth="1" outlineLevel="1"/>
    <col min="12" max="12" width="8.28515625" customWidth="1"/>
    <col min="13" max="13" width="9" customWidth="1" outlineLevel="1"/>
    <col min="14" max="14" width="8.7109375" customWidth="1"/>
    <col min="15" max="15" width="12.140625" customWidth="1" outlineLevel="1"/>
    <col min="16" max="16" width="11.5703125" customWidth="1"/>
    <col min="17" max="17" width="9.28515625" customWidth="1" outlineLevel="1"/>
    <col min="18" max="18" width="8.85546875" customWidth="1"/>
    <col min="19" max="19" width="8.7109375" customWidth="1" outlineLevel="1"/>
    <col min="20" max="20" width="9.42578125" customWidth="1"/>
    <col min="21" max="21" width="9.28515625" customWidth="1" outlineLevel="1"/>
    <col min="22" max="22" width="8.7109375" customWidth="1"/>
    <col min="23" max="23" width="9.42578125" customWidth="1" outlineLevel="1"/>
    <col min="24" max="24" width="9.140625" customWidth="1"/>
    <col min="25" max="25" width="8.7109375" customWidth="1" outlineLevel="1"/>
    <col min="26" max="26" width="8.7109375" customWidth="1"/>
    <col min="27" max="27" width="8.5703125" customWidth="1" outlineLevel="1"/>
    <col min="28" max="28" width="8.85546875" customWidth="1"/>
    <col min="29" max="29" width="9.28515625" customWidth="1" outlineLevel="1"/>
    <col min="30" max="30" width="9" customWidth="1"/>
    <col min="31" max="31" width="9.42578125" customWidth="1" outlineLevel="1"/>
    <col min="32" max="32" width="10.5703125" customWidth="1"/>
    <col min="33" max="33" width="11.7109375" customWidth="1" outlineLevel="1"/>
    <col min="34" max="34" width="9.140625" customWidth="1"/>
    <col min="35" max="35" width="8" customWidth="1" outlineLevel="1"/>
    <col min="36" max="36" width="9" customWidth="1"/>
    <col min="37" max="37" width="7.85546875" customWidth="1" outlineLevel="1"/>
    <col min="38" max="38" width="8.5703125" customWidth="1"/>
    <col min="39" max="39" width="9" customWidth="1" outlineLevel="1"/>
    <col min="40" max="40" width="8.85546875" customWidth="1"/>
    <col min="41" max="41" width="8.85546875" customWidth="1" outlineLevel="1"/>
    <col min="42" max="42" width="9.28515625" customWidth="1"/>
    <col min="43" max="43" width="9.140625" customWidth="1" outlineLevel="1"/>
    <col min="44" max="44" width="8.7109375" customWidth="1"/>
    <col min="45" max="45" width="8.7109375" customWidth="1" outlineLevel="1"/>
    <col min="46" max="46" width="9" customWidth="1"/>
    <col min="47" max="47" width="9.5703125" customWidth="1" outlineLevel="1"/>
    <col min="48" max="48" width="11.140625" customWidth="1"/>
    <col min="49" max="49" width="12" customWidth="1" outlineLevel="1"/>
    <col min="50" max="50" width="9.5703125" customWidth="1"/>
    <col min="51" max="51" width="9.7109375" customWidth="1" outlineLevel="1"/>
    <col min="52" max="52" width="9.140625" customWidth="1"/>
    <col min="53" max="53" width="9.85546875" customWidth="1" outlineLevel="1"/>
    <col min="54" max="54" width="9.5703125" customWidth="1"/>
    <col min="55" max="55" width="11.5703125" customWidth="1" outlineLevel="1"/>
    <col min="56" max="56" width="10.140625" customWidth="1"/>
    <col min="57" max="57" width="9.42578125" customWidth="1" outlineLevel="1"/>
    <col min="58" max="58" width="10.7109375" customWidth="1"/>
    <col min="59" max="59" width="9.140625" customWidth="1" outlineLevel="1"/>
    <col min="60" max="60" width="11.140625" customWidth="1"/>
    <col min="61" max="61" width="10.42578125" customWidth="1" outlineLevel="1"/>
    <col min="62" max="62" width="10.7109375" customWidth="1"/>
    <col min="63" max="63" width="9.5703125" customWidth="1" outlineLevel="1"/>
    <col min="64" max="64" width="9.5703125" customWidth="1"/>
    <col min="65" max="65" width="9.5703125" customWidth="1" outlineLevel="1"/>
    <col min="66" max="66" width="10.28515625" customWidth="1"/>
  </cols>
  <sheetData>
    <row r="1" spans="1:66" ht="15.75" thickBot="1" x14ac:dyDescent="0.3"/>
    <row r="2" spans="1:66" ht="15.75" thickBot="1" x14ac:dyDescent="0.3">
      <c r="B2" s="4" t="s">
        <v>91</v>
      </c>
      <c r="C2" s="4" t="s">
        <v>92</v>
      </c>
      <c r="D2" s="6" t="s">
        <v>93</v>
      </c>
      <c r="E2" s="7" t="s">
        <v>124</v>
      </c>
      <c r="F2" s="8" t="s">
        <v>94</v>
      </c>
      <c r="G2" s="7" t="s">
        <v>124</v>
      </c>
      <c r="H2" s="6" t="s">
        <v>95</v>
      </c>
      <c r="I2" s="7" t="s">
        <v>124</v>
      </c>
      <c r="J2" s="8" t="s">
        <v>96</v>
      </c>
      <c r="K2" s="7" t="s">
        <v>124</v>
      </c>
      <c r="L2" s="6" t="s">
        <v>97</v>
      </c>
      <c r="M2" s="7" t="s">
        <v>124</v>
      </c>
      <c r="N2" s="8" t="s">
        <v>98</v>
      </c>
      <c r="O2" s="7" t="s">
        <v>124</v>
      </c>
      <c r="P2" s="6" t="s">
        <v>99</v>
      </c>
      <c r="Q2" s="7" t="s">
        <v>124</v>
      </c>
      <c r="R2" s="8" t="s">
        <v>100</v>
      </c>
      <c r="S2" s="7" t="s">
        <v>124</v>
      </c>
      <c r="T2" s="6" t="s">
        <v>101</v>
      </c>
      <c r="U2" s="7" t="s">
        <v>124</v>
      </c>
      <c r="V2" s="8" t="s">
        <v>102</v>
      </c>
      <c r="W2" s="7" t="s">
        <v>124</v>
      </c>
      <c r="X2" s="6" t="s">
        <v>103</v>
      </c>
      <c r="Y2" s="7" t="s">
        <v>124</v>
      </c>
      <c r="Z2" s="8" t="s">
        <v>104</v>
      </c>
      <c r="AA2" s="7" t="s">
        <v>124</v>
      </c>
      <c r="AB2" s="6" t="s">
        <v>105</v>
      </c>
      <c r="AC2" s="7" t="s">
        <v>124</v>
      </c>
      <c r="AD2" s="8" t="s">
        <v>106</v>
      </c>
      <c r="AE2" s="7" t="s">
        <v>124</v>
      </c>
      <c r="AF2" s="6" t="s">
        <v>107</v>
      </c>
      <c r="AG2" s="7" t="s">
        <v>124</v>
      </c>
      <c r="AH2" s="8" t="s">
        <v>108</v>
      </c>
      <c r="AI2" s="7" t="s">
        <v>124</v>
      </c>
      <c r="AJ2" s="6" t="s">
        <v>109</v>
      </c>
      <c r="AK2" s="7" t="s">
        <v>124</v>
      </c>
      <c r="AL2" s="8" t="s">
        <v>110</v>
      </c>
      <c r="AM2" s="7" t="s">
        <v>124</v>
      </c>
      <c r="AN2" s="6" t="s">
        <v>111</v>
      </c>
      <c r="AO2" s="7" t="s">
        <v>124</v>
      </c>
      <c r="AP2" s="8" t="s">
        <v>112</v>
      </c>
      <c r="AQ2" s="7" t="s">
        <v>124</v>
      </c>
      <c r="AR2" s="6" t="s">
        <v>113</v>
      </c>
      <c r="AS2" s="7" t="s">
        <v>124</v>
      </c>
      <c r="AT2" s="8" t="s">
        <v>114</v>
      </c>
      <c r="AU2" s="7" t="s">
        <v>124</v>
      </c>
      <c r="AV2" s="6" t="s">
        <v>115</v>
      </c>
      <c r="AW2" s="7" t="s">
        <v>124</v>
      </c>
      <c r="AX2" s="8" t="s">
        <v>116</v>
      </c>
      <c r="AY2" s="7" t="s">
        <v>124</v>
      </c>
      <c r="AZ2" s="6" t="s">
        <v>117</v>
      </c>
      <c r="BA2" s="7" t="s">
        <v>124</v>
      </c>
      <c r="BB2" s="8" t="s">
        <v>118</v>
      </c>
      <c r="BC2" s="7" t="s">
        <v>124</v>
      </c>
      <c r="BD2" s="6" t="s">
        <v>119</v>
      </c>
      <c r="BE2" s="7" t="s">
        <v>124</v>
      </c>
      <c r="BF2" s="8" t="s">
        <v>120</v>
      </c>
      <c r="BG2" s="7" t="s">
        <v>124</v>
      </c>
      <c r="BH2" s="6" t="s">
        <v>121</v>
      </c>
      <c r="BI2" s="7" t="s">
        <v>124</v>
      </c>
      <c r="BJ2" s="8" t="s">
        <v>122</v>
      </c>
      <c r="BK2" s="7" t="s">
        <v>124</v>
      </c>
      <c r="BL2" s="5" t="s">
        <v>123</v>
      </c>
      <c r="BM2" s="29" t="s">
        <v>124</v>
      </c>
      <c r="BN2" s="31" t="s">
        <v>125</v>
      </c>
    </row>
    <row r="3" spans="1:66" x14ac:dyDescent="0.25">
      <c r="A3" s="14">
        <v>1</v>
      </c>
      <c r="B3" s="12" t="s">
        <v>0</v>
      </c>
      <c r="C3" s="22" t="s">
        <v>1</v>
      </c>
      <c r="D3" s="24">
        <v>71728</v>
      </c>
      <c r="E3" s="9">
        <v>0</v>
      </c>
      <c r="F3" s="1">
        <v>71782</v>
      </c>
      <c r="G3" s="10">
        <f t="shared" ref="G3:G34" si="0">F3-D3</f>
        <v>54</v>
      </c>
      <c r="H3" s="1">
        <v>71842</v>
      </c>
      <c r="I3" s="11">
        <f>H3-F3</f>
        <v>60</v>
      </c>
      <c r="J3" s="1">
        <v>71899</v>
      </c>
      <c r="K3" s="11">
        <f>J3-H3</f>
        <v>57</v>
      </c>
      <c r="L3" s="1">
        <v>71951</v>
      </c>
      <c r="M3" s="11">
        <f>L3-J3</f>
        <v>52</v>
      </c>
      <c r="N3" s="1">
        <v>72004</v>
      </c>
      <c r="O3" s="11">
        <f>N3-L3</f>
        <v>53</v>
      </c>
      <c r="P3" s="1">
        <v>72056</v>
      </c>
      <c r="Q3" s="11">
        <f>P3-N3</f>
        <v>52</v>
      </c>
      <c r="R3" s="1">
        <v>72109</v>
      </c>
      <c r="S3" s="11">
        <f>R3-P3</f>
        <v>53</v>
      </c>
      <c r="T3" s="1">
        <v>72156</v>
      </c>
      <c r="U3" s="11">
        <f>T3-R3</f>
        <v>47</v>
      </c>
      <c r="V3" s="1">
        <v>72216</v>
      </c>
      <c r="W3" s="11">
        <f>V3-T3</f>
        <v>60</v>
      </c>
      <c r="X3" s="1">
        <v>72280</v>
      </c>
      <c r="Y3" s="11">
        <f>X3-V3</f>
        <v>64</v>
      </c>
      <c r="Z3" s="1">
        <v>72377</v>
      </c>
      <c r="AA3" s="11">
        <f>Z3-X3</f>
        <v>97</v>
      </c>
      <c r="AB3" s="1">
        <v>72392</v>
      </c>
      <c r="AC3" s="11">
        <f>AB3-Z3</f>
        <v>15</v>
      </c>
      <c r="AD3" s="1">
        <v>72443</v>
      </c>
      <c r="AE3" s="11">
        <f>AD3-AB3</f>
        <v>51</v>
      </c>
      <c r="AF3" s="1">
        <v>72497</v>
      </c>
      <c r="AG3" s="11">
        <f>AF3-AD3</f>
        <v>54</v>
      </c>
      <c r="AH3" s="1">
        <v>72553</v>
      </c>
      <c r="AI3" s="11">
        <f>AH3-AF3</f>
        <v>56</v>
      </c>
      <c r="AJ3" s="1">
        <v>72618</v>
      </c>
      <c r="AK3" s="11">
        <f>AJ3-AH3</f>
        <v>65</v>
      </c>
      <c r="AL3" s="1">
        <v>72675</v>
      </c>
      <c r="AM3" s="11">
        <f>AL3-AJ3</f>
        <v>57</v>
      </c>
      <c r="AN3" s="1">
        <v>72744</v>
      </c>
      <c r="AO3" s="11">
        <f>AN3-AL3</f>
        <v>69</v>
      </c>
      <c r="AP3" s="1">
        <v>72824</v>
      </c>
      <c r="AQ3" s="11">
        <f>AP3-AN3</f>
        <v>80</v>
      </c>
      <c r="AR3" s="1">
        <v>72901</v>
      </c>
      <c r="AS3" s="11">
        <f>AR3-AP3</f>
        <v>77</v>
      </c>
      <c r="AT3" s="1">
        <v>72972</v>
      </c>
      <c r="AU3" s="11">
        <f>AT3-AR3</f>
        <v>71</v>
      </c>
      <c r="AV3" s="1">
        <v>73050</v>
      </c>
      <c r="AW3" s="11">
        <f>AV3-AT3</f>
        <v>78</v>
      </c>
      <c r="AX3" s="1">
        <v>73121</v>
      </c>
      <c r="AY3" s="11">
        <f>AX3-AV3</f>
        <v>71</v>
      </c>
      <c r="AZ3" s="1">
        <v>73191</v>
      </c>
      <c r="BA3" s="11">
        <f>AZ3-AX3</f>
        <v>70</v>
      </c>
      <c r="BB3" s="1">
        <v>73250</v>
      </c>
      <c r="BC3" s="11">
        <f>BB3-AZ3</f>
        <v>59</v>
      </c>
      <c r="BD3" s="1">
        <v>73315</v>
      </c>
      <c r="BE3" s="11">
        <f>BD3-BB3</f>
        <v>65</v>
      </c>
      <c r="BF3" s="1">
        <v>73380</v>
      </c>
      <c r="BG3" s="11">
        <f>BF3-BD3</f>
        <v>65</v>
      </c>
      <c r="BH3" s="1">
        <v>73453</v>
      </c>
      <c r="BI3" s="11">
        <f>BH3-BF3</f>
        <v>73</v>
      </c>
      <c r="BJ3" s="3">
        <v>73509</v>
      </c>
      <c r="BK3" s="11">
        <f>BJ3-BH3</f>
        <v>56</v>
      </c>
      <c r="BL3" s="19">
        <v>73561</v>
      </c>
      <c r="BM3" s="30">
        <f>BL3-BJ3</f>
        <v>52</v>
      </c>
      <c r="BN3" s="45">
        <f t="shared" ref="BN3:BN34" si="1">BL3-D3</f>
        <v>1833</v>
      </c>
    </row>
    <row r="4" spans="1:66" ht="15.75" thickBot="1" x14ac:dyDescent="0.3">
      <c r="A4" s="15">
        <v>2</v>
      </c>
      <c r="B4" s="13" t="s">
        <v>2</v>
      </c>
      <c r="C4" s="23" t="s">
        <v>3</v>
      </c>
      <c r="D4" s="25">
        <v>97355</v>
      </c>
      <c r="E4" s="9">
        <v>0</v>
      </c>
      <c r="F4" s="1">
        <v>97378</v>
      </c>
      <c r="G4" s="10">
        <f t="shared" si="0"/>
        <v>23</v>
      </c>
      <c r="H4" s="1">
        <v>97381</v>
      </c>
      <c r="I4" s="11">
        <f t="shared" ref="I4:I52" si="2">H4-F4</f>
        <v>3</v>
      </c>
      <c r="J4" s="1">
        <v>97383</v>
      </c>
      <c r="K4" s="11">
        <f t="shared" ref="K4:K52" si="3">J4-H4</f>
        <v>2</v>
      </c>
      <c r="L4" s="1">
        <v>97441</v>
      </c>
      <c r="M4" s="11">
        <f t="shared" ref="M4:M52" si="4">L4-J4</f>
        <v>58</v>
      </c>
      <c r="N4" s="1">
        <v>97521</v>
      </c>
      <c r="O4" s="11">
        <f t="shared" ref="O4:O52" si="5">N4-L4</f>
        <v>80</v>
      </c>
      <c r="P4" s="1">
        <v>97599</v>
      </c>
      <c r="Q4" s="11">
        <f t="shared" ref="Q4:Q52" si="6">P4-N4</f>
        <v>78</v>
      </c>
      <c r="R4" s="1">
        <v>97674</v>
      </c>
      <c r="S4" s="11">
        <f t="shared" ref="S4:S52" si="7">R4-P4</f>
        <v>75</v>
      </c>
      <c r="T4" s="1">
        <v>97743</v>
      </c>
      <c r="U4" s="11">
        <f t="shared" ref="U4:U52" si="8">T4-R4</f>
        <v>69</v>
      </c>
      <c r="V4" s="1">
        <v>97815</v>
      </c>
      <c r="W4" s="11">
        <f t="shared" ref="W4:W52" si="9">V4-T4</f>
        <v>72</v>
      </c>
      <c r="X4" s="1">
        <v>97830</v>
      </c>
      <c r="Y4" s="11">
        <f t="shared" ref="Y4:Y52" si="10">X4-V4</f>
        <v>15</v>
      </c>
      <c r="Z4" s="1">
        <v>97832</v>
      </c>
      <c r="AA4" s="11">
        <f t="shared" ref="AA4:AA52" si="11">Z4-X4</f>
        <v>2</v>
      </c>
      <c r="AB4" s="1">
        <v>97843</v>
      </c>
      <c r="AC4" s="11">
        <f t="shared" ref="AC4:AC14" si="12">AB4-Z4</f>
        <v>11</v>
      </c>
      <c r="AD4" s="1">
        <v>97859</v>
      </c>
      <c r="AE4" s="11">
        <f t="shared" ref="AE4:AE52" si="13">AD4-AB4</f>
        <v>16</v>
      </c>
      <c r="AF4" s="1">
        <v>97905</v>
      </c>
      <c r="AG4" s="11">
        <f t="shared" ref="AG4:AG52" si="14">AF4-AD4</f>
        <v>46</v>
      </c>
      <c r="AH4" s="1">
        <v>97954</v>
      </c>
      <c r="AI4" s="11">
        <f t="shared" ref="AI4:AI52" si="15">AH4-AF4</f>
        <v>49</v>
      </c>
      <c r="AJ4" s="1">
        <v>97972</v>
      </c>
      <c r="AK4" s="11">
        <f t="shared" ref="AK4:AK52" si="16">AJ4-AH4</f>
        <v>18</v>
      </c>
      <c r="AL4" s="1">
        <v>97996</v>
      </c>
      <c r="AM4" s="11">
        <f t="shared" ref="AM4:AM52" si="17">AL4-AJ4</f>
        <v>24</v>
      </c>
      <c r="AN4" s="1">
        <v>98054</v>
      </c>
      <c r="AO4" s="11">
        <f t="shared" ref="AO4:AO52" si="18">AN4-AL4</f>
        <v>58</v>
      </c>
      <c r="AP4" s="1">
        <v>98126</v>
      </c>
      <c r="AQ4" s="11">
        <f t="shared" ref="AQ4:AQ52" si="19">AP4-AN4</f>
        <v>72</v>
      </c>
      <c r="AR4" s="1">
        <v>98216</v>
      </c>
      <c r="AS4" s="11">
        <f t="shared" ref="AS4:AS52" si="20">AR4-AP4</f>
        <v>90</v>
      </c>
      <c r="AT4" s="1">
        <v>98362</v>
      </c>
      <c r="AU4" s="11">
        <f t="shared" ref="AU4:AU52" si="21">AT4-AR4</f>
        <v>146</v>
      </c>
      <c r="AV4" s="1">
        <v>98481</v>
      </c>
      <c r="AW4" s="11">
        <f t="shared" ref="AW4:AW5" si="22">AV4-AT4</f>
        <v>119</v>
      </c>
      <c r="AX4" s="1">
        <v>98532</v>
      </c>
      <c r="AY4" s="11">
        <f t="shared" ref="AY4:AY52" si="23">AX4-AV4</f>
        <v>51</v>
      </c>
      <c r="AZ4" s="1">
        <v>98577</v>
      </c>
      <c r="BA4" s="11">
        <f t="shared" ref="BA4:BA52" si="24">AZ4-AX4</f>
        <v>45</v>
      </c>
      <c r="BB4" s="1">
        <v>98628</v>
      </c>
      <c r="BC4" s="11">
        <f t="shared" ref="BC4:BC52" si="25">BB4-AZ4</f>
        <v>51</v>
      </c>
      <c r="BD4" s="1">
        <v>98703</v>
      </c>
      <c r="BE4" s="11">
        <f t="shared" ref="BE4:BE52" si="26">BD4-BB4</f>
        <v>75</v>
      </c>
      <c r="BF4" s="1">
        <v>98805</v>
      </c>
      <c r="BG4" s="11">
        <f t="shared" ref="BG4:BG52" si="27">BF4-BD4</f>
        <v>102</v>
      </c>
      <c r="BH4" s="1">
        <v>98950</v>
      </c>
      <c r="BI4" s="11">
        <f t="shared" ref="BI4:BI52" si="28">BH4-BF4</f>
        <v>145</v>
      </c>
      <c r="BJ4" s="1">
        <v>99105</v>
      </c>
      <c r="BK4" s="11">
        <f t="shared" ref="BK4:BK52" si="29">BJ4-BH4</f>
        <v>155</v>
      </c>
      <c r="BL4" s="1">
        <v>99256</v>
      </c>
      <c r="BM4" s="30">
        <f t="shared" ref="BM4:BM52" si="30">BL4-BJ4</f>
        <v>151</v>
      </c>
      <c r="BN4" s="32">
        <f t="shared" si="1"/>
        <v>1901</v>
      </c>
    </row>
    <row r="5" spans="1:66" x14ac:dyDescent="0.25">
      <c r="A5" s="14">
        <v>3</v>
      </c>
      <c r="B5" s="13" t="s">
        <v>4</v>
      </c>
      <c r="C5" s="23" t="s">
        <v>5</v>
      </c>
      <c r="D5" s="25">
        <v>18804</v>
      </c>
      <c r="E5" s="9">
        <v>0</v>
      </c>
      <c r="F5" s="1">
        <v>18807</v>
      </c>
      <c r="G5" s="10">
        <f t="shared" si="0"/>
        <v>3</v>
      </c>
      <c r="H5" s="1">
        <v>18811</v>
      </c>
      <c r="I5" s="11">
        <f t="shared" si="2"/>
        <v>4</v>
      </c>
      <c r="J5" s="1">
        <v>18818</v>
      </c>
      <c r="K5" s="11">
        <f t="shared" si="3"/>
        <v>7</v>
      </c>
      <c r="L5" s="1">
        <v>18824</v>
      </c>
      <c r="M5" s="11">
        <f t="shared" si="4"/>
        <v>6</v>
      </c>
      <c r="N5" s="1">
        <v>18835</v>
      </c>
      <c r="O5" s="11">
        <f t="shared" si="5"/>
        <v>11</v>
      </c>
      <c r="P5" s="1">
        <v>18839</v>
      </c>
      <c r="Q5" s="11">
        <f t="shared" si="6"/>
        <v>4</v>
      </c>
      <c r="R5" s="1">
        <v>18843</v>
      </c>
      <c r="S5" s="11">
        <f t="shared" si="7"/>
        <v>4</v>
      </c>
      <c r="T5" s="1">
        <v>18845</v>
      </c>
      <c r="U5" s="11">
        <f t="shared" si="8"/>
        <v>2</v>
      </c>
      <c r="V5" s="1">
        <v>18847</v>
      </c>
      <c r="W5" s="11">
        <f t="shared" si="9"/>
        <v>2</v>
      </c>
      <c r="X5" s="1">
        <v>18848</v>
      </c>
      <c r="Y5" s="11">
        <f t="shared" si="10"/>
        <v>1</v>
      </c>
      <c r="Z5" s="1">
        <v>18856</v>
      </c>
      <c r="AA5" s="11">
        <f t="shared" si="11"/>
        <v>8</v>
      </c>
      <c r="AB5" s="1">
        <v>18866</v>
      </c>
      <c r="AC5" s="11">
        <f t="shared" si="12"/>
        <v>10</v>
      </c>
      <c r="AD5" s="1">
        <v>18869</v>
      </c>
      <c r="AE5" s="11">
        <f t="shared" si="13"/>
        <v>3</v>
      </c>
      <c r="AF5" s="1">
        <v>18870</v>
      </c>
      <c r="AG5" s="11">
        <f t="shared" si="14"/>
        <v>1</v>
      </c>
      <c r="AH5" s="1">
        <v>18878</v>
      </c>
      <c r="AI5" s="11">
        <f t="shared" si="15"/>
        <v>8</v>
      </c>
      <c r="AJ5" s="1">
        <v>18887</v>
      </c>
      <c r="AK5" s="11">
        <f t="shared" si="16"/>
        <v>9</v>
      </c>
      <c r="AL5" s="1">
        <v>18893</v>
      </c>
      <c r="AM5" s="11">
        <f t="shared" si="17"/>
        <v>6</v>
      </c>
      <c r="AN5" s="1">
        <v>18901</v>
      </c>
      <c r="AO5" s="11">
        <f t="shared" si="18"/>
        <v>8</v>
      </c>
      <c r="AP5" s="1">
        <v>18911</v>
      </c>
      <c r="AQ5" s="11">
        <f t="shared" si="19"/>
        <v>10</v>
      </c>
      <c r="AR5" s="1">
        <v>18919</v>
      </c>
      <c r="AS5" s="11">
        <f t="shared" si="20"/>
        <v>8</v>
      </c>
      <c r="AT5" s="1">
        <v>18923</v>
      </c>
      <c r="AU5" s="11">
        <f t="shared" si="21"/>
        <v>4</v>
      </c>
      <c r="AV5" s="1">
        <v>18927</v>
      </c>
      <c r="AW5" s="11">
        <f t="shared" si="22"/>
        <v>4</v>
      </c>
      <c r="AX5" s="1">
        <v>18932</v>
      </c>
      <c r="AY5" s="11">
        <f t="shared" si="23"/>
        <v>5</v>
      </c>
      <c r="AZ5" s="1">
        <v>18938</v>
      </c>
      <c r="BA5" s="11">
        <f t="shared" si="24"/>
        <v>6</v>
      </c>
      <c r="BB5" s="1">
        <v>18941</v>
      </c>
      <c r="BC5" s="11">
        <f t="shared" si="25"/>
        <v>3</v>
      </c>
      <c r="BD5" s="1">
        <v>18946</v>
      </c>
      <c r="BE5" s="11">
        <f t="shared" si="26"/>
        <v>5</v>
      </c>
      <c r="BF5" s="1">
        <v>18955</v>
      </c>
      <c r="BG5" s="11">
        <f t="shared" si="27"/>
        <v>9</v>
      </c>
      <c r="BH5" s="1">
        <v>18956</v>
      </c>
      <c r="BI5" s="11">
        <f t="shared" si="28"/>
        <v>1</v>
      </c>
      <c r="BJ5" s="1">
        <v>18956</v>
      </c>
      <c r="BK5" s="11">
        <f t="shared" si="29"/>
        <v>0</v>
      </c>
      <c r="BL5" s="20">
        <v>18958</v>
      </c>
      <c r="BM5" s="30">
        <f t="shared" si="30"/>
        <v>2</v>
      </c>
      <c r="BN5" s="42">
        <f t="shared" si="1"/>
        <v>154</v>
      </c>
    </row>
    <row r="6" spans="1:66" ht="15.75" thickBot="1" x14ac:dyDescent="0.3">
      <c r="A6" s="15">
        <v>4</v>
      </c>
      <c r="B6" s="13" t="s">
        <v>6</v>
      </c>
      <c r="C6" s="23" t="s">
        <v>7</v>
      </c>
      <c r="D6" s="25">
        <v>20284</v>
      </c>
      <c r="E6" s="9">
        <v>0</v>
      </c>
      <c r="F6" s="1">
        <v>20296</v>
      </c>
      <c r="G6" s="10">
        <f t="shared" si="0"/>
        <v>12</v>
      </c>
      <c r="H6" s="1">
        <v>20312</v>
      </c>
      <c r="I6" s="11">
        <f t="shared" si="2"/>
        <v>16</v>
      </c>
      <c r="J6" s="1">
        <v>20322</v>
      </c>
      <c r="K6" s="11">
        <f t="shared" si="3"/>
        <v>10</v>
      </c>
      <c r="L6" s="1">
        <v>20334</v>
      </c>
      <c r="M6" s="11">
        <f t="shared" si="4"/>
        <v>12</v>
      </c>
      <c r="N6" s="1">
        <v>20342</v>
      </c>
      <c r="O6" s="11">
        <f t="shared" si="5"/>
        <v>8</v>
      </c>
      <c r="P6" s="1">
        <v>20346</v>
      </c>
      <c r="Q6" s="11">
        <f t="shared" si="6"/>
        <v>4</v>
      </c>
      <c r="R6" s="1">
        <v>20352</v>
      </c>
      <c r="S6" s="11">
        <f t="shared" si="7"/>
        <v>6</v>
      </c>
      <c r="T6" s="1">
        <v>20358</v>
      </c>
      <c r="U6" s="11">
        <f t="shared" si="8"/>
        <v>6</v>
      </c>
      <c r="V6" s="1">
        <v>20368</v>
      </c>
      <c r="W6" s="11">
        <f t="shared" si="9"/>
        <v>10</v>
      </c>
      <c r="X6" s="1">
        <v>20372</v>
      </c>
      <c r="Y6" s="11">
        <f t="shared" si="10"/>
        <v>4</v>
      </c>
      <c r="Z6" s="1">
        <v>20377</v>
      </c>
      <c r="AA6" s="11">
        <f t="shared" si="11"/>
        <v>5</v>
      </c>
      <c r="AB6" s="1">
        <v>20382</v>
      </c>
      <c r="AC6" s="11">
        <f t="shared" si="12"/>
        <v>5</v>
      </c>
      <c r="AD6" s="1">
        <v>20388</v>
      </c>
      <c r="AE6" s="11">
        <f t="shared" si="13"/>
        <v>6</v>
      </c>
      <c r="AF6" s="1">
        <v>20395</v>
      </c>
      <c r="AG6" s="11">
        <f t="shared" si="14"/>
        <v>7</v>
      </c>
      <c r="AH6" s="1">
        <v>20404</v>
      </c>
      <c r="AI6" s="11">
        <f t="shared" si="15"/>
        <v>9</v>
      </c>
      <c r="AJ6" s="1">
        <v>20408</v>
      </c>
      <c r="AK6" s="11">
        <f t="shared" si="16"/>
        <v>4</v>
      </c>
      <c r="AL6" s="1">
        <v>20414</v>
      </c>
      <c r="AM6" s="11">
        <f t="shared" si="17"/>
        <v>6</v>
      </c>
      <c r="AN6" s="1">
        <v>20426</v>
      </c>
      <c r="AO6" s="11">
        <f t="shared" si="18"/>
        <v>12</v>
      </c>
      <c r="AP6" s="1">
        <v>20431</v>
      </c>
      <c r="AQ6" s="11">
        <f t="shared" si="19"/>
        <v>5</v>
      </c>
      <c r="AR6" s="1">
        <v>20440</v>
      </c>
      <c r="AS6" s="11">
        <f t="shared" si="20"/>
        <v>9</v>
      </c>
      <c r="AT6" s="1">
        <v>20449</v>
      </c>
      <c r="AU6" s="11">
        <f t="shared" si="21"/>
        <v>9</v>
      </c>
      <c r="AV6" s="1">
        <v>20460</v>
      </c>
      <c r="AW6" s="11">
        <f t="shared" ref="AW6:AW22" si="31">AV6-AT6</f>
        <v>11</v>
      </c>
      <c r="AX6" s="1">
        <v>20473</v>
      </c>
      <c r="AY6" s="11">
        <f t="shared" si="23"/>
        <v>13</v>
      </c>
      <c r="AZ6" s="1">
        <v>20484</v>
      </c>
      <c r="BA6" s="11">
        <f t="shared" si="24"/>
        <v>11</v>
      </c>
      <c r="BB6" s="1">
        <v>20493</v>
      </c>
      <c r="BC6" s="11">
        <f t="shared" si="25"/>
        <v>9</v>
      </c>
      <c r="BD6" s="1">
        <v>20502</v>
      </c>
      <c r="BE6" s="11">
        <f t="shared" si="26"/>
        <v>9</v>
      </c>
      <c r="BF6" s="1">
        <v>20513</v>
      </c>
      <c r="BG6" s="11">
        <f t="shared" si="27"/>
        <v>11</v>
      </c>
      <c r="BH6" s="1">
        <v>20526</v>
      </c>
      <c r="BI6" s="11">
        <f t="shared" si="28"/>
        <v>13</v>
      </c>
      <c r="BJ6" s="1">
        <v>20539</v>
      </c>
      <c r="BK6" s="11">
        <f t="shared" si="29"/>
        <v>13</v>
      </c>
      <c r="BL6" s="20">
        <v>20546</v>
      </c>
      <c r="BM6" s="30">
        <f t="shared" si="30"/>
        <v>7</v>
      </c>
      <c r="BN6" s="32">
        <f t="shared" si="1"/>
        <v>262</v>
      </c>
    </row>
    <row r="7" spans="1:66" x14ac:dyDescent="0.25">
      <c r="A7" s="14">
        <v>5</v>
      </c>
      <c r="B7" s="13" t="s">
        <v>8</v>
      </c>
      <c r="C7" s="23" t="s">
        <v>9</v>
      </c>
      <c r="D7" s="25">
        <v>257024</v>
      </c>
      <c r="E7" s="9">
        <v>0</v>
      </c>
      <c r="F7" s="1">
        <v>257202</v>
      </c>
      <c r="G7" s="10">
        <f t="shared" si="0"/>
        <v>178</v>
      </c>
      <c r="H7" s="1">
        <v>257375</v>
      </c>
      <c r="I7" s="11">
        <f t="shared" si="2"/>
        <v>173</v>
      </c>
      <c r="J7" s="1">
        <v>257549</v>
      </c>
      <c r="K7" s="11">
        <f t="shared" si="3"/>
        <v>174</v>
      </c>
      <c r="L7" s="1">
        <v>257729</v>
      </c>
      <c r="M7" s="11">
        <f t="shared" si="4"/>
        <v>180</v>
      </c>
      <c r="N7" s="1">
        <v>257930</v>
      </c>
      <c r="O7" s="11">
        <f t="shared" si="5"/>
        <v>201</v>
      </c>
      <c r="P7" s="1">
        <v>258104</v>
      </c>
      <c r="Q7" s="11">
        <f t="shared" si="6"/>
        <v>174</v>
      </c>
      <c r="R7" s="1">
        <v>258290</v>
      </c>
      <c r="S7" s="11">
        <f t="shared" si="7"/>
        <v>186</v>
      </c>
      <c r="T7" s="1">
        <v>258471</v>
      </c>
      <c r="U7" s="11">
        <f t="shared" si="8"/>
        <v>181</v>
      </c>
      <c r="V7" s="1">
        <v>258662</v>
      </c>
      <c r="W7" s="11">
        <f t="shared" si="9"/>
        <v>191</v>
      </c>
      <c r="X7" s="1">
        <v>258843</v>
      </c>
      <c r="Y7" s="11">
        <f t="shared" si="10"/>
        <v>181</v>
      </c>
      <c r="Z7" s="1">
        <v>259027</v>
      </c>
      <c r="AA7" s="11">
        <f t="shared" si="11"/>
        <v>184</v>
      </c>
      <c r="AB7" s="1">
        <v>259218</v>
      </c>
      <c r="AC7" s="11">
        <f t="shared" si="12"/>
        <v>191</v>
      </c>
      <c r="AD7" s="1">
        <v>259421</v>
      </c>
      <c r="AE7" s="11">
        <f t="shared" si="13"/>
        <v>203</v>
      </c>
      <c r="AF7" s="1">
        <v>259606</v>
      </c>
      <c r="AG7" s="11">
        <f t="shared" si="14"/>
        <v>185</v>
      </c>
      <c r="AH7" s="1">
        <v>259780</v>
      </c>
      <c r="AI7" s="11">
        <f t="shared" si="15"/>
        <v>174</v>
      </c>
      <c r="AJ7" s="1">
        <v>259971</v>
      </c>
      <c r="AK7" s="11">
        <f t="shared" si="16"/>
        <v>191</v>
      </c>
      <c r="AL7" s="1">
        <v>260166</v>
      </c>
      <c r="AM7" s="11">
        <f t="shared" si="17"/>
        <v>195</v>
      </c>
      <c r="AN7" s="1">
        <v>260343</v>
      </c>
      <c r="AO7" s="11">
        <f t="shared" si="18"/>
        <v>177</v>
      </c>
      <c r="AP7" s="1">
        <v>260530</v>
      </c>
      <c r="AQ7" s="11">
        <f t="shared" si="19"/>
        <v>187</v>
      </c>
      <c r="AR7" s="1">
        <v>260722</v>
      </c>
      <c r="AS7" s="11">
        <f t="shared" si="20"/>
        <v>192</v>
      </c>
      <c r="AT7" s="1">
        <v>260890</v>
      </c>
      <c r="AU7" s="11">
        <f t="shared" si="21"/>
        <v>168</v>
      </c>
      <c r="AV7" s="1">
        <v>261068</v>
      </c>
      <c r="AW7" s="11">
        <f t="shared" si="31"/>
        <v>178</v>
      </c>
      <c r="AX7" s="1">
        <v>261241</v>
      </c>
      <c r="AY7" s="11">
        <f t="shared" si="23"/>
        <v>173</v>
      </c>
      <c r="AZ7" s="1">
        <v>261415</v>
      </c>
      <c r="BA7" s="11">
        <f t="shared" si="24"/>
        <v>174</v>
      </c>
      <c r="BB7" s="1">
        <v>261587</v>
      </c>
      <c r="BC7" s="11">
        <f t="shared" si="25"/>
        <v>172</v>
      </c>
      <c r="BD7" s="1">
        <v>261770</v>
      </c>
      <c r="BE7" s="11">
        <f t="shared" si="26"/>
        <v>183</v>
      </c>
      <c r="BF7" s="1">
        <v>261956</v>
      </c>
      <c r="BG7" s="11">
        <f t="shared" si="27"/>
        <v>186</v>
      </c>
      <c r="BH7" s="1">
        <v>262142</v>
      </c>
      <c r="BI7" s="11">
        <f t="shared" si="28"/>
        <v>186</v>
      </c>
      <c r="BJ7" s="1">
        <v>262325</v>
      </c>
      <c r="BK7" s="11">
        <f t="shared" si="29"/>
        <v>183</v>
      </c>
      <c r="BL7" s="20">
        <v>262500</v>
      </c>
      <c r="BM7" s="30">
        <f t="shared" si="30"/>
        <v>175</v>
      </c>
      <c r="BN7" s="32">
        <f t="shared" si="1"/>
        <v>5476</v>
      </c>
    </row>
    <row r="8" spans="1:66" ht="15.75" thickBot="1" x14ac:dyDescent="0.3">
      <c r="A8" s="15">
        <v>6</v>
      </c>
      <c r="B8" s="13" t="s">
        <v>10</v>
      </c>
      <c r="C8" s="23" t="s">
        <v>11</v>
      </c>
      <c r="D8" s="25">
        <v>4666</v>
      </c>
      <c r="E8" s="9">
        <v>0</v>
      </c>
      <c r="F8" s="1">
        <v>4668</v>
      </c>
      <c r="G8" s="10">
        <f t="shared" si="0"/>
        <v>2</v>
      </c>
      <c r="H8" s="1">
        <v>4671</v>
      </c>
      <c r="I8" s="11">
        <f t="shared" si="2"/>
        <v>3</v>
      </c>
      <c r="J8" s="1">
        <v>4674</v>
      </c>
      <c r="K8" s="11">
        <f t="shared" si="3"/>
        <v>3</v>
      </c>
      <c r="L8" s="1">
        <v>4677</v>
      </c>
      <c r="M8" s="11">
        <f t="shared" si="4"/>
        <v>3</v>
      </c>
      <c r="N8" s="1">
        <v>4679</v>
      </c>
      <c r="O8" s="11">
        <f t="shared" si="5"/>
        <v>2</v>
      </c>
      <c r="P8" s="1">
        <v>4682</v>
      </c>
      <c r="Q8" s="11">
        <f t="shared" si="6"/>
        <v>3</v>
      </c>
      <c r="R8" s="1">
        <v>4684</v>
      </c>
      <c r="S8" s="11">
        <f t="shared" si="7"/>
        <v>2</v>
      </c>
      <c r="T8" s="1">
        <v>4686</v>
      </c>
      <c r="U8" s="11">
        <f t="shared" si="8"/>
        <v>2</v>
      </c>
      <c r="V8" s="1">
        <v>4689</v>
      </c>
      <c r="W8" s="11">
        <f t="shared" si="9"/>
        <v>3</v>
      </c>
      <c r="X8" s="1">
        <v>4692</v>
      </c>
      <c r="Y8" s="11">
        <f t="shared" si="10"/>
        <v>3</v>
      </c>
      <c r="Z8" s="1">
        <v>4694</v>
      </c>
      <c r="AA8" s="11">
        <f t="shared" si="11"/>
        <v>2</v>
      </c>
      <c r="AB8" s="1">
        <v>4697</v>
      </c>
      <c r="AC8" s="11">
        <f t="shared" si="12"/>
        <v>3</v>
      </c>
      <c r="AD8" s="1">
        <v>4699</v>
      </c>
      <c r="AE8" s="11">
        <f t="shared" si="13"/>
        <v>2</v>
      </c>
      <c r="AF8" s="1">
        <v>4701</v>
      </c>
      <c r="AG8" s="11">
        <f t="shared" si="14"/>
        <v>2</v>
      </c>
      <c r="AH8" s="1">
        <v>4703</v>
      </c>
      <c r="AI8" s="11">
        <f t="shared" si="15"/>
        <v>2</v>
      </c>
      <c r="AJ8" s="1">
        <v>4706</v>
      </c>
      <c r="AK8" s="11">
        <f t="shared" si="16"/>
        <v>3</v>
      </c>
      <c r="AL8" s="1">
        <v>4708</v>
      </c>
      <c r="AM8" s="11">
        <f t="shared" si="17"/>
        <v>2</v>
      </c>
      <c r="AN8" s="1">
        <v>4711</v>
      </c>
      <c r="AO8" s="11">
        <f t="shared" si="18"/>
        <v>3</v>
      </c>
      <c r="AP8" s="1">
        <v>4713</v>
      </c>
      <c r="AQ8" s="11">
        <f t="shared" si="19"/>
        <v>2</v>
      </c>
      <c r="AR8" s="1">
        <v>4716</v>
      </c>
      <c r="AS8" s="11">
        <f t="shared" si="20"/>
        <v>3</v>
      </c>
      <c r="AT8" s="1">
        <v>4719</v>
      </c>
      <c r="AU8" s="11">
        <f t="shared" si="21"/>
        <v>3</v>
      </c>
      <c r="AV8" s="1">
        <v>4721</v>
      </c>
      <c r="AW8" s="11">
        <f t="shared" si="31"/>
        <v>2</v>
      </c>
      <c r="AX8" s="1">
        <v>4724</v>
      </c>
      <c r="AY8" s="11">
        <f t="shared" si="23"/>
        <v>3</v>
      </c>
      <c r="AZ8" s="1">
        <v>4727</v>
      </c>
      <c r="BA8" s="11">
        <f t="shared" si="24"/>
        <v>3</v>
      </c>
      <c r="BB8" s="1">
        <v>4729</v>
      </c>
      <c r="BC8" s="11">
        <f t="shared" si="25"/>
        <v>2</v>
      </c>
      <c r="BD8" s="1">
        <v>4732</v>
      </c>
      <c r="BE8" s="11">
        <f t="shared" si="26"/>
        <v>3</v>
      </c>
      <c r="BF8" s="1">
        <v>4735</v>
      </c>
      <c r="BG8" s="11">
        <f t="shared" si="27"/>
        <v>3</v>
      </c>
      <c r="BH8" s="1">
        <v>4739</v>
      </c>
      <c r="BI8" s="11">
        <f t="shared" si="28"/>
        <v>4</v>
      </c>
      <c r="BJ8" s="1">
        <v>4742</v>
      </c>
      <c r="BK8" s="11">
        <f t="shared" si="29"/>
        <v>3</v>
      </c>
      <c r="BL8" s="20">
        <v>4745</v>
      </c>
      <c r="BM8" s="30">
        <f t="shared" si="30"/>
        <v>3</v>
      </c>
      <c r="BN8" s="42">
        <f t="shared" si="1"/>
        <v>79</v>
      </c>
    </row>
    <row r="9" spans="1:66" x14ac:dyDescent="0.25">
      <c r="A9" s="14">
        <v>7</v>
      </c>
      <c r="B9" s="13" t="s">
        <v>12</v>
      </c>
      <c r="C9" s="23" t="s">
        <v>13</v>
      </c>
      <c r="D9" s="25">
        <v>7847</v>
      </c>
      <c r="E9" s="9">
        <v>0</v>
      </c>
      <c r="F9" s="1">
        <v>7880</v>
      </c>
      <c r="G9" s="10">
        <f t="shared" si="0"/>
        <v>33</v>
      </c>
      <c r="H9" s="1">
        <v>7914</v>
      </c>
      <c r="I9" s="11">
        <f t="shared" si="2"/>
        <v>34</v>
      </c>
      <c r="J9" s="1">
        <v>7932</v>
      </c>
      <c r="K9" s="11">
        <f t="shared" si="3"/>
        <v>18</v>
      </c>
      <c r="L9" s="1">
        <v>7949</v>
      </c>
      <c r="M9" s="11">
        <f t="shared" si="4"/>
        <v>17</v>
      </c>
      <c r="N9" s="1">
        <v>7963</v>
      </c>
      <c r="O9" s="11">
        <f t="shared" si="5"/>
        <v>14</v>
      </c>
      <c r="P9" s="1">
        <v>7974</v>
      </c>
      <c r="Q9" s="11">
        <f t="shared" si="6"/>
        <v>11</v>
      </c>
      <c r="R9" s="1">
        <v>7983</v>
      </c>
      <c r="S9" s="11">
        <f t="shared" si="7"/>
        <v>9</v>
      </c>
      <c r="T9" s="1">
        <v>7996</v>
      </c>
      <c r="U9" s="11">
        <f t="shared" si="8"/>
        <v>13</v>
      </c>
      <c r="V9" s="1">
        <v>8011</v>
      </c>
      <c r="W9" s="11">
        <f t="shared" si="9"/>
        <v>15</v>
      </c>
      <c r="X9" s="1">
        <v>8025</v>
      </c>
      <c r="Y9" s="11">
        <f t="shared" si="10"/>
        <v>14</v>
      </c>
      <c r="Z9" s="1">
        <v>8032</v>
      </c>
      <c r="AA9" s="11">
        <f t="shared" si="11"/>
        <v>7</v>
      </c>
      <c r="AB9" s="1">
        <v>8040</v>
      </c>
      <c r="AC9" s="11">
        <f t="shared" si="12"/>
        <v>8</v>
      </c>
      <c r="AD9" s="1">
        <v>8052</v>
      </c>
      <c r="AE9" s="11">
        <f t="shared" si="13"/>
        <v>12</v>
      </c>
      <c r="AF9" s="1">
        <v>8064</v>
      </c>
      <c r="AG9" s="11">
        <f t="shared" si="14"/>
        <v>12</v>
      </c>
      <c r="AH9" s="1">
        <v>8078</v>
      </c>
      <c r="AI9" s="11">
        <f t="shared" si="15"/>
        <v>14</v>
      </c>
      <c r="AJ9" s="1">
        <v>8091</v>
      </c>
      <c r="AK9" s="11">
        <f t="shared" si="16"/>
        <v>13</v>
      </c>
      <c r="AL9" s="1">
        <v>8109</v>
      </c>
      <c r="AM9" s="11">
        <f t="shared" si="17"/>
        <v>18</v>
      </c>
      <c r="AN9" s="1">
        <v>8126</v>
      </c>
      <c r="AO9" s="11">
        <f t="shared" si="18"/>
        <v>17</v>
      </c>
      <c r="AP9" s="1">
        <v>8132</v>
      </c>
      <c r="AQ9" s="11">
        <f t="shared" si="19"/>
        <v>6</v>
      </c>
      <c r="AR9" s="1">
        <v>8145</v>
      </c>
      <c r="AS9" s="11">
        <f t="shared" si="20"/>
        <v>13</v>
      </c>
      <c r="AT9" s="1">
        <v>8165</v>
      </c>
      <c r="AU9" s="11">
        <f t="shared" si="21"/>
        <v>20</v>
      </c>
      <c r="AV9" s="1">
        <v>8186</v>
      </c>
      <c r="AW9" s="11">
        <f t="shared" si="31"/>
        <v>21</v>
      </c>
      <c r="AX9" s="1">
        <v>8206</v>
      </c>
      <c r="AY9" s="11">
        <f t="shared" si="23"/>
        <v>20</v>
      </c>
      <c r="AZ9" s="1">
        <v>8229</v>
      </c>
      <c r="BA9" s="11">
        <f t="shared" si="24"/>
        <v>23</v>
      </c>
      <c r="BB9" s="1">
        <v>8246</v>
      </c>
      <c r="BC9" s="11">
        <f t="shared" si="25"/>
        <v>17</v>
      </c>
      <c r="BD9" s="1">
        <v>8272</v>
      </c>
      <c r="BE9" s="11">
        <f t="shared" si="26"/>
        <v>26</v>
      </c>
      <c r="BF9" s="1">
        <v>8292</v>
      </c>
      <c r="BG9" s="11">
        <f t="shared" si="27"/>
        <v>20</v>
      </c>
      <c r="BH9" s="1">
        <v>8318</v>
      </c>
      <c r="BI9" s="11">
        <f t="shared" si="28"/>
        <v>26</v>
      </c>
      <c r="BJ9" s="1">
        <v>8340</v>
      </c>
      <c r="BK9" s="11">
        <f t="shared" si="29"/>
        <v>22</v>
      </c>
      <c r="BL9" s="1">
        <v>8363</v>
      </c>
      <c r="BM9" s="30">
        <f t="shared" si="30"/>
        <v>23</v>
      </c>
      <c r="BN9" s="46">
        <f t="shared" si="1"/>
        <v>516</v>
      </c>
    </row>
    <row r="10" spans="1:66" ht="15.75" thickBot="1" x14ac:dyDescent="0.3">
      <c r="A10" s="15">
        <v>8</v>
      </c>
      <c r="B10" s="13" t="s">
        <v>14</v>
      </c>
      <c r="C10" s="23" t="s">
        <v>15</v>
      </c>
      <c r="D10" s="25">
        <v>505010</v>
      </c>
      <c r="E10" s="9">
        <v>0</v>
      </c>
      <c r="F10" s="1">
        <v>505364</v>
      </c>
      <c r="G10" s="10">
        <f t="shared" si="0"/>
        <v>354</v>
      </c>
      <c r="H10" s="1">
        <v>505733</v>
      </c>
      <c r="I10" s="11">
        <f t="shared" si="2"/>
        <v>369</v>
      </c>
      <c r="J10" s="1">
        <v>506105</v>
      </c>
      <c r="K10" s="11">
        <f t="shared" si="3"/>
        <v>372</v>
      </c>
      <c r="L10" s="1">
        <v>506492</v>
      </c>
      <c r="M10" s="11">
        <f t="shared" si="4"/>
        <v>387</v>
      </c>
      <c r="N10" s="1">
        <v>506858</v>
      </c>
      <c r="O10" s="11">
        <f t="shared" si="5"/>
        <v>366</v>
      </c>
      <c r="P10" s="1">
        <v>507236</v>
      </c>
      <c r="Q10" s="11">
        <f t="shared" si="6"/>
        <v>378</v>
      </c>
      <c r="R10" s="1">
        <v>507620</v>
      </c>
      <c r="S10" s="11">
        <f t="shared" si="7"/>
        <v>384</v>
      </c>
      <c r="T10" s="1">
        <v>507976</v>
      </c>
      <c r="U10" s="11">
        <f t="shared" si="8"/>
        <v>356</v>
      </c>
      <c r="V10" s="1">
        <v>508364</v>
      </c>
      <c r="W10" s="11">
        <f t="shared" si="9"/>
        <v>388</v>
      </c>
      <c r="X10" s="1">
        <v>508735</v>
      </c>
      <c r="Y10" s="11">
        <f t="shared" si="10"/>
        <v>371</v>
      </c>
      <c r="Z10" s="1">
        <v>509113</v>
      </c>
      <c r="AA10" s="11">
        <f t="shared" si="11"/>
        <v>378</v>
      </c>
      <c r="AB10" s="1">
        <v>509483</v>
      </c>
      <c r="AC10" s="11">
        <f t="shared" si="12"/>
        <v>370</v>
      </c>
      <c r="AD10" s="1">
        <v>509868</v>
      </c>
      <c r="AE10" s="11">
        <f t="shared" si="13"/>
        <v>385</v>
      </c>
      <c r="AF10" s="1">
        <v>510244</v>
      </c>
      <c r="AG10" s="11">
        <f t="shared" si="14"/>
        <v>376</v>
      </c>
      <c r="AH10" s="1">
        <v>510610</v>
      </c>
      <c r="AI10" s="11">
        <f t="shared" si="15"/>
        <v>366</v>
      </c>
      <c r="AJ10" s="1">
        <v>510992</v>
      </c>
      <c r="AK10" s="11">
        <f t="shared" si="16"/>
        <v>382</v>
      </c>
      <c r="AL10" s="1">
        <v>511377</v>
      </c>
      <c r="AM10" s="11">
        <f t="shared" si="17"/>
        <v>385</v>
      </c>
      <c r="AN10" s="1">
        <v>511754</v>
      </c>
      <c r="AO10" s="11">
        <f t="shared" si="18"/>
        <v>377</v>
      </c>
      <c r="AP10" s="1">
        <v>512127</v>
      </c>
      <c r="AQ10" s="11">
        <f t="shared" si="19"/>
        <v>373</v>
      </c>
      <c r="AR10" s="1">
        <v>512506</v>
      </c>
      <c r="AS10" s="11">
        <f t="shared" si="20"/>
        <v>379</v>
      </c>
      <c r="AT10" s="1">
        <v>512886</v>
      </c>
      <c r="AU10" s="11">
        <f t="shared" si="21"/>
        <v>380</v>
      </c>
      <c r="AV10" s="1">
        <v>513266</v>
      </c>
      <c r="AW10" s="11">
        <f>AV10-AT10</f>
        <v>380</v>
      </c>
      <c r="AX10" s="1">
        <v>513636</v>
      </c>
      <c r="AY10" s="11">
        <f t="shared" si="23"/>
        <v>370</v>
      </c>
      <c r="AZ10" s="1">
        <v>514019</v>
      </c>
      <c r="BA10" s="11">
        <f t="shared" si="24"/>
        <v>383</v>
      </c>
      <c r="BB10" s="1">
        <v>514412</v>
      </c>
      <c r="BC10" s="11">
        <f t="shared" si="25"/>
        <v>393</v>
      </c>
      <c r="BD10" s="1">
        <v>514798</v>
      </c>
      <c r="BE10" s="11">
        <f t="shared" si="26"/>
        <v>386</v>
      </c>
      <c r="BF10" s="1">
        <v>515175</v>
      </c>
      <c r="BG10" s="11">
        <f t="shared" si="27"/>
        <v>377</v>
      </c>
      <c r="BH10" s="1">
        <v>515573</v>
      </c>
      <c r="BI10" s="11">
        <f t="shared" si="28"/>
        <v>398</v>
      </c>
      <c r="BJ10" s="1">
        <v>515958</v>
      </c>
      <c r="BK10" s="11">
        <f t="shared" si="29"/>
        <v>385</v>
      </c>
      <c r="BL10" s="20">
        <v>516363</v>
      </c>
      <c r="BM10" s="30">
        <f t="shared" si="30"/>
        <v>405</v>
      </c>
      <c r="BN10" s="46">
        <f t="shared" si="1"/>
        <v>11353</v>
      </c>
    </row>
    <row r="11" spans="1:66" x14ac:dyDescent="0.25">
      <c r="A11" s="14">
        <v>9</v>
      </c>
      <c r="B11" s="13" t="s">
        <v>16</v>
      </c>
      <c r="C11" s="23" t="s">
        <v>17</v>
      </c>
      <c r="D11" s="25">
        <v>87602</v>
      </c>
      <c r="E11" s="9">
        <v>0</v>
      </c>
      <c r="F11" s="1">
        <v>87646</v>
      </c>
      <c r="G11" s="10">
        <f t="shared" si="0"/>
        <v>44</v>
      </c>
      <c r="H11" s="1">
        <v>87686</v>
      </c>
      <c r="I11" s="11">
        <f t="shared" si="2"/>
        <v>40</v>
      </c>
      <c r="J11" s="1">
        <v>87722</v>
      </c>
      <c r="K11" s="11">
        <f t="shared" si="3"/>
        <v>36</v>
      </c>
      <c r="L11" s="1">
        <v>87754</v>
      </c>
      <c r="M11" s="11">
        <f t="shared" si="4"/>
        <v>32</v>
      </c>
      <c r="N11" s="1">
        <v>87782</v>
      </c>
      <c r="O11" s="11">
        <f t="shared" si="5"/>
        <v>28</v>
      </c>
      <c r="P11" s="1">
        <v>87819</v>
      </c>
      <c r="Q11" s="11">
        <f t="shared" si="6"/>
        <v>37</v>
      </c>
      <c r="R11" s="1">
        <v>87855</v>
      </c>
      <c r="S11" s="11">
        <f t="shared" si="7"/>
        <v>36</v>
      </c>
      <c r="T11" s="1">
        <v>87890</v>
      </c>
      <c r="U11" s="11">
        <f t="shared" si="8"/>
        <v>35</v>
      </c>
      <c r="V11" s="1">
        <v>87923</v>
      </c>
      <c r="W11" s="11">
        <f t="shared" si="9"/>
        <v>33</v>
      </c>
      <c r="X11" s="1">
        <v>87943</v>
      </c>
      <c r="Y11" s="11">
        <f t="shared" si="10"/>
        <v>20</v>
      </c>
      <c r="Z11" s="1">
        <v>87964</v>
      </c>
      <c r="AA11" s="11">
        <f t="shared" si="11"/>
        <v>21</v>
      </c>
      <c r="AB11" s="1">
        <v>87991</v>
      </c>
      <c r="AC11" s="11">
        <f t="shared" si="12"/>
        <v>27</v>
      </c>
      <c r="AD11" s="1">
        <v>88015</v>
      </c>
      <c r="AE11" s="11">
        <f t="shared" si="13"/>
        <v>24</v>
      </c>
      <c r="AF11" s="1">
        <v>88039</v>
      </c>
      <c r="AG11" s="11">
        <f t="shared" si="14"/>
        <v>24</v>
      </c>
      <c r="AH11" s="1">
        <v>88064</v>
      </c>
      <c r="AI11" s="11">
        <f t="shared" si="15"/>
        <v>25</v>
      </c>
      <c r="AJ11" s="1">
        <v>88091</v>
      </c>
      <c r="AK11" s="11">
        <f t="shared" si="16"/>
        <v>27</v>
      </c>
      <c r="AL11" s="1">
        <v>88129</v>
      </c>
      <c r="AM11" s="11">
        <f t="shared" si="17"/>
        <v>38</v>
      </c>
      <c r="AN11" s="1">
        <v>88182</v>
      </c>
      <c r="AO11" s="11">
        <f t="shared" si="18"/>
        <v>53</v>
      </c>
      <c r="AP11" s="1">
        <v>88239</v>
      </c>
      <c r="AQ11" s="11">
        <f t="shared" si="19"/>
        <v>57</v>
      </c>
      <c r="AR11" s="1">
        <v>88287</v>
      </c>
      <c r="AS11" s="11">
        <f t="shared" si="20"/>
        <v>48</v>
      </c>
      <c r="AT11" s="1">
        <v>88331</v>
      </c>
      <c r="AU11" s="11">
        <f t="shared" si="21"/>
        <v>44</v>
      </c>
      <c r="AV11" s="1">
        <v>88367</v>
      </c>
      <c r="AW11" s="11">
        <f t="shared" si="31"/>
        <v>36</v>
      </c>
      <c r="AX11" s="1">
        <v>88413</v>
      </c>
      <c r="AY11" s="11">
        <f t="shared" si="23"/>
        <v>46</v>
      </c>
      <c r="AZ11" s="1">
        <v>88456</v>
      </c>
      <c r="BA11" s="11">
        <f t="shared" si="24"/>
        <v>43</v>
      </c>
      <c r="BB11" s="1">
        <v>88498</v>
      </c>
      <c r="BC11" s="11">
        <f t="shared" si="25"/>
        <v>42</v>
      </c>
      <c r="BD11" s="1">
        <v>88534</v>
      </c>
      <c r="BE11" s="11">
        <f t="shared" si="26"/>
        <v>36</v>
      </c>
      <c r="BF11" s="1">
        <v>88555</v>
      </c>
      <c r="BG11" s="11">
        <f t="shared" si="27"/>
        <v>21</v>
      </c>
      <c r="BH11" s="1">
        <v>88575</v>
      </c>
      <c r="BI11" s="11">
        <f t="shared" si="28"/>
        <v>20</v>
      </c>
      <c r="BJ11" s="1">
        <v>88598</v>
      </c>
      <c r="BK11" s="11">
        <f t="shared" si="29"/>
        <v>23</v>
      </c>
      <c r="BL11" s="20">
        <v>88627</v>
      </c>
      <c r="BM11" s="30">
        <f t="shared" si="30"/>
        <v>29</v>
      </c>
      <c r="BN11" s="46">
        <f t="shared" si="1"/>
        <v>1025</v>
      </c>
    </row>
    <row r="12" spans="1:66" ht="15.75" thickBot="1" x14ac:dyDescent="0.3">
      <c r="A12" s="15">
        <v>10</v>
      </c>
      <c r="B12" s="13" t="s">
        <v>18</v>
      </c>
      <c r="C12" s="23" t="s">
        <v>19</v>
      </c>
      <c r="D12" s="25">
        <v>8021</v>
      </c>
      <c r="E12" s="9">
        <v>0</v>
      </c>
      <c r="F12" s="1">
        <v>8021</v>
      </c>
      <c r="G12" s="10">
        <f t="shared" si="0"/>
        <v>0</v>
      </c>
      <c r="H12" s="1">
        <v>8022</v>
      </c>
      <c r="I12" s="11">
        <f t="shared" si="2"/>
        <v>1</v>
      </c>
      <c r="J12" s="1">
        <v>8022</v>
      </c>
      <c r="K12" s="11">
        <f t="shared" si="3"/>
        <v>0</v>
      </c>
      <c r="L12" s="1">
        <v>8023</v>
      </c>
      <c r="M12" s="11">
        <f t="shared" si="4"/>
        <v>1</v>
      </c>
      <c r="N12" s="1">
        <v>8023</v>
      </c>
      <c r="O12" s="11">
        <f t="shared" si="5"/>
        <v>0</v>
      </c>
      <c r="P12" s="1">
        <v>8024</v>
      </c>
      <c r="Q12" s="11">
        <f t="shared" si="6"/>
        <v>1</v>
      </c>
      <c r="R12" s="1">
        <v>8024</v>
      </c>
      <c r="S12" s="11">
        <f t="shared" si="7"/>
        <v>0</v>
      </c>
      <c r="T12" s="1">
        <v>8024</v>
      </c>
      <c r="U12" s="11">
        <f t="shared" si="8"/>
        <v>0</v>
      </c>
      <c r="V12" s="1">
        <v>8024</v>
      </c>
      <c r="W12" s="11">
        <f t="shared" si="9"/>
        <v>0</v>
      </c>
      <c r="X12" s="1">
        <v>8025</v>
      </c>
      <c r="Y12" s="11">
        <f t="shared" si="10"/>
        <v>1</v>
      </c>
      <c r="Z12" s="1">
        <v>8025</v>
      </c>
      <c r="AA12" s="11">
        <f t="shared" si="11"/>
        <v>0</v>
      </c>
      <c r="AB12" s="1">
        <v>8025</v>
      </c>
      <c r="AC12" s="11">
        <f t="shared" si="12"/>
        <v>0</v>
      </c>
      <c r="AD12" s="1">
        <v>8025</v>
      </c>
      <c r="AE12" s="11">
        <f t="shared" si="13"/>
        <v>0</v>
      </c>
      <c r="AF12" s="1">
        <v>8026</v>
      </c>
      <c r="AG12" s="11">
        <f t="shared" si="14"/>
        <v>1</v>
      </c>
      <c r="AH12" s="1">
        <v>8026</v>
      </c>
      <c r="AI12" s="11">
        <f t="shared" si="15"/>
        <v>0</v>
      </c>
      <c r="AJ12" s="1">
        <v>8026</v>
      </c>
      <c r="AK12" s="11">
        <f t="shared" si="16"/>
        <v>0</v>
      </c>
      <c r="AL12" s="1">
        <v>8026</v>
      </c>
      <c r="AM12" s="11">
        <f t="shared" si="17"/>
        <v>0</v>
      </c>
      <c r="AN12" s="1">
        <v>8027</v>
      </c>
      <c r="AO12" s="11">
        <f t="shared" si="18"/>
        <v>1</v>
      </c>
      <c r="AP12" s="1">
        <v>8027</v>
      </c>
      <c r="AQ12" s="11">
        <f t="shared" si="19"/>
        <v>0</v>
      </c>
      <c r="AR12" s="1">
        <v>8028</v>
      </c>
      <c r="AS12" s="11">
        <f t="shared" si="20"/>
        <v>1</v>
      </c>
      <c r="AT12" s="1">
        <v>8028</v>
      </c>
      <c r="AU12" s="11">
        <f t="shared" si="21"/>
        <v>0</v>
      </c>
      <c r="AV12" s="1">
        <v>8029</v>
      </c>
      <c r="AW12" s="11">
        <f t="shared" si="31"/>
        <v>1</v>
      </c>
      <c r="AX12" s="1">
        <v>8029</v>
      </c>
      <c r="AY12" s="11">
        <f t="shared" si="23"/>
        <v>0</v>
      </c>
      <c r="AZ12" s="1">
        <v>8030</v>
      </c>
      <c r="BA12" s="11">
        <f t="shared" si="24"/>
        <v>1</v>
      </c>
      <c r="BB12" s="1">
        <v>8030</v>
      </c>
      <c r="BC12" s="11">
        <f t="shared" si="25"/>
        <v>0</v>
      </c>
      <c r="BD12" s="1">
        <v>8031</v>
      </c>
      <c r="BE12" s="11">
        <f t="shared" si="26"/>
        <v>1</v>
      </c>
      <c r="BF12" s="1">
        <v>8032</v>
      </c>
      <c r="BG12" s="11">
        <f t="shared" si="27"/>
        <v>1</v>
      </c>
      <c r="BH12" s="1">
        <v>8033</v>
      </c>
      <c r="BI12" s="11">
        <f t="shared" si="28"/>
        <v>1</v>
      </c>
      <c r="BJ12" s="1">
        <v>8034</v>
      </c>
      <c r="BK12" s="11">
        <f t="shared" si="29"/>
        <v>1</v>
      </c>
      <c r="BL12" s="20">
        <v>8035</v>
      </c>
      <c r="BM12" s="30">
        <f t="shared" si="30"/>
        <v>1</v>
      </c>
      <c r="BN12" s="47">
        <f t="shared" si="1"/>
        <v>14</v>
      </c>
    </row>
    <row r="13" spans="1:66" x14ac:dyDescent="0.25">
      <c r="A13" s="14">
        <v>11</v>
      </c>
      <c r="B13" s="13" t="s">
        <v>20</v>
      </c>
      <c r="C13" s="23" t="s">
        <v>20</v>
      </c>
      <c r="D13" s="25">
        <v>37539</v>
      </c>
      <c r="E13" s="9">
        <v>0</v>
      </c>
      <c r="F13" s="1">
        <v>37564</v>
      </c>
      <c r="G13" s="10">
        <f t="shared" si="0"/>
        <v>25</v>
      </c>
      <c r="H13" s="1">
        <v>37589</v>
      </c>
      <c r="I13" s="11">
        <f t="shared" si="2"/>
        <v>25</v>
      </c>
      <c r="J13" s="1">
        <v>37608</v>
      </c>
      <c r="K13" s="11">
        <f t="shared" si="3"/>
        <v>19</v>
      </c>
      <c r="L13" s="1">
        <v>37635</v>
      </c>
      <c r="M13" s="11">
        <f t="shared" si="4"/>
        <v>27</v>
      </c>
      <c r="N13" s="1">
        <v>37656</v>
      </c>
      <c r="O13" s="11">
        <f t="shared" si="5"/>
        <v>21</v>
      </c>
      <c r="P13" s="1">
        <v>37682</v>
      </c>
      <c r="Q13" s="11">
        <f t="shared" si="6"/>
        <v>26</v>
      </c>
      <c r="R13" s="1">
        <v>37711</v>
      </c>
      <c r="S13" s="11">
        <f t="shared" si="7"/>
        <v>29</v>
      </c>
      <c r="T13" s="1">
        <v>37742</v>
      </c>
      <c r="U13" s="11">
        <f t="shared" si="8"/>
        <v>31</v>
      </c>
      <c r="V13" s="1">
        <v>37772</v>
      </c>
      <c r="W13" s="11">
        <f t="shared" si="9"/>
        <v>30</v>
      </c>
      <c r="X13" s="1">
        <v>37797</v>
      </c>
      <c r="Y13" s="11">
        <f t="shared" si="10"/>
        <v>25</v>
      </c>
      <c r="Z13" s="1">
        <v>37824</v>
      </c>
      <c r="AA13" s="11">
        <f t="shared" si="11"/>
        <v>27</v>
      </c>
      <c r="AB13" s="1">
        <v>37850</v>
      </c>
      <c r="AC13" s="11">
        <f t="shared" si="12"/>
        <v>26</v>
      </c>
      <c r="AD13" s="1">
        <v>37873</v>
      </c>
      <c r="AE13" s="11">
        <f t="shared" si="13"/>
        <v>23</v>
      </c>
      <c r="AF13" s="1">
        <v>37901</v>
      </c>
      <c r="AG13" s="11">
        <f t="shared" si="14"/>
        <v>28</v>
      </c>
      <c r="AH13" s="1">
        <v>37925</v>
      </c>
      <c r="AI13" s="11">
        <f t="shared" si="15"/>
        <v>24</v>
      </c>
      <c r="AJ13" s="1">
        <v>37951</v>
      </c>
      <c r="AK13" s="11">
        <f t="shared" si="16"/>
        <v>26</v>
      </c>
      <c r="AL13" s="1">
        <v>37977</v>
      </c>
      <c r="AM13" s="11">
        <f t="shared" si="17"/>
        <v>26</v>
      </c>
      <c r="AN13" s="1">
        <v>38003</v>
      </c>
      <c r="AO13" s="11">
        <f t="shared" si="18"/>
        <v>26</v>
      </c>
      <c r="AP13" s="1">
        <v>38030</v>
      </c>
      <c r="AQ13" s="11">
        <f t="shared" si="19"/>
        <v>27</v>
      </c>
      <c r="AR13" s="1">
        <v>38045</v>
      </c>
      <c r="AS13" s="11">
        <f t="shared" si="20"/>
        <v>15</v>
      </c>
      <c r="AT13" s="1">
        <v>38067</v>
      </c>
      <c r="AU13" s="11">
        <f t="shared" si="21"/>
        <v>22</v>
      </c>
      <c r="AV13" s="1">
        <v>38086</v>
      </c>
      <c r="AW13" s="11">
        <f t="shared" si="31"/>
        <v>19</v>
      </c>
      <c r="AX13" s="1">
        <v>38106</v>
      </c>
      <c r="AY13" s="11">
        <f t="shared" si="23"/>
        <v>20</v>
      </c>
      <c r="AZ13" s="1">
        <v>38125</v>
      </c>
      <c r="BA13" s="11">
        <f t="shared" si="24"/>
        <v>19</v>
      </c>
      <c r="BB13" s="1">
        <v>38143</v>
      </c>
      <c r="BC13" s="11">
        <f t="shared" si="25"/>
        <v>18</v>
      </c>
      <c r="BD13" s="1">
        <v>38165</v>
      </c>
      <c r="BE13" s="11">
        <f t="shared" si="26"/>
        <v>22</v>
      </c>
      <c r="BF13" s="1">
        <v>38185</v>
      </c>
      <c r="BG13" s="11">
        <f t="shared" si="27"/>
        <v>20</v>
      </c>
      <c r="BH13" s="1">
        <v>38207</v>
      </c>
      <c r="BI13" s="11">
        <f t="shared" si="28"/>
        <v>22</v>
      </c>
      <c r="BJ13" s="1">
        <v>38230</v>
      </c>
      <c r="BK13" s="11">
        <f t="shared" si="29"/>
        <v>23</v>
      </c>
      <c r="BL13" s="20">
        <v>38252</v>
      </c>
      <c r="BM13" s="30">
        <f t="shared" si="30"/>
        <v>22</v>
      </c>
      <c r="BN13" s="50">
        <f t="shared" si="1"/>
        <v>713</v>
      </c>
    </row>
    <row r="14" spans="1:66" ht="15.75" thickBot="1" x14ac:dyDescent="0.3">
      <c r="A14" s="15">
        <v>12</v>
      </c>
      <c r="B14" s="13" t="s">
        <v>21</v>
      </c>
      <c r="C14" s="23" t="s">
        <v>22</v>
      </c>
      <c r="D14" s="25">
        <v>59610</v>
      </c>
      <c r="E14" s="9">
        <v>0</v>
      </c>
      <c r="F14" s="1">
        <v>59621</v>
      </c>
      <c r="G14" s="10">
        <f t="shared" si="0"/>
        <v>11</v>
      </c>
      <c r="H14" s="1">
        <v>59636</v>
      </c>
      <c r="I14" s="11">
        <f t="shared" si="2"/>
        <v>15</v>
      </c>
      <c r="J14" s="1">
        <v>59651</v>
      </c>
      <c r="K14" s="11">
        <f t="shared" si="3"/>
        <v>15</v>
      </c>
      <c r="L14" s="1">
        <v>59665</v>
      </c>
      <c r="M14" s="11">
        <f t="shared" si="4"/>
        <v>14</v>
      </c>
      <c r="N14" s="1">
        <v>59679</v>
      </c>
      <c r="O14" s="11">
        <f t="shared" si="5"/>
        <v>14</v>
      </c>
      <c r="P14" s="1">
        <v>59691</v>
      </c>
      <c r="Q14" s="11">
        <f t="shared" si="6"/>
        <v>12</v>
      </c>
      <c r="R14" s="1">
        <v>59710</v>
      </c>
      <c r="S14" s="11">
        <f t="shared" si="7"/>
        <v>19</v>
      </c>
      <c r="T14" s="1">
        <v>59724</v>
      </c>
      <c r="U14" s="11">
        <f t="shared" si="8"/>
        <v>14</v>
      </c>
      <c r="V14" s="1">
        <v>59734</v>
      </c>
      <c r="W14" s="11">
        <f t="shared" si="9"/>
        <v>10</v>
      </c>
      <c r="X14" s="1">
        <v>59745</v>
      </c>
      <c r="Y14" s="11">
        <f t="shared" si="10"/>
        <v>11</v>
      </c>
      <c r="Z14" s="1">
        <v>59765</v>
      </c>
      <c r="AA14" s="11">
        <f t="shared" si="11"/>
        <v>20</v>
      </c>
      <c r="AB14" s="1">
        <v>59775</v>
      </c>
      <c r="AC14" s="11">
        <f t="shared" si="12"/>
        <v>10</v>
      </c>
      <c r="AD14" s="1">
        <v>59782</v>
      </c>
      <c r="AE14" s="11">
        <f t="shared" si="13"/>
        <v>7</v>
      </c>
      <c r="AF14" s="1">
        <v>59794</v>
      </c>
      <c r="AG14" s="11">
        <f t="shared" si="14"/>
        <v>12</v>
      </c>
      <c r="AH14" s="1">
        <v>59807</v>
      </c>
      <c r="AI14" s="11">
        <f t="shared" si="15"/>
        <v>13</v>
      </c>
      <c r="AJ14" s="1">
        <v>59827</v>
      </c>
      <c r="AK14" s="11">
        <f t="shared" si="16"/>
        <v>20</v>
      </c>
      <c r="AL14" s="1">
        <v>59839</v>
      </c>
      <c r="AM14" s="11">
        <f t="shared" si="17"/>
        <v>12</v>
      </c>
      <c r="AN14" s="1">
        <v>59856</v>
      </c>
      <c r="AO14" s="11">
        <f t="shared" si="18"/>
        <v>17</v>
      </c>
      <c r="AP14" s="1">
        <v>59871</v>
      </c>
      <c r="AQ14" s="11">
        <f t="shared" si="19"/>
        <v>15</v>
      </c>
      <c r="AR14" s="1">
        <v>59885</v>
      </c>
      <c r="AS14" s="11">
        <f t="shared" si="20"/>
        <v>14</v>
      </c>
      <c r="AT14" s="1">
        <v>59900</v>
      </c>
      <c r="AU14" s="11">
        <f t="shared" si="21"/>
        <v>15</v>
      </c>
      <c r="AV14" s="1">
        <v>59916</v>
      </c>
      <c r="AW14" s="11">
        <f t="shared" si="31"/>
        <v>16</v>
      </c>
      <c r="AX14" s="1">
        <v>59941</v>
      </c>
      <c r="AY14" s="11">
        <f t="shared" si="23"/>
        <v>25</v>
      </c>
      <c r="AZ14" s="1">
        <v>59962</v>
      </c>
      <c r="BA14" s="11">
        <f t="shared" si="24"/>
        <v>21</v>
      </c>
      <c r="BB14" s="1">
        <v>59981</v>
      </c>
      <c r="BC14" s="11">
        <f t="shared" si="25"/>
        <v>19</v>
      </c>
      <c r="BD14" s="1">
        <v>60010</v>
      </c>
      <c r="BE14" s="11">
        <f t="shared" si="26"/>
        <v>29</v>
      </c>
      <c r="BF14" s="1">
        <v>60043</v>
      </c>
      <c r="BG14" s="11">
        <f t="shared" si="27"/>
        <v>33</v>
      </c>
      <c r="BH14" s="1">
        <v>60065</v>
      </c>
      <c r="BI14" s="11">
        <f t="shared" si="28"/>
        <v>22</v>
      </c>
      <c r="BJ14" s="1">
        <v>60084</v>
      </c>
      <c r="BK14" s="11">
        <f t="shared" si="29"/>
        <v>19</v>
      </c>
      <c r="BL14" s="20">
        <v>60099</v>
      </c>
      <c r="BM14" s="30">
        <f t="shared" si="30"/>
        <v>15</v>
      </c>
      <c r="BN14" s="49">
        <f t="shared" si="1"/>
        <v>489</v>
      </c>
    </row>
    <row r="15" spans="1:66" x14ac:dyDescent="0.25">
      <c r="A15" s="14">
        <v>33</v>
      </c>
      <c r="B15" s="13" t="s">
        <v>23</v>
      </c>
      <c r="C15" s="23" t="s">
        <v>24</v>
      </c>
      <c r="D15" s="25">
        <v>52306</v>
      </c>
      <c r="E15" s="9">
        <v>0</v>
      </c>
      <c r="F15" s="1">
        <v>52339</v>
      </c>
      <c r="G15" s="10">
        <f t="shared" si="0"/>
        <v>33</v>
      </c>
      <c r="H15" s="1">
        <v>52372</v>
      </c>
      <c r="I15" s="11">
        <f t="shared" si="2"/>
        <v>33</v>
      </c>
      <c r="J15" s="1">
        <v>52409</v>
      </c>
      <c r="K15" s="11">
        <f t="shared" si="3"/>
        <v>37</v>
      </c>
      <c r="L15" s="1">
        <v>52447</v>
      </c>
      <c r="M15" s="11">
        <f t="shared" si="4"/>
        <v>38</v>
      </c>
      <c r="N15" s="1">
        <v>52484</v>
      </c>
      <c r="O15" s="11">
        <f t="shared" si="5"/>
        <v>37</v>
      </c>
      <c r="P15" s="1">
        <v>52520</v>
      </c>
      <c r="Q15" s="11">
        <f t="shared" si="6"/>
        <v>36</v>
      </c>
      <c r="R15" s="1">
        <v>52560</v>
      </c>
      <c r="S15" s="11">
        <f t="shared" si="7"/>
        <v>40</v>
      </c>
      <c r="T15" s="1">
        <v>52589</v>
      </c>
      <c r="U15" s="11">
        <f t="shared" si="8"/>
        <v>29</v>
      </c>
      <c r="V15" s="1">
        <v>52621</v>
      </c>
      <c r="W15" s="11">
        <f t="shared" si="9"/>
        <v>32</v>
      </c>
      <c r="X15" s="1">
        <v>52653</v>
      </c>
      <c r="Y15" s="11">
        <f t="shared" si="10"/>
        <v>32</v>
      </c>
      <c r="Z15" s="1">
        <v>52686</v>
      </c>
      <c r="AA15" s="11">
        <f t="shared" si="11"/>
        <v>33</v>
      </c>
      <c r="AB15" s="1">
        <v>52718</v>
      </c>
      <c r="AC15" s="11">
        <f t="shared" ref="AC15:AC52" si="32">AB15-Z15</f>
        <v>32</v>
      </c>
      <c r="AD15" s="1">
        <v>52753</v>
      </c>
      <c r="AE15" s="11">
        <f t="shared" si="13"/>
        <v>35</v>
      </c>
      <c r="AF15" s="1">
        <v>52787</v>
      </c>
      <c r="AG15" s="11">
        <f t="shared" si="14"/>
        <v>34</v>
      </c>
      <c r="AH15" s="1">
        <v>52820</v>
      </c>
      <c r="AI15" s="11">
        <f t="shared" si="15"/>
        <v>33</v>
      </c>
      <c r="AJ15" s="1">
        <v>52856</v>
      </c>
      <c r="AK15" s="11">
        <f t="shared" si="16"/>
        <v>36</v>
      </c>
      <c r="AL15" s="1">
        <v>52893</v>
      </c>
      <c r="AM15" s="11">
        <f t="shared" si="17"/>
        <v>37</v>
      </c>
      <c r="AN15" s="1">
        <v>52932</v>
      </c>
      <c r="AO15" s="11">
        <f t="shared" si="18"/>
        <v>39</v>
      </c>
      <c r="AP15" s="1">
        <v>52973</v>
      </c>
      <c r="AQ15" s="11">
        <f t="shared" si="19"/>
        <v>41</v>
      </c>
      <c r="AR15" s="1">
        <v>53014</v>
      </c>
      <c r="AS15" s="11">
        <f t="shared" si="20"/>
        <v>41</v>
      </c>
      <c r="AT15" s="1">
        <v>53052</v>
      </c>
      <c r="AU15" s="11">
        <f t="shared" si="21"/>
        <v>38</v>
      </c>
      <c r="AV15" s="1">
        <v>53089</v>
      </c>
      <c r="AW15" s="11">
        <f t="shared" si="31"/>
        <v>37</v>
      </c>
      <c r="AX15" s="1">
        <v>53127</v>
      </c>
      <c r="AY15" s="11">
        <f t="shared" si="23"/>
        <v>38</v>
      </c>
      <c r="AZ15" s="1">
        <v>53166</v>
      </c>
      <c r="BA15" s="11">
        <f t="shared" si="24"/>
        <v>39</v>
      </c>
      <c r="BB15" s="1">
        <v>53205</v>
      </c>
      <c r="BC15" s="11">
        <f t="shared" si="25"/>
        <v>39</v>
      </c>
      <c r="BD15" s="1">
        <v>53246</v>
      </c>
      <c r="BE15" s="11">
        <f t="shared" si="26"/>
        <v>41</v>
      </c>
      <c r="BF15" s="1">
        <v>53286</v>
      </c>
      <c r="BG15" s="11">
        <f t="shared" si="27"/>
        <v>40</v>
      </c>
      <c r="BH15" s="1">
        <v>53326</v>
      </c>
      <c r="BI15" s="11">
        <f t="shared" si="28"/>
        <v>40</v>
      </c>
      <c r="BJ15" s="1">
        <v>53362</v>
      </c>
      <c r="BK15" s="11">
        <f t="shared" si="29"/>
        <v>36</v>
      </c>
      <c r="BL15" s="20">
        <v>53395</v>
      </c>
      <c r="BM15" s="30">
        <f t="shared" si="30"/>
        <v>33</v>
      </c>
      <c r="BN15" s="47">
        <f t="shared" si="1"/>
        <v>1089</v>
      </c>
    </row>
    <row r="16" spans="1:66" ht="15.75" thickBot="1" x14ac:dyDescent="0.3">
      <c r="A16" s="15">
        <v>14</v>
      </c>
      <c r="B16" s="13" t="s">
        <v>25</v>
      </c>
      <c r="C16" s="23" t="s">
        <v>26</v>
      </c>
      <c r="D16" s="25">
        <v>251768</v>
      </c>
      <c r="E16" s="9">
        <v>0</v>
      </c>
      <c r="F16" s="1">
        <v>251951</v>
      </c>
      <c r="G16" s="10">
        <f t="shared" si="0"/>
        <v>183</v>
      </c>
      <c r="H16" s="1">
        <v>252133</v>
      </c>
      <c r="I16" s="11">
        <f t="shared" si="2"/>
        <v>182</v>
      </c>
      <c r="J16" s="1">
        <v>252320</v>
      </c>
      <c r="K16" s="11">
        <f t="shared" si="3"/>
        <v>187</v>
      </c>
      <c r="L16" s="1">
        <v>252524</v>
      </c>
      <c r="M16" s="11">
        <f t="shared" si="4"/>
        <v>204</v>
      </c>
      <c r="N16" s="1">
        <v>252712</v>
      </c>
      <c r="O16" s="11">
        <f t="shared" si="5"/>
        <v>188</v>
      </c>
      <c r="P16" s="1">
        <v>252896</v>
      </c>
      <c r="Q16" s="11">
        <f t="shared" si="6"/>
        <v>184</v>
      </c>
      <c r="R16" s="1">
        <v>253079</v>
      </c>
      <c r="S16" s="11">
        <f t="shared" si="7"/>
        <v>183</v>
      </c>
      <c r="T16" s="1">
        <v>253256</v>
      </c>
      <c r="U16" s="11">
        <f t="shared" si="8"/>
        <v>177</v>
      </c>
      <c r="V16" s="1">
        <v>253454</v>
      </c>
      <c r="W16" s="11">
        <f t="shared" si="9"/>
        <v>198</v>
      </c>
      <c r="X16" s="1">
        <v>253640</v>
      </c>
      <c r="Y16" s="11">
        <f t="shared" si="10"/>
        <v>186</v>
      </c>
      <c r="Z16" s="1">
        <v>253840</v>
      </c>
      <c r="AA16" s="11">
        <f t="shared" si="11"/>
        <v>200</v>
      </c>
      <c r="AB16" s="1">
        <v>254028</v>
      </c>
      <c r="AC16" s="11">
        <f t="shared" si="32"/>
        <v>188</v>
      </c>
      <c r="AD16" s="1">
        <v>254218</v>
      </c>
      <c r="AE16" s="11">
        <f t="shared" si="13"/>
        <v>190</v>
      </c>
      <c r="AF16" s="1">
        <v>254401</v>
      </c>
      <c r="AG16" s="11">
        <f t="shared" si="14"/>
        <v>183</v>
      </c>
      <c r="AH16" s="1">
        <v>254582</v>
      </c>
      <c r="AI16" s="11">
        <f t="shared" si="15"/>
        <v>181</v>
      </c>
      <c r="AJ16" s="1">
        <v>254769</v>
      </c>
      <c r="AK16" s="11">
        <f t="shared" si="16"/>
        <v>187</v>
      </c>
      <c r="AL16" s="1">
        <v>254956</v>
      </c>
      <c r="AM16" s="11">
        <f t="shared" si="17"/>
        <v>187</v>
      </c>
      <c r="AN16" s="1">
        <v>255155</v>
      </c>
      <c r="AO16" s="11">
        <f t="shared" si="18"/>
        <v>199</v>
      </c>
      <c r="AP16" s="1">
        <v>255345</v>
      </c>
      <c r="AQ16" s="11">
        <f t="shared" si="19"/>
        <v>190</v>
      </c>
      <c r="AR16" s="1">
        <v>255538</v>
      </c>
      <c r="AS16" s="11">
        <f t="shared" si="20"/>
        <v>193</v>
      </c>
      <c r="AT16" s="1">
        <v>255729</v>
      </c>
      <c r="AU16" s="11">
        <f t="shared" si="21"/>
        <v>191</v>
      </c>
      <c r="AV16" s="1">
        <v>255923</v>
      </c>
      <c r="AW16" s="11">
        <f t="shared" si="31"/>
        <v>194</v>
      </c>
      <c r="AX16" s="1">
        <v>256110</v>
      </c>
      <c r="AY16" s="11">
        <f t="shared" si="23"/>
        <v>187</v>
      </c>
      <c r="AZ16" s="1">
        <v>256296</v>
      </c>
      <c r="BA16" s="11">
        <f t="shared" si="24"/>
        <v>186</v>
      </c>
      <c r="BB16" s="1">
        <v>256495</v>
      </c>
      <c r="BC16" s="11">
        <f t="shared" si="25"/>
        <v>199</v>
      </c>
      <c r="BD16" s="1">
        <v>256688</v>
      </c>
      <c r="BE16" s="11">
        <f t="shared" si="26"/>
        <v>193</v>
      </c>
      <c r="BF16" s="1">
        <v>256887</v>
      </c>
      <c r="BG16" s="11">
        <f t="shared" si="27"/>
        <v>199</v>
      </c>
      <c r="BH16" s="1">
        <v>257089</v>
      </c>
      <c r="BI16" s="11">
        <f t="shared" si="28"/>
        <v>202</v>
      </c>
      <c r="BJ16" s="1">
        <v>257288</v>
      </c>
      <c r="BK16" s="11">
        <f t="shared" si="29"/>
        <v>199</v>
      </c>
      <c r="BL16" s="20">
        <v>257487</v>
      </c>
      <c r="BM16" s="30">
        <f t="shared" si="30"/>
        <v>199</v>
      </c>
      <c r="BN16" s="45">
        <f t="shared" si="1"/>
        <v>5719</v>
      </c>
    </row>
    <row r="17" spans="1:66" x14ac:dyDescent="0.25">
      <c r="A17" s="14">
        <v>15</v>
      </c>
      <c r="B17" s="13" t="s">
        <v>27</v>
      </c>
      <c r="C17" s="23" t="s">
        <v>28</v>
      </c>
      <c r="D17" s="25">
        <v>515692</v>
      </c>
      <c r="E17" s="9">
        <v>0</v>
      </c>
      <c r="F17" s="1">
        <v>516011</v>
      </c>
      <c r="G17" s="10">
        <f t="shared" si="0"/>
        <v>319</v>
      </c>
      <c r="H17" s="1">
        <v>516313</v>
      </c>
      <c r="I17" s="11">
        <f t="shared" si="2"/>
        <v>302</v>
      </c>
      <c r="J17" s="1">
        <v>516787</v>
      </c>
      <c r="K17" s="11">
        <f t="shared" si="3"/>
        <v>474</v>
      </c>
      <c r="L17" s="1">
        <v>517118</v>
      </c>
      <c r="M17" s="11">
        <f t="shared" si="4"/>
        <v>331</v>
      </c>
      <c r="N17" s="1">
        <v>517473</v>
      </c>
      <c r="O17" s="11">
        <f t="shared" si="5"/>
        <v>355</v>
      </c>
      <c r="P17" s="1">
        <v>517877</v>
      </c>
      <c r="Q17" s="11">
        <f t="shared" si="6"/>
        <v>404</v>
      </c>
      <c r="R17" s="1">
        <v>518150</v>
      </c>
      <c r="S17" s="11">
        <f t="shared" si="7"/>
        <v>273</v>
      </c>
      <c r="T17" s="1">
        <v>518396</v>
      </c>
      <c r="U17" s="11">
        <f t="shared" si="8"/>
        <v>246</v>
      </c>
      <c r="V17" s="1">
        <v>518778</v>
      </c>
      <c r="W17" s="11">
        <f t="shared" si="9"/>
        <v>382</v>
      </c>
      <c r="X17" s="1">
        <v>519208</v>
      </c>
      <c r="Y17" s="11">
        <f t="shared" si="10"/>
        <v>430</v>
      </c>
      <c r="Z17" s="1">
        <v>519540</v>
      </c>
      <c r="AA17" s="11">
        <f t="shared" si="11"/>
        <v>332</v>
      </c>
      <c r="AB17" s="1">
        <v>519962</v>
      </c>
      <c r="AC17" s="11">
        <f t="shared" si="32"/>
        <v>422</v>
      </c>
      <c r="AD17" s="1">
        <v>520355</v>
      </c>
      <c r="AE17" s="11">
        <f t="shared" si="13"/>
        <v>393</v>
      </c>
      <c r="AF17" s="1">
        <v>520699</v>
      </c>
      <c r="AG17" s="11">
        <f t="shared" si="14"/>
        <v>344</v>
      </c>
      <c r="AH17" s="1">
        <v>521122</v>
      </c>
      <c r="AI17" s="11">
        <f t="shared" si="15"/>
        <v>423</v>
      </c>
      <c r="AJ17" s="1">
        <v>521584</v>
      </c>
      <c r="AK17" s="11">
        <f t="shared" si="16"/>
        <v>462</v>
      </c>
      <c r="AL17" s="1">
        <v>521987</v>
      </c>
      <c r="AM17" s="11">
        <f t="shared" si="17"/>
        <v>403</v>
      </c>
      <c r="AN17" s="1">
        <v>522363</v>
      </c>
      <c r="AO17" s="11">
        <f t="shared" si="18"/>
        <v>376</v>
      </c>
      <c r="AP17" s="1">
        <v>522771</v>
      </c>
      <c r="AQ17" s="11">
        <f t="shared" si="19"/>
        <v>408</v>
      </c>
      <c r="AR17" s="1">
        <v>523137</v>
      </c>
      <c r="AS17" s="11">
        <f t="shared" si="20"/>
        <v>366</v>
      </c>
      <c r="AT17" s="1">
        <v>523560</v>
      </c>
      <c r="AU17" s="11">
        <f t="shared" si="21"/>
        <v>423</v>
      </c>
      <c r="AV17" s="1">
        <v>524008</v>
      </c>
      <c r="AW17" s="11">
        <f t="shared" si="31"/>
        <v>448</v>
      </c>
      <c r="AX17" s="1">
        <v>524423</v>
      </c>
      <c r="AY17" s="11">
        <f t="shared" si="23"/>
        <v>415</v>
      </c>
      <c r="AZ17" s="1">
        <v>524817</v>
      </c>
      <c r="BA17" s="11">
        <f t="shared" si="24"/>
        <v>394</v>
      </c>
      <c r="BB17" s="1">
        <v>525205</v>
      </c>
      <c r="BC17" s="11">
        <f t="shared" si="25"/>
        <v>388</v>
      </c>
      <c r="BD17" s="1">
        <v>525720</v>
      </c>
      <c r="BE17" s="11">
        <f t="shared" si="26"/>
        <v>515</v>
      </c>
      <c r="BF17" s="1">
        <v>526144</v>
      </c>
      <c r="BG17" s="11">
        <f t="shared" si="27"/>
        <v>424</v>
      </c>
      <c r="BH17" s="1">
        <v>526522</v>
      </c>
      <c r="BI17" s="11">
        <f t="shared" si="28"/>
        <v>378</v>
      </c>
      <c r="BJ17" s="1">
        <v>527002</v>
      </c>
      <c r="BK17" s="11">
        <f t="shared" si="29"/>
        <v>480</v>
      </c>
      <c r="BL17" s="20">
        <v>527434</v>
      </c>
      <c r="BM17" s="30">
        <f t="shared" si="30"/>
        <v>432</v>
      </c>
      <c r="BN17" s="42">
        <f t="shared" si="1"/>
        <v>11742</v>
      </c>
    </row>
    <row r="18" spans="1:66" ht="15.75" thickBot="1" x14ac:dyDescent="0.3">
      <c r="A18" s="15">
        <v>16</v>
      </c>
      <c r="B18" s="13" t="s">
        <v>29</v>
      </c>
      <c r="C18" s="23" t="s">
        <v>30</v>
      </c>
      <c r="D18" s="25">
        <v>4600</v>
      </c>
      <c r="E18" s="9">
        <v>0</v>
      </c>
      <c r="F18" s="1">
        <v>4604</v>
      </c>
      <c r="G18" s="10">
        <f t="shared" si="0"/>
        <v>4</v>
      </c>
      <c r="H18" s="1">
        <v>4607</v>
      </c>
      <c r="I18" s="11">
        <f t="shared" si="2"/>
        <v>3</v>
      </c>
      <c r="J18" s="1">
        <v>4611</v>
      </c>
      <c r="K18" s="11">
        <f t="shared" si="3"/>
        <v>4</v>
      </c>
      <c r="L18" s="1">
        <v>4615</v>
      </c>
      <c r="M18" s="11">
        <f t="shared" si="4"/>
        <v>4</v>
      </c>
      <c r="N18" s="1">
        <v>4619</v>
      </c>
      <c r="O18" s="11">
        <f t="shared" si="5"/>
        <v>4</v>
      </c>
      <c r="P18" s="1">
        <v>4622</v>
      </c>
      <c r="Q18" s="11">
        <f t="shared" si="6"/>
        <v>3</v>
      </c>
      <c r="R18" s="1">
        <v>4627</v>
      </c>
      <c r="S18" s="11">
        <f t="shared" si="7"/>
        <v>5</v>
      </c>
      <c r="T18" s="1">
        <v>4631</v>
      </c>
      <c r="U18" s="11">
        <f t="shared" si="8"/>
        <v>4</v>
      </c>
      <c r="V18" s="1">
        <v>4635</v>
      </c>
      <c r="W18" s="11">
        <f t="shared" si="9"/>
        <v>4</v>
      </c>
      <c r="X18" s="1">
        <v>4638</v>
      </c>
      <c r="Y18" s="11">
        <f t="shared" si="10"/>
        <v>3</v>
      </c>
      <c r="Z18" s="1">
        <v>4642</v>
      </c>
      <c r="AA18" s="11">
        <f t="shared" si="11"/>
        <v>4</v>
      </c>
      <c r="AB18" s="1">
        <v>4644</v>
      </c>
      <c r="AC18" s="11">
        <f t="shared" si="32"/>
        <v>2</v>
      </c>
      <c r="AD18" s="1">
        <v>4647</v>
      </c>
      <c r="AE18" s="11">
        <f t="shared" si="13"/>
        <v>3</v>
      </c>
      <c r="AF18" s="1">
        <v>4651</v>
      </c>
      <c r="AG18" s="11">
        <f t="shared" si="14"/>
        <v>4</v>
      </c>
      <c r="AH18" s="1">
        <v>4655</v>
      </c>
      <c r="AI18" s="11">
        <f t="shared" si="15"/>
        <v>4</v>
      </c>
      <c r="AJ18" s="1">
        <v>4658</v>
      </c>
      <c r="AK18" s="11">
        <f t="shared" si="16"/>
        <v>3</v>
      </c>
      <c r="AL18" s="1">
        <v>4661</v>
      </c>
      <c r="AM18" s="11">
        <f t="shared" si="17"/>
        <v>3</v>
      </c>
      <c r="AN18" s="1">
        <v>4665</v>
      </c>
      <c r="AO18" s="11">
        <f t="shared" si="18"/>
        <v>4</v>
      </c>
      <c r="AP18" s="1">
        <v>4669</v>
      </c>
      <c r="AQ18" s="11">
        <f t="shared" si="19"/>
        <v>4</v>
      </c>
      <c r="AR18" s="1">
        <v>4672</v>
      </c>
      <c r="AS18" s="11">
        <f t="shared" si="20"/>
        <v>3</v>
      </c>
      <c r="AT18" s="1">
        <v>4677</v>
      </c>
      <c r="AU18" s="11">
        <f t="shared" si="21"/>
        <v>5</v>
      </c>
      <c r="AV18" s="1">
        <v>4684</v>
      </c>
      <c r="AW18" s="11">
        <f t="shared" si="31"/>
        <v>7</v>
      </c>
      <c r="AX18" s="1">
        <v>4688</v>
      </c>
      <c r="AY18" s="11">
        <f t="shared" si="23"/>
        <v>4</v>
      </c>
      <c r="AZ18" s="1">
        <v>4691</v>
      </c>
      <c r="BA18" s="11">
        <f t="shared" si="24"/>
        <v>3</v>
      </c>
      <c r="BB18" s="1">
        <v>4695</v>
      </c>
      <c r="BC18" s="11">
        <f>BB18-AZ18</f>
        <v>4</v>
      </c>
      <c r="BD18" s="1">
        <v>4699</v>
      </c>
      <c r="BE18" s="11">
        <f t="shared" si="26"/>
        <v>4</v>
      </c>
      <c r="BF18" s="1">
        <v>4703</v>
      </c>
      <c r="BG18" s="11">
        <f t="shared" si="27"/>
        <v>4</v>
      </c>
      <c r="BH18" s="1">
        <v>4708</v>
      </c>
      <c r="BI18" s="11">
        <f t="shared" si="28"/>
        <v>5</v>
      </c>
      <c r="BJ18" s="1">
        <v>4713</v>
      </c>
      <c r="BK18" s="11">
        <f t="shared" si="29"/>
        <v>5</v>
      </c>
      <c r="BL18" s="20">
        <v>4717</v>
      </c>
      <c r="BM18" s="30">
        <f t="shared" si="30"/>
        <v>4</v>
      </c>
      <c r="BN18" s="45">
        <f t="shared" si="1"/>
        <v>117</v>
      </c>
    </row>
    <row r="19" spans="1:66" x14ac:dyDescent="0.25">
      <c r="A19" s="14">
        <v>17</v>
      </c>
      <c r="B19" s="13" t="s">
        <v>31</v>
      </c>
      <c r="C19" s="23" t="s">
        <v>32</v>
      </c>
      <c r="D19" s="25">
        <v>25240</v>
      </c>
      <c r="E19" s="9">
        <v>0</v>
      </c>
      <c r="F19" s="1">
        <v>25260</v>
      </c>
      <c r="G19" s="10">
        <f t="shared" si="0"/>
        <v>20</v>
      </c>
      <c r="H19" s="1">
        <v>25283</v>
      </c>
      <c r="I19" s="11">
        <f t="shared" si="2"/>
        <v>23</v>
      </c>
      <c r="J19" s="1">
        <v>25303</v>
      </c>
      <c r="K19" s="11">
        <f t="shared" si="3"/>
        <v>20</v>
      </c>
      <c r="L19" s="1">
        <v>25326</v>
      </c>
      <c r="M19" s="11">
        <f t="shared" si="4"/>
        <v>23</v>
      </c>
      <c r="N19" s="1">
        <v>25348</v>
      </c>
      <c r="O19" s="11">
        <f t="shared" si="5"/>
        <v>22</v>
      </c>
      <c r="P19" s="1">
        <v>25368</v>
      </c>
      <c r="Q19" s="11">
        <f t="shared" si="6"/>
        <v>20</v>
      </c>
      <c r="R19" s="1">
        <v>25390</v>
      </c>
      <c r="S19" s="11">
        <f t="shared" si="7"/>
        <v>22</v>
      </c>
      <c r="T19" s="1">
        <v>25408</v>
      </c>
      <c r="U19" s="11">
        <f t="shared" si="8"/>
        <v>18</v>
      </c>
      <c r="V19" s="1">
        <v>25429</v>
      </c>
      <c r="W19" s="11">
        <f t="shared" si="9"/>
        <v>21</v>
      </c>
      <c r="X19" s="1">
        <v>25450</v>
      </c>
      <c r="Y19" s="11">
        <f t="shared" si="10"/>
        <v>21</v>
      </c>
      <c r="Z19" s="1">
        <v>25470</v>
      </c>
      <c r="AA19" s="11">
        <f t="shared" si="11"/>
        <v>20</v>
      </c>
      <c r="AB19" s="1">
        <v>25487</v>
      </c>
      <c r="AC19" s="11">
        <f t="shared" si="32"/>
        <v>17</v>
      </c>
      <c r="AD19" s="1">
        <v>25504</v>
      </c>
      <c r="AE19" s="11">
        <f t="shared" si="13"/>
        <v>17</v>
      </c>
      <c r="AF19" s="1">
        <v>25520</v>
      </c>
      <c r="AG19" s="11">
        <f t="shared" si="14"/>
        <v>16</v>
      </c>
      <c r="AH19" s="1">
        <v>25536</v>
      </c>
      <c r="AI19" s="11">
        <f t="shared" si="15"/>
        <v>16</v>
      </c>
      <c r="AJ19" s="1">
        <v>25560</v>
      </c>
      <c r="AK19" s="11">
        <f t="shared" si="16"/>
        <v>24</v>
      </c>
      <c r="AL19" s="1">
        <v>25578</v>
      </c>
      <c r="AM19" s="11">
        <f t="shared" si="17"/>
        <v>18</v>
      </c>
      <c r="AN19" s="1">
        <v>25591</v>
      </c>
      <c r="AO19" s="11">
        <f t="shared" si="18"/>
        <v>13</v>
      </c>
      <c r="AP19" s="1">
        <v>25606</v>
      </c>
      <c r="AQ19" s="11">
        <f t="shared" si="19"/>
        <v>15</v>
      </c>
      <c r="AR19" s="1">
        <v>25623</v>
      </c>
      <c r="AS19" s="11">
        <f t="shared" si="20"/>
        <v>17</v>
      </c>
      <c r="AT19" s="1">
        <v>25637</v>
      </c>
      <c r="AU19" s="11">
        <f t="shared" si="21"/>
        <v>14</v>
      </c>
      <c r="AV19" s="1">
        <v>25651</v>
      </c>
      <c r="AW19" s="11">
        <f t="shared" si="31"/>
        <v>14</v>
      </c>
      <c r="AX19" s="1">
        <v>25667</v>
      </c>
      <c r="AY19" s="11">
        <f t="shared" si="23"/>
        <v>16</v>
      </c>
      <c r="AZ19" s="1">
        <v>25683</v>
      </c>
      <c r="BA19" s="11">
        <f t="shared" si="24"/>
        <v>16</v>
      </c>
      <c r="BB19" s="1">
        <v>25698</v>
      </c>
      <c r="BC19" s="11">
        <f t="shared" si="25"/>
        <v>15</v>
      </c>
      <c r="BD19" s="1">
        <v>25712</v>
      </c>
      <c r="BE19" s="11">
        <f t="shared" si="26"/>
        <v>14</v>
      </c>
      <c r="BF19" s="1">
        <v>25726</v>
      </c>
      <c r="BG19" s="11">
        <f t="shared" si="27"/>
        <v>14</v>
      </c>
      <c r="BH19" s="1">
        <v>25742</v>
      </c>
      <c r="BI19" s="11">
        <f t="shared" si="28"/>
        <v>16</v>
      </c>
      <c r="BJ19" s="1">
        <v>25755</v>
      </c>
      <c r="BK19" s="11">
        <f t="shared" si="29"/>
        <v>13</v>
      </c>
      <c r="BL19" s="20">
        <v>25771</v>
      </c>
      <c r="BM19" s="30">
        <f t="shared" si="30"/>
        <v>16</v>
      </c>
      <c r="BN19" s="42">
        <f t="shared" si="1"/>
        <v>531</v>
      </c>
    </row>
    <row r="20" spans="1:66" ht="15.75" thickBot="1" x14ac:dyDescent="0.3">
      <c r="A20" s="15">
        <v>18</v>
      </c>
      <c r="B20" s="13" t="s">
        <v>33</v>
      </c>
      <c r="C20" s="23" t="s">
        <v>34</v>
      </c>
      <c r="D20" s="25">
        <v>25503</v>
      </c>
      <c r="E20" s="9">
        <v>0</v>
      </c>
      <c r="F20" s="1">
        <v>25503</v>
      </c>
      <c r="G20" s="10">
        <f t="shared" si="0"/>
        <v>0</v>
      </c>
      <c r="H20" s="1">
        <v>25503</v>
      </c>
      <c r="I20" s="11">
        <f t="shared" si="2"/>
        <v>0</v>
      </c>
      <c r="J20" s="1">
        <v>25503</v>
      </c>
      <c r="K20" s="11">
        <f t="shared" si="3"/>
        <v>0</v>
      </c>
      <c r="L20" s="1">
        <v>25503</v>
      </c>
      <c r="M20" s="11">
        <f t="shared" si="4"/>
        <v>0</v>
      </c>
      <c r="N20" s="1">
        <v>25503</v>
      </c>
      <c r="O20" s="11">
        <f t="shared" si="5"/>
        <v>0</v>
      </c>
      <c r="P20" s="1">
        <v>25503</v>
      </c>
      <c r="Q20" s="11">
        <f t="shared" si="6"/>
        <v>0</v>
      </c>
      <c r="R20" s="1">
        <v>25503</v>
      </c>
      <c r="S20" s="11">
        <f t="shared" si="7"/>
        <v>0</v>
      </c>
      <c r="T20" s="1">
        <v>25503</v>
      </c>
      <c r="U20" s="11">
        <f t="shared" si="8"/>
        <v>0</v>
      </c>
      <c r="V20" s="1">
        <v>25503</v>
      </c>
      <c r="W20" s="11">
        <f t="shared" si="9"/>
        <v>0</v>
      </c>
      <c r="X20" s="1">
        <v>25503</v>
      </c>
      <c r="Y20" s="11">
        <f t="shared" si="10"/>
        <v>0</v>
      </c>
      <c r="Z20" s="1">
        <v>25503</v>
      </c>
      <c r="AA20" s="11">
        <f t="shared" si="11"/>
        <v>0</v>
      </c>
      <c r="AB20" s="1">
        <v>25503</v>
      </c>
      <c r="AC20" s="11">
        <f t="shared" si="32"/>
        <v>0</v>
      </c>
      <c r="AD20" s="1">
        <v>25503</v>
      </c>
      <c r="AE20" s="11">
        <f t="shared" si="13"/>
        <v>0</v>
      </c>
      <c r="AF20" s="1">
        <v>25503</v>
      </c>
      <c r="AG20" s="11">
        <f t="shared" si="14"/>
        <v>0</v>
      </c>
      <c r="AH20" s="1">
        <v>25503</v>
      </c>
      <c r="AI20" s="11">
        <f t="shared" si="15"/>
        <v>0</v>
      </c>
      <c r="AJ20" s="1">
        <v>25503</v>
      </c>
      <c r="AK20" s="11">
        <f t="shared" si="16"/>
        <v>0</v>
      </c>
      <c r="AL20" s="1">
        <v>25503</v>
      </c>
      <c r="AM20" s="11">
        <f t="shared" si="17"/>
        <v>0</v>
      </c>
      <c r="AN20" s="1">
        <v>25503</v>
      </c>
      <c r="AO20" s="11">
        <f t="shared" si="18"/>
        <v>0</v>
      </c>
      <c r="AP20" s="1">
        <v>25503</v>
      </c>
      <c r="AQ20" s="11">
        <f t="shared" si="19"/>
        <v>0</v>
      </c>
      <c r="AR20" s="1">
        <v>25503</v>
      </c>
      <c r="AS20" s="11">
        <f t="shared" si="20"/>
        <v>0</v>
      </c>
      <c r="AT20" s="1">
        <v>25503</v>
      </c>
      <c r="AU20" s="11">
        <f t="shared" si="21"/>
        <v>0</v>
      </c>
      <c r="AV20" s="1">
        <v>25503</v>
      </c>
      <c r="AW20" s="11">
        <f t="shared" si="31"/>
        <v>0</v>
      </c>
      <c r="AX20" s="1">
        <v>25503</v>
      </c>
      <c r="AY20" s="11">
        <f t="shared" si="23"/>
        <v>0</v>
      </c>
      <c r="AZ20" s="1">
        <v>25503</v>
      </c>
      <c r="BA20" s="11">
        <f t="shared" si="24"/>
        <v>0</v>
      </c>
      <c r="BB20" s="1">
        <v>25503</v>
      </c>
      <c r="BC20" s="11">
        <f t="shared" si="25"/>
        <v>0</v>
      </c>
      <c r="BD20" s="1">
        <v>25503</v>
      </c>
      <c r="BE20" s="11">
        <f t="shared" si="26"/>
        <v>0</v>
      </c>
      <c r="BF20" s="1">
        <v>25503</v>
      </c>
      <c r="BG20" s="11">
        <f t="shared" si="27"/>
        <v>0</v>
      </c>
      <c r="BH20" s="1">
        <v>25503</v>
      </c>
      <c r="BI20" s="11">
        <f t="shared" si="28"/>
        <v>0</v>
      </c>
      <c r="BJ20" s="1">
        <v>25503</v>
      </c>
      <c r="BK20" s="11">
        <f t="shared" si="29"/>
        <v>0</v>
      </c>
      <c r="BL20" s="20">
        <v>25503</v>
      </c>
      <c r="BM20" s="30">
        <f t="shared" si="30"/>
        <v>0</v>
      </c>
      <c r="BN20" s="42">
        <f t="shared" si="1"/>
        <v>0</v>
      </c>
    </row>
    <row r="21" spans="1:66" x14ac:dyDescent="0.25">
      <c r="A21" s="14">
        <v>19</v>
      </c>
      <c r="B21" s="13" t="s">
        <v>35</v>
      </c>
      <c r="C21" s="23" t="s">
        <v>36</v>
      </c>
      <c r="D21" s="25">
        <v>356906</v>
      </c>
      <c r="E21" s="9">
        <v>0</v>
      </c>
      <c r="F21" s="1">
        <v>357090</v>
      </c>
      <c r="G21" s="10">
        <f t="shared" si="0"/>
        <v>184</v>
      </c>
      <c r="H21" s="1">
        <v>357271</v>
      </c>
      <c r="I21" s="11">
        <f t="shared" si="2"/>
        <v>181</v>
      </c>
      <c r="J21" s="1">
        <v>357458</v>
      </c>
      <c r="K21" s="11">
        <f t="shared" si="3"/>
        <v>187</v>
      </c>
      <c r="L21" s="1">
        <v>357651</v>
      </c>
      <c r="M21" s="11">
        <f t="shared" si="4"/>
        <v>193</v>
      </c>
      <c r="N21" s="1">
        <v>357831</v>
      </c>
      <c r="O21" s="11">
        <f t="shared" si="5"/>
        <v>180</v>
      </c>
      <c r="P21" s="1">
        <v>358012</v>
      </c>
      <c r="Q21" s="11">
        <f t="shared" si="6"/>
        <v>181</v>
      </c>
      <c r="R21" s="1">
        <v>358201</v>
      </c>
      <c r="S21" s="11">
        <f t="shared" si="7"/>
        <v>189</v>
      </c>
      <c r="T21" s="1">
        <v>358372</v>
      </c>
      <c r="U21" s="11">
        <f t="shared" si="8"/>
        <v>171</v>
      </c>
      <c r="V21" s="1">
        <v>358578</v>
      </c>
      <c r="W21" s="11">
        <f t="shared" si="9"/>
        <v>206</v>
      </c>
      <c r="X21" s="1">
        <v>358776</v>
      </c>
      <c r="Y21" s="11">
        <f t="shared" si="10"/>
        <v>198</v>
      </c>
      <c r="Z21" s="1">
        <v>358971</v>
      </c>
      <c r="AA21" s="11">
        <f t="shared" si="11"/>
        <v>195</v>
      </c>
      <c r="AB21" s="1">
        <v>359157</v>
      </c>
      <c r="AC21" s="11">
        <f t="shared" si="32"/>
        <v>186</v>
      </c>
      <c r="AD21" s="1">
        <v>359344</v>
      </c>
      <c r="AE21" s="11">
        <f t="shared" si="13"/>
        <v>187</v>
      </c>
      <c r="AF21" s="1">
        <v>359516</v>
      </c>
      <c r="AG21" s="11">
        <f t="shared" si="14"/>
        <v>172</v>
      </c>
      <c r="AH21" s="1">
        <v>359692</v>
      </c>
      <c r="AI21" s="11">
        <f t="shared" si="15"/>
        <v>176</v>
      </c>
      <c r="AJ21" s="1">
        <v>359882</v>
      </c>
      <c r="AK21" s="11">
        <f t="shared" si="16"/>
        <v>190</v>
      </c>
      <c r="AL21" s="1">
        <v>360070</v>
      </c>
      <c r="AM21" s="11">
        <f t="shared" si="17"/>
        <v>188</v>
      </c>
      <c r="AN21" s="1">
        <v>360246</v>
      </c>
      <c r="AO21" s="11">
        <f t="shared" si="18"/>
        <v>176</v>
      </c>
      <c r="AP21" s="1">
        <v>360433</v>
      </c>
      <c r="AQ21" s="11">
        <f t="shared" si="19"/>
        <v>187</v>
      </c>
      <c r="AR21" s="1">
        <v>360635</v>
      </c>
      <c r="AS21" s="11">
        <f t="shared" si="20"/>
        <v>202</v>
      </c>
      <c r="AT21" s="1">
        <v>360809</v>
      </c>
      <c r="AU21" s="11">
        <f t="shared" si="21"/>
        <v>174</v>
      </c>
      <c r="AV21" s="1">
        <v>360989</v>
      </c>
      <c r="AW21" s="11">
        <f t="shared" si="31"/>
        <v>180</v>
      </c>
      <c r="AX21" s="1">
        <v>361164</v>
      </c>
      <c r="AY21" s="11">
        <f t="shared" si="23"/>
        <v>175</v>
      </c>
      <c r="AZ21" s="1">
        <v>361338</v>
      </c>
      <c r="BA21" s="11">
        <f t="shared" si="24"/>
        <v>174</v>
      </c>
      <c r="BB21" s="1">
        <v>361538</v>
      </c>
      <c r="BC21" s="11">
        <f t="shared" si="25"/>
        <v>200</v>
      </c>
      <c r="BD21" s="1">
        <v>361735</v>
      </c>
      <c r="BE21" s="11">
        <f t="shared" si="26"/>
        <v>197</v>
      </c>
      <c r="BF21" s="1">
        <v>361941</v>
      </c>
      <c r="BG21" s="11">
        <f t="shared" si="27"/>
        <v>206</v>
      </c>
      <c r="BH21" s="1">
        <v>362122</v>
      </c>
      <c r="BI21" s="11">
        <f t="shared" si="28"/>
        <v>181</v>
      </c>
      <c r="BJ21" s="1">
        <v>362299</v>
      </c>
      <c r="BK21" s="11">
        <f t="shared" si="29"/>
        <v>177</v>
      </c>
      <c r="BL21" s="20">
        <v>362479</v>
      </c>
      <c r="BM21" s="30">
        <f t="shared" si="30"/>
        <v>180</v>
      </c>
      <c r="BN21" s="33">
        <f t="shared" si="1"/>
        <v>5573</v>
      </c>
    </row>
    <row r="22" spans="1:66" ht="15.75" thickBot="1" x14ac:dyDescent="0.3">
      <c r="A22" s="15">
        <v>20</v>
      </c>
      <c r="B22" s="13" t="s">
        <v>37</v>
      </c>
      <c r="C22" s="23" t="s">
        <v>38</v>
      </c>
      <c r="D22" s="25">
        <v>504260</v>
      </c>
      <c r="E22" s="9">
        <v>0</v>
      </c>
      <c r="F22" s="1">
        <v>504568</v>
      </c>
      <c r="G22" s="10">
        <f t="shared" si="0"/>
        <v>308</v>
      </c>
      <c r="H22" s="1">
        <v>504865</v>
      </c>
      <c r="I22" s="11">
        <f t="shared" si="2"/>
        <v>297</v>
      </c>
      <c r="J22" s="1">
        <v>505195</v>
      </c>
      <c r="K22" s="11">
        <f t="shared" si="3"/>
        <v>330</v>
      </c>
      <c r="L22" s="1">
        <v>505530</v>
      </c>
      <c r="M22" s="11">
        <f t="shared" si="4"/>
        <v>335</v>
      </c>
      <c r="N22" s="1">
        <v>505882</v>
      </c>
      <c r="O22" s="11">
        <f t="shared" si="5"/>
        <v>352</v>
      </c>
      <c r="P22" s="1">
        <v>506174</v>
      </c>
      <c r="Q22" s="11">
        <f t="shared" si="6"/>
        <v>292</v>
      </c>
      <c r="R22" s="1">
        <v>506475</v>
      </c>
      <c r="S22" s="11">
        <f t="shared" si="7"/>
        <v>301</v>
      </c>
      <c r="T22" s="1">
        <v>506786</v>
      </c>
      <c r="U22" s="11">
        <f t="shared" si="8"/>
        <v>311</v>
      </c>
      <c r="V22" s="1">
        <v>507098</v>
      </c>
      <c r="W22" s="11">
        <f t="shared" si="9"/>
        <v>312</v>
      </c>
      <c r="X22" s="1">
        <v>507425</v>
      </c>
      <c r="Y22" s="11">
        <f t="shared" si="10"/>
        <v>327</v>
      </c>
      <c r="Z22" s="1">
        <v>507760</v>
      </c>
      <c r="AA22" s="11">
        <f t="shared" si="11"/>
        <v>335</v>
      </c>
      <c r="AB22" s="1">
        <v>508099</v>
      </c>
      <c r="AC22" s="11">
        <f t="shared" si="32"/>
        <v>339</v>
      </c>
      <c r="AD22" s="1">
        <v>508463</v>
      </c>
      <c r="AE22" s="11">
        <f t="shared" si="13"/>
        <v>364</v>
      </c>
      <c r="AF22" s="1">
        <v>508814</v>
      </c>
      <c r="AG22" s="11">
        <f t="shared" si="14"/>
        <v>351</v>
      </c>
      <c r="AH22" s="1">
        <v>509126</v>
      </c>
      <c r="AI22" s="11">
        <f t="shared" si="15"/>
        <v>312</v>
      </c>
      <c r="AJ22" s="1">
        <v>509451</v>
      </c>
      <c r="AK22" s="11">
        <f t="shared" si="16"/>
        <v>325</v>
      </c>
      <c r="AL22" s="1">
        <v>509790</v>
      </c>
      <c r="AM22" s="11">
        <f t="shared" si="17"/>
        <v>339</v>
      </c>
      <c r="AN22" s="1">
        <v>510137</v>
      </c>
      <c r="AO22" s="11">
        <f t="shared" si="18"/>
        <v>347</v>
      </c>
      <c r="AP22" s="1">
        <v>510493</v>
      </c>
      <c r="AQ22" s="11">
        <f t="shared" si="19"/>
        <v>356</v>
      </c>
      <c r="AR22" s="1">
        <v>510844</v>
      </c>
      <c r="AS22" s="11">
        <f t="shared" si="20"/>
        <v>351</v>
      </c>
      <c r="AT22" s="1">
        <v>511184</v>
      </c>
      <c r="AU22" s="11">
        <f t="shared" si="21"/>
        <v>340</v>
      </c>
      <c r="AV22" s="1">
        <v>511509</v>
      </c>
      <c r="AW22" s="11">
        <f t="shared" si="31"/>
        <v>325</v>
      </c>
      <c r="AX22" s="1">
        <v>511824</v>
      </c>
      <c r="AY22" s="11">
        <f t="shared" si="23"/>
        <v>315</v>
      </c>
      <c r="AZ22" s="1">
        <v>512152</v>
      </c>
      <c r="BA22" s="11">
        <f t="shared" si="24"/>
        <v>328</v>
      </c>
      <c r="BB22" s="1">
        <v>512484</v>
      </c>
      <c r="BC22" s="11">
        <f t="shared" si="25"/>
        <v>332</v>
      </c>
      <c r="BD22" s="1">
        <v>512816</v>
      </c>
      <c r="BE22" s="11">
        <f t="shared" si="26"/>
        <v>332</v>
      </c>
      <c r="BF22" s="1">
        <v>513145</v>
      </c>
      <c r="BG22" s="11">
        <f t="shared" si="27"/>
        <v>329</v>
      </c>
      <c r="BH22" s="1">
        <v>513525</v>
      </c>
      <c r="BI22" s="11">
        <f t="shared" si="28"/>
        <v>380</v>
      </c>
      <c r="BJ22" s="1">
        <v>513888</v>
      </c>
      <c r="BK22" s="11">
        <f t="shared" si="29"/>
        <v>363</v>
      </c>
      <c r="BL22" s="20">
        <v>514211</v>
      </c>
      <c r="BM22" s="30">
        <f t="shared" si="30"/>
        <v>323</v>
      </c>
      <c r="BN22" s="44">
        <f t="shared" si="1"/>
        <v>9951</v>
      </c>
    </row>
    <row r="23" spans="1:66" x14ac:dyDescent="0.25">
      <c r="A23" s="14">
        <v>21</v>
      </c>
      <c r="B23" s="13" t="s">
        <v>39</v>
      </c>
      <c r="C23" s="23" t="s">
        <v>40</v>
      </c>
      <c r="D23" s="25">
        <v>55617</v>
      </c>
      <c r="E23" s="9">
        <v>0</v>
      </c>
      <c r="F23" s="1">
        <v>55650</v>
      </c>
      <c r="G23" s="10">
        <f t="shared" si="0"/>
        <v>33</v>
      </c>
      <c r="H23" s="1">
        <v>55685</v>
      </c>
      <c r="I23" s="11">
        <f t="shared" si="2"/>
        <v>35</v>
      </c>
      <c r="J23" s="1">
        <v>55720</v>
      </c>
      <c r="K23" s="11">
        <f t="shared" si="3"/>
        <v>35</v>
      </c>
      <c r="L23" s="1">
        <v>55757</v>
      </c>
      <c r="M23" s="11">
        <f t="shared" si="4"/>
        <v>37</v>
      </c>
      <c r="N23" s="1">
        <v>55792</v>
      </c>
      <c r="O23" s="11">
        <f t="shared" si="5"/>
        <v>35</v>
      </c>
      <c r="P23" s="1">
        <v>55825</v>
      </c>
      <c r="Q23" s="11">
        <f t="shared" si="6"/>
        <v>33</v>
      </c>
      <c r="R23" s="1">
        <v>55859</v>
      </c>
      <c r="S23" s="11">
        <f t="shared" si="7"/>
        <v>34</v>
      </c>
      <c r="T23" s="1">
        <v>55890</v>
      </c>
      <c r="U23" s="11">
        <f t="shared" si="8"/>
        <v>31</v>
      </c>
      <c r="V23" s="1">
        <v>55925</v>
      </c>
      <c r="W23" s="11">
        <f t="shared" si="9"/>
        <v>35</v>
      </c>
      <c r="X23" s="1">
        <v>55958</v>
      </c>
      <c r="Y23" s="11">
        <f t="shared" si="10"/>
        <v>33</v>
      </c>
      <c r="Z23" s="1">
        <v>55991</v>
      </c>
      <c r="AA23" s="11">
        <f t="shared" si="11"/>
        <v>33</v>
      </c>
      <c r="AB23" s="1">
        <v>56026</v>
      </c>
      <c r="AC23" s="11">
        <f t="shared" si="32"/>
        <v>35</v>
      </c>
      <c r="AD23" s="1">
        <v>56060</v>
      </c>
      <c r="AE23" s="11">
        <f t="shared" si="13"/>
        <v>34</v>
      </c>
      <c r="AF23" s="1">
        <v>56093</v>
      </c>
      <c r="AG23" s="11">
        <f t="shared" si="14"/>
        <v>33</v>
      </c>
      <c r="AH23" s="1">
        <v>56125</v>
      </c>
      <c r="AI23" s="11">
        <f t="shared" si="15"/>
        <v>32</v>
      </c>
      <c r="AJ23" s="1">
        <v>56160</v>
      </c>
      <c r="AK23" s="11">
        <f t="shared" si="16"/>
        <v>35</v>
      </c>
      <c r="AL23" s="1">
        <v>56197</v>
      </c>
      <c r="AM23" s="11">
        <f t="shared" si="17"/>
        <v>37</v>
      </c>
      <c r="AN23" s="1">
        <v>56233</v>
      </c>
      <c r="AO23" s="11">
        <f t="shared" si="18"/>
        <v>36</v>
      </c>
      <c r="AP23" s="1">
        <v>56268</v>
      </c>
      <c r="AQ23" s="11">
        <f t="shared" si="19"/>
        <v>35</v>
      </c>
      <c r="AR23" s="1">
        <v>56305</v>
      </c>
      <c r="AS23" s="11">
        <f t="shared" si="20"/>
        <v>37</v>
      </c>
      <c r="AT23" s="1">
        <v>56341</v>
      </c>
      <c r="AU23" s="11">
        <f t="shared" si="21"/>
        <v>36</v>
      </c>
      <c r="AV23" s="1">
        <v>56375</v>
      </c>
      <c r="AW23" s="11">
        <f t="shared" ref="AW23:AW52" si="33">AV23-AT23</f>
        <v>34</v>
      </c>
      <c r="AX23" s="1">
        <v>56411</v>
      </c>
      <c r="AY23" s="11">
        <f t="shared" si="23"/>
        <v>36</v>
      </c>
      <c r="AZ23" s="1">
        <v>56446</v>
      </c>
      <c r="BA23" s="11">
        <f t="shared" si="24"/>
        <v>35</v>
      </c>
      <c r="BB23" s="1">
        <v>56483</v>
      </c>
      <c r="BC23" s="11">
        <f t="shared" si="25"/>
        <v>37</v>
      </c>
      <c r="BD23" s="1">
        <v>56521</v>
      </c>
      <c r="BE23" s="11">
        <f t="shared" si="26"/>
        <v>38</v>
      </c>
      <c r="BF23" s="1">
        <v>56559</v>
      </c>
      <c r="BG23" s="11">
        <f t="shared" si="27"/>
        <v>38</v>
      </c>
      <c r="BH23" s="1">
        <v>56598</v>
      </c>
      <c r="BI23" s="11">
        <f t="shared" si="28"/>
        <v>39</v>
      </c>
      <c r="BJ23" s="1">
        <v>56637</v>
      </c>
      <c r="BK23" s="11">
        <f t="shared" si="29"/>
        <v>39</v>
      </c>
      <c r="BL23" s="20">
        <v>56678</v>
      </c>
      <c r="BM23" s="30">
        <f t="shared" si="30"/>
        <v>41</v>
      </c>
      <c r="BN23" s="47">
        <f t="shared" si="1"/>
        <v>1061</v>
      </c>
    </row>
    <row r="24" spans="1:66" ht="15.75" thickBot="1" x14ac:dyDescent="0.3">
      <c r="A24" s="15">
        <v>22</v>
      </c>
      <c r="B24" s="13" t="s">
        <v>41</v>
      </c>
      <c r="C24" s="23" t="s">
        <v>15</v>
      </c>
      <c r="D24" s="25">
        <v>7089</v>
      </c>
      <c r="E24" s="9">
        <v>0</v>
      </c>
      <c r="F24" s="1">
        <v>7089</v>
      </c>
      <c r="G24" s="10">
        <f t="shared" si="0"/>
        <v>0</v>
      </c>
      <c r="H24" s="1">
        <v>7089</v>
      </c>
      <c r="I24" s="11">
        <f t="shared" si="2"/>
        <v>0</v>
      </c>
      <c r="J24" s="1">
        <v>7092</v>
      </c>
      <c r="K24" s="11">
        <f t="shared" si="3"/>
        <v>3</v>
      </c>
      <c r="L24" s="1">
        <v>7094</v>
      </c>
      <c r="M24" s="11">
        <f t="shared" si="4"/>
        <v>2</v>
      </c>
      <c r="N24" s="1">
        <v>7095</v>
      </c>
      <c r="O24" s="11">
        <f t="shared" si="5"/>
        <v>1</v>
      </c>
      <c r="P24" s="1">
        <v>7103</v>
      </c>
      <c r="Q24" s="11">
        <f t="shared" si="6"/>
        <v>8</v>
      </c>
      <c r="R24" s="1">
        <v>7108</v>
      </c>
      <c r="S24" s="11">
        <f t="shared" si="7"/>
        <v>5</v>
      </c>
      <c r="T24" s="1">
        <v>7112</v>
      </c>
      <c r="U24" s="11">
        <f t="shared" si="8"/>
        <v>4</v>
      </c>
      <c r="V24" s="1">
        <v>7114</v>
      </c>
      <c r="W24" s="11">
        <f t="shared" si="9"/>
        <v>2</v>
      </c>
      <c r="X24" s="1">
        <v>7131</v>
      </c>
      <c r="Y24" s="11">
        <f t="shared" si="10"/>
        <v>17</v>
      </c>
      <c r="Z24" s="1">
        <v>7142</v>
      </c>
      <c r="AA24" s="11">
        <f t="shared" si="11"/>
        <v>11</v>
      </c>
      <c r="AB24" s="1">
        <v>7150</v>
      </c>
      <c r="AC24" s="11">
        <f t="shared" si="32"/>
        <v>8</v>
      </c>
      <c r="AD24" s="1">
        <v>7158</v>
      </c>
      <c r="AE24" s="11">
        <f t="shared" si="13"/>
        <v>8</v>
      </c>
      <c r="AF24" s="1">
        <v>7161</v>
      </c>
      <c r="AG24" s="11">
        <f t="shared" si="14"/>
        <v>3</v>
      </c>
      <c r="AH24" s="1">
        <v>7162</v>
      </c>
      <c r="AI24" s="11">
        <f t="shared" si="15"/>
        <v>1</v>
      </c>
      <c r="AJ24" s="1">
        <v>7165</v>
      </c>
      <c r="AK24" s="11">
        <f t="shared" si="16"/>
        <v>3</v>
      </c>
      <c r="AL24" s="1">
        <v>7169</v>
      </c>
      <c r="AM24" s="11">
        <f t="shared" si="17"/>
        <v>4</v>
      </c>
      <c r="AN24" s="1">
        <v>7176</v>
      </c>
      <c r="AO24" s="11">
        <f t="shared" si="18"/>
        <v>7</v>
      </c>
      <c r="AP24" s="1">
        <v>7191</v>
      </c>
      <c r="AQ24" s="11">
        <f t="shared" si="19"/>
        <v>15</v>
      </c>
      <c r="AR24" s="1">
        <v>7201</v>
      </c>
      <c r="AS24" s="11">
        <f t="shared" si="20"/>
        <v>10</v>
      </c>
      <c r="AT24" s="1">
        <v>7209</v>
      </c>
      <c r="AU24" s="11">
        <f t="shared" si="21"/>
        <v>8</v>
      </c>
      <c r="AV24" s="1">
        <v>7215</v>
      </c>
      <c r="AW24" s="11">
        <f t="shared" si="33"/>
        <v>6</v>
      </c>
      <c r="AX24" s="1">
        <v>7227</v>
      </c>
      <c r="AY24" s="11">
        <f t="shared" si="23"/>
        <v>12</v>
      </c>
      <c r="AZ24" s="1">
        <v>7232</v>
      </c>
      <c r="BA24" s="11">
        <f t="shared" si="24"/>
        <v>5</v>
      </c>
      <c r="BB24" s="1">
        <v>7234</v>
      </c>
      <c r="BC24" s="11">
        <f t="shared" si="25"/>
        <v>2</v>
      </c>
      <c r="BD24" s="1">
        <v>7237</v>
      </c>
      <c r="BE24" s="11">
        <f t="shared" si="26"/>
        <v>3</v>
      </c>
      <c r="BF24" s="1">
        <v>7239</v>
      </c>
      <c r="BG24" s="11">
        <f t="shared" si="27"/>
        <v>2</v>
      </c>
      <c r="BH24" s="1">
        <v>7240</v>
      </c>
      <c r="BI24" s="11">
        <f t="shared" si="28"/>
        <v>1</v>
      </c>
      <c r="BJ24" s="1">
        <v>7242</v>
      </c>
      <c r="BK24" s="11">
        <f t="shared" si="29"/>
        <v>2</v>
      </c>
      <c r="BL24" s="20">
        <v>7245</v>
      </c>
      <c r="BM24" s="30">
        <f t="shared" si="30"/>
        <v>3</v>
      </c>
      <c r="BN24" s="46">
        <f t="shared" si="1"/>
        <v>156</v>
      </c>
    </row>
    <row r="25" spans="1:66" x14ac:dyDescent="0.25">
      <c r="A25" s="14">
        <v>23</v>
      </c>
      <c r="B25" s="13" t="s">
        <v>42</v>
      </c>
      <c r="C25" s="23" t="s">
        <v>43</v>
      </c>
      <c r="D25" s="25">
        <v>20246</v>
      </c>
      <c r="E25" s="9">
        <v>0</v>
      </c>
      <c r="F25" s="1">
        <v>20260</v>
      </c>
      <c r="G25" s="10">
        <f t="shared" si="0"/>
        <v>14</v>
      </c>
      <c r="H25" s="1">
        <v>20279</v>
      </c>
      <c r="I25" s="11">
        <f t="shared" si="2"/>
        <v>19</v>
      </c>
      <c r="J25" s="1">
        <v>20298</v>
      </c>
      <c r="K25" s="11">
        <f t="shared" si="3"/>
        <v>19</v>
      </c>
      <c r="L25" s="1">
        <v>20321</v>
      </c>
      <c r="M25" s="11">
        <f t="shared" si="4"/>
        <v>23</v>
      </c>
      <c r="N25" s="1">
        <v>20340</v>
      </c>
      <c r="O25" s="11">
        <f t="shared" si="5"/>
        <v>19</v>
      </c>
      <c r="P25" s="1">
        <v>20362</v>
      </c>
      <c r="Q25" s="11">
        <f t="shared" si="6"/>
        <v>22</v>
      </c>
      <c r="R25" s="1">
        <v>20386</v>
      </c>
      <c r="S25" s="11">
        <f t="shared" si="7"/>
        <v>24</v>
      </c>
      <c r="T25" s="1">
        <v>20406</v>
      </c>
      <c r="U25" s="11">
        <f t="shared" si="8"/>
        <v>20</v>
      </c>
      <c r="V25" s="1">
        <v>20422</v>
      </c>
      <c r="W25" s="11">
        <f t="shared" si="9"/>
        <v>16</v>
      </c>
      <c r="X25" s="1">
        <v>20440</v>
      </c>
      <c r="Y25" s="11">
        <f t="shared" si="10"/>
        <v>18</v>
      </c>
      <c r="Z25" s="1">
        <v>20459</v>
      </c>
      <c r="AA25" s="11">
        <f t="shared" si="11"/>
        <v>19</v>
      </c>
      <c r="AB25" s="1">
        <v>20478</v>
      </c>
      <c r="AC25" s="11">
        <f t="shared" si="32"/>
        <v>19</v>
      </c>
      <c r="AD25" s="1">
        <v>20501</v>
      </c>
      <c r="AE25" s="11">
        <f t="shared" si="13"/>
        <v>23</v>
      </c>
      <c r="AF25" s="1">
        <v>20522</v>
      </c>
      <c r="AG25" s="11">
        <f t="shared" si="14"/>
        <v>21</v>
      </c>
      <c r="AH25" s="1">
        <v>20540</v>
      </c>
      <c r="AI25" s="11">
        <f t="shared" si="15"/>
        <v>18</v>
      </c>
      <c r="AJ25" s="1">
        <v>20559</v>
      </c>
      <c r="AK25" s="11">
        <f t="shared" si="16"/>
        <v>19</v>
      </c>
      <c r="AL25" s="1">
        <v>20584</v>
      </c>
      <c r="AM25" s="11">
        <f t="shared" si="17"/>
        <v>25</v>
      </c>
      <c r="AN25" s="1">
        <v>20606</v>
      </c>
      <c r="AO25" s="11">
        <f t="shared" si="18"/>
        <v>22</v>
      </c>
      <c r="AP25" s="1">
        <v>20625</v>
      </c>
      <c r="AQ25" s="11">
        <f t="shared" si="19"/>
        <v>19</v>
      </c>
      <c r="AR25" s="1">
        <v>20648</v>
      </c>
      <c r="AS25" s="11">
        <f t="shared" si="20"/>
        <v>23</v>
      </c>
      <c r="AT25" s="1">
        <v>20672</v>
      </c>
      <c r="AU25" s="11">
        <f t="shared" si="21"/>
        <v>24</v>
      </c>
      <c r="AV25" s="1">
        <v>20697</v>
      </c>
      <c r="AW25" s="11">
        <f t="shared" si="33"/>
        <v>25</v>
      </c>
      <c r="AX25" s="1">
        <v>20721</v>
      </c>
      <c r="AY25" s="11">
        <f t="shared" si="23"/>
        <v>24</v>
      </c>
      <c r="AZ25" s="1">
        <v>20742</v>
      </c>
      <c r="BA25" s="11">
        <f t="shared" si="24"/>
        <v>21</v>
      </c>
      <c r="BB25" s="1">
        <v>20763</v>
      </c>
      <c r="BC25" s="11">
        <f t="shared" si="25"/>
        <v>21</v>
      </c>
      <c r="BD25" s="1">
        <v>20793</v>
      </c>
      <c r="BE25" s="11">
        <f t="shared" si="26"/>
        <v>30</v>
      </c>
      <c r="BF25" s="1">
        <v>20816</v>
      </c>
      <c r="BG25" s="11">
        <f t="shared" si="27"/>
        <v>23</v>
      </c>
      <c r="BH25" s="1">
        <v>20842</v>
      </c>
      <c r="BI25" s="11">
        <f t="shared" si="28"/>
        <v>26</v>
      </c>
      <c r="BJ25" s="1">
        <v>20869</v>
      </c>
      <c r="BK25" s="11">
        <f t="shared" si="29"/>
        <v>27</v>
      </c>
      <c r="BL25" s="20">
        <v>20897</v>
      </c>
      <c r="BM25" s="30">
        <f t="shared" si="30"/>
        <v>28</v>
      </c>
      <c r="BN25" s="33">
        <f t="shared" si="1"/>
        <v>651</v>
      </c>
    </row>
    <row r="26" spans="1:66" ht="15.75" thickBot="1" x14ac:dyDescent="0.3">
      <c r="A26" s="15">
        <v>24</v>
      </c>
      <c r="B26" s="13" t="s">
        <v>44</v>
      </c>
      <c r="C26" s="23" t="s">
        <v>45</v>
      </c>
      <c r="D26" s="25">
        <v>117582</v>
      </c>
      <c r="E26" s="9">
        <v>0</v>
      </c>
      <c r="F26" s="1">
        <v>117648</v>
      </c>
      <c r="G26" s="10">
        <f t="shared" si="0"/>
        <v>66</v>
      </c>
      <c r="H26" s="1">
        <v>117734</v>
      </c>
      <c r="I26" s="11">
        <f>H26-F26</f>
        <v>86</v>
      </c>
      <c r="J26" s="1">
        <v>117811</v>
      </c>
      <c r="K26" s="11">
        <f t="shared" si="3"/>
        <v>77</v>
      </c>
      <c r="L26" s="1">
        <v>117891</v>
      </c>
      <c r="M26" s="11">
        <f t="shared" si="4"/>
        <v>80</v>
      </c>
      <c r="N26" s="1">
        <v>117968</v>
      </c>
      <c r="O26" s="11">
        <f t="shared" si="5"/>
        <v>77</v>
      </c>
      <c r="P26" s="1">
        <v>118048</v>
      </c>
      <c r="Q26" s="11">
        <f t="shared" si="6"/>
        <v>80</v>
      </c>
      <c r="R26" s="1">
        <v>118119</v>
      </c>
      <c r="S26" s="11">
        <f t="shared" si="7"/>
        <v>71</v>
      </c>
      <c r="T26" s="1">
        <v>118176</v>
      </c>
      <c r="U26" s="11">
        <f t="shared" si="8"/>
        <v>57</v>
      </c>
      <c r="V26" s="1">
        <v>118241</v>
      </c>
      <c r="W26" s="11">
        <f t="shared" si="9"/>
        <v>65</v>
      </c>
      <c r="X26" s="1">
        <v>118303</v>
      </c>
      <c r="Y26" s="11">
        <f t="shared" si="10"/>
        <v>62</v>
      </c>
      <c r="Z26" s="1">
        <v>118370</v>
      </c>
      <c r="AA26" s="11">
        <f t="shared" si="11"/>
        <v>67</v>
      </c>
      <c r="AB26" s="1">
        <v>118436</v>
      </c>
      <c r="AC26" s="11">
        <f t="shared" si="32"/>
        <v>66</v>
      </c>
      <c r="AD26" s="1">
        <v>118500</v>
      </c>
      <c r="AE26" s="11">
        <f t="shared" si="13"/>
        <v>64</v>
      </c>
      <c r="AF26" s="1">
        <v>118562</v>
      </c>
      <c r="AG26" s="11">
        <f t="shared" si="14"/>
        <v>62</v>
      </c>
      <c r="AH26" s="1">
        <v>118625</v>
      </c>
      <c r="AI26" s="11">
        <f t="shared" si="15"/>
        <v>63</v>
      </c>
      <c r="AJ26" s="1">
        <v>118704</v>
      </c>
      <c r="AK26" s="11">
        <f t="shared" si="16"/>
        <v>79</v>
      </c>
      <c r="AL26" s="1">
        <v>118783</v>
      </c>
      <c r="AM26" s="11">
        <f t="shared" si="17"/>
        <v>79</v>
      </c>
      <c r="AN26" s="1">
        <v>118869</v>
      </c>
      <c r="AO26" s="11">
        <f t="shared" si="18"/>
        <v>86</v>
      </c>
      <c r="AP26" s="1">
        <v>118943</v>
      </c>
      <c r="AQ26" s="11">
        <f t="shared" si="19"/>
        <v>74</v>
      </c>
      <c r="AR26" s="1">
        <v>119014</v>
      </c>
      <c r="AS26" s="11">
        <f t="shared" si="20"/>
        <v>71</v>
      </c>
      <c r="AT26" s="1">
        <v>119081</v>
      </c>
      <c r="AU26" s="11">
        <f t="shared" si="21"/>
        <v>67</v>
      </c>
      <c r="AV26" s="1">
        <v>119142</v>
      </c>
      <c r="AW26" s="11">
        <f t="shared" si="33"/>
        <v>61</v>
      </c>
      <c r="AX26" s="1">
        <v>119222</v>
      </c>
      <c r="AY26" s="11">
        <f t="shared" si="23"/>
        <v>80</v>
      </c>
      <c r="AZ26" s="1">
        <v>119299</v>
      </c>
      <c r="BA26" s="11">
        <f t="shared" si="24"/>
        <v>77</v>
      </c>
      <c r="BB26" s="1">
        <v>119379</v>
      </c>
      <c r="BC26" s="11">
        <f t="shared" si="25"/>
        <v>80</v>
      </c>
      <c r="BD26" s="1">
        <v>119458</v>
      </c>
      <c r="BE26" s="11">
        <f t="shared" si="26"/>
        <v>79</v>
      </c>
      <c r="BF26" s="1">
        <v>119533</v>
      </c>
      <c r="BG26" s="11">
        <f t="shared" si="27"/>
        <v>75</v>
      </c>
      <c r="BH26" s="1">
        <v>119593</v>
      </c>
      <c r="BI26" s="11">
        <f t="shared" si="28"/>
        <v>60</v>
      </c>
      <c r="BJ26" s="1">
        <v>119651</v>
      </c>
      <c r="BK26" s="11">
        <f t="shared" si="29"/>
        <v>58</v>
      </c>
      <c r="BL26" s="20">
        <v>119723</v>
      </c>
      <c r="BM26" s="30">
        <f t="shared" si="30"/>
        <v>72</v>
      </c>
      <c r="BN26" s="42">
        <f t="shared" si="1"/>
        <v>2141</v>
      </c>
    </row>
    <row r="27" spans="1:66" x14ac:dyDescent="0.25">
      <c r="A27" s="14">
        <v>25</v>
      </c>
      <c r="B27" s="13" t="s">
        <v>46</v>
      </c>
      <c r="C27" s="23" t="s">
        <v>47</v>
      </c>
      <c r="D27" s="25">
        <v>1188</v>
      </c>
      <c r="E27" s="9">
        <v>0</v>
      </c>
      <c r="F27" s="1">
        <v>1188</v>
      </c>
      <c r="G27" s="10">
        <f t="shared" si="0"/>
        <v>0</v>
      </c>
      <c r="H27" s="1">
        <v>1188</v>
      </c>
      <c r="I27" s="11">
        <f t="shared" si="2"/>
        <v>0</v>
      </c>
      <c r="J27" s="1">
        <v>1188</v>
      </c>
      <c r="K27" s="11">
        <f t="shared" si="3"/>
        <v>0</v>
      </c>
      <c r="L27" s="1">
        <v>1188</v>
      </c>
      <c r="M27" s="11">
        <f t="shared" si="4"/>
        <v>0</v>
      </c>
      <c r="N27" s="1">
        <v>1188</v>
      </c>
      <c r="O27" s="11">
        <f t="shared" si="5"/>
        <v>0</v>
      </c>
      <c r="P27" s="1">
        <v>1188</v>
      </c>
      <c r="Q27" s="11">
        <f t="shared" si="6"/>
        <v>0</v>
      </c>
      <c r="R27" s="1">
        <v>1188</v>
      </c>
      <c r="S27" s="11">
        <f t="shared" si="7"/>
        <v>0</v>
      </c>
      <c r="T27" s="1">
        <v>1188</v>
      </c>
      <c r="U27" s="11">
        <f t="shared" si="8"/>
        <v>0</v>
      </c>
      <c r="V27" s="1">
        <v>1188</v>
      </c>
      <c r="W27" s="11">
        <f t="shared" si="9"/>
        <v>0</v>
      </c>
      <c r="X27" s="1">
        <v>1188</v>
      </c>
      <c r="Y27" s="11">
        <f t="shared" si="10"/>
        <v>0</v>
      </c>
      <c r="Z27" s="1">
        <v>1188</v>
      </c>
      <c r="AA27" s="11">
        <f t="shared" si="11"/>
        <v>0</v>
      </c>
      <c r="AB27" s="1">
        <v>1188</v>
      </c>
      <c r="AC27" s="11">
        <f t="shared" si="32"/>
        <v>0</v>
      </c>
      <c r="AD27" s="1">
        <v>1188</v>
      </c>
      <c r="AE27" s="11">
        <f t="shared" si="13"/>
        <v>0</v>
      </c>
      <c r="AF27" s="1">
        <v>1188</v>
      </c>
      <c r="AG27" s="11">
        <f t="shared" si="14"/>
        <v>0</v>
      </c>
      <c r="AH27" s="1">
        <v>1188</v>
      </c>
      <c r="AI27" s="11">
        <f t="shared" si="15"/>
        <v>0</v>
      </c>
      <c r="AJ27" s="1">
        <v>1188</v>
      </c>
      <c r="AK27" s="11">
        <f t="shared" si="16"/>
        <v>0</v>
      </c>
      <c r="AL27" s="1">
        <v>1188</v>
      </c>
      <c r="AM27" s="11">
        <f t="shared" si="17"/>
        <v>0</v>
      </c>
      <c r="AN27" s="1">
        <v>1188</v>
      </c>
      <c r="AO27" s="11">
        <f t="shared" si="18"/>
        <v>0</v>
      </c>
      <c r="AP27" s="1">
        <v>1189</v>
      </c>
      <c r="AQ27" s="11">
        <f t="shared" si="19"/>
        <v>1</v>
      </c>
      <c r="AR27" s="1">
        <v>1192</v>
      </c>
      <c r="AS27" s="11">
        <f t="shared" si="20"/>
        <v>3</v>
      </c>
      <c r="AT27" s="1">
        <v>1195</v>
      </c>
      <c r="AU27" s="11">
        <f t="shared" si="21"/>
        <v>3</v>
      </c>
      <c r="AV27" s="1">
        <v>1198</v>
      </c>
      <c r="AW27" s="11">
        <f t="shared" si="33"/>
        <v>3</v>
      </c>
      <c r="AX27" s="1">
        <v>1201</v>
      </c>
      <c r="AY27" s="11">
        <f t="shared" si="23"/>
        <v>3</v>
      </c>
      <c r="AZ27" s="1">
        <v>1201</v>
      </c>
      <c r="BA27" s="11">
        <f t="shared" si="24"/>
        <v>0</v>
      </c>
      <c r="BB27" s="1">
        <v>1201</v>
      </c>
      <c r="BC27" s="11">
        <f t="shared" si="25"/>
        <v>0</v>
      </c>
      <c r="BD27" s="1">
        <v>1201</v>
      </c>
      <c r="BE27" s="11">
        <f t="shared" si="26"/>
        <v>0</v>
      </c>
      <c r="BF27" s="1">
        <v>1201</v>
      </c>
      <c r="BG27" s="11">
        <f t="shared" si="27"/>
        <v>0</v>
      </c>
      <c r="BH27" s="1">
        <v>1201</v>
      </c>
      <c r="BI27" s="11">
        <f t="shared" si="28"/>
        <v>0</v>
      </c>
      <c r="BJ27" s="1">
        <v>1201</v>
      </c>
      <c r="BK27" s="11">
        <f t="shared" si="29"/>
        <v>0</v>
      </c>
      <c r="BL27" s="1">
        <v>1201</v>
      </c>
      <c r="BM27" s="30">
        <f t="shared" si="30"/>
        <v>0</v>
      </c>
      <c r="BN27" s="51">
        <f t="shared" si="1"/>
        <v>13</v>
      </c>
    </row>
    <row r="28" spans="1:66" ht="15.75" thickBot="1" x14ac:dyDescent="0.3">
      <c r="A28" s="15">
        <v>26</v>
      </c>
      <c r="B28" s="13" t="s">
        <v>48</v>
      </c>
      <c r="C28" s="23" t="s">
        <v>49</v>
      </c>
      <c r="D28" s="25">
        <v>223569</v>
      </c>
      <c r="E28" s="9">
        <v>0</v>
      </c>
      <c r="F28" s="1">
        <v>223690</v>
      </c>
      <c r="G28" s="10">
        <f t="shared" si="0"/>
        <v>121</v>
      </c>
      <c r="H28" s="1">
        <v>223814</v>
      </c>
      <c r="I28" s="11">
        <f t="shared" si="2"/>
        <v>124</v>
      </c>
      <c r="J28" s="1">
        <v>223938</v>
      </c>
      <c r="K28" s="11">
        <f t="shared" si="3"/>
        <v>124</v>
      </c>
      <c r="L28" s="1">
        <v>224097</v>
      </c>
      <c r="M28" s="11">
        <f t="shared" si="4"/>
        <v>159</v>
      </c>
      <c r="N28" s="1">
        <v>224216</v>
      </c>
      <c r="O28" s="11">
        <f t="shared" si="5"/>
        <v>119</v>
      </c>
      <c r="P28" s="1">
        <v>224337</v>
      </c>
      <c r="Q28" s="11">
        <f t="shared" si="6"/>
        <v>121</v>
      </c>
      <c r="R28" s="1">
        <v>224457</v>
      </c>
      <c r="S28" s="11">
        <f t="shared" si="7"/>
        <v>120</v>
      </c>
      <c r="T28" s="1">
        <v>224573</v>
      </c>
      <c r="U28" s="11">
        <f t="shared" si="8"/>
        <v>116</v>
      </c>
      <c r="V28" s="1">
        <v>224692</v>
      </c>
      <c r="W28" s="11">
        <f t="shared" si="9"/>
        <v>119</v>
      </c>
      <c r="X28" s="1">
        <v>224813</v>
      </c>
      <c r="Y28" s="11">
        <f t="shared" si="10"/>
        <v>121</v>
      </c>
      <c r="Z28" s="1">
        <v>224934</v>
      </c>
      <c r="AA28" s="11">
        <f t="shared" si="11"/>
        <v>121</v>
      </c>
      <c r="AB28" s="1">
        <v>225052</v>
      </c>
      <c r="AC28" s="11">
        <f t="shared" si="32"/>
        <v>118</v>
      </c>
      <c r="AD28" s="1">
        <v>225171</v>
      </c>
      <c r="AE28" s="11">
        <f t="shared" si="13"/>
        <v>119</v>
      </c>
      <c r="AF28" s="1">
        <v>225287</v>
      </c>
      <c r="AG28" s="11">
        <f t="shared" si="14"/>
        <v>116</v>
      </c>
      <c r="AH28" s="1">
        <v>225398</v>
      </c>
      <c r="AI28" s="11">
        <f t="shared" si="15"/>
        <v>111</v>
      </c>
      <c r="AJ28" s="1">
        <v>225518</v>
      </c>
      <c r="AK28" s="11">
        <f t="shared" si="16"/>
        <v>120</v>
      </c>
      <c r="AL28" s="1">
        <v>225650</v>
      </c>
      <c r="AM28" s="11">
        <f t="shared" si="17"/>
        <v>132</v>
      </c>
      <c r="AN28" s="1">
        <v>225788</v>
      </c>
      <c r="AO28" s="11">
        <f t="shared" si="18"/>
        <v>138</v>
      </c>
      <c r="AP28" s="1">
        <v>225926</v>
      </c>
      <c r="AQ28" s="11">
        <f t="shared" si="19"/>
        <v>138</v>
      </c>
      <c r="AR28" s="1">
        <v>226064</v>
      </c>
      <c r="AS28" s="11">
        <f t="shared" si="20"/>
        <v>138</v>
      </c>
      <c r="AT28" s="1">
        <v>226203</v>
      </c>
      <c r="AU28" s="11">
        <f t="shared" si="21"/>
        <v>139</v>
      </c>
      <c r="AV28" s="1">
        <v>226337</v>
      </c>
      <c r="AW28" s="11">
        <f t="shared" si="33"/>
        <v>134</v>
      </c>
      <c r="AX28" s="1">
        <v>226474</v>
      </c>
      <c r="AY28" s="11">
        <f t="shared" si="23"/>
        <v>137</v>
      </c>
      <c r="AZ28" s="1">
        <v>226474</v>
      </c>
      <c r="BA28" s="11">
        <f t="shared" si="24"/>
        <v>0</v>
      </c>
      <c r="BB28" s="1">
        <v>226760</v>
      </c>
      <c r="BC28" s="11">
        <f t="shared" si="25"/>
        <v>286</v>
      </c>
      <c r="BD28" s="1">
        <v>226900</v>
      </c>
      <c r="BE28" s="11">
        <f t="shared" si="26"/>
        <v>140</v>
      </c>
      <c r="BF28" s="1">
        <v>227004</v>
      </c>
      <c r="BG28" s="11">
        <f t="shared" si="27"/>
        <v>104</v>
      </c>
      <c r="BH28" s="1">
        <v>227182</v>
      </c>
      <c r="BI28" s="11">
        <f t="shared" si="28"/>
        <v>178</v>
      </c>
      <c r="BJ28" s="1">
        <v>227323</v>
      </c>
      <c r="BK28" s="11">
        <f t="shared" si="29"/>
        <v>141</v>
      </c>
      <c r="BL28" s="20">
        <v>227463</v>
      </c>
      <c r="BM28" s="30">
        <f t="shared" si="30"/>
        <v>140</v>
      </c>
      <c r="BN28" s="50">
        <f t="shared" si="1"/>
        <v>3894</v>
      </c>
    </row>
    <row r="29" spans="1:66" x14ac:dyDescent="0.25">
      <c r="A29" s="14">
        <v>27</v>
      </c>
      <c r="B29" s="13" t="s">
        <v>50</v>
      </c>
      <c r="C29" s="23" t="s">
        <v>50</v>
      </c>
      <c r="D29" s="25">
        <v>11177</v>
      </c>
      <c r="E29" s="9">
        <v>0</v>
      </c>
      <c r="F29" s="1">
        <v>11177</v>
      </c>
      <c r="G29" s="10">
        <f t="shared" si="0"/>
        <v>0</v>
      </c>
      <c r="H29" s="1">
        <v>11182</v>
      </c>
      <c r="I29" s="11">
        <f t="shared" si="2"/>
        <v>5</v>
      </c>
      <c r="J29" s="1">
        <v>11182</v>
      </c>
      <c r="K29" s="11">
        <f t="shared" si="3"/>
        <v>0</v>
      </c>
      <c r="L29" s="1">
        <v>11183</v>
      </c>
      <c r="M29" s="11">
        <f t="shared" si="4"/>
        <v>1</v>
      </c>
      <c r="N29" s="1">
        <v>11189</v>
      </c>
      <c r="O29" s="11">
        <f t="shared" si="5"/>
        <v>6</v>
      </c>
      <c r="P29" s="1">
        <v>11197</v>
      </c>
      <c r="Q29" s="11">
        <f t="shared" si="6"/>
        <v>8</v>
      </c>
      <c r="R29" s="1">
        <v>11197</v>
      </c>
      <c r="S29" s="11">
        <f t="shared" si="7"/>
        <v>0</v>
      </c>
      <c r="T29" s="1">
        <v>11198</v>
      </c>
      <c r="U29" s="11">
        <f t="shared" si="8"/>
        <v>1</v>
      </c>
      <c r="V29" s="1">
        <v>11199</v>
      </c>
      <c r="W29" s="11">
        <f t="shared" si="9"/>
        <v>1</v>
      </c>
      <c r="X29" s="1">
        <v>11208</v>
      </c>
      <c r="Y29" s="11">
        <f t="shared" si="10"/>
        <v>9</v>
      </c>
      <c r="Z29" s="1">
        <v>11214</v>
      </c>
      <c r="AA29" s="11">
        <f t="shared" si="11"/>
        <v>6</v>
      </c>
      <c r="AB29" s="1">
        <v>11215</v>
      </c>
      <c r="AC29" s="11">
        <f t="shared" si="32"/>
        <v>1</v>
      </c>
      <c r="AD29" s="1">
        <v>11216</v>
      </c>
      <c r="AE29" s="11">
        <f t="shared" si="13"/>
        <v>1</v>
      </c>
      <c r="AF29" s="1">
        <v>11216</v>
      </c>
      <c r="AG29" s="11">
        <f t="shared" si="14"/>
        <v>0</v>
      </c>
      <c r="AH29" s="1">
        <v>11226</v>
      </c>
      <c r="AI29" s="11">
        <f t="shared" si="15"/>
        <v>10</v>
      </c>
      <c r="AJ29" s="1">
        <v>11232</v>
      </c>
      <c r="AK29" s="11">
        <f t="shared" si="16"/>
        <v>6</v>
      </c>
      <c r="AL29" s="1">
        <v>11232</v>
      </c>
      <c r="AM29" s="11">
        <f t="shared" si="17"/>
        <v>0</v>
      </c>
      <c r="AN29" s="1">
        <v>11233</v>
      </c>
      <c r="AO29" s="11">
        <f t="shared" si="18"/>
        <v>1</v>
      </c>
      <c r="AP29" s="1">
        <v>11234</v>
      </c>
      <c r="AQ29" s="11">
        <f t="shared" si="19"/>
        <v>1</v>
      </c>
      <c r="AR29" s="1">
        <v>11236</v>
      </c>
      <c r="AS29" s="11">
        <f t="shared" si="20"/>
        <v>2</v>
      </c>
      <c r="AT29" s="1">
        <v>11237</v>
      </c>
      <c r="AU29" s="11">
        <f t="shared" si="21"/>
        <v>1</v>
      </c>
      <c r="AV29" s="1">
        <v>11238</v>
      </c>
      <c r="AW29" s="11">
        <f t="shared" si="33"/>
        <v>1</v>
      </c>
      <c r="AX29" s="1">
        <v>11241</v>
      </c>
      <c r="AY29" s="11">
        <f t="shared" si="23"/>
        <v>3</v>
      </c>
      <c r="AZ29" s="1">
        <v>11247</v>
      </c>
      <c r="BA29" s="11">
        <f t="shared" si="24"/>
        <v>6</v>
      </c>
      <c r="BB29" s="1">
        <v>11247</v>
      </c>
      <c r="BC29" s="11">
        <f t="shared" si="25"/>
        <v>0</v>
      </c>
      <c r="BD29" s="1">
        <v>11248</v>
      </c>
      <c r="BE29" s="11">
        <f t="shared" si="26"/>
        <v>1</v>
      </c>
      <c r="BF29" s="1">
        <v>11249</v>
      </c>
      <c r="BG29" s="11">
        <f t="shared" si="27"/>
        <v>1</v>
      </c>
      <c r="BH29" s="1">
        <v>11251</v>
      </c>
      <c r="BI29" s="11">
        <f t="shared" si="28"/>
        <v>2</v>
      </c>
      <c r="BJ29" s="1">
        <v>11252</v>
      </c>
      <c r="BK29" s="11">
        <f t="shared" si="29"/>
        <v>1</v>
      </c>
      <c r="BL29" s="20">
        <v>11252</v>
      </c>
      <c r="BM29" s="30">
        <f t="shared" si="30"/>
        <v>0</v>
      </c>
      <c r="BN29" s="51">
        <f t="shared" si="1"/>
        <v>75</v>
      </c>
    </row>
    <row r="30" spans="1:66" ht="15.75" thickBot="1" x14ac:dyDescent="0.3">
      <c r="A30" s="15">
        <v>28</v>
      </c>
      <c r="B30" s="13" t="s">
        <v>51</v>
      </c>
      <c r="C30" s="23" t="s">
        <v>52</v>
      </c>
      <c r="D30" s="25">
        <v>2578</v>
      </c>
      <c r="E30" s="9">
        <v>0</v>
      </c>
      <c r="F30" s="1">
        <v>2580</v>
      </c>
      <c r="G30" s="10">
        <f t="shared" si="0"/>
        <v>2</v>
      </c>
      <c r="H30" s="1">
        <v>2582</v>
      </c>
      <c r="I30" s="11">
        <f t="shared" si="2"/>
        <v>2</v>
      </c>
      <c r="J30" s="1">
        <v>2584</v>
      </c>
      <c r="K30" s="11">
        <f t="shared" si="3"/>
        <v>2</v>
      </c>
      <c r="L30" s="1">
        <v>2586</v>
      </c>
      <c r="M30" s="11">
        <f t="shared" si="4"/>
        <v>2</v>
      </c>
      <c r="N30" s="1">
        <v>2587</v>
      </c>
      <c r="O30" s="11">
        <f t="shared" si="5"/>
        <v>1</v>
      </c>
      <c r="P30" s="1">
        <v>2590</v>
      </c>
      <c r="Q30" s="11">
        <f t="shared" si="6"/>
        <v>3</v>
      </c>
      <c r="R30" s="1">
        <v>2591</v>
      </c>
      <c r="S30" s="11">
        <f t="shared" si="7"/>
        <v>1</v>
      </c>
      <c r="T30" s="1">
        <v>2592</v>
      </c>
      <c r="U30" s="11">
        <f t="shared" si="8"/>
        <v>1</v>
      </c>
      <c r="V30" s="1">
        <v>2594</v>
      </c>
      <c r="W30" s="11">
        <f t="shared" si="9"/>
        <v>2</v>
      </c>
      <c r="X30" s="1">
        <v>2595</v>
      </c>
      <c r="Y30" s="11">
        <f t="shared" si="10"/>
        <v>1</v>
      </c>
      <c r="Z30" s="1">
        <v>2597</v>
      </c>
      <c r="AA30" s="11">
        <f t="shared" si="11"/>
        <v>2</v>
      </c>
      <c r="AB30" s="1">
        <v>2598</v>
      </c>
      <c r="AC30" s="11">
        <f t="shared" si="32"/>
        <v>1</v>
      </c>
      <c r="AD30" s="1">
        <v>2600</v>
      </c>
      <c r="AE30" s="11">
        <f t="shared" si="13"/>
        <v>2</v>
      </c>
      <c r="AF30" s="1">
        <v>2602</v>
      </c>
      <c r="AG30" s="11">
        <f t="shared" si="14"/>
        <v>2</v>
      </c>
      <c r="AH30" s="1">
        <v>2603</v>
      </c>
      <c r="AI30" s="11">
        <f t="shared" si="15"/>
        <v>1</v>
      </c>
      <c r="AJ30" s="1">
        <v>2605</v>
      </c>
      <c r="AK30" s="11">
        <f t="shared" si="16"/>
        <v>2</v>
      </c>
      <c r="AL30" s="1">
        <v>2608</v>
      </c>
      <c r="AM30" s="11">
        <f t="shared" si="17"/>
        <v>3</v>
      </c>
      <c r="AN30" s="1">
        <v>2610</v>
      </c>
      <c r="AO30" s="11">
        <f t="shared" si="18"/>
        <v>2</v>
      </c>
      <c r="AP30" s="1">
        <v>2612</v>
      </c>
      <c r="AQ30" s="11">
        <f t="shared" si="19"/>
        <v>2</v>
      </c>
      <c r="AR30" s="1">
        <v>2616</v>
      </c>
      <c r="AS30" s="11">
        <f t="shared" si="20"/>
        <v>4</v>
      </c>
      <c r="AT30" s="1">
        <v>2617</v>
      </c>
      <c r="AU30" s="11">
        <f t="shared" si="21"/>
        <v>1</v>
      </c>
      <c r="AV30" s="1">
        <v>2619</v>
      </c>
      <c r="AW30" s="11">
        <f t="shared" si="33"/>
        <v>2</v>
      </c>
      <c r="AX30" s="1">
        <v>2621</v>
      </c>
      <c r="AY30" s="11">
        <f t="shared" si="23"/>
        <v>2</v>
      </c>
      <c r="AZ30" s="1">
        <v>2623</v>
      </c>
      <c r="BA30" s="11">
        <f t="shared" si="24"/>
        <v>2</v>
      </c>
      <c r="BB30" s="1">
        <v>2625</v>
      </c>
      <c r="BC30" s="11">
        <f t="shared" si="25"/>
        <v>2</v>
      </c>
      <c r="BD30" s="1">
        <v>2627</v>
      </c>
      <c r="BE30" s="11">
        <f t="shared" si="26"/>
        <v>2</v>
      </c>
      <c r="BF30" s="1">
        <v>2628</v>
      </c>
      <c r="BG30" s="11">
        <f t="shared" si="27"/>
        <v>1</v>
      </c>
      <c r="BH30" s="1">
        <v>2630</v>
      </c>
      <c r="BI30" s="11">
        <f t="shared" si="28"/>
        <v>2</v>
      </c>
      <c r="BJ30" s="1">
        <v>2632</v>
      </c>
      <c r="BK30" s="11">
        <f t="shared" si="29"/>
        <v>2</v>
      </c>
      <c r="BL30" s="20">
        <v>2636</v>
      </c>
      <c r="BM30" s="30">
        <f t="shared" si="30"/>
        <v>4</v>
      </c>
      <c r="BN30" s="45">
        <f t="shared" si="1"/>
        <v>58</v>
      </c>
    </row>
    <row r="31" spans="1:66" x14ac:dyDescent="0.25">
      <c r="A31" s="14">
        <v>29</v>
      </c>
      <c r="B31" s="13" t="s">
        <v>53</v>
      </c>
      <c r="C31" s="23" t="s">
        <v>54</v>
      </c>
      <c r="D31" s="25">
        <v>23616</v>
      </c>
      <c r="E31" s="9">
        <v>0</v>
      </c>
      <c r="F31" s="1">
        <v>23625</v>
      </c>
      <c r="G31" s="10">
        <f t="shared" si="0"/>
        <v>9</v>
      </c>
      <c r="H31" s="1">
        <v>23637</v>
      </c>
      <c r="I31" s="11">
        <f t="shared" si="2"/>
        <v>12</v>
      </c>
      <c r="J31" s="1">
        <v>23649</v>
      </c>
      <c r="K31" s="11">
        <f t="shared" si="3"/>
        <v>12</v>
      </c>
      <c r="L31" s="1">
        <v>23658</v>
      </c>
      <c r="M31" s="11">
        <f t="shared" si="4"/>
        <v>9</v>
      </c>
      <c r="N31" s="1">
        <v>23671</v>
      </c>
      <c r="O31" s="11">
        <f t="shared" si="5"/>
        <v>13</v>
      </c>
      <c r="P31" s="1">
        <v>23683</v>
      </c>
      <c r="Q31" s="11">
        <f t="shared" si="6"/>
        <v>12</v>
      </c>
      <c r="R31" s="1">
        <v>23696</v>
      </c>
      <c r="S31" s="11">
        <f t="shared" si="7"/>
        <v>13</v>
      </c>
      <c r="T31" s="1">
        <v>23706</v>
      </c>
      <c r="U31" s="11">
        <f t="shared" si="8"/>
        <v>10</v>
      </c>
      <c r="V31" s="1">
        <v>23717</v>
      </c>
      <c r="W31" s="11">
        <f t="shared" si="9"/>
        <v>11</v>
      </c>
      <c r="X31" s="1">
        <v>23730</v>
      </c>
      <c r="Y31" s="11">
        <f t="shared" si="10"/>
        <v>13</v>
      </c>
      <c r="Z31" s="1">
        <v>23741</v>
      </c>
      <c r="AA31" s="11">
        <f t="shared" si="11"/>
        <v>11</v>
      </c>
      <c r="AB31" s="1">
        <v>23751</v>
      </c>
      <c r="AC31" s="11">
        <f t="shared" si="32"/>
        <v>10</v>
      </c>
      <c r="AD31" s="1">
        <v>23764</v>
      </c>
      <c r="AE31" s="11">
        <f t="shared" si="13"/>
        <v>13</v>
      </c>
      <c r="AF31" s="1">
        <v>23775</v>
      </c>
      <c r="AG31" s="11">
        <f t="shared" si="14"/>
        <v>11</v>
      </c>
      <c r="AH31" s="1">
        <v>23785</v>
      </c>
      <c r="AI31" s="11">
        <f t="shared" si="15"/>
        <v>10</v>
      </c>
      <c r="AJ31" s="1">
        <v>23794</v>
      </c>
      <c r="AK31" s="11">
        <f t="shared" si="16"/>
        <v>9</v>
      </c>
      <c r="AL31" s="1">
        <v>23806</v>
      </c>
      <c r="AM31" s="11">
        <f t="shared" si="17"/>
        <v>12</v>
      </c>
      <c r="AN31" s="1">
        <v>23816</v>
      </c>
      <c r="AO31" s="11">
        <f t="shared" si="18"/>
        <v>10</v>
      </c>
      <c r="AP31" s="1">
        <v>23829</v>
      </c>
      <c r="AQ31" s="11">
        <f t="shared" si="19"/>
        <v>13</v>
      </c>
      <c r="AR31" s="1">
        <v>23840</v>
      </c>
      <c r="AS31" s="11">
        <f t="shared" si="20"/>
        <v>11</v>
      </c>
      <c r="AT31" s="1">
        <v>23852</v>
      </c>
      <c r="AU31" s="11">
        <f t="shared" si="21"/>
        <v>12</v>
      </c>
      <c r="AV31" s="1">
        <v>23861</v>
      </c>
      <c r="AW31" s="11">
        <f t="shared" si="33"/>
        <v>9</v>
      </c>
      <c r="AX31" s="1">
        <v>23874</v>
      </c>
      <c r="AY31" s="11">
        <f t="shared" si="23"/>
        <v>13</v>
      </c>
      <c r="AZ31" s="1">
        <v>23884</v>
      </c>
      <c r="BA31" s="11">
        <f t="shared" si="24"/>
        <v>10</v>
      </c>
      <c r="BB31" s="1">
        <v>23892</v>
      </c>
      <c r="BC31" s="11">
        <f t="shared" si="25"/>
        <v>8</v>
      </c>
      <c r="BD31" s="1">
        <v>23899</v>
      </c>
      <c r="BE31" s="11">
        <f t="shared" si="26"/>
        <v>7</v>
      </c>
      <c r="BF31" s="1">
        <v>23910</v>
      </c>
      <c r="BG31" s="11">
        <f t="shared" si="27"/>
        <v>11</v>
      </c>
      <c r="BH31" s="1">
        <v>23919</v>
      </c>
      <c r="BI31" s="11">
        <f t="shared" si="28"/>
        <v>9</v>
      </c>
      <c r="BJ31" s="1">
        <v>23928</v>
      </c>
      <c r="BK31" s="11">
        <f t="shared" si="29"/>
        <v>9</v>
      </c>
      <c r="BL31" s="20">
        <v>23939</v>
      </c>
      <c r="BM31" s="30">
        <f t="shared" si="30"/>
        <v>11</v>
      </c>
      <c r="BN31" s="51">
        <f t="shared" si="1"/>
        <v>323</v>
      </c>
    </row>
    <row r="32" spans="1:66" ht="15.75" thickBot="1" x14ac:dyDescent="0.3">
      <c r="A32" s="15">
        <v>30</v>
      </c>
      <c r="B32" s="13" t="s">
        <v>55</v>
      </c>
      <c r="C32" s="23" t="s">
        <v>56</v>
      </c>
      <c r="D32" s="25">
        <v>113436</v>
      </c>
      <c r="E32" s="9">
        <v>0</v>
      </c>
      <c r="F32" s="1">
        <v>113518</v>
      </c>
      <c r="G32" s="10">
        <f t="shared" si="0"/>
        <v>82</v>
      </c>
      <c r="H32" s="1">
        <v>113606</v>
      </c>
      <c r="I32" s="11">
        <f t="shared" si="2"/>
        <v>88</v>
      </c>
      <c r="J32" s="1">
        <v>113692</v>
      </c>
      <c r="K32" s="11">
        <f t="shared" si="3"/>
        <v>86</v>
      </c>
      <c r="L32" s="1">
        <v>113783</v>
      </c>
      <c r="M32" s="11">
        <f t="shared" si="4"/>
        <v>91</v>
      </c>
      <c r="N32" s="1">
        <v>113876</v>
      </c>
      <c r="O32" s="11">
        <f t="shared" si="5"/>
        <v>93</v>
      </c>
      <c r="P32" s="1">
        <v>113961</v>
      </c>
      <c r="Q32" s="11">
        <f t="shared" si="6"/>
        <v>85</v>
      </c>
      <c r="R32" s="1">
        <v>114050</v>
      </c>
      <c r="S32" s="11">
        <f t="shared" si="7"/>
        <v>89</v>
      </c>
      <c r="T32" s="1">
        <v>114139</v>
      </c>
      <c r="U32" s="11">
        <f t="shared" si="8"/>
        <v>89</v>
      </c>
      <c r="V32" s="1">
        <v>114227</v>
      </c>
      <c r="W32" s="11">
        <f t="shared" si="9"/>
        <v>88</v>
      </c>
      <c r="X32" s="1">
        <v>114315</v>
      </c>
      <c r="Y32" s="11">
        <f t="shared" si="10"/>
        <v>88</v>
      </c>
      <c r="Z32" s="1">
        <v>114401</v>
      </c>
      <c r="AA32" s="11">
        <f t="shared" si="11"/>
        <v>86</v>
      </c>
      <c r="AB32" s="1">
        <v>114487</v>
      </c>
      <c r="AC32" s="11">
        <f t="shared" si="32"/>
        <v>86</v>
      </c>
      <c r="AD32" s="1">
        <v>114571</v>
      </c>
      <c r="AE32" s="11">
        <f t="shared" si="13"/>
        <v>84</v>
      </c>
      <c r="AF32" s="1">
        <v>114660</v>
      </c>
      <c r="AG32" s="11">
        <f t="shared" si="14"/>
        <v>89</v>
      </c>
      <c r="AH32" s="1">
        <v>114740</v>
      </c>
      <c r="AI32" s="11">
        <f t="shared" si="15"/>
        <v>80</v>
      </c>
      <c r="AJ32" s="1">
        <v>114825</v>
      </c>
      <c r="AK32" s="11">
        <f t="shared" si="16"/>
        <v>85</v>
      </c>
      <c r="AL32" s="1">
        <v>114913</v>
      </c>
      <c r="AM32" s="11">
        <f t="shared" si="17"/>
        <v>88</v>
      </c>
      <c r="AN32" s="1">
        <v>115006</v>
      </c>
      <c r="AO32" s="11">
        <f t="shared" si="18"/>
        <v>93</v>
      </c>
      <c r="AP32" s="1">
        <v>115096</v>
      </c>
      <c r="AQ32" s="11">
        <f t="shared" si="19"/>
        <v>90</v>
      </c>
      <c r="AR32" s="1">
        <v>115185</v>
      </c>
      <c r="AS32" s="11">
        <f t="shared" si="20"/>
        <v>89</v>
      </c>
      <c r="AT32" s="1">
        <v>115266</v>
      </c>
      <c r="AU32" s="11">
        <f t="shared" si="21"/>
        <v>81</v>
      </c>
      <c r="AV32" s="1">
        <v>115350</v>
      </c>
      <c r="AW32" s="11">
        <f t="shared" si="33"/>
        <v>84</v>
      </c>
      <c r="AX32" s="1">
        <v>115436</v>
      </c>
      <c r="AY32" s="11">
        <f t="shared" si="23"/>
        <v>86</v>
      </c>
      <c r="AZ32" s="1">
        <v>115523</v>
      </c>
      <c r="BA32" s="11">
        <f t="shared" si="24"/>
        <v>87</v>
      </c>
      <c r="BB32" s="1">
        <v>115610</v>
      </c>
      <c r="BC32" s="11">
        <f t="shared" si="25"/>
        <v>87</v>
      </c>
      <c r="BD32" s="1">
        <v>115697</v>
      </c>
      <c r="BE32" s="11">
        <f t="shared" si="26"/>
        <v>87</v>
      </c>
      <c r="BF32" s="1">
        <v>115783</v>
      </c>
      <c r="BG32" s="11">
        <f t="shared" si="27"/>
        <v>86</v>
      </c>
      <c r="BH32" s="1">
        <v>115872</v>
      </c>
      <c r="BI32" s="11">
        <f t="shared" si="28"/>
        <v>89</v>
      </c>
      <c r="BJ32" s="1">
        <v>115957</v>
      </c>
      <c r="BK32" s="11">
        <f t="shared" si="29"/>
        <v>85</v>
      </c>
      <c r="BL32" s="20">
        <v>116043</v>
      </c>
      <c r="BM32" s="30">
        <f t="shared" si="30"/>
        <v>86</v>
      </c>
      <c r="BN32" s="51">
        <f t="shared" si="1"/>
        <v>2607</v>
      </c>
    </row>
    <row r="33" spans="1:66" x14ac:dyDescent="0.25">
      <c r="A33" s="14">
        <v>31</v>
      </c>
      <c r="B33" s="13" t="s">
        <v>57</v>
      </c>
      <c r="C33" s="23" t="s">
        <v>58</v>
      </c>
      <c r="D33" s="25">
        <v>286842</v>
      </c>
      <c r="E33" s="9">
        <v>0</v>
      </c>
      <c r="F33" s="1">
        <v>287094</v>
      </c>
      <c r="G33" s="10">
        <f t="shared" si="0"/>
        <v>252</v>
      </c>
      <c r="H33" s="1">
        <v>287350</v>
      </c>
      <c r="I33" s="11">
        <f t="shared" si="2"/>
        <v>256</v>
      </c>
      <c r="J33" s="1">
        <v>287621</v>
      </c>
      <c r="K33" s="11">
        <f t="shared" si="3"/>
        <v>271</v>
      </c>
      <c r="L33" s="1">
        <v>287907</v>
      </c>
      <c r="M33" s="11">
        <f t="shared" si="4"/>
        <v>286</v>
      </c>
      <c r="N33" s="1">
        <v>288201</v>
      </c>
      <c r="O33" s="11">
        <f t="shared" si="5"/>
        <v>294</v>
      </c>
      <c r="P33" s="1">
        <v>288476</v>
      </c>
      <c r="Q33" s="11">
        <f t="shared" si="6"/>
        <v>275</v>
      </c>
      <c r="R33" s="1">
        <v>288733</v>
      </c>
      <c r="S33" s="11">
        <f t="shared" si="7"/>
        <v>257</v>
      </c>
      <c r="T33" s="1">
        <v>288993</v>
      </c>
      <c r="U33" s="11">
        <f t="shared" si="8"/>
        <v>260</v>
      </c>
      <c r="V33" s="1">
        <v>289274</v>
      </c>
      <c r="W33" s="11">
        <f t="shared" si="9"/>
        <v>281</v>
      </c>
      <c r="X33" s="1">
        <v>289545</v>
      </c>
      <c r="Y33" s="11">
        <f t="shared" si="10"/>
        <v>271</v>
      </c>
      <c r="Z33" s="1">
        <v>289820</v>
      </c>
      <c r="AA33" s="11">
        <f t="shared" si="11"/>
        <v>275</v>
      </c>
      <c r="AB33" s="1">
        <v>290116</v>
      </c>
      <c r="AC33" s="11">
        <f t="shared" si="32"/>
        <v>296</v>
      </c>
      <c r="AD33" s="1">
        <v>290392</v>
      </c>
      <c r="AE33" s="11">
        <f t="shared" si="13"/>
        <v>276</v>
      </c>
      <c r="AF33" s="1">
        <v>290658</v>
      </c>
      <c r="AG33" s="11">
        <f t="shared" si="14"/>
        <v>266</v>
      </c>
      <c r="AH33" s="1">
        <v>290921</v>
      </c>
      <c r="AI33" s="11">
        <f t="shared" si="15"/>
        <v>263</v>
      </c>
      <c r="AJ33" s="1">
        <v>291160</v>
      </c>
      <c r="AK33" s="11">
        <f t="shared" si="16"/>
        <v>239</v>
      </c>
      <c r="AL33" s="1">
        <v>291429</v>
      </c>
      <c r="AM33" s="11">
        <f t="shared" si="17"/>
        <v>269</v>
      </c>
      <c r="AN33" s="1">
        <v>291680</v>
      </c>
      <c r="AO33" s="11">
        <f t="shared" si="18"/>
        <v>251</v>
      </c>
      <c r="AP33" s="1">
        <v>291936</v>
      </c>
      <c r="AQ33" s="11">
        <f t="shared" si="19"/>
        <v>256</v>
      </c>
      <c r="AR33" s="1">
        <v>292211</v>
      </c>
      <c r="AS33" s="11">
        <f t="shared" si="20"/>
        <v>275</v>
      </c>
      <c r="AT33" s="1">
        <v>292472</v>
      </c>
      <c r="AU33" s="11">
        <f t="shared" si="21"/>
        <v>261</v>
      </c>
      <c r="AV33" s="1">
        <v>292739</v>
      </c>
      <c r="AW33" s="11">
        <f t="shared" si="33"/>
        <v>267</v>
      </c>
      <c r="AX33" s="1">
        <v>293002</v>
      </c>
      <c r="AY33" s="11">
        <f t="shared" si="23"/>
        <v>263</v>
      </c>
      <c r="AZ33" s="1">
        <v>293268</v>
      </c>
      <c r="BA33" s="11">
        <f t="shared" si="24"/>
        <v>266</v>
      </c>
      <c r="BB33" s="1">
        <v>293573</v>
      </c>
      <c r="BC33" s="11">
        <f t="shared" si="25"/>
        <v>305</v>
      </c>
      <c r="BD33" s="1">
        <v>293853</v>
      </c>
      <c r="BE33" s="11">
        <f t="shared" si="26"/>
        <v>280</v>
      </c>
      <c r="BF33" s="1">
        <v>294153</v>
      </c>
      <c r="BG33" s="11">
        <f t="shared" si="27"/>
        <v>300</v>
      </c>
      <c r="BH33" s="1">
        <v>294447</v>
      </c>
      <c r="BI33" s="11">
        <f t="shared" si="28"/>
        <v>294</v>
      </c>
      <c r="BJ33" s="1">
        <v>294738</v>
      </c>
      <c r="BK33" s="11">
        <f t="shared" si="29"/>
        <v>291</v>
      </c>
      <c r="BL33" s="20">
        <v>295045</v>
      </c>
      <c r="BM33" s="30">
        <f t="shared" si="30"/>
        <v>307</v>
      </c>
      <c r="BN33" s="51">
        <f t="shared" si="1"/>
        <v>8203</v>
      </c>
    </row>
    <row r="34" spans="1:66" ht="15.75" thickBot="1" x14ac:dyDescent="0.3">
      <c r="A34" s="15">
        <v>32</v>
      </c>
      <c r="B34" s="13" t="s">
        <v>59</v>
      </c>
      <c r="C34" s="23" t="s">
        <v>60</v>
      </c>
      <c r="D34" s="25">
        <v>1433006</v>
      </c>
      <c r="E34" s="9">
        <v>0</v>
      </c>
      <c r="F34" s="1">
        <v>1433506</v>
      </c>
      <c r="G34" s="10">
        <f t="shared" si="0"/>
        <v>500</v>
      </c>
      <c r="H34" s="1">
        <v>1434057</v>
      </c>
      <c r="I34" s="11">
        <f t="shared" si="2"/>
        <v>551</v>
      </c>
      <c r="J34" s="1">
        <v>1434696</v>
      </c>
      <c r="K34" s="11">
        <f t="shared" si="3"/>
        <v>639</v>
      </c>
      <c r="L34" s="1">
        <v>1435636</v>
      </c>
      <c r="M34" s="11">
        <f t="shared" si="4"/>
        <v>940</v>
      </c>
      <c r="N34" s="1">
        <v>1436617</v>
      </c>
      <c r="O34" s="11">
        <f t="shared" si="5"/>
        <v>981</v>
      </c>
      <c r="P34" s="1">
        <v>1437368</v>
      </c>
      <c r="Q34" s="11">
        <f t="shared" si="6"/>
        <v>751</v>
      </c>
      <c r="R34" s="1">
        <v>1438290</v>
      </c>
      <c r="S34" s="11">
        <f t="shared" si="7"/>
        <v>922</v>
      </c>
      <c r="T34" s="1">
        <v>1439118</v>
      </c>
      <c r="U34" s="11">
        <f t="shared" si="8"/>
        <v>828</v>
      </c>
      <c r="V34" s="1">
        <v>1439853</v>
      </c>
      <c r="W34" s="11">
        <f t="shared" si="9"/>
        <v>735</v>
      </c>
      <c r="X34" s="1">
        <v>1440482</v>
      </c>
      <c r="Y34" s="11">
        <f t="shared" si="10"/>
        <v>629</v>
      </c>
      <c r="Z34" s="1">
        <v>1441078</v>
      </c>
      <c r="AA34" s="11">
        <f t="shared" si="11"/>
        <v>596</v>
      </c>
      <c r="AB34" s="1">
        <v>1441662</v>
      </c>
      <c r="AC34" s="11">
        <f t="shared" si="32"/>
        <v>584</v>
      </c>
      <c r="AD34" s="1">
        <v>1442275</v>
      </c>
      <c r="AE34" s="11">
        <f t="shared" si="13"/>
        <v>613</v>
      </c>
      <c r="AF34" s="1">
        <v>1442836</v>
      </c>
      <c r="AG34" s="11">
        <f t="shared" si="14"/>
        <v>561</v>
      </c>
      <c r="AH34" s="1">
        <v>1443426</v>
      </c>
      <c r="AI34" s="11">
        <f t="shared" si="15"/>
        <v>590</v>
      </c>
      <c r="AJ34" s="1">
        <v>1444083</v>
      </c>
      <c r="AK34" s="11">
        <f t="shared" si="16"/>
        <v>657</v>
      </c>
      <c r="AL34" s="1">
        <v>1444860</v>
      </c>
      <c r="AM34" s="11">
        <f t="shared" si="17"/>
        <v>777</v>
      </c>
      <c r="AN34" s="1">
        <v>1445736</v>
      </c>
      <c r="AO34" s="11">
        <f t="shared" si="18"/>
        <v>876</v>
      </c>
      <c r="AP34" s="1">
        <v>1446774</v>
      </c>
      <c r="AQ34" s="11">
        <f t="shared" si="19"/>
        <v>1038</v>
      </c>
      <c r="AR34" s="1">
        <v>1447778</v>
      </c>
      <c r="AS34" s="11">
        <f t="shared" si="20"/>
        <v>1004</v>
      </c>
      <c r="AT34" s="1">
        <v>1448735</v>
      </c>
      <c r="AU34" s="11">
        <f t="shared" si="21"/>
        <v>957</v>
      </c>
      <c r="AV34" s="1">
        <v>1449396</v>
      </c>
      <c r="AW34" s="11">
        <f t="shared" si="33"/>
        <v>661</v>
      </c>
      <c r="AX34" s="1">
        <v>1450007</v>
      </c>
      <c r="AY34" s="11">
        <f t="shared" si="23"/>
        <v>611</v>
      </c>
      <c r="AZ34" s="1">
        <v>1450632</v>
      </c>
      <c r="BA34" s="11">
        <f t="shared" si="24"/>
        <v>625</v>
      </c>
      <c r="BB34" s="1">
        <v>1451283</v>
      </c>
      <c r="BC34" s="11">
        <f t="shared" si="25"/>
        <v>651</v>
      </c>
      <c r="BD34" s="1">
        <v>1452055</v>
      </c>
      <c r="BE34" s="11">
        <f t="shared" si="26"/>
        <v>772</v>
      </c>
      <c r="BF34" s="1">
        <v>1452995</v>
      </c>
      <c r="BG34" s="11">
        <f t="shared" si="27"/>
        <v>940</v>
      </c>
      <c r="BH34" s="1">
        <v>1454175</v>
      </c>
      <c r="BI34" s="11">
        <f t="shared" si="28"/>
        <v>1180</v>
      </c>
      <c r="BJ34" s="1">
        <v>1455376</v>
      </c>
      <c r="BK34" s="11">
        <f t="shared" si="29"/>
        <v>1201</v>
      </c>
      <c r="BL34" s="20">
        <v>1456427</v>
      </c>
      <c r="BM34" s="30">
        <f t="shared" si="30"/>
        <v>1051</v>
      </c>
      <c r="BN34" s="43">
        <f t="shared" si="1"/>
        <v>23421</v>
      </c>
    </row>
    <row r="35" spans="1:66" x14ac:dyDescent="0.25">
      <c r="A35" s="14">
        <v>33</v>
      </c>
      <c r="B35" s="13" t="s">
        <v>61</v>
      </c>
      <c r="C35" s="23" t="s">
        <v>62</v>
      </c>
      <c r="D35" s="25">
        <v>13353</v>
      </c>
      <c r="E35" s="9">
        <v>0</v>
      </c>
      <c r="F35" s="1">
        <v>13354</v>
      </c>
      <c r="G35" s="10">
        <f t="shared" ref="G35:G52" si="34">F35-D35</f>
        <v>1</v>
      </c>
      <c r="H35" s="1">
        <v>13355</v>
      </c>
      <c r="I35" s="11">
        <f t="shared" si="2"/>
        <v>1</v>
      </c>
      <c r="J35" s="1">
        <v>13357</v>
      </c>
      <c r="K35" s="11">
        <f t="shared" si="3"/>
        <v>2</v>
      </c>
      <c r="L35" s="1">
        <v>13358</v>
      </c>
      <c r="M35" s="11">
        <f t="shared" si="4"/>
        <v>1</v>
      </c>
      <c r="N35" s="1">
        <v>13360</v>
      </c>
      <c r="O35" s="11">
        <f t="shared" si="5"/>
        <v>2</v>
      </c>
      <c r="P35" s="1">
        <v>13361</v>
      </c>
      <c r="Q35" s="11">
        <f t="shared" si="6"/>
        <v>1</v>
      </c>
      <c r="R35" s="1">
        <v>13362</v>
      </c>
      <c r="S35" s="11">
        <f t="shared" si="7"/>
        <v>1</v>
      </c>
      <c r="T35" s="1">
        <v>13364</v>
      </c>
      <c r="U35" s="11">
        <f t="shared" si="8"/>
        <v>2</v>
      </c>
      <c r="V35" s="1">
        <v>13365</v>
      </c>
      <c r="W35" s="11">
        <f t="shared" si="9"/>
        <v>1</v>
      </c>
      <c r="X35" s="1">
        <v>13366</v>
      </c>
      <c r="Y35" s="11">
        <f t="shared" si="10"/>
        <v>1</v>
      </c>
      <c r="Z35" s="1">
        <v>13367</v>
      </c>
      <c r="AA35" s="11">
        <f t="shared" si="11"/>
        <v>1</v>
      </c>
      <c r="AB35" s="1">
        <v>13368</v>
      </c>
      <c r="AC35" s="11">
        <f t="shared" si="32"/>
        <v>1</v>
      </c>
      <c r="AD35" s="1">
        <v>13368</v>
      </c>
      <c r="AE35" s="11">
        <f t="shared" si="13"/>
        <v>0</v>
      </c>
      <c r="AF35" s="1">
        <v>13369</v>
      </c>
      <c r="AG35" s="11">
        <f t="shared" si="14"/>
        <v>1</v>
      </c>
      <c r="AH35" s="1">
        <v>13369</v>
      </c>
      <c r="AI35" s="11">
        <f t="shared" si="15"/>
        <v>0</v>
      </c>
      <c r="AJ35" s="1">
        <v>13369</v>
      </c>
      <c r="AK35" s="11">
        <f t="shared" si="16"/>
        <v>0</v>
      </c>
      <c r="AL35" s="1">
        <v>13370</v>
      </c>
      <c r="AM35" s="11">
        <f t="shared" si="17"/>
        <v>1</v>
      </c>
      <c r="AN35" s="1">
        <v>13372</v>
      </c>
      <c r="AO35" s="11">
        <f t="shared" si="18"/>
        <v>2</v>
      </c>
      <c r="AP35" s="1">
        <v>13373</v>
      </c>
      <c r="AQ35" s="11">
        <f t="shared" si="19"/>
        <v>1</v>
      </c>
      <c r="AR35" s="1">
        <v>13375</v>
      </c>
      <c r="AS35" s="11">
        <f t="shared" si="20"/>
        <v>2</v>
      </c>
      <c r="AT35" s="1">
        <v>13378</v>
      </c>
      <c r="AU35" s="11">
        <f t="shared" si="21"/>
        <v>3</v>
      </c>
      <c r="AV35" s="1">
        <v>13381</v>
      </c>
      <c r="AW35" s="11">
        <f t="shared" si="33"/>
        <v>3</v>
      </c>
      <c r="AX35" s="1">
        <v>13382</v>
      </c>
      <c r="AY35" s="11">
        <f t="shared" si="23"/>
        <v>1</v>
      </c>
      <c r="AZ35" s="1">
        <v>13383</v>
      </c>
      <c r="BA35" s="11">
        <f t="shared" si="24"/>
        <v>1</v>
      </c>
      <c r="BB35" s="1">
        <v>13383</v>
      </c>
      <c r="BC35" s="11">
        <f t="shared" si="25"/>
        <v>0</v>
      </c>
      <c r="BD35" s="1">
        <v>13384</v>
      </c>
      <c r="BE35" s="11">
        <f t="shared" si="26"/>
        <v>1</v>
      </c>
      <c r="BF35" s="1">
        <v>13387</v>
      </c>
      <c r="BG35" s="11">
        <f t="shared" si="27"/>
        <v>3</v>
      </c>
      <c r="BH35" s="1">
        <v>13391</v>
      </c>
      <c r="BI35" s="11">
        <f t="shared" si="28"/>
        <v>4</v>
      </c>
      <c r="BJ35" s="1">
        <v>13394</v>
      </c>
      <c r="BK35" s="11">
        <f t="shared" si="29"/>
        <v>3</v>
      </c>
      <c r="BL35" s="20">
        <v>13401</v>
      </c>
      <c r="BM35" s="30">
        <f t="shared" si="30"/>
        <v>7</v>
      </c>
      <c r="BN35" s="45">
        <f t="shared" ref="BN35:BN52" si="35">BL35-D35</f>
        <v>48</v>
      </c>
    </row>
    <row r="36" spans="1:66" ht="15.75" thickBot="1" x14ac:dyDescent="0.3">
      <c r="A36" s="15">
        <v>34</v>
      </c>
      <c r="B36" s="13" t="s">
        <v>63</v>
      </c>
      <c r="C36" s="23" t="s">
        <v>64</v>
      </c>
      <c r="D36" s="25">
        <v>490861</v>
      </c>
      <c r="E36" s="9">
        <v>0</v>
      </c>
      <c r="F36" s="1">
        <v>490878</v>
      </c>
      <c r="G36" s="10">
        <f t="shared" si="34"/>
        <v>17</v>
      </c>
      <c r="H36" s="1">
        <v>490896</v>
      </c>
      <c r="I36" s="11">
        <f t="shared" si="2"/>
        <v>18</v>
      </c>
      <c r="J36" s="1">
        <v>490914</v>
      </c>
      <c r="K36" s="11">
        <f t="shared" si="3"/>
        <v>18</v>
      </c>
      <c r="L36" s="1">
        <v>490932</v>
      </c>
      <c r="M36" s="11">
        <f t="shared" si="4"/>
        <v>18</v>
      </c>
      <c r="N36" s="1">
        <v>490950</v>
      </c>
      <c r="O36" s="11">
        <f t="shared" si="5"/>
        <v>18</v>
      </c>
      <c r="P36" s="1">
        <v>490968</v>
      </c>
      <c r="Q36" s="11">
        <f t="shared" si="6"/>
        <v>18</v>
      </c>
      <c r="R36" s="1">
        <v>490986</v>
      </c>
      <c r="S36" s="11">
        <f t="shared" si="7"/>
        <v>18</v>
      </c>
      <c r="T36" s="1">
        <v>491003</v>
      </c>
      <c r="U36" s="11">
        <f t="shared" si="8"/>
        <v>17</v>
      </c>
      <c r="V36" s="1">
        <v>491022</v>
      </c>
      <c r="W36" s="11">
        <f t="shared" si="9"/>
        <v>19</v>
      </c>
      <c r="X36" s="1">
        <v>491040</v>
      </c>
      <c r="Y36" s="11">
        <f t="shared" si="10"/>
        <v>18</v>
      </c>
      <c r="Z36" s="1">
        <v>491058</v>
      </c>
      <c r="AA36" s="11">
        <f t="shared" si="11"/>
        <v>18</v>
      </c>
      <c r="AB36" s="1">
        <v>491077</v>
      </c>
      <c r="AC36" s="11">
        <f t="shared" si="32"/>
        <v>19</v>
      </c>
      <c r="AD36" s="1">
        <v>491095</v>
      </c>
      <c r="AE36" s="11">
        <f t="shared" si="13"/>
        <v>18</v>
      </c>
      <c r="AF36" s="1">
        <v>491112</v>
      </c>
      <c r="AG36" s="11">
        <f t="shared" si="14"/>
        <v>17</v>
      </c>
      <c r="AH36" s="1">
        <v>491129</v>
      </c>
      <c r="AI36" s="11">
        <f t="shared" si="15"/>
        <v>17</v>
      </c>
      <c r="AJ36" s="1">
        <v>491147</v>
      </c>
      <c r="AK36" s="11">
        <f t="shared" si="16"/>
        <v>18</v>
      </c>
      <c r="AL36" s="1">
        <v>491165</v>
      </c>
      <c r="AM36" s="11">
        <f t="shared" si="17"/>
        <v>18</v>
      </c>
      <c r="AN36" s="1">
        <v>491183</v>
      </c>
      <c r="AO36" s="11">
        <f t="shared" si="18"/>
        <v>18</v>
      </c>
      <c r="AP36" s="1">
        <v>491200</v>
      </c>
      <c r="AQ36" s="11">
        <f t="shared" si="19"/>
        <v>17</v>
      </c>
      <c r="AR36" s="1">
        <v>491219</v>
      </c>
      <c r="AS36" s="11">
        <f t="shared" si="20"/>
        <v>19</v>
      </c>
      <c r="AT36" s="1">
        <v>491237</v>
      </c>
      <c r="AU36" s="11">
        <f t="shared" si="21"/>
        <v>18</v>
      </c>
      <c r="AV36" s="1">
        <v>491255</v>
      </c>
      <c r="AW36" s="11">
        <f t="shared" si="33"/>
        <v>18</v>
      </c>
      <c r="AX36" s="1">
        <v>491272</v>
      </c>
      <c r="AY36" s="11">
        <f t="shared" si="23"/>
        <v>17</v>
      </c>
      <c r="AZ36" s="1">
        <v>491290</v>
      </c>
      <c r="BA36" s="11">
        <f t="shared" si="24"/>
        <v>18</v>
      </c>
      <c r="BB36" s="1">
        <v>491308</v>
      </c>
      <c r="BC36" s="11">
        <f t="shared" si="25"/>
        <v>18</v>
      </c>
      <c r="BD36" s="1">
        <v>491326</v>
      </c>
      <c r="BE36" s="11">
        <f t="shared" si="26"/>
        <v>18</v>
      </c>
      <c r="BF36" s="1">
        <v>491344</v>
      </c>
      <c r="BG36" s="11">
        <f t="shared" si="27"/>
        <v>18</v>
      </c>
      <c r="BH36" s="1">
        <v>491362</v>
      </c>
      <c r="BI36" s="11">
        <f t="shared" si="28"/>
        <v>18</v>
      </c>
      <c r="BJ36" s="1">
        <v>491380</v>
      </c>
      <c r="BK36" s="11">
        <f t="shared" si="29"/>
        <v>18</v>
      </c>
      <c r="BL36" s="20">
        <v>491398</v>
      </c>
      <c r="BM36" s="30">
        <f t="shared" si="30"/>
        <v>18</v>
      </c>
      <c r="BN36" s="48">
        <f t="shared" si="35"/>
        <v>537</v>
      </c>
    </row>
    <row r="37" spans="1:66" x14ac:dyDescent="0.25">
      <c r="A37" s="14">
        <v>35</v>
      </c>
      <c r="B37" s="13" t="s">
        <v>65</v>
      </c>
      <c r="C37" s="23" t="s">
        <v>67</v>
      </c>
      <c r="D37" s="25">
        <v>844679</v>
      </c>
      <c r="E37" s="9">
        <v>0</v>
      </c>
      <c r="F37" s="1">
        <v>845376</v>
      </c>
      <c r="G37" s="10">
        <f t="shared" si="34"/>
        <v>697</v>
      </c>
      <c r="H37" s="1">
        <v>845992</v>
      </c>
      <c r="I37" s="11">
        <f t="shared" si="2"/>
        <v>616</v>
      </c>
      <c r="J37" s="1">
        <v>846692</v>
      </c>
      <c r="K37" s="11">
        <f t="shared" si="3"/>
        <v>700</v>
      </c>
      <c r="L37" s="1">
        <v>847365</v>
      </c>
      <c r="M37" s="11">
        <f t="shared" si="4"/>
        <v>673</v>
      </c>
      <c r="N37" s="1">
        <v>847985</v>
      </c>
      <c r="O37" s="11">
        <f t="shared" si="5"/>
        <v>620</v>
      </c>
      <c r="P37" s="1">
        <v>848626</v>
      </c>
      <c r="Q37" s="11">
        <f t="shared" si="6"/>
        <v>641</v>
      </c>
      <c r="R37" s="1">
        <v>849333</v>
      </c>
      <c r="S37" s="11">
        <f t="shared" si="7"/>
        <v>707</v>
      </c>
      <c r="T37" s="1">
        <v>849958</v>
      </c>
      <c r="U37" s="11">
        <f t="shared" si="8"/>
        <v>625</v>
      </c>
      <c r="V37" s="1">
        <v>850683</v>
      </c>
      <c r="W37" s="11">
        <f t="shared" si="9"/>
        <v>725</v>
      </c>
      <c r="X37" s="1">
        <v>851417</v>
      </c>
      <c r="Y37" s="11">
        <f t="shared" si="10"/>
        <v>734</v>
      </c>
      <c r="Z37" s="1">
        <v>852132</v>
      </c>
      <c r="AA37" s="11">
        <f t="shared" si="11"/>
        <v>715</v>
      </c>
      <c r="AB37" s="73">
        <v>852763</v>
      </c>
      <c r="AC37" s="11">
        <f t="shared" si="32"/>
        <v>631</v>
      </c>
      <c r="AD37" s="73">
        <v>853525</v>
      </c>
      <c r="AE37" s="11">
        <f t="shared" si="13"/>
        <v>762</v>
      </c>
      <c r="AF37" s="73">
        <v>854214</v>
      </c>
      <c r="AG37" s="11">
        <f t="shared" si="14"/>
        <v>689</v>
      </c>
      <c r="AH37" s="1">
        <v>854862</v>
      </c>
      <c r="AI37" s="11">
        <f t="shared" si="15"/>
        <v>648</v>
      </c>
      <c r="AJ37" s="1">
        <v>855578</v>
      </c>
      <c r="AK37" s="11">
        <f t="shared" si="16"/>
        <v>716</v>
      </c>
      <c r="AL37" s="1">
        <v>856335</v>
      </c>
      <c r="AM37" s="11">
        <f t="shared" si="17"/>
        <v>757</v>
      </c>
      <c r="AN37" s="1">
        <v>856994</v>
      </c>
      <c r="AO37" s="11">
        <f t="shared" si="18"/>
        <v>659</v>
      </c>
      <c r="AP37" s="1">
        <v>857714</v>
      </c>
      <c r="AQ37" s="11">
        <f t="shared" si="19"/>
        <v>720</v>
      </c>
      <c r="AR37" s="1">
        <v>858521</v>
      </c>
      <c r="AS37" s="11">
        <f>AR37-AP37</f>
        <v>807</v>
      </c>
      <c r="AT37" s="1">
        <v>859306</v>
      </c>
      <c r="AU37" s="11">
        <f>AT37-AR37</f>
        <v>785</v>
      </c>
      <c r="AV37" s="1">
        <v>860153</v>
      </c>
      <c r="AW37" s="11">
        <f t="shared" si="33"/>
        <v>847</v>
      </c>
      <c r="AX37" s="1">
        <v>860979</v>
      </c>
      <c r="AY37" s="11">
        <f t="shared" si="23"/>
        <v>826</v>
      </c>
      <c r="AZ37" s="1">
        <v>861751</v>
      </c>
      <c r="BA37" s="11">
        <f t="shared" si="24"/>
        <v>772</v>
      </c>
      <c r="BB37" s="1">
        <v>862462</v>
      </c>
      <c r="BC37" s="11">
        <f t="shared" si="25"/>
        <v>711</v>
      </c>
      <c r="BD37" s="1">
        <v>863269</v>
      </c>
      <c r="BE37" s="11">
        <f t="shared" si="26"/>
        <v>807</v>
      </c>
      <c r="BF37" s="1">
        <v>864077</v>
      </c>
      <c r="BG37" s="11">
        <f t="shared" si="27"/>
        <v>808</v>
      </c>
      <c r="BH37" s="1">
        <v>864967</v>
      </c>
      <c r="BI37" s="11">
        <f t="shared" si="28"/>
        <v>890</v>
      </c>
      <c r="BJ37" s="1">
        <v>865824</v>
      </c>
      <c r="BK37" s="11">
        <f t="shared" si="29"/>
        <v>857</v>
      </c>
      <c r="BL37" s="20">
        <v>866569</v>
      </c>
      <c r="BM37" s="30">
        <f t="shared" si="30"/>
        <v>745</v>
      </c>
      <c r="BN37" s="44">
        <f t="shared" si="35"/>
        <v>21890</v>
      </c>
    </row>
    <row r="38" spans="1:66" ht="15.75" thickBot="1" x14ac:dyDescent="0.3">
      <c r="A38" s="15">
        <v>36</v>
      </c>
      <c r="B38" s="13" t="s">
        <v>68</v>
      </c>
      <c r="C38" s="23" t="s">
        <v>66</v>
      </c>
      <c r="D38" s="25">
        <v>13342</v>
      </c>
      <c r="E38" s="9">
        <v>0</v>
      </c>
      <c r="F38" s="1">
        <v>13346</v>
      </c>
      <c r="G38" s="10">
        <f t="shared" si="34"/>
        <v>4</v>
      </c>
      <c r="H38" s="1">
        <v>13358</v>
      </c>
      <c r="I38" s="11">
        <f t="shared" si="2"/>
        <v>12</v>
      </c>
      <c r="J38" s="1">
        <v>13366</v>
      </c>
      <c r="K38" s="11">
        <f t="shared" si="3"/>
        <v>8</v>
      </c>
      <c r="L38" s="1">
        <v>13380</v>
      </c>
      <c r="M38" s="11">
        <f t="shared" si="4"/>
        <v>14</v>
      </c>
      <c r="N38" s="1">
        <v>13392</v>
      </c>
      <c r="O38" s="11">
        <f t="shared" si="5"/>
        <v>12</v>
      </c>
      <c r="P38" s="1">
        <v>13402</v>
      </c>
      <c r="Q38" s="11">
        <f t="shared" si="6"/>
        <v>10</v>
      </c>
      <c r="R38" s="1">
        <v>13413</v>
      </c>
      <c r="S38" s="11">
        <f t="shared" si="7"/>
        <v>11</v>
      </c>
      <c r="T38" s="1">
        <v>13420</v>
      </c>
      <c r="U38" s="11">
        <f t="shared" si="8"/>
        <v>7</v>
      </c>
      <c r="V38" s="1">
        <v>13433</v>
      </c>
      <c r="W38" s="11">
        <f t="shared" si="9"/>
        <v>13</v>
      </c>
      <c r="X38" s="1">
        <v>13446</v>
      </c>
      <c r="Y38" s="11">
        <f t="shared" si="10"/>
        <v>13</v>
      </c>
      <c r="Z38" s="1">
        <v>13456</v>
      </c>
      <c r="AA38" s="11">
        <f t="shared" si="11"/>
        <v>10</v>
      </c>
      <c r="AB38" s="73">
        <v>13469</v>
      </c>
      <c r="AC38" s="11">
        <f t="shared" si="32"/>
        <v>13</v>
      </c>
      <c r="AD38" s="73">
        <v>13479</v>
      </c>
      <c r="AE38" s="11">
        <f t="shared" si="13"/>
        <v>10</v>
      </c>
      <c r="AF38" s="73">
        <v>13488</v>
      </c>
      <c r="AG38" s="11">
        <f t="shared" si="14"/>
        <v>9</v>
      </c>
      <c r="AH38" s="1">
        <v>13498</v>
      </c>
      <c r="AI38" s="11">
        <f t="shared" si="15"/>
        <v>10</v>
      </c>
      <c r="AJ38" s="1">
        <v>13516</v>
      </c>
      <c r="AK38" s="11">
        <f t="shared" si="16"/>
        <v>18</v>
      </c>
      <c r="AL38" s="1">
        <v>13529</v>
      </c>
      <c r="AM38" s="11">
        <f t="shared" si="17"/>
        <v>13</v>
      </c>
      <c r="AN38" s="1">
        <v>13539</v>
      </c>
      <c r="AO38" s="11">
        <f t="shared" si="18"/>
        <v>10</v>
      </c>
      <c r="AP38" s="1">
        <v>13549</v>
      </c>
      <c r="AQ38" s="11">
        <f t="shared" si="19"/>
        <v>10</v>
      </c>
      <c r="AR38" s="1">
        <v>13566</v>
      </c>
      <c r="AS38" s="11">
        <f>AR38-AP38</f>
        <v>17</v>
      </c>
      <c r="AT38" s="1">
        <v>13576</v>
      </c>
      <c r="AU38" s="11">
        <f>AT38-AR38</f>
        <v>10</v>
      </c>
      <c r="AV38" s="1">
        <v>13589</v>
      </c>
      <c r="AW38" s="11">
        <f t="shared" si="33"/>
        <v>13</v>
      </c>
      <c r="AX38" s="1">
        <v>13595</v>
      </c>
      <c r="AY38" s="11">
        <f t="shared" si="23"/>
        <v>6</v>
      </c>
      <c r="AZ38" s="1">
        <v>13604</v>
      </c>
      <c r="BA38" s="11">
        <f t="shared" si="24"/>
        <v>9</v>
      </c>
      <c r="BB38" s="1">
        <v>13619</v>
      </c>
      <c r="BC38" s="11">
        <f t="shared" si="25"/>
        <v>15</v>
      </c>
      <c r="BD38" s="1">
        <v>13633</v>
      </c>
      <c r="BE38" s="11">
        <f t="shared" si="26"/>
        <v>14</v>
      </c>
      <c r="BF38" s="1">
        <v>13646</v>
      </c>
      <c r="BG38" s="11">
        <f t="shared" si="27"/>
        <v>13</v>
      </c>
      <c r="BH38" s="1">
        <v>13668</v>
      </c>
      <c r="BI38" s="11">
        <f t="shared" si="28"/>
        <v>22</v>
      </c>
      <c r="BJ38" s="1">
        <v>13681</v>
      </c>
      <c r="BK38" s="11">
        <f t="shared" si="29"/>
        <v>13</v>
      </c>
      <c r="BL38" s="20">
        <v>13687</v>
      </c>
      <c r="BM38" s="30">
        <f t="shared" si="30"/>
        <v>6</v>
      </c>
      <c r="BN38" s="44">
        <f t="shared" si="35"/>
        <v>345</v>
      </c>
    </row>
    <row r="39" spans="1:66" x14ac:dyDescent="0.25">
      <c r="A39" s="79">
        <v>37</v>
      </c>
      <c r="B39" s="80" t="s">
        <v>69</v>
      </c>
      <c r="C39" s="81" t="s">
        <v>70</v>
      </c>
      <c r="D39" s="82">
        <v>43207</v>
      </c>
      <c r="E39" s="83">
        <v>0</v>
      </c>
      <c r="F39" s="85">
        <v>43222</v>
      </c>
      <c r="G39" s="84">
        <f t="shared" si="34"/>
        <v>15</v>
      </c>
      <c r="H39" s="85">
        <v>43238</v>
      </c>
      <c r="I39" s="86">
        <f t="shared" si="2"/>
        <v>16</v>
      </c>
      <c r="J39" s="85">
        <v>43253</v>
      </c>
      <c r="K39" s="86">
        <f t="shared" si="3"/>
        <v>15</v>
      </c>
      <c r="L39" s="1">
        <v>43280</v>
      </c>
      <c r="M39" s="86">
        <f t="shared" si="4"/>
        <v>27</v>
      </c>
      <c r="N39" s="85">
        <v>43284</v>
      </c>
      <c r="O39" s="86">
        <f t="shared" si="5"/>
        <v>4</v>
      </c>
      <c r="P39" s="85">
        <v>43300</v>
      </c>
      <c r="Q39" s="86">
        <f t="shared" si="6"/>
        <v>16</v>
      </c>
      <c r="R39" s="85">
        <v>43315</v>
      </c>
      <c r="S39" s="86">
        <f t="shared" si="7"/>
        <v>15</v>
      </c>
      <c r="T39" s="85">
        <v>43330</v>
      </c>
      <c r="U39" s="86">
        <f t="shared" si="8"/>
        <v>15</v>
      </c>
      <c r="V39" s="85">
        <v>43346</v>
      </c>
      <c r="W39" s="86">
        <f t="shared" si="9"/>
        <v>16</v>
      </c>
      <c r="X39" s="85">
        <v>43361</v>
      </c>
      <c r="Y39" s="86">
        <f t="shared" si="10"/>
        <v>15</v>
      </c>
      <c r="Z39" s="85">
        <v>43377</v>
      </c>
      <c r="AA39" s="86">
        <f t="shared" si="11"/>
        <v>16</v>
      </c>
      <c r="AB39" s="85">
        <v>43392</v>
      </c>
      <c r="AC39" s="86">
        <f t="shared" si="32"/>
        <v>15</v>
      </c>
      <c r="AD39" s="85">
        <v>43408</v>
      </c>
      <c r="AE39" s="86">
        <f t="shared" si="13"/>
        <v>16</v>
      </c>
      <c r="AF39" s="85">
        <v>43423</v>
      </c>
      <c r="AG39" s="86">
        <f t="shared" si="14"/>
        <v>15</v>
      </c>
      <c r="AH39" s="85">
        <v>43438</v>
      </c>
      <c r="AI39" s="86">
        <f t="shared" si="15"/>
        <v>15</v>
      </c>
      <c r="AJ39" s="85">
        <v>43453</v>
      </c>
      <c r="AK39" s="86">
        <f t="shared" si="16"/>
        <v>15</v>
      </c>
      <c r="AL39" s="85">
        <v>43468</v>
      </c>
      <c r="AM39" s="86">
        <f t="shared" si="17"/>
        <v>15</v>
      </c>
      <c r="AN39" s="85">
        <v>43483</v>
      </c>
      <c r="AO39" s="86">
        <f t="shared" si="18"/>
        <v>15</v>
      </c>
      <c r="AP39" s="85">
        <v>43499</v>
      </c>
      <c r="AQ39" s="86">
        <f t="shared" si="19"/>
        <v>16</v>
      </c>
      <c r="AR39" s="85">
        <v>43514</v>
      </c>
      <c r="AS39" s="86">
        <f t="shared" si="20"/>
        <v>15</v>
      </c>
      <c r="AT39" s="85">
        <v>43529</v>
      </c>
      <c r="AU39" s="86">
        <f t="shared" si="21"/>
        <v>15</v>
      </c>
      <c r="AV39" s="85">
        <v>43544</v>
      </c>
      <c r="AW39" s="86">
        <f t="shared" si="33"/>
        <v>15</v>
      </c>
      <c r="AX39" s="85">
        <v>43555</v>
      </c>
      <c r="AY39" s="86">
        <f t="shared" si="23"/>
        <v>11</v>
      </c>
      <c r="AZ39" s="85">
        <v>43574</v>
      </c>
      <c r="BA39" s="86">
        <f t="shared" si="24"/>
        <v>19</v>
      </c>
      <c r="BB39" s="85">
        <v>43590</v>
      </c>
      <c r="BC39" s="86">
        <f t="shared" si="25"/>
        <v>16</v>
      </c>
      <c r="BD39" s="85">
        <v>43605</v>
      </c>
      <c r="BE39" s="86">
        <f t="shared" si="26"/>
        <v>15</v>
      </c>
      <c r="BF39" s="85">
        <v>43620</v>
      </c>
      <c r="BG39" s="86">
        <f t="shared" si="27"/>
        <v>15</v>
      </c>
      <c r="BH39" s="85">
        <v>43635</v>
      </c>
      <c r="BI39" s="86">
        <f t="shared" si="28"/>
        <v>15</v>
      </c>
      <c r="BJ39" s="85">
        <v>43650</v>
      </c>
      <c r="BK39" s="86">
        <f t="shared" si="29"/>
        <v>15</v>
      </c>
      <c r="BL39" s="87">
        <v>43665</v>
      </c>
      <c r="BM39" s="88">
        <f t="shared" si="30"/>
        <v>15</v>
      </c>
      <c r="BN39" s="48">
        <f t="shared" si="35"/>
        <v>458</v>
      </c>
    </row>
    <row r="40" spans="1:66" ht="15.75" thickBot="1" x14ac:dyDescent="0.3">
      <c r="A40" s="15">
        <v>38</v>
      </c>
      <c r="B40" s="13" t="s">
        <v>71</v>
      </c>
      <c r="C40" s="23" t="s">
        <v>72</v>
      </c>
      <c r="D40" s="25">
        <v>42282</v>
      </c>
      <c r="E40" s="9">
        <v>0</v>
      </c>
      <c r="F40" s="1">
        <v>42319</v>
      </c>
      <c r="G40" s="10">
        <f t="shared" si="34"/>
        <v>37</v>
      </c>
      <c r="H40" s="1">
        <v>42358</v>
      </c>
      <c r="I40" s="11">
        <f t="shared" si="2"/>
        <v>39</v>
      </c>
      <c r="J40" s="1">
        <v>42401</v>
      </c>
      <c r="K40" s="11">
        <f t="shared" si="3"/>
        <v>43</v>
      </c>
      <c r="L40" s="1">
        <v>42445</v>
      </c>
      <c r="M40" s="11">
        <f t="shared" si="4"/>
        <v>44</v>
      </c>
      <c r="N40" s="1">
        <v>42488</v>
      </c>
      <c r="O40" s="11">
        <f t="shared" si="5"/>
        <v>43</v>
      </c>
      <c r="P40" s="1">
        <v>42531</v>
      </c>
      <c r="Q40" s="11">
        <f t="shared" si="6"/>
        <v>43</v>
      </c>
      <c r="R40" s="1">
        <v>42576</v>
      </c>
      <c r="S40" s="11">
        <f t="shared" si="7"/>
        <v>45</v>
      </c>
      <c r="T40" s="1">
        <v>42618</v>
      </c>
      <c r="U40" s="11">
        <f t="shared" si="8"/>
        <v>42</v>
      </c>
      <c r="V40" s="1">
        <v>42668</v>
      </c>
      <c r="W40" s="11">
        <f t="shared" si="9"/>
        <v>50</v>
      </c>
      <c r="X40" s="1">
        <v>42713</v>
      </c>
      <c r="Y40" s="11">
        <f t="shared" si="10"/>
        <v>45</v>
      </c>
      <c r="Z40" s="1">
        <v>42761</v>
      </c>
      <c r="AA40" s="11">
        <f t="shared" si="11"/>
        <v>48</v>
      </c>
      <c r="AB40" s="73">
        <v>42808</v>
      </c>
      <c r="AC40" s="11">
        <f t="shared" si="32"/>
        <v>47</v>
      </c>
      <c r="AD40" s="73">
        <v>42858</v>
      </c>
      <c r="AE40" s="11">
        <f t="shared" si="13"/>
        <v>50</v>
      </c>
      <c r="AF40" s="73">
        <v>42900</v>
      </c>
      <c r="AG40" s="11">
        <f t="shared" si="14"/>
        <v>42</v>
      </c>
      <c r="AH40" s="1">
        <v>42993</v>
      </c>
      <c r="AI40" s="11">
        <f t="shared" si="15"/>
        <v>93</v>
      </c>
      <c r="AJ40" s="1">
        <v>43005</v>
      </c>
      <c r="AK40" s="11">
        <f t="shared" si="16"/>
        <v>12</v>
      </c>
      <c r="AL40" s="1">
        <v>43083</v>
      </c>
      <c r="AM40" s="11">
        <f t="shared" si="17"/>
        <v>78</v>
      </c>
      <c r="AN40" s="1">
        <v>43149</v>
      </c>
      <c r="AO40" s="11">
        <f t="shared" si="18"/>
        <v>66</v>
      </c>
      <c r="AP40" s="1">
        <v>43222</v>
      </c>
      <c r="AQ40" s="11">
        <f t="shared" si="19"/>
        <v>73</v>
      </c>
      <c r="AR40" s="1">
        <v>43313</v>
      </c>
      <c r="AS40" s="11">
        <f t="shared" si="20"/>
        <v>91</v>
      </c>
      <c r="AT40" s="1">
        <v>43425</v>
      </c>
      <c r="AU40" s="11">
        <f t="shared" si="21"/>
        <v>112</v>
      </c>
      <c r="AV40" s="1">
        <v>43532</v>
      </c>
      <c r="AW40" s="11">
        <f t="shared" si="33"/>
        <v>107</v>
      </c>
      <c r="AX40" s="1">
        <v>43559</v>
      </c>
      <c r="AY40" s="11">
        <f t="shared" si="23"/>
        <v>27</v>
      </c>
      <c r="AZ40" s="1">
        <v>43731</v>
      </c>
      <c r="BA40" s="11">
        <f t="shared" si="24"/>
        <v>172</v>
      </c>
      <c r="BB40" s="1">
        <v>43832</v>
      </c>
      <c r="BC40" s="11">
        <f t="shared" si="25"/>
        <v>101</v>
      </c>
      <c r="BD40" s="1">
        <v>43941</v>
      </c>
      <c r="BE40" s="11">
        <f t="shared" si="26"/>
        <v>109</v>
      </c>
      <c r="BF40" s="1">
        <v>44064</v>
      </c>
      <c r="BG40" s="11">
        <f t="shared" si="27"/>
        <v>123</v>
      </c>
      <c r="BH40" s="1">
        <v>44185</v>
      </c>
      <c r="BI40" s="11">
        <f t="shared" si="28"/>
        <v>121</v>
      </c>
      <c r="BJ40" s="1">
        <v>44269</v>
      </c>
      <c r="BK40" s="11">
        <f t="shared" si="29"/>
        <v>84</v>
      </c>
      <c r="BL40" s="20">
        <v>44352</v>
      </c>
      <c r="BM40" s="30">
        <f t="shared" si="30"/>
        <v>83</v>
      </c>
      <c r="BN40" s="48">
        <f t="shared" si="35"/>
        <v>2070</v>
      </c>
    </row>
    <row r="41" spans="1:66" s="77" customFormat="1" x14ac:dyDescent="0.25">
      <c r="A41" s="78">
        <v>39</v>
      </c>
      <c r="B41" s="68" t="s">
        <v>73</v>
      </c>
      <c r="C41" s="69" t="s">
        <v>74</v>
      </c>
      <c r="D41" s="70">
        <v>782319</v>
      </c>
      <c r="E41" s="71">
        <v>0</v>
      </c>
      <c r="F41" s="73">
        <v>782953</v>
      </c>
      <c r="G41" s="10">
        <f t="shared" si="34"/>
        <v>634</v>
      </c>
      <c r="H41" s="73">
        <v>783542</v>
      </c>
      <c r="I41" s="72">
        <f t="shared" si="2"/>
        <v>589</v>
      </c>
      <c r="J41" s="73">
        <v>784167</v>
      </c>
      <c r="K41" s="72">
        <f t="shared" si="3"/>
        <v>625</v>
      </c>
      <c r="L41" s="1">
        <v>784792</v>
      </c>
      <c r="M41" s="72">
        <f t="shared" si="4"/>
        <v>625</v>
      </c>
      <c r="N41" s="73">
        <v>785423</v>
      </c>
      <c r="O41" s="72">
        <f t="shared" si="5"/>
        <v>631</v>
      </c>
      <c r="P41" s="73">
        <v>786050</v>
      </c>
      <c r="Q41" s="72">
        <f t="shared" si="6"/>
        <v>627</v>
      </c>
      <c r="R41" s="73">
        <v>786674</v>
      </c>
      <c r="S41" s="11">
        <f t="shared" si="7"/>
        <v>624</v>
      </c>
      <c r="T41" s="73">
        <v>787190</v>
      </c>
      <c r="U41" s="72">
        <f t="shared" si="8"/>
        <v>516</v>
      </c>
      <c r="V41" s="73">
        <v>787763</v>
      </c>
      <c r="W41" s="72">
        <f t="shared" si="9"/>
        <v>573</v>
      </c>
      <c r="X41" s="73">
        <v>788336</v>
      </c>
      <c r="Y41" s="72">
        <f t="shared" si="10"/>
        <v>573</v>
      </c>
      <c r="Z41" s="73">
        <v>788968</v>
      </c>
      <c r="AA41" s="72">
        <f t="shared" si="11"/>
        <v>632</v>
      </c>
      <c r="AB41" s="73">
        <v>789641</v>
      </c>
      <c r="AC41" s="72">
        <f t="shared" si="32"/>
        <v>673</v>
      </c>
      <c r="AD41" s="73">
        <v>790233</v>
      </c>
      <c r="AE41" s="72">
        <f t="shared" si="13"/>
        <v>592</v>
      </c>
      <c r="AF41" s="73">
        <v>790813</v>
      </c>
      <c r="AG41" s="72">
        <f t="shared" si="14"/>
        <v>580</v>
      </c>
      <c r="AH41" s="73">
        <v>791420</v>
      </c>
      <c r="AI41" s="72">
        <f t="shared" si="15"/>
        <v>607</v>
      </c>
      <c r="AJ41" s="73">
        <v>792032</v>
      </c>
      <c r="AK41" s="72">
        <f t="shared" si="16"/>
        <v>612</v>
      </c>
      <c r="AL41" s="73">
        <v>792656</v>
      </c>
      <c r="AM41" s="72">
        <f t="shared" si="17"/>
        <v>624</v>
      </c>
      <c r="AN41" s="73">
        <v>793279</v>
      </c>
      <c r="AO41" s="72">
        <f t="shared" si="18"/>
        <v>623</v>
      </c>
      <c r="AP41" s="73">
        <v>793844</v>
      </c>
      <c r="AQ41" s="72">
        <f t="shared" si="19"/>
        <v>565</v>
      </c>
      <c r="AR41" s="73">
        <v>794448</v>
      </c>
      <c r="AS41" s="72">
        <f t="shared" si="20"/>
        <v>604</v>
      </c>
      <c r="AT41" s="73">
        <v>795068</v>
      </c>
      <c r="AU41" s="72">
        <f t="shared" si="21"/>
        <v>620</v>
      </c>
      <c r="AV41" s="73">
        <v>795674</v>
      </c>
      <c r="AW41" s="72">
        <f t="shared" si="33"/>
        <v>606</v>
      </c>
      <c r="AX41" s="73">
        <v>796287</v>
      </c>
      <c r="AY41" s="72">
        <f t="shared" si="23"/>
        <v>613</v>
      </c>
      <c r="AZ41" s="73">
        <v>796914</v>
      </c>
      <c r="BA41" s="11">
        <f t="shared" si="24"/>
        <v>627</v>
      </c>
      <c r="BB41" s="73">
        <v>797442</v>
      </c>
      <c r="BC41" s="72">
        <f t="shared" si="25"/>
        <v>528</v>
      </c>
      <c r="BD41" s="73">
        <v>798039</v>
      </c>
      <c r="BE41" s="72">
        <f t="shared" si="26"/>
        <v>597</v>
      </c>
      <c r="BF41" s="73">
        <v>798632</v>
      </c>
      <c r="BG41" s="72">
        <f t="shared" si="27"/>
        <v>593</v>
      </c>
      <c r="BH41" s="73">
        <v>799428</v>
      </c>
      <c r="BI41" s="72">
        <f t="shared" si="28"/>
        <v>796</v>
      </c>
      <c r="BJ41" s="73">
        <v>800225</v>
      </c>
      <c r="BK41" s="72">
        <f t="shared" si="29"/>
        <v>797</v>
      </c>
      <c r="BL41" s="74">
        <v>801039</v>
      </c>
      <c r="BM41" s="75">
        <f t="shared" si="30"/>
        <v>814</v>
      </c>
      <c r="BN41" s="76">
        <f t="shared" si="35"/>
        <v>18720</v>
      </c>
    </row>
    <row r="42" spans="1:66" s="77" customFormat="1" ht="15.75" thickBot="1" x14ac:dyDescent="0.3">
      <c r="A42" s="67">
        <v>40</v>
      </c>
      <c r="B42" s="68" t="s">
        <v>75</v>
      </c>
      <c r="C42" s="69" t="s">
        <v>76</v>
      </c>
      <c r="D42" s="70">
        <v>5645</v>
      </c>
      <c r="E42" s="71">
        <v>0</v>
      </c>
      <c r="F42" s="73">
        <v>5646</v>
      </c>
      <c r="G42" s="10">
        <f t="shared" si="34"/>
        <v>1</v>
      </c>
      <c r="H42" s="73">
        <v>5648</v>
      </c>
      <c r="I42" s="72">
        <f t="shared" si="2"/>
        <v>2</v>
      </c>
      <c r="J42" s="73">
        <v>5649</v>
      </c>
      <c r="K42" s="72">
        <f t="shared" si="3"/>
        <v>1</v>
      </c>
      <c r="L42" s="1">
        <v>5650</v>
      </c>
      <c r="M42" s="72">
        <f t="shared" si="4"/>
        <v>1</v>
      </c>
      <c r="N42" s="73">
        <v>5652</v>
      </c>
      <c r="O42" s="72">
        <f t="shared" si="5"/>
        <v>2</v>
      </c>
      <c r="P42" s="73">
        <v>5653</v>
      </c>
      <c r="Q42" s="72">
        <f t="shared" si="6"/>
        <v>1</v>
      </c>
      <c r="R42" s="73">
        <v>5654</v>
      </c>
      <c r="S42" s="11">
        <f t="shared" si="7"/>
        <v>1</v>
      </c>
      <c r="T42" s="73">
        <v>5655</v>
      </c>
      <c r="U42" s="72">
        <f t="shared" si="8"/>
        <v>1</v>
      </c>
      <c r="V42" s="73">
        <v>5657</v>
      </c>
      <c r="W42" s="72">
        <f t="shared" si="9"/>
        <v>2</v>
      </c>
      <c r="X42" s="73">
        <v>5658</v>
      </c>
      <c r="Y42" s="72">
        <f t="shared" si="10"/>
        <v>1</v>
      </c>
      <c r="Z42" s="73">
        <v>5659</v>
      </c>
      <c r="AA42" s="72">
        <f t="shared" si="11"/>
        <v>1</v>
      </c>
      <c r="AB42" s="73">
        <v>5661</v>
      </c>
      <c r="AC42" s="72">
        <f t="shared" si="32"/>
        <v>2</v>
      </c>
      <c r="AD42" s="73">
        <v>5662</v>
      </c>
      <c r="AE42" s="72">
        <f t="shared" si="13"/>
        <v>1</v>
      </c>
      <c r="AF42" s="73">
        <v>5663</v>
      </c>
      <c r="AG42" s="72">
        <f t="shared" si="14"/>
        <v>1</v>
      </c>
      <c r="AH42" s="73">
        <v>5664</v>
      </c>
      <c r="AI42" s="72">
        <f t="shared" si="15"/>
        <v>1</v>
      </c>
      <c r="AJ42" s="73">
        <v>5666</v>
      </c>
      <c r="AK42" s="72">
        <f t="shared" si="16"/>
        <v>2</v>
      </c>
      <c r="AL42" s="73">
        <v>5667</v>
      </c>
      <c r="AM42" s="72">
        <f t="shared" si="17"/>
        <v>1</v>
      </c>
      <c r="AN42" s="73">
        <v>5668</v>
      </c>
      <c r="AO42" s="72">
        <f t="shared" si="18"/>
        <v>1</v>
      </c>
      <c r="AP42" s="73">
        <v>5669</v>
      </c>
      <c r="AQ42" s="72">
        <f t="shared" si="19"/>
        <v>1</v>
      </c>
      <c r="AR42" s="73">
        <v>5671</v>
      </c>
      <c r="AS42" s="72">
        <f t="shared" si="20"/>
        <v>2</v>
      </c>
      <c r="AT42" s="73">
        <v>5672</v>
      </c>
      <c r="AU42" s="72">
        <f t="shared" si="21"/>
        <v>1</v>
      </c>
      <c r="AV42" s="73">
        <v>5673</v>
      </c>
      <c r="AW42" s="72">
        <f t="shared" si="33"/>
        <v>1</v>
      </c>
      <c r="AX42" s="73">
        <v>5674</v>
      </c>
      <c r="AY42" s="72">
        <f t="shared" si="23"/>
        <v>1</v>
      </c>
      <c r="AZ42" s="73">
        <v>5676</v>
      </c>
      <c r="BA42" s="11">
        <f t="shared" si="24"/>
        <v>2</v>
      </c>
      <c r="BB42" s="73">
        <v>5677</v>
      </c>
      <c r="BC42" s="72">
        <f t="shared" si="25"/>
        <v>1</v>
      </c>
      <c r="BD42" s="73">
        <v>5678</v>
      </c>
      <c r="BE42" s="72">
        <f t="shared" si="26"/>
        <v>1</v>
      </c>
      <c r="BF42" s="73">
        <v>5679</v>
      </c>
      <c r="BG42" s="72">
        <f t="shared" si="27"/>
        <v>1</v>
      </c>
      <c r="BH42" s="73">
        <v>5680</v>
      </c>
      <c r="BI42" s="72">
        <f t="shared" si="28"/>
        <v>1</v>
      </c>
      <c r="BJ42" s="73">
        <v>5681</v>
      </c>
      <c r="BK42" s="72">
        <f t="shared" si="29"/>
        <v>1</v>
      </c>
      <c r="BL42" s="74">
        <v>5681</v>
      </c>
      <c r="BM42" s="75">
        <f t="shared" si="30"/>
        <v>0</v>
      </c>
      <c r="BN42" s="76">
        <f t="shared" si="35"/>
        <v>36</v>
      </c>
    </row>
    <row r="43" spans="1:66" s="77" customFormat="1" x14ac:dyDescent="0.25">
      <c r="A43" s="78">
        <v>41</v>
      </c>
      <c r="B43" s="68" t="s">
        <v>77</v>
      </c>
      <c r="C43" s="69" t="s">
        <v>78</v>
      </c>
      <c r="D43" s="70">
        <v>0</v>
      </c>
      <c r="E43" s="71">
        <v>0</v>
      </c>
      <c r="F43" s="73">
        <v>0</v>
      </c>
      <c r="G43" s="10">
        <f t="shared" si="34"/>
        <v>0</v>
      </c>
      <c r="H43" s="73">
        <v>0</v>
      </c>
      <c r="I43" s="72">
        <v>0</v>
      </c>
      <c r="J43" s="73">
        <v>0</v>
      </c>
      <c r="K43" s="72">
        <v>0</v>
      </c>
      <c r="L43" s="1">
        <v>0</v>
      </c>
      <c r="M43" s="72">
        <v>0</v>
      </c>
      <c r="N43" s="73">
        <v>0</v>
      </c>
      <c r="O43" s="72">
        <v>0</v>
      </c>
      <c r="P43" s="73">
        <v>0</v>
      </c>
      <c r="Q43" s="72">
        <f t="shared" si="6"/>
        <v>0</v>
      </c>
      <c r="R43" s="73">
        <v>0</v>
      </c>
      <c r="S43" s="11">
        <f t="shared" si="7"/>
        <v>0</v>
      </c>
      <c r="T43" s="73">
        <v>0</v>
      </c>
      <c r="U43" s="72">
        <v>0</v>
      </c>
      <c r="V43" s="73">
        <v>0</v>
      </c>
      <c r="W43" s="72">
        <v>0</v>
      </c>
      <c r="X43" s="73">
        <v>0</v>
      </c>
      <c r="Y43" s="72">
        <v>0</v>
      </c>
      <c r="Z43" s="73">
        <v>0</v>
      </c>
      <c r="AA43" s="72">
        <v>0</v>
      </c>
      <c r="AB43" s="73">
        <v>0</v>
      </c>
      <c r="AC43" s="72">
        <v>0</v>
      </c>
      <c r="AD43" s="73">
        <v>0</v>
      </c>
      <c r="AE43" s="72">
        <v>0</v>
      </c>
      <c r="AF43" s="73">
        <v>0</v>
      </c>
      <c r="AG43" s="72">
        <v>0</v>
      </c>
      <c r="AH43" s="73">
        <v>0</v>
      </c>
      <c r="AI43" s="72">
        <v>0</v>
      </c>
      <c r="AJ43" s="73">
        <v>0</v>
      </c>
      <c r="AK43" s="72">
        <v>0</v>
      </c>
      <c r="AL43" s="73">
        <v>0</v>
      </c>
      <c r="AM43" s="72">
        <v>0</v>
      </c>
      <c r="AN43" s="73">
        <v>0</v>
      </c>
      <c r="AO43" s="72">
        <v>0</v>
      </c>
      <c r="AP43" s="73">
        <v>0</v>
      </c>
      <c r="AQ43" s="72">
        <v>0</v>
      </c>
      <c r="AR43" s="73">
        <v>0</v>
      </c>
      <c r="AS43" s="72">
        <v>0</v>
      </c>
      <c r="AT43" s="73">
        <v>0</v>
      </c>
      <c r="AU43" s="72">
        <f t="shared" si="21"/>
        <v>0</v>
      </c>
      <c r="AV43" s="73">
        <v>0</v>
      </c>
      <c r="AW43" s="72">
        <f t="shared" si="33"/>
        <v>0</v>
      </c>
      <c r="AX43" s="73">
        <v>0</v>
      </c>
      <c r="AY43" s="72">
        <f t="shared" si="23"/>
        <v>0</v>
      </c>
      <c r="AZ43" s="73">
        <v>0</v>
      </c>
      <c r="BA43" s="11">
        <f t="shared" si="24"/>
        <v>0</v>
      </c>
      <c r="BB43" s="73">
        <v>0</v>
      </c>
      <c r="BC43" s="72">
        <f t="shared" si="25"/>
        <v>0</v>
      </c>
      <c r="BD43" s="73">
        <v>0</v>
      </c>
      <c r="BE43" s="72">
        <f t="shared" si="26"/>
        <v>0</v>
      </c>
      <c r="BF43" s="73">
        <v>0</v>
      </c>
      <c r="BG43" s="72">
        <f t="shared" si="27"/>
        <v>0</v>
      </c>
      <c r="BH43" s="73">
        <v>0</v>
      </c>
      <c r="BI43" s="72">
        <f t="shared" si="28"/>
        <v>0</v>
      </c>
      <c r="BJ43" s="73">
        <v>0</v>
      </c>
      <c r="BK43" s="72">
        <f t="shared" si="29"/>
        <v>0</v>
      </c>
      <c r="BL43" s="73">
        <v>0</v>
      </c>
      <c r="BM43" s="75">
        <f t="shared" si="30"/>
        <v>0</v>
      </c>
      <c r="BN43" s="76">
        <f t="shared" si="35"/>
        <v>0</v>
      </c>
    </row>
    <row r="44" spans="1:66" ht="15.75" thickBot="1" x14ac:dyDescent="0.3">
      <c r="A44" s="15">
        <v>42</v>
      </c>
      <c r="B44" s="13" t="s">
        <v>79</v>
      </c>
      <c r="C44" s="23" t="s">
        <v>13</v>
      </c>
      <c r="D44" s="25">
        <v>141092</v>
      </c>
      <c r="E44" s="9">
        <v>0</v>
      </c>
      <c r="F44" s="1">
        <v>141182</v>
      </c>
      <c r="G44" s="10">
        <f t="shared" si="34"/>
        <v>90</v>
      </c>
      <c r="H44" s="1">
        <v>141280</v>
      </c>
      <c r="I44" s="11">
        <f t="shared" si="2"/>
        <v>98</v>
      </c>
      <c r="J44" s="1">
        <v>141388</v>
      </c>
      <c r="K44" s="11">
        <f t="shared" si="3"/>
        <v>108</v>
      </c>
      <c r="L44" s="1">
        <v>141502</v>
      </c>
      <c r="M44" s="11">
        <f t="shared" si="4"/>
        <v>114</v>
      </c>
      <c r="N44" s="1">
        <v>141610</v>
      </c>
      <c r="O44" s="11">
        <f t="shared" si="5"/>
        <v>108</v>
      </c>
      <c r="P44" s="1">
        <v>141718</v>
      </c>
      <c r="Q44" s="11">
        <f t="shared" si="6"/>
        <v>108</v>
      </c>
      <c r="R44" s="1">
        <v>141823</v>
      </c>
      <c r="S44" s="11">
        <f t="shared" si="7"/>
        <v>105</v>
      </c>
      <c r="T44" s="1">
        <v>141920</v>
      </c>
      <c r="U44" s="11">
        <f t="shared" si="8"/>
        <v>97</v>
      </c>
      <c r="V44" s="1">
        <v>142024</v>
      </c>
      <c r="W44" s="11">
        <f t="shared" si="9"/>
        <v>104</v>
      </c>
      <c r="X44" s="1">
        <v>142123</v>
      </c>
      <c r="Y44" s="11">
        <f t="shared" si="10"/>
        <v>99</v>
      </c>
      <c r="Z44" s="1">
        <v>142224</v>
      </c>
      <c r="AA44" s="11">
        <f t="shared" si="11"/>
        <v>101</v>
      </c>
      <c r="AB44" s="73">
        <v>142332</v>
      </c>
      <c r="AC44" s="11">
        <f t="shared" si="32"/>
        <v>108</v>
      </c>
      <c r="AD44" s="73">
        <v>142442</v>
      </c>
      <c r="AE44" s="11">
        <f t="shared" si="13"/>
        <v>110</v>
      </c>
      <c r="AF44" s="73">
        <v>142557</v>
      </c>
      <c r="AG44" s="11">
        <f t="shared" si="14"/>
        <v>115</v>
      </c>
      <c r="AH44" s="1">
        <v>142657</v>
      </c>
      <c r="AI44" s="11">
        <f t="shared" si="15"/>
        <v>100</v>
      </c>
      <c r="AJ44" s="1">
        <v>142760</v>
      </c>
      <c r="AK44" s="11">
        <f t="shared" si="16"/>
        <v>103</v>
      </c>
      <c r="AL44" s="1">
        <v>142856</v>
      </c>
      <c r="AM44" s="11">
        <f t="shared" si="17"/>
        <v>96</v>
      </c>
      <c r="AN44" s="1">
        <v>142958</v>
      </c>
      <c r="AO44" s="11">
        <f t="shared" si="18"/>
        <v>102</v>
      </c>
      <c r="AP44" s="1">
        <v>143060</v>
      </c>
      <c r="AQ44" s="11">
        <f t="shared" si="19"/>
        <v>102</v>
      </c>
      <c r="AR44" s="1">
        <v>143172</v>
      </c>
      <c r="AS44" s="11">
        <f t="shared" si="20"/>
        <v>112</v>
      </c>
      <c r="AT44" s="1">
        <v>143300</v>
      </c>
      <c r="AU44" s="11">
        <f t="shared" si="21"/>
        <v>128</v>
      </c>
      <c r="AV44" s="1">
        <v>143419</v>
      </c>
      <c r="AW44" s="72">
        <f t="shared" si="33"/>
        <v>119</v>
      </c>
      <c r="AX44" s="1">
        <v>143536</v>
      </c>
      <c r="AY44" s="11">
        <f t="shared" si="23"/>
        <v>117</v>
      </c>
      <c r="AZ44" s="1">
        <v>143653</v>
      </c>
      <c r="BA44" s="11">
        <f t="shared" si="24"/>
        <v>117</v>
      </c>
      <c r="BB44" s="1">
        <v>143762</v>
      </c>
      <c r="BC44" s="11">
        <f t="shared" si="25"/>
        <v>109</v>
      </c>
      <c r="BD44" s="1">
        <v>143878</v>
      </c>
      <c r="BE44" s="11">
        <f t="shared" si="26"/>
        <v>116</v>
      </c>
      <c r="BF44" s="1">
        <v>143996</v>
      </c>
      <c r="BG44" s="11">
        <f t="shared" si="27"/>
        <v>118</v>
      </c>
      <c r="BH44" s="1">
        <v>144125</v>
      </c>
      <c r="BI44" s="11">
        <f t="shared" si="28"/>
        <v>129</v>
      </c>
      <c r="BJ44" s="1">
        <v>144258</v>
      </c>
      <c r="BK44" s="11">
        <f t="shared" si="29"/>
        <v>133</v>
      </c>
      <c r="BL44" s="20">
        <v>144386</v>
      </c>
      <c r="BM44" s="30">
        <f t="shared" si="30"/>
        <v>128</v>
      </c>
      <c r="BN44" s="46">
        <f t="shared" si="35"/>
        <v>3294</v>
      </c>
    </row>
    <row r="45" spans="1:66" x14ac:dyDescent="0.25">
      <c r="A45" s="14">
        <v>43</v>
      </c>
      <c r="B45" s="13" t="s">
        <v>14</v>
      </c>
      <c r="C45" s="23" t="s">
        <v>15</v>
      </c>
      <c r="D45" s="25">
        <v>281343</v>
      </c>
      <c r="E45" s="9">
        <v>0</v>
      </c>
      <c r="F45" s="1">
        <v>281529</v>
      </c>
      <c r="G45" s="10">
        <f t="shared" si="34"/>
        <v>186</v>
      </c>
      <c r="H45" s="1">
        <v>281726</v>
      </c>
      <c r="I45" s="11">
        <f t="shared" si="2"/>
        <v>197</v>
      </c>
      <c r="J45" s="1">
        <v>281912</v>
      </c>
      <c r="K45" s="11">
        <f t="shared" si="3"/>
        <v>186</v>
      </c>
      <c r="L45" s="1">
        <v>282118</v>
      </c>
      <c r="M45" s="11">
        <f t="shared" si="4"/>
        <v>206</v>
      </c>
      <c r="N45" s="1">
        <v>282333</v>
      </c>
      <c r="O45" s="11">
        <f t="shared" si="5"/>
        <v>215</v>
      </c>
      <c r="P45" s="1">
        <v>282547</v>
      </c>
      <c r="Q45" s="11">
        <f t="shared" si="6"/>
        <v>214</v>
      </c>
      <c r="R45" s="1">
        <v>282760</v>
      </c>
      <c r="S45" s="11">
        <f t="shared" si="7"/>
        <v>213</v>
      </c>
      <c r="T45" s="1">
        <v>282964</v>
      </c>
      <c r="U45" s="11">
        <f t="shared" si="8"/>
        <v>204</v>
      </c>
      <c r="V45" s="1">
        <v>283173</v>
      </c>
      <c r="W45" s="11">
        <f t="shared" si="9"/>
        <v>209</v>
      </c>
      <c r="X45" s="1">
        <v>283439</v>
      </c>
      <c r="Y45" s="11">
        <f t="shared" si="10"/>
        <v>266</v>
      </c>
      <c r="Z45" s="1">
        <v>283661</v>
      </c>
      <c r="AA45" s="11">
        <f t="shared" si="11"/>
        <v>222</v>
      </c>
      <c r="AB45" s="73">
        <v>283903</v>
      </c>
      <c r="AC45" s="11">
        <f t="shared" si="32"/>
        <v>242</v>
      </c>
      <c r="AD45" s="73">
        <v>284145</v>
      </c>
      <c r="AE45" s="11">
        <f t="shared" si="13"/>
        <v>242</v>
      </c>
      <c r="AF45" s="73">
        <v>284357</v>
      </c>
      <c r="AG45" s="11">
        <f t="shared" si="14"/>
        <v>212</v>
      </c>
      <c r="AH45" s="1">
        <v>284558</v>
      </c>
      <c r="AI45" s="11">
        <f t="shared" si="15"/>
        <v>201</v>
      </c>
      <c r="AJ45" s="1">
        <v>284781</v>
      </c>
      <c r="AK45" s="11">
        <f t="shared" si="16"/>
        <v>223</v>
      </c>
      <c r="AL45" s="1">
        <v>285008</v>
      </c>
      <c r="AM45" s="11">
        <f t="shared" si="17"/>
        <v>227</v>
      </c>
      <c r="AN45" s="1">
        <v>285231</v>
      </c>
      <c r="AO45" s="11">
        <f t="shared" si="18"/>
        <v>223</v>
      </c>
      <c r="AP45" s="1">
        <v>285457</v>
      </c>
      <c r="AQ45" s="11">
        <f t="shared" si="19"/>
        <v>226</v>
      </c>
      <c r="AR45" s="1">
        <v>285691</v>
      </c>
      <c r="AS45" s="11">
        <f t="shared" si="20"/>
        <v>234</v>
      </c>
      <c r="AT45" s="1">
        <v>285924</v>
      </c>
      <c r="AU45" s="11">
        <f t="shared" si="21"/>
        <v>233</v>
      </c>
      <c r="AV45" s="73">
        <v>286169</v>
      </c>
      <c r="AW45" s="72">
        <f t="shared" si="33"/>
        <v>245</v>
      </c>
      <c r="AX45" s="1">
        <v>286408</v>
      </c>
      <c r="AY45" s="11">
        <f t="shared" si="23"/>
        <v>239</v>
      </c>
      <c r="AZ45" s="1">
        <v>286628</v>
      </c>
      <c r="BA45" s="11">
        <f t="shared" si="24"/>
        <v>220</v>
      </c>
      <c r="BB45" s="1">
        <v>286865</v>
      </c>
      <c r="BC45" s="11">
        <f t="shared" si="25"/>
        <v>237</v>
      </c>
      <c r="BD45" s="1">
        <v>287087</v>
      </c>
      <c r="BE45" s="11">
        <f t="shared" si="26"/>
        <v>222</v>
      </c>
      <c r="BF45" s="1">
        <v>287326</v>
      </c>
      <c r="BG45" s="11">
        <f t="shared" si="27"/>
        <v>239</v>
      </c>
      <c r="BH45" s="1">
        <v>287575</v>
      </c>
      <c r="BI45" s="11">
        <f t="shared" si="28"/>
        <v>249</v>
      </c>
      <c r="BJ45" s="1">
        <v>287823</v>
      </c>
      <c r="BK45" s="11">
        <f t="shared" si="29"/>
        <v>248</v>
      </c>
      <c r="BL45" s="20">
        <v>288064</v>
      </c>
      <c r="BM45" s="30">
        <f t="shared" si="30"/>
        <v>241</v>
      </c>
      <c r="BN45" s="46">
        <f t="shared" si="35"/>
        <v>6721</v>
      </c>
    </row>
    <row r="46" spans="1:66" ht="15.75" thickBot="1" x14ac:dyDescent="0.3">
      <c r="A46" s="15">
        <v>44</v>
      </c>
      <c r="B46" s="13" t="s">
        <v>80</v>
      </c>
      <c r="C46" s="23" t="s">
        <v>81</v>
      </c>
      <c r="D46" s="25">
        <v>80173</v>
      </c>
      <c r="E46" s="9">
        <v>0</v>
      </c>
      <c r="F46" s="1">
        <v>80216</v>
      </c>
      <c r="G46" s="10">
        <f t="shared" si="34"/>
        <v>43</v>
      </c>
      <c r="H46" s="1">
        <v>80267</v>
      </c>
      <c r="I46" s="11">
        <f t="shared" si="2"/>
        <v>51</v>
      </c>
      <c r="J46" s="1">
        <v>80310</v>
      </c>
      <c r="K46" s="11">
        <f t="shared" si="3"/>
        <v>43</v>
      </c>
      <c r="L46" s="1">
        <v>80379</v>
      </c>
      <c r="M46" s="11">
        <f t="shared" si="4"/>
        <v>69</v>
      </c>
      <c r="N46" s="1">
        <v>80429</v>
      </c>
      <c r="O46" s="11">
        <f t="shared" si="5"/>
        <v>50</v>
      </c>
      <c r="P46" s="1">
        <v>80473</v>
      </c>
      <c r="Q46" s="11">
        <f t="shared" si="6"/>
        <v>44</v>
      </c>
      <c r="R46" s="1">
        <v>80517</v>
      </c>
      <c r="S46" s="11">
        <f t="shared" si="7"/>
        <v>44</v>
      </c>
      <c r="T46" s="1">
        <v>80563</v>
      </c>
      <c r="U46" s="11">
        <f t="shared" si="8"/>
        <v>46</v>
      </c>
      <c r="V46" s="1">
        <v>80614</v>
      </c>
      <c r="W46" s="11">
        <f t="shared" si="9"/>
        <v>51</v>
      </c>
      <c r="X46" s="1">
        <v>80662</v>
      </c>
      <c r="Y46" s="11">
        <f t="shared" si="10"/>
        <v>48</v>
      </c>
      <c r="Z46" s="1">
        <v>80707</v>
      </c>
      <c r="AA46" s="11">
        <f t="shared" si="11"/>
        <v>45</v>
      </c>
      <c r="AB46" s="73">
        <v>80753</v>
      </c>
      <c r="AC46" s="11">
        <f t="shared" si="32"/>
        <v>46</v>
      </c>
      <c r="AD46" s="73">
        <v>80800</v>
      </c>
      <c r="AE46" s="11">
        <f t="shared" si="13"/>
        <v>47</v>
      </c>
      <c r="AF46" s="73">
        <v>80849</v>
      </c>
      <c r="AG46" s="11">
        <f t="shared" si="14"/>
        <v>49</v>
      </c>
      <c r="AH46" s="1">
        <v>80904</v>
      </c>
      <c r="AI46" s="11">
        <f t="shared" si="15"/>
        <v>55</v>
      </c>
      <c r="AJ46" s="1">
        <v>80958</v>
      </c>
      <c r="AK46" s="11">
        <f t="shared" si="16"/>
        <v>54</v>
      </c>
      <c r="AL46" s="1">
        <v>81012</v>
      </c>
      <c r="AM46" s="11">
        <f t="shared" si="17"/>
        <v>54</v>
      </c>
      <c r="AN46" s="1">
        <v>81062</v>
      </c>
      <c r="AO46" s="11">
        <f t="shared" si="18"/>
        <v>50</v>
      </c>
      <c r="AP46" s="1">
        <v>81131</v>
      </c>
      <c r="AQ46" s="11">
        <f t="shared" si="19"/>
        <v>69</v>
      </c>
      <c r="AR46" s="1">
        <v>81204</v>
      </c>
      <c r="AS46" s="11">
        <f t="shared" si="20"/>
        <v>73</v>
      </c>
      <c r="AT46" s="1">
        <v>81264</v>
      </c>
      <c r="AU46" s="11">
        <f t="shared" si="21"/>
        <v>60</v>
      </c>
      <c r="AV46" s="1">
        <v>81333</v>
      </c>
      <c r="AW46" s="72">
        <f t="shared" si="33"/>
        <v>69</v>
      </c>
      <c r="AX46" s="1">
        <v>81398</v>
      </c>
      <c r="AY46" s="11">
        <f t="shared" si="23"/>
        <v>65</v>
      </c>
      <c r="AZ46" s="1">
        <v>81462</v>
      </c>
      <c r="BA46" s="11">
        <f t="shared" si="24"/>
        <v>64</v>
      </c>
      <c r="BB46" s="1">
        <v>81530</v>
      </c>
      <c r="BC46" s="11">
        <f t="shared" si="25"/>
        <v>68</v>
      </c>
      <c r="BD46" s="1">
        <v>81601</v>
      </c>
      <c r="BE46" s="11">
        <f t="shared" si="26"/>
        <v>71</v>
      </c>
      <c r="BF46" s="1">
        <v>81674</v>
      </c>
      <c r="BG46" s="11">
        <f t="shared" si="27"/>
        <v>73</v>
      </c>
      <c r="BH46" s="1">
        <v>81745</v>
      </c>
      <c r="BI46" s="11">
        <f t="shared" si="28"/>
        <v>71</v>
      </c>
      <c r="BJ46" s="1">
        <v>81824</v>
      </c>
      <c r="BK46" s="11">
        <f t="shared" si="29"/>
        <v>79</v>
      </c>
      <c r="BL46" s="20">
        <v>81901</v>
      </c>
      <c r="BM46" s="30">
        <f t="shared" si="30"/>
        <v>77</v>
      </c>
      <c r="BN46" s="43">
        <f t="shared" si="35"/>
        <v>1728</v>
      </c>
    </row>
    <row r="47" spans="1:66" x14ac:dyDescent="0.25">
      <c r="A47" s="14">
        <v>45</v>
      </c>
      <c r="B47" s="13" t="s">
        <v>82</v>
      </c>
      <c r="C47" s="23" t="s">
        <v>15</v>
      </c>
      <c r="D47" s="25">
        <v>807</v>
      </c>
      <c r="E47" s="9">
        <v>0</v>
      </c>
      <c r="F47" s="1">
        <v>808</v>
      </c>
      <c r="G47" s="10">
        <f t="shared" si="34"/>
        <v>1</v>
      </c>
      <c r="H47" s="1">
        <v>809</v>
      </c>
      <c r="I47" s="11">
        <f t="shared" si="2"/>
        <v>1</v>
      </c>
      <c r="J47" s="1">
        <v>809</v>
      </c>
      <c r="K47" s="11">
        <f t="shared" si="3"/>
        <v>0</v>
      </c>
      <c r="L47" s="1">
        <v>810</v>
      </c>
      <c r="M47" s="11">
        <f t="shared" si="4"/>
        <v>1</v>
      </c>
      <c r="N47" s="1">
        <v>810</v>
      </c>
      <c r="O47" s="11">
        <f t="shared" si="5"/>
        <v>0</v>
      </c>
      <c r="P47" s="1">
        <v>811</v>
      </c>
      <c r="Q47" s="11">
        <f t="shared" si="6"/>
        <v>1</v>
      </c>
      <c r="R47" s="1">
        <v>812</v>
      </c>
      <c r="S47" s="11">
        <f t="shared" si="7"/>
        <v>1</v>
      </c>
      <c r="T47" s="1">
        <v>812</v>
      </c>
      <c r="U47" s="11">
        <f t="shared" si="8"/>
        <v>0</v>
      </c>
      <c r="V47" s="1">
        <v>813</v>
      </c>
      <c r="W47" s="11">
        <f t="shared" si="9"/>
        <v>1</v>
      </c>
      <c r="X47" s="1">
        <v>814</v>
      </c>
      <c r="Y47" s="11">
        <f t="shared" si="10"/>
        <v>1</v>
      </c>
      <c r="Z47" s="1">
        <v>814</v>
      </c>
      <c r="AA47" s="11">
        <f t="shared" si="11"/>
        <v>0</v>
      </c>
      <c r="AB47" s="73">
        <v>815</v>
      </c>
      <c r="AC47" s="11">
        <f t="shared" si="32"/>
        <v>1</v>
      </c>
      <c r="AD47" s="73">
        <v>815</v>
      </c>
      <c r="AE47" s="11">
        <f t="shared" si="13"/>
        <v>0</v>
      </c>
      <c r="AF47" s="73">
        <v>816</v>
      </c>
      <c r="AG47" s="11">
        <f t="shared" si="14"/>
        <v>1</v>
      </c>
      <c r="AH47" s="1">
        <v>817</v>
      </c>
      <c r="AI47" s="11">
        <f t="shared" si="15"/>
        <v>1</v>
      </c>
      <c r="AJ47" s="1">
        <v>817</v>
      </c>
      <c r="AK47" s="11">
        <f t="shared" si="16"/>
        <v>0</v>
      </c>
      <c r="AL47" s="1">
        <v>818</v>
      </c>
      <c r="AM47" s="11">
        <f t="shared" si="17"/>
        <v>1</v>
      </c>
      <c r="AN47" s="1">
        <v>819</v>
      </c>
      <c r="AO47" s="11">
        <f t="shared" si="18"/>
        <v>1</v>
      </c>
      <c r="AP47" s="1">
        <v>819</v>
      </c>
      <c r="AQ47" s="11">
        <f t="shared" si="19"/>
        <v>0</v>
      </c>
      <c r="AR47" s="1">
        <v>820</v>
      </c>
      <c r="AS47" s="11">
        <f t="shared" si="20"/>
        <v>1</v>
      </c>
      <c r="AT47" s="1">
        <v>820</v>
      </c>
      <c r="AU47" s="11">
        <f t="shared" si="21"/>
        <v>0</v>
      </c>
      <c r="AV47" s="1">
        <v>821</v>
      </c>
      <c r="AW47" s="72">
        <f t="shared" si="33"/>
        <v>1</v>
      </c>
      <c r="AX47" s="1">
        <v>822</v>
      </c>
      <c r="AY47" s="11">
        <f t="shared" si="23"/>
        <v>1</v>
      </c>
      <c r="AZ47" s="1">
        <v>822</v>
      </c>
      <c r="BA47" s="11">
        <f t="shared" si="24"/>
        <v>0</v>
      </c>
      <c r="BB47" s="1">
        <v>823</v>
      </c>
      <c r="BC47" s="11">
        <f t="shared" si="25"/>
        <v>1</v>
      </c>
      <c r="BD47" s="1">
        <v>824</v>
      </c>
      <c r="BE47" s="11">
        <f t="shared" si="26"/>
        <v>1</v>
      </c>
      <c r="BF47" s="1">
        <v>824</v>
      </c>
      <c r="BG47" s="11">
        <f t="shared" si="27"/>
        <v>0</v>
      </c>
      <c r="BH47" s="1">
        <v>825</v>
      </c>
      <c r="BI47" s="11">
        <f t="shared" si="28"/>
        <v>1</v>
      </c>
      <c r="BJ47" s="1">
        <v>826</v>
      </c>
      <c r="BK47" s="11">
        <f t="shared" si="29"/>
        <v>1</v>
      </c>
      <c r="BL47" s="20">
        <v>826</v>
      </c>
      <c r="BM47" s="30">
        <f t="shared" si="30"/>
        <v>0</v>
      </c>
      <c r="BN47" s="46">
        <f t="shared" si="35"/>
        <v>19</v>
      </c>
    </row>
    <row r="48" spans="1:66" ht="15.75" thickBot="1" x14ac:dyDescent="0.3">
      <c r="A48" s="15">
        <v>46</v>
      </c>
      <c r="B48" s="13" t="s">
        <v>83</v>
      </c>
      <c r="C48" s="23" t="s">
        <v>84</v>
      </c>
      <c r="D48" s="25">
        <v>149418</v>
      </c>
      <c r="E48" s="9">
        <v>0</v>
      </c>
      <c r="F48" s="1">
        <v>149523</v>
      </c>
      <c r="G48" s="10">
        <f t="shared" si="34"/>
        <v>105</v>
      </c>
      <c r="H48" s="1">
        <v>149631</v>
      </c>
      <c r="I48" s="11">
        <f t="shared" si="2"/>
        <v>108</v>
      </c>
      <c r="J48" s="1">
        <v>149734</v>
      </c>
      <c r="K48" s="11">
        <f t="shared" si="3"/>
        <v>103</v>
      </c>
      <c r="L48" s="1">
        <v>149847</v>
      </c>
      <c r="M48" s="11">
        <f t="shared" si="4"/>
        <v>113</v>
      </c>
      <c r="N48" s="1">
        <v>149979</v>
      </c>
      <c r="O48" s="11">
        <f t="shared" si="5"/>
        <v>132</v>
      </c>
      <c r="P48" s="1">
        <v>150085</v>
      </c>
      <c r="Q48" s="11">
        <f t="shared" si="6"/>
        <v>106</v>
      </c>
      <c r="R48" s="1">
        <v>150182</v>
      </c>
      <c r="S48" s="11">
        <f t="shared" si="7"/>
        <v>97</v>
      </c>
      <c r="T48" s="1">
        <v>150283</v>
      </c>
      <c r="U48" s="11">
        <f t="shared" si="8"/>
        <v>101</v>
      </c>
      <c r="V48" s="1">
        <v>150389</v>
      </c>
      <c r="W48" s="11">
        <f t="shared" si="9"/>
        <v>106</v>
      </c>
      <c r="X48" s="1">
        <v>150495</v>
      </c>
      <c r="Y48" s="11">
        <f t="shared" si="10"/>
        <v>106</v>
      </c>
      <c r="Z48" s="1">
        <v>150604</v>
      </c>
      <c r="AA48" s="11">
        <f t="shared" si="11"/>
        <v>109</v>
      </c>
      <c r="AB48" s="73">
        <v>150740</v>
      </c>
      <c r="AC48" s="11">
        <f t="shared" si="32"/>
        <v>136</v>
      </c>
      <c r="AD48" s="73">
        <v>150856</v>
      </c>
      <c r="AE48" s="11">
        <f t="shared" si="13"/>
        <v>116</v>
      </c>
      <c r="AF48" s="73">
        <v>150960</v>
      </c>
      <c r="AG48" s="11">
        <f t="shared" si="14"/>
        <v>104</v>
      </c>
      <c r="AH48" s="1">
        <v>151051</v>
      </c>
      <c r="AI48" s="11">
        <f t="shared" si="15"/>
        <v>91</v>
      </c>
      <c r="AJ48" s="1">
        <v>151143</v>
      </c>
      <c r="AK48" s="11">
        <f t="shared" si="16"/>
        <v>92</v>
      </c>
      <c r="AL48" s="1">
        <v>151229</v>
      </c>
      <c r="AM48" s="11">
        <f t="shared" si="17"/>
        <v>86</v>
      </c>
      <c r="AN48" s="1">
        <v>151341</v>
      </c>
      <c r="AO48" s="11">
        <f t="shared" si="18"/>
        <v>112</v>
      </c>
      <c r="AP48" s="1">
        <v>151473</v>
      </c>
      <c r="AQ48" s="11">
        <f t="shared" si="19"/>
        <v>132</v>
      </c>
      <c r="AR48" s="1">
        <v>151699</v>
      </c>
      <c r="AS48" s="11">
        <f t="shared" si="20"/>
        <v>226</v>
      </c>
      <c r="AT48" s="1">
        <v>151770</v>
      </c>
      <c r="AU48" s="11">
        <f t="shared" si="21"/>
        <v>71</v>
      </c>
      <c r="AV48" s="1">
        <v>151916</v>
      </c>
      <c r="AW48" s="72">
        <f t="shared" si="33"/>
        <v>146</v>
      </c>
      <c r="AX48" s="1">
        <v>152070</v>
      </c>
      <c r="AY48" s="11">
        <f t="shared" si="23"/>
        <v>154</v>
      </c>
      <c r="AZ48" s="1">
        <v>152217</v>
      </c>
      <c r="BA48" s="11">
        <f t="shared" si="24"/>
        <v>147</v>
      </c>
      <c r="BB48" s="1">
        <v>152336</v>
      </c>
      <c r="BC48" s="11">
        <f t="shared" si="25"/>
        <v>119</v>
      </c>
      <c r="BD48" s="1">
        <v>152486</v>
      </c>
      <c r="BE48" s="11">
        <f t="shared" si="26"/>
        <v>150</v>
      </c>
      <c r="BF48" s="1">
        <v>152635</v>
      </c>
      <c r="BG48" s="11">
        <f t="shared" si="27"/>
        <v>149</v>
      </c>
      <c r="BH48" s="1">
        <v>152786</v>
      </c>
      <c r="BI48" s="11">
        <f t="shared" si="28"/>
        <v>151</v>
      </c>
      <c r="BJ48" s="1">
        <v>152926</v>
      </c>
      <c r="BK48" s="11">
        <f t="shared" si="29"/>
        <v>140</v>
      </c>
      <c r="BL48" s="20">
        <v>153048</v>
      </c>
      <c r="BM48" s="30">
        <f t="shared" si="30"/>
        <v>122</v>
      </c>
      <c r="BN48" s="32">
        <f t="shared" si="35"/>
        <v>3630</v>
      </c>
    </row>
    <row r="49" spans="1:66" x14ac:dyDescent="0.25">
      <c r="A49" s="14">
        <v>47</v>
      </c>
      <c r="B49" s="13" t="s">
        <v>85</v>
      </c>
      <c r="C49" s="23" t="s">
        <v>86</v>
      </c>
      <c r="D49" s="25">
        <v>57528</v>
      </c>
      <c r="E49" s="9">
        <v>0</v>
      </c>
      <c r="F49" s="1">
        <v>57574</v>
      </c>
      <c r="G49" s="10">
        <f t="shared" si="34"/>
        <v>46</v>
      </c>
      <c r="H49" s="1">
        <v>57625</v>
      </c>
      <c r="I49" s="11">
        <f t="shared" si="2"/>
        <v>51</v>
      </c>
      <c r="J49" s="1">
        <v>57668</v>
      </c>
      <c r="K49" s="11">
        <f t="shared" si="3"/>
        <v>43</v>
      </c>
      <c r="L49" s="1">
        <v>57718</v>
      </c>
      <c r="M49" s="11">
        <f t="shared" si="4"/>
        <v>50</v>
      </c>
      <c r="N49" s="1">
        <v>57739</v>
      </c>
      <c r="O49" s="11">
        <f t="shared" si="5"/>
        <v>21</v>
      </c>
      <c r="P49" s="1">
        <v>57775</v>
      </c>
      <c r="Q49" s="11">
        <f t="shared" si="6"/>
        <v>36</v>
      </c>
      <c r="R49" s="1">
        <v>57809</v>
      </c>
      <c r="S49" s="11">
        <f t="shared" si="7"/>
        <v>34</v>
      </c>
      <c r="T49" s="1">
        <v>57843</v>
      </c>
      <c r="U49" s="11">
        <f>T49-R49</f>
        <v>34</v>
      </c>
      <c r="V49" s="1">
        <v>57879</v>
      </c>
      <c r="W49" s="11">
        <f t="shared" si="9"/>
        <v>36</v>
      </c>
      <c r="X49" s="1">
        <v>57917</v>
      </c>
      <c r="Y49" s="11">
        <f t="shared" si="10"/>
        <v>38</v>
      </c>
      <c r="Z49" s="1">
        <v>57954</v>
      </c>
      <c r="AA49" s="11">
        <f t="shared" si="11"/>
        <v>37</v>
      </c>
      <c r="AB49" s="73">
        <v>57990</v>
      </c>
      <c r="AC49" s="11">
        <f t="shared" si="32"/>
        <v>36</v>
      </c>
      <c r="AD49" s="73">
        <v>58026</v>
      </c>
      <c r="AE49" s="11">
        <f t="shared" si="13"/>
        <v>36</v>
      </c>
      <c r="AF49" s="73">
        <v>58060</v>
      </c>
      <c r="AG49" s="11">
        <f t="shared" si="14"/>
        <v>34</v>
      </c>
      <c r="AH49" s="1">
        <v>58094</v>
      </c>
      <c r="AI49" s="11">
        <f t="shared" si="15"/>
        <v>34</v>
      </c>
      <c r="AJ49" s="1">
        <v>58130</v>
      </c>
      <c r="AK49" s="11">
        <f t="shared" si="16"/>
        <v>36</v>
      </c>
      <c r="AL49" s="1">
        <v>58169</v>
      </c>
      <c r="AM49" s="11">
        <f t="shared" si="17"/>
        <v>39</v>
      </c>
      <c r="AN49" s="1">
        <v>58207</v>
      </c>
      <c r="AO49" s="11">
        <f t="shared" si="18"/>
        <v>38</v>
      </c>
      <c r="AP49" s="1">
        <v>58243</v>
      </c>
      <c r="AQ49" s="11">
        <f t="shared" si="19"/>
        <v>36</v>
      </c>
      <c r="AR49" s="1">
        <v>58280</v>
      </c>
      <c r="AS49" s="11">
        <f t="shared" si="20"/>
        <v>37</v>
      </c>
      <c r="AT49" s="1">
        <v>58319</v>
      </c>
      <c r="AU49" s="11">
        <f t="shared" si="21"/>
        <v>39</v>
      </c>
      <c r="AV49" s="1">
        <v>58355</v>
      </c>
      <c r="AW49" s="72">
        <f t="shared" si="33"/>
        <v>36</v>
      </c>
      <c r="AX49" s="1">
        <v>58402</v>
      </c>
      <c r="AY49" s="11">
        <f t="shared" si="23"/>
        <v>47</v>
      </c>
      <c r="AZ49" s="1">
        <v>58434</v>
      </c>
      <c r="BA49" s="11">
        <f t="shared" si="24"/>
        <v>32</v>
      </c>
      <c r="BB49" s="1">
        <v>58466</v>
      </c>
      <c r="BC49" s="11">
        <f t="shared" si="25"/>
        <v>32</v>
      </c>
      <c r="BD49" s="1">
        <v>58504</v>
      </c>
      <c r="BE49" s="11">
        <f t="shared" si="26"/>
        <v>38</v>
      </c>
      <c r="BF49" s="1">
        <v>58540</v>
      </c>
      <c r="BG49" s="11">
        <f t="shared" si="27"/>
        <v>36</v>
      </c>
      <c r="BH49" s="1">
        <v>58575</v>
      </c>
      <c r="BI49" s="11">
        <f t="shared" si="28"/>
        <v>35</v>
      </c>
      <c r="BJ49" s="1">
        <v>58620</v>
      </c>
      <c r="BK49" s="11">
        <f t="shared" si="29"/>
        <v>45</v>
      </c>
      <c r="BL49" s="20">
        <v>58662</v>
      </c>
      <c r="BM49" s="30">
        <f t="shared" si="30"/>
        <v>42</v>
      </c>
      <c r="BN49" s="44">
        <f t="shared" si="35"/>
        <v>1134</v>
      </c>
    </row>
    <row r="50" spans="1:66" ht="15.75" thickBot="1" x14ac:dyDescent="0.3">
      <c r="A50" s="15">
        <v>48</v>
      </c>
      <c r="B50" s="13" t="s">
        <v>87</v>
      </c>
      <c r="C50" s="23" t="s">
        <v>88</v>
      </c>
      <c r="D50" s="25">
        <v>48098</v>
      </c>
      <c r="E50" s="9">
        <v>0</v>
      </c>
      <c r="F50" s="1">
        <v>48128</v>
      </c>
      <c r="G50" s="10">
        <f t="shared" si="34"/>
        <v>30</v>
      </c>
      <c r="H50" s="1">
        <v>48161</v>
      </c>
      <c r="I50" s="11">
        <f t="shared" si="2"/>
        <v>33</v>
      </c>
      <c r="J50" s="1">
        <v>48194</v>
      </c>
      <c r="K50" s="11">
        <f t="shared" si="3"/>
        <v>33</v>
      </c>
      <c r="L50" s="1">
        <v>48228</v>
      </c>
      <c r="M50" s="11">
        <f t="shared" si="4"/>
        <v>34</v>
      </c>
      <c r="N50" s="1">
        <v>48262</v>
      </c>
      <c r="O50" s="11">
        <f t="shared" si="5"/>
        <v>34</v>
      </c>
      <c r="P50" s="1">
        <v>48295</v>
      </c>
      <c r="Q50" s="11">
        <f t="shared" si="6"/>
        <v>33</v>
      </c>
      <c r="R50" s="1">
        <v>48326</v>
      </c>
      <c r="S50" s="11">
        <f t="shared" si="7"/>
        <v>31</v>
      </c>
      <c r="T50" s="1">
        <v>48355</v>
      </c>
      <c r="U50" s="11">
        <f t="shared" si="8"/>
        <v>29</v>
      </c>
      <c r="V50" s="1">
        <v>48389</v>
      </c>
      <c r="W50" s="11">
        <f t="shared" si="9"/>
        <v>34</v>
      </c>
      <c r="X50" s="1">
        <v>48427</v>
      </c>
      <c r="Y50" s="11">
        <f t="shared" si="10"/>
        <v>38</v>
      </c>
      <c r="Z50" s="1">
        <v>48455</v>
      </c>
      <c r="AA50" s="11">
        <f t="shared" si="11"/>
        <v>28</v>
      </c>
      <c r="AB50" s="73">
        <v>48489</v>
      </c>
      <c r="AC50" s="11">
        <f t="shared" si="32"/>
        <v>34</v>
      </c>
      <c r="AD50" s="73">
        <v>48520</v>
      </c>
      <c r="AE50" s="11">
        <f t="shared" si="13"/>
        <v>31</v>
      </c>
      <c r="AF50" s="73">
        <v>48551</v>
      </c>
      <c r="AG50" s="11">
        <f t="shared" si="14"/>
        <v>31</v>
      </c>
      <c r="AH50" s="1">
        <v>48580</v>
      </c>
      <c r="AI50" s="11">
        <f t="shared" si="15"/>
        <v>29</v>
      </c>
      <c r="AJ50" s="1">
        <v>48613</v>
      </c>
      <c r="AK50" s="11">
        <f t="shared" si="16"/>
        <v>33</v>
      </c>
      <c r="AL50" s="1">
        <v>48642</v>
      </c>
      <c r="AM50" s="11">
        <f t="shared" si="17"/>
        <v>29</v>
      </c>
      <c r="AN50" s="1">
        <v>48674</v>
      </c>
      <c r="AO50" s="11">
        <f t="shared" si="18"/>
        <v>32</v>
      </c>
      <c r="AP50" s="1">
        <v>48699</v>
      </c>
      <c r="AQ50" s="11">
        <f t="shared" si="19"/>
        <v>25</v>
      </c>
      <c r="AR50" s="1">
        <v>48731</v>
      </c>
      <c r="AS50" s="11">
        <f t="shared" si="20"/>
        <v>32</v>
      </c>
      <c r="AT50" s="1">
        <v>48759</v>
      </c>
      <c r="AU50" s="11">
        <f t="shared" si="21"/>
        <v>28</v>
      </c>
      <c r="AV50" s="1">
        <v>48793</v>
      </c>
      <c r="AW50" s="72">
        <f t="shared" si="33"/>
        <v>34</v>
      </c>
      <c r="AX50" s="1">
        <v>48821</v>
      </c>
      <c r="AY50" s="11">
        <f t="shared" si="23"/>
        <v>28</v>
      </c>
      <c r="AZ50" s="1">
        <v>48862</v>
      </c>
      <c r="BA50" s="11">
        <f t="shared" si="24"/>
        <v>41</v>
      </c>
      <c r="BB50" s="1">
        <v>48888</v>
      </c>
      <c r="BC50" s="11">
        <f t="shared" si="25"/>
        <v>26</v>
      </c>
      <c r="BD50" s="1">
        <v>48918</v>
      </c>
      <c r="BE50" s="11">
        <f t="shared" si="26"/>
        <v>30</v>
      </c>
      <c r="BF50" s="1">
        <v>48945</v>
      </c>
      <c r="BG50" s="11">
        <f t="shared" si="27"/>
        <v>27</v>
      </c>
      <c r="BH50" s="1">
        <v>48989</v>
      </c>
      <c r="BI50" s="11">
        <f t="shared" si="28"/>
        <v>44</v>
      </c>
      <c r="BJ50" s="1">
        <v>49001</v>
      </c>
      <c r="BK50" s="11">
        <f t="shared" si="29"/>
        <v>12</v>
      </c>
      <c r="BL50" s="20">
        <v>49042</v>
      </c>
      <c r="BM50" s="30">
        <f t="shared" si="30"/>
        <v>41</v>
      </c>
      <c r="BN50" s="49">
        <f t="shared" si="35"/>
        <v>944</v>
      </c>
    </row>
    <row r="51" spans="1:66" ht="15.75" thickBot="1" x14ac:dyDescent="0.3">
      <c r="A51" s="38">
        <v>49</v>
      </c>
      <c r="B51" s="16" t="s">
        <v>89</v>
      </c>
      <c r="C51" s="23" t="s">
        <v>90</v>
      </c>
      <c r="D51" s="25">
        <v>241847</v>
      </c>
      <c r="E51" s="9">
        <v>0</v>
      </c>
      <c r="F51" s="1">
        <v>241898</v>
      </c>
      <c r="G51" s="10">
        <f t="shared" si="34"/>
        <v>51</v>
      </c>
      <c r="H51" s="1">
        <v>241948</v>
      </c>
      <c r="I51" s="11">
        <f t="shared" si="2"/>
        <v>50</v>
      </c>
      <c r="J51" s="1">
        <v>241994</v>
      </c>
      <c r="K51" s="11">
        <f t="shared" si="3"/>
        <v>46</v>
      </c>
      <c r="L51" s="1">
        <v>242049</v>
      </c>
      <c r="M51" s="11">
        <f t="shared" si="4"/>
        <v>55</v>
      </c>
      <c r="N51" s="1">
        <v>242101</v>
      </c>
      <c r="O51" s="11">
        <f t="shared" si="5"/>
        <v>52</v>
      </c>
      <c r="P51" s="1">
        <v>242155</v>
      </c>
      <c r="Q51" s="11">
        <f t="shared" si="6"/>
        <v>54</v>
      </c>
      <c r="R51" s="1">
        <v>242207</v>
      </c>
      <c r="S51" s="11">
        <f t="shared" si="7"/>
        <v>52</v>
      </c>
      <c r="T51" s="1">
        <v>242256</v>
      </c>
      <c r="U51" s="11">
        <f t="shared" si="8"/>
        <v>49</v>
      </c>
      <c r="V51" s="1">
        <v>242307</v>
      </c>
      <c r="W51" s="11">
        <f t="shared" si="9"/>
        <v>51</v>
      </c>
      <c r="X51" s="1">
        <v>242357</v>
      </c>
      <c r="Y51" s="11">
        <f t="shared" si="10"/>
        <v>50</v>
      </c>
      <c r="Z51" s="1">
        <v>242403</v>
      </c>
      <c r="AA51" s="11">
        <f t="shared" si="11"/>
        <v>46</v>
      </c>
      <c r="AB51" s="73">
        <v>242452</v>
      </c>
      <c r="AC51" s="11">
        <f t="shared" si="32"/>
        <v>49</v>
      </c>
      <c r="AD51" s="73">
        <v>242503</v>
      </c>
      <c r="AE51" s="11">
        <f t="shared" si="13"/>
        <v>51</v>
      </c>
      <c r="AF51" s="73">
        <v>242543</v>
      </c>
      <c r="AG51" s="11">
        <f t="shared" si="14"/>
        <v>40</v>
      </c>
      <c r="AH51" s="1">
        <v>242584</v>
      </c>
      <c r="AI51" s="11">
        <f t="shared" si="15"/>
        <v>41</v>
      </c>
      <c r="AJ51" s="1">
        <v>242626</v>
      </c>
      <c r="AK51" s="11">
        <f t="shared" si="16"/>
        <v>42</v>
      </c>
      <c r="AL51" s="1">
        <v>242665</v>
      </c>
      <c r="AM51" s="11">
        <f t="shared" si="17"/>
        <v>39</v>
      </c>
      <c r="AN51" s="1">
        <v>242715</v>
      </c>
      <c r="AO51" s="11">
        <f t="shared" si="18"/>
        <v>50</v>
      </c>
      <c r="AP51" s="1">
        <v>242768</v>
      </c>
      <c r="AQ51" s="11">
        <f t="shared" si="19"/>
        <v>53</v>
      </c>
      <c r="AR51" s="1">
        <v>242815</v>
      </c>
      <c r="AS51" s="11">
        <f t="shared" si="20"/>
        <v>47</v>
      </c>
      <c r="AT51" s="1">
        <v>242848</v>
      </c>
      <c r="AU51" s="11">
        <f t="shared" si="21"/>
        <v>33</v>
      </c>
      <c r="AV51" s="1">
        <v>242927</v>
      </c>
      <c r="AW51" s="72">
        <f t="shared" si="33"/>
        <v>79</v>
      </c>
      <c r="AX51" s="1">
        <v>242961</v>
      </c>
      <c r="AY51" s="11">
        <f t="shared" si="23"/>
        <v>34</v>
      </c>
      <c r="AZ51" s="1">
        <v>243105</v>
      </c>
      <c r="BA51" s="11">
        <f t="shared" si="24"/>
        <v>144</v>
      </c>
      <c r="BB51" s="1">
        <v>243297</v>
      </c>
      <c r="BC51" s="11">
        <f t="shared" si="25"/>
        <v>192</v>
      </c>
      <c r="BD51" s="1">
        <v>243561</v>
      </c>
      <c r="BE51" s="11">
        <f t="shared" si="26"/>
        <v>264</v>
      </c>
      <c r="BF51" s="1">
        <v>243819</v>
      </c>
      <c r="BG51" s="11">
        <f t="shared" si="27"/>
        <v>258</v>
      </c>
      <c r="BH51" s="1">
        <v>244084</v>
      </c>
      <c r="BI51" s="11">
        <f t="shared" si="28"/>
        <v>265</v>
      </c>
      <c r="BJ51" s="1">
        <v>244361</v>
      </c>
      <c r="BK51" s="11">
        <f t="shared" si="29"/>
        <v>277</v>
      </c>
      <c r="BL51" s="20">
        <v>244618</v>
      </c>
      <c r="BM51" s="30">
        <f t="shared" si="30"/>
        <v>257</v>
      </c>
      <c r="BN51" s="32">
        <f t="shared" si="35"/>
        <v>2771</v>
      </c>
    </row>
    <row r="52" spans="1:66" ht="15.75" thickBot="1" x14ac:dyDescent="0.3">
      <c r="A52" s="39">
        <v>50</v>
      </c>
      <c r="B52" s="40" t="s">
        <v>16</v>
      </c>
      <c r="C52" s="36" t="s">
        <v>17</v>
      </c>
      <c r="D52" s="26">
        <v>649430</v>
      </c>
      <c r="E52" s="9">
        <v>0</v>
      </c>
      <c r="F52" s="1">
        <v>649786</v>
      </c>
      <c r="G52" s="10">
        <f t="shared" si="34"/>
        <v>356</v>
      </c>
      <c r="H52" s="1">
        <v>650149</v>
      </c>
      <c r="I52" s="11">
        <f t="shared" si="2"/>
        <v>363</v>
      </c>
      <c r="J52" s="1">
        <v>650518</v>
      </c>
      <c r="K52" s="11">
        <f t="shared" si="3"/>
        <v>369</v>
      </c>
      <c r="L52" s="1">
        <v>650881</v>
      </c>
      <c r="M52" s="11">
        <f t="shared" si="4"/>
        <v>363</v>
      </c>
      <c r="N52" s="1">
        <v>651261</v>
      </c>
      <c r="O52" s="11">
        <f t="shared" si="5"/>
        <v>380</v>
      </c>
      <c r="P52" s="1">
        <v>651644</v>
      </c>
      <c r="Q52" s="11">
        <f t="shared" si="6"/>
        <v>383</v>
      </c>
      <c r="R52" s="1">
        <v>652015</v>
      </c>
      <c r="S52" s="11">
        <f t="shared" si="7"/>
        <v>371</v>
      </c>
      <c r="T52" s="1">
        <v>652344</v>
      </c>
      <c r="U52" s="11">
        <f t="shared" si="8"/>
        <v>329</v>
      </c>
      <c r="V52" s="1">
        <v>652695</v>
      </c>
      <c r="W52" s="11">
        <f t="shared" si="9"/>
        <v>351</v>
      </c>
      <c r="X52" s="1">
        <v>653052</v>
      </c>
      <c r="Y52" s="11">
        <f t="shared" si="10"/>
        <v>357</v>
      </c>
      <c r="Z52" s="1">
        <v>653411</v>
      </c>
      <c r="AA52" s="11">
        <f t="shared" si="11"/>
        <v>359</v>
      </c>
      <c r="AB52" s="73">
        <v>653762</v>
      </c>
      <c r="AC52" s="11">
        <f t="shared" si="32"/>
        <v>351</v>
      </c>
      <c r="AD52" s="73">
        <v>654119</v>
      </c>
      <c r="AE52" s="11">
        <f t="shared" si="13"/>
        <v>357</v>
      </c>
      <c r="AF52" s="73">
        <v>654467</v>
      </c>
      <c r="AG52" s="11">
        <f t="shared" si="14"/>
        <v>348</v>
      </c>
      <c r="AH52" s="1">
        <v>654809</v>
      </c>
      <c r="AI52" s="11">
        <f t="shared" si="15"/>
        <v>342</v>
      </c>
      <c r="AJ52" s="1">
        <v>655184</v>
      </c>
      <c r="AK52" s="11">
        <f t="shared" si="16"/>
        <v>375</v>
      </c>
      <c r="AL52" s="1">
        <v>655538</v>
      </c>
      <c r="AM52" s="11">
        <f t="shared" si="17"/>
        <v>354</v>
      </c>
      <c r="AN52" s="1">
        <v>655888</v>
      </c>
      <c r="AO52" s="11">
        <f t="shared" si="18"/>
        <v>350</v>
      </c>
      <c r="AP52" s="1">
        <v>656244</v>
      </c>
      <c r="AQ52" s="11">
        <f t="shared" si="19"/>
        <v>356</v>
      </c>
      <c r="AR52" s="1">
        <v>656599</v>
      </c>
      <c r="AS52" s="11">
        <f t="shared" si="20"/>
        <v>355</v>
      </c>
      <c r="AT52" s="1">
        <v>656959</v>
      </c>
      <c r="AU52" s="11">
        <f t="shared" si="21"/>
        <v>360</v>
      </c>
      <c r="AV52" s="1">
        <v>657325</v>
      </c>
      <c r="AW52" s="72">
        <f t="shared" si="33"/>
        <v>366</v>
      </c>
      <c r="AX52" s="1">
        <v>657688</v>
      </c>
      <c r="AY52" s="11">
        <f t="shared" si="23"/>
        <v>363</v>
      </c>
      <c r="AZ52" s="1">
        <v>658028</v>
      </c>
      <c r="BA52" s="11">
        <f t="shared" si="24"/>
        <v>340</v>
      </c>
      <c r="BB52" s="1">
        <v>658350</v>
      </c>
      <c r="BC52" s="27">
        <f t="shared" si="25"/>
        <v>322</v>
      </c>
      <c r="BD52" s="1">
        <v>658701</v>
      </c>
      <c r="BE52" s="11">
        <f t="shared" si="26"/>
        <v>351</v>
      </c>
      <c r="BF52" s="1">
        <v>659052</v>
      </c>
      <c r="BG52" s="11">
        <f t="shared" si="27"/>
        <v>351</v>
      </c>
      <c r="BH52" s="1">
        <v>659438</v>
      </c>
      <c r="BI52" s="11">
        <f t="shared" si="28"/>
        <v>386</v>
      </c>
      <c r="BJ52" s="2">
        <v>659802</v>
      </c>
      <c r="BK52" s="11">
        <f t="shared" si="29"/>
        <v>364</v>
      </c>
      <c r="BL52" s="28">
        <v>660211</v>
      </c>
      <c r="BM52" s="30">
        <f t="shared" si="30"/>
        <v>409</v>
      </c>
      <c r="BN52" s="46">
        <f t="shared" si="35"/>
        <v>10781</v>
      </c>
    </row>
    <row r="53" spans="1:66" ht="16.5" thickBot="1" x14ac:dyDescent="0.3">
      <c r="A53" s="37"/>
      <c r="B53" s="37"/>
      <c r="C53" s="41" t="s">
        <v>125</v>
      </c>
      <c r="D53" s="35"/>
      <c r="E53" s="18">
        <f>SUM(E3:E52)</f>
        <v>0</v>
      </c>
      <c r="F53" s="18"/>
      <c r="G53" s="18">
        <f>SUM(G3:G52)</f>
        <v>5183</v>
      </c>
      <c r="H53" s="18"/>
      <c r="I53" s="18">
        <f>SUM(I3:I52)</f>
        <v>5187</v>
      </c>
      <c r="J53" s="18"/>
      <c r="K53" s="18">
        <f>SUM(K3:K52)</f>
        <v>5563</v>
      </c>
      <c r="L53" s="18"/>
      <c r="M53" s="18">
        <f>SUM(M3:M52)</f>
        <v>5955</v>
      </c>
      <c r="N53" s="18"/>
      <c r="O53" s="18">
        <f>SUM(O3:O52)</f>
        <v>5899</v>
      </c>
      <c r="P53" s="18"/>
      <c r="Q53" s="18">
        <f>SUM(Q3:Q52)</f>
        <v>5634</v>
      </c>
      <c r="R53" s="18"/>
      <c r="S53" s="18">
        <f>SUM(S3:S52)</f>
        <v>5722</v>
      </c>
      <c r="T53" s="18"/>
      <c r="U53" s="18">
        <f>SUM(U3:U52)</f>
        <v>5243</v>
      </c>
      <c r="V53" s="18"/>
      <c r="W53" s="18">
        <f>SUM(W3:W52)</f>
        <v>5666</v>
      </c>
      <c r="X53" s="18"/>
      <c r="Y53" s="18">
        <f>SUM(Y3:Y52)</f>
        <v>5572</v>
      </c>
      <c r="Z53" s="18"/>
      <c r="AA53" s="18">
        <f>SUM(AA3:AA52)</f>
        <v>5485</v>
      </c>
      <c r="AB53" s="18"/>
      <c r="AC53" s="18">
        <f>SUM(AC3:AC52)</f>
        <v>5490</v>
      </c>
      <c r="AD53" s="18"/>
      <c r="AE53" s="18">
        <f>SUM(AE3:AE52)</f>
        <v>5597</v>
      </c>
      <c r="AF53" s="18"/>
      <c r="AG53" s="18">
        <f>SUM(AG3:AG52)</f>
        <v>5304</v>
      </c>
      <c r="AH53" s="18"/>
      <c r="AI53" s="18">
        <f>SUM(AI3:AI52)</f>
        <v>5349</v>
      </c>
      <c r="AJ53" s="18"/>
      <c r="AK53" s="18">
        <f>SUM(AK3:AK52)</f>
        <v>5590</v>
      </c>
      <c r="AL53" s="18"/>
      <c r="AM53" s="18">
        <f>SUM(AM3:AM52)</f>
        <v>5802</v>
      </c>
      <c r="AN53" s="18"/>
      <c r="AO53" s="18">
        <f>SUM(AO3:AO52)</f>
        <v>5846</v>
      </c>
      <c r="AP53" s="18"/>
      <c r="AQ53" s="18">
        <f>SUM(AQ3:AQ52)</f>
        <v>6119</v>
      </c>
      <c r="AR53" s="18"/>
      <c r="AS53" s="18">
        <f>SUM(AS3:AS52)</f>
        <v>6363</v>
      </c>
      <c r="AT53" s="18"/>
      <c r="AU53" s="18">
        <f>SUM(AU3:AU52)</f>
        <v>6173</v>
      </c>
      <c r="AV53" s="18"/>
      <c r="AW53" s="18">
        <f>SUM(AW3:AW52)</f>
        <v>6062</v>
      </c>
      <c r="AX53" s="18"/>
      <c r="AY53" s="18">
        <f>SUM(AY3:AY52)</f>
        <v>5767</v>
      </c>
      <c r="AZ53" s="18"/>
      <c r="BA53" s="18">
        <f>SUM(BA3:BA52)</f>
        <v>5798</v>
      </c>
      <c r="BB53" s="18"/>
      <c r="BC53" s="18">
        <f>SUM(BC3:BC52)</f>
        <v>5937</v>
      </c>
      <c r="BD53" s="18"/>
      <c r="BE53" s="18">
        <f>SUM(BE3:BE52)</f>
        <v>6380</v>
      </c>
      <c r="BF53" s="18"/>
      <c r="BG53" s="18">
        <f>SUM(BG3:BG52)</f>
        <v>6470</v>
      </c>
      <c r="BH53" s="18"/>
      <c r="BI53" s="18">
        <f>SUM(BI3:BI52)</f>
        <v>7191</v>
      </c>
      <c r="BJ53" s="18"/>
      <c r="BK53" s="18">
        <f>SUM(BK3:BK52)</f>
        <v>7099</v>
      </c>
      <c r="BL53" s="21"/>
      <c r="BM53" s="21">
        <f>SUM(BM3:BM52)</f>
        <v>6820</v>
      </c>
      <c r="BN53" s="34">
        <f>SUM(BN3:BN52)</f>
        <v>176266</v>
      </c>
    </row>
    <row r="58" spans="1:66" x14ac:dyDescent="0.25">
      <c r="H58" s="17"/>
    </row>
  </sheetData>
  <pageMargins left="0.7" right="0.7" top="0.75" bottom="0.75" header="0.3" footer="0.3"/>
  <pageSetup paperSize="8" scale="36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5"/>
  <sheetViews>
    <sheetView workbookViewId="0">
      <selection activeCell="G15" sqref="G15"/>
    </sheetView>
  </sheetViews>
  <sheetFormatPr defaultRowHeight="15" x14ac:dyDescent="0.25"/>
  <cols>
    <col min="3" max="3" width="25.140625" customWidth="1"/>
    <col min="4" max="4" width="17.7109375" customWidth="1"/>
  </cols>
  <sheetData>
    <row r="3" spans="3:5" ht="15.75" thickBot="1" x14ac:dyDescent="0.3"/>
    <row r="4" spans="3:5" x14ac:dyDescent="0.25">
      <c r="C4" s="64" t="s">
        <v>126</v>
      </c>
      <c r="D4" s="52">
        <f>'Comp.decembre'!BN22+'Comp.decembre'!BN38+'Comp.decembre'!BN49+'Comp.decembre'!BN37</f>
        <v>33320</v>
      </c>
      <c r="E4">
        <f>D4*0.218</f>
        <v>7263.76</v>
      </c>
    </row>
    <row r="5" spans="3:5" x14ac:dyDescent="0.25">
      <c r="C5" s="65" t="s">
        <v>127</v>
      </c>
      <c r="D5" s="53">
        <f>'Comp.decembre'!BN9+'Comp.decembre'!BN10+'Comp.decembre'!BN11+'Comp.decembre'!BN24+'Comp.decembre'!BN47+'Comp.decembre'!BN52+'Comp.decembre'!BN45+'Comp.decembre'!BN44</f>
        <v>33865</v>
      </c>
      <c r="E5">
        <f t="shared" ref="E5:E15" si="0">D5*0.218</f>
        <v>7382.57</v>
      </c>
    </row>
    <row r="6" spans="3:5" x14ac:dyDescent="0.25">
      <c r="C6" s="65" t="s">
        <v>128</v>
      </c>
      <c r="D6" s="54">
        <f>'Comp.decembre'!BN51+'Comp.decembre'!BN48+'Comp.decembre'!BN7+'Comp.decembre'!BN6+'Comp.decembre'!BN4</f>
        <v>14040</v>
      </c>
      <c r="E6">
        <f t="shared" si="0"/>
        <v>3060.72</v>
      </c>
    </row>
    <row r="7" spans="3:5" x14ac:dyDescent="0.25">
      <c r="C7" s="65" t="s">
        <v>129</v>
      </c>
      <c r="D7" s="55">
        <f>'Comp.decembre'!BN34+'Comp.decembre'!BN42+'Comp.decembre'!BN46</f>
        <v>25185</v>
      </c>
      <c r="E7">
        <f t="shared" si="0"/>
        <v>5490.33</v>
      </c>
    </row>
    <row r="8" spans="3:5" x14ac:dyDescent="0.25">
      <c r="C8" s="65" t="s">
        <v>130</v>
      </c>
      <c r="D8" s="56">
        <f>'Comp.decembre'!BN3+'Comp.decembre'!BN16+'Comp.decembre'!BN18+'Comp.decembre'!BN30+'Comp.decembre'!BN35+'Comp.decembre'!BN41</f>
        <v>26495</v>
      </c>
      <c r="E8">
        <f t="shared" si="0"/>
        <v>5775.91</v>
      </c>
    </row>
    <row r="9" spans="3:5" x14ac:dyDescent="0.25">
      <c r="C9" s="65" t="s">
        <v>131</v>
      </c>
      <c r="D9" s="57">
        <f>'Comp.decembre'!BN21+'Comp.decembre'!BN25</f>
        <v>6224</v>
      </c>
      <c r="E9">
        <f t="shared" si="0"/>
        <v>1356.8320000000001</v>
      </c>
    </row>
    <row r="10" spans="3:5" x14ac:dyDescent="0.25">
      <c r="C10" s="65" t="s">
        <v>132</v>
      </c>
      <c r="D10" s="58">
        <f>'Comp.decembre'!BN13+'Comp.decembre'!BN28</f>
        <v>4607</v>
      </c>
      <c r="E10">
        <f t="shared" si="0"/>
        <v>1004.326</v>
      </c>
    </row>
    <row r="11" spans="3:5" x14ac:dyDescent="0.25">
      <c r="C11" s="65" t="s">
        <v>133</v>
      </c>
      <c r="D11" s="59">
        <f>'Comp.decembre'!BN12+'Comp.decembre'!BN15+'Comp.decembre'!BN23</f>
        <v>2164</v>
      </c>
      <c r="E11">
        <f t="shared" si="0"/>
        <v>471.75200000000001</v>
      </c>
    </row>
    <row r="12" spans="3:5" x14ac:dyDescent="0.25">
      <c r="C12" s="65" t="s">
        <v>134</v>
      </c>
      <c r="D12" s="60">
        <f>'Comp.decembre'!BN36+'Comp.decembre'!BN39+'Comp.decembre'!BN40+'Comp.decembre'!BN43</f>
        <v>3065</v>
      </c>
      <c r="E12">
        <f t="shared" si="0"/>
        <v>668.17</v>
      </c>
    </row>
    <row r="13" spans="3:5" x14ac:dyDescent="0.25">
      <c r="C13" s="65" t="s">
        <v>135</v>
      </c>
      <c r="D13" s="61">
        <f>'Comp.decembre'!BN50+'Comp.decembre'!BN14</f>
        <v>1433</v>
      </c>
      <c r="E13">
        <f t="shared" si="0"/>
        <v>312.39400000000001</v>
      </c>
    </row>
    <row r="14" spans="3:5" x14ac:dyDescent="0.25">
      <c r="C14" s="65" t="s">
        <v>136</v>
      </c>
      <c r="D14" s="62">
        <f>'Comp.decembre'!BN33+'Comp.decembre'!BN32+'Comp.decembre'!BN31+'Comp.decembre'!BN29+'Comp.decembre'!BN27</f>
        <v>11221</v>
      </c>
      <c r="E14">
        <f t="shared" si="0"/>
        <v>2446.1779999999999</v>
      </c>
    </row>
    <row r="15" spans="3:5" ht="44.25" customHeight="1" thickBot="1" x14ac:dyDescent="0.3">
      <c r="C15" s="66" t="s">
        <v>137</v>
      </c>
      <c r="D15" s="63">
        <f>'Comp.decembre'!BN5+'Comp.decembre'!BN8+'Comp.decembre'!BN17+'Comp.decembre'!BN19+'Comp.decembre'!BN20+'Comp.decembre'!BN26</f>
        <v>14647</v>
      </c>
      <c r="E15">
        <f t="shared" si="0"/>
        <v>3193.0459999999998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Comp.decembre</vt:lpstr>
      <vt:lpstr>Distribution de la consommation</vt:lpstr>
      <vt:lpstr>Comp.decembre!Print_Area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2021-06-06T14:21:40Z</dcterms:modified>
</cp:coreProperties>
</file>