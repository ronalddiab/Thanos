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06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371" documentId="11_8AB6EB61C68DA4EDA4C8C276088D67A68B5EEB74" xr6:coauthVersionLast="47" xr6:coauthVersionMax="47" xr10:uidLastSave="{D62A7860-719C-45DA-9576-146F69FEA0BD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2" i="1"/>
  <c r="R10" i="1"/>
  <c r="R11" i="1"/>
  <c r="R7" i="1"/>
  <c r="R8" i="1"/>
  <c r="R9" i="1"/>
  <c r="R4" i="1"/>
  <c r="R3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tc={B9F2867B-BB76-4E43-A4CA-631C8B612C26}</author>
    <author>tc={BCAD709A-0024-4E29-B084-2A385D8D15F5}</author>
    <author>tc={85766157-C309-4AFE-BFD6-C62100F01327}</author>
    <author>tc={1ACB9980-5103-4746-8F0B-1A4075E89FD5}</author>
    <author>tc={AAA68FE1-0C8D-48A3-9B0E-7F183106DC8D}</author>
    <author>tc={C0743C3F-F550-4D27-8B62-915CA38E3A2C}</author>
  </authors>
  <commentList>
    <comment ref="N5" authorId="0" shapeId="0" xr:uid="{B9F2867B-BB76-4E43-A4CA-631C8B612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reading taken, therefore calculated average
</t>
      </text>
    </comment>
    <comment ref="T5" authorId="1" shapeId="0" xr:uid="{BCAD709A-0024-4E29-B084-2A385D8D15F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  <comment ref="N6" authorId="2" shapeId="0" xr:uid="{85766157-C309-4AFE-BFD6-C62100F013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reading taken, therefore calculated average
</t>
      </text>
    </comment>
    <comment ref="T6" authorId="3" shapeId="0" xr:uid="{1ACB9980-5103-4746-8F0B-1A4075E89F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  <comment ref="T7" authorId="4" shapeId="0" xr:uid="{AAA68FE1-0C8D-48A3-9B0E-7F183106DC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  <comment ref="T10" authorId="5" shapeId="0" xr:uid="{C0743C3F-F550-4D27-8B62-915CA38E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reading taken , therefore calculated average</t>
      </text>
    </comment>
  </commentList>
</comments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<sst xmlns="http://schemas.openxmlformats.org/spreadsheetml/2006/main" count="140" uniqueCount="73">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</sst>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7577E2DF-2FAE-447C-B429-DFA3C334C4B8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5" dT="2021-06-13T07:58:48.15" personId="{7577E2DF-2FAE-447C-B429-DFA3C334C4B8}" id="{B9F2867B-BB76-4E43-A4CA-631C8B612C26}">
    <text xml:space="preserve">No reading taken, therefore calculated average
</text>
  </threadedComment>
  <threadedComment ref="T5" dT="2021-06-13T07:58:00.31" personId="{7577E2DF-2FAE-447C-B429-DFA3C334C4B8}" id="{BCAD709A-0024-4E29-B084-2A385D8D15F5}">
    <text>No reading taken , therefore calculated average</text>
  </threadedComment>
  <threadedComment ref="N6" dT="2021-06-13T07:58:48.15" personId="{7577E2DF-2FAE-447C-B429-DFA3C334C4B8}" id="{85766157-C309-4AFE-BFD6-C62100F01327}">
    <text xml:space="preserve">No reading taken, therefore calculated average
</text>
  </threadedComment>
  <threadedComment ref="T6" dT="2021-06-13T07:58:00.31" personId="{7577E2DF-2FAE-447C-B429-DFA3C334C4B8}" id="{1ACB9980-5103-4746-8F0B-1A4075E89FD5}">
    <text>No reading taken , therefore calculated average</text>
  </threadedComment>
  <threadedComment ref="T7" dT="2021-06-13T07:58:00.31" personId="{7577E2DF-2FAE-447C-B429-DFA3C334C4B8}" id="{AAA68FE1-0C8D-48A3-9B0E-7F183106DC8D}">
    <text>No reading taken , therefore calculated average</text>
  </threadedComment>
  <threadedComment ref="T10" dT="2021-06-13T07:58:00.31" personId="{7577E2DF-2FAE-447C-B429-DFA3C334C4B8}" id="{C0743C3F-F550-4D27-8B62-915CA38E3A2C}">
    <text>No reading taken , therefore calculated average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8" workbookViewId="0">
      <selection activeCell="B34" sqref="B34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6</v>
      </c>
      <c r="D2" s="1">
        <v>2021</v>
      </c>
      <c r="E2" s="12">
        <f>'Submetering '!O2+'Submetering '!P2+'Submetering '!Q2+'Submetering '!R2+'Submetering '!S2</f>
        <v>24577</v>
      </c>
      <c r="F2" s="11">
        <f>('FS Seychelles'!R3*'FS Seychelles'!S3)/TOTAL!E2</f>
        <v>0.25820645318793994</v>
      </c>
      <c r="G2" s="12">
        <f>'Submetering '!AB2</f>
        <v>0</v>
      </c>
      <c r="H2" s="11">
        <v>18.899999999999999</v>
      </c>
      <c r="I2" s="12">
        <f>'FS Seychelles'!T3+'FS Seychelles'!V3+'FS Seychelles'!W3+'FS Seychelles'!X3</f>
        <v>469</v>
      </c>
      <c r="J2" s="11">
        <v>0</v>
      </c>
      <c r="K2" s="29">
        <f>'Submetering '!Z2</f>
        <v>60</v>
      </c>
      <c r="L2" s="11">
        <v>0</v>
      </c>
      <c r="M2" s="58">
        <f>'FS Seychelles'!B3</f>
        <v>54.22</v>
      </c>
    </row>
    <row r="3" spans="1:13" s="15" customFormat="1">
      <c r="A3" s="1" t="s">
        <v>13</v>
      </c>
      <c r="B3" s="14">
        <f>B2+1</f>
        <v>2</v>
      </c>
      <c r="C3" s="11">
        <v>6</v>
      </c>
      <c r="D3" s="1">
        <v>2021</v>
      </c>
      <c r="E3" s="12">
        <f>'Submetering '!O3+'Submetering '!P3+'Submetering '!Q3+'Submetering '!R3+'Submetering '!S3</f>
        <v>30096</v>
      </c>
      <c r="F3" s="11">
        <f>('FS Seychelles'!R4*'FS Seychelles'!S4)/TOTAL!E3</f>
        <v>0.26588981924508237</v>
      </c>
      <c r="G3" s="12">
        <f>'Submetering '!AB3</f>
        <v>0</v>
      </c>
      <c r="H3" s="11">
        <f>H2</f>
        <v>18.899999999999999</v>
      </c>
      <c r="I3" s="12">
        <f>'FS Seychelles'!T4+'FS Seychelles'!V4+'FS Seychelles'!W4+'FS Seychelles'!X4</f>
        <v>366</v>
      </c>
      <c r="J3" s="11">
        <f>J2</f>
        <v>0</v>
      </c>
      <c r="K3" s="29">
        <f>'Submetering '!Z3</f>
        <v>74</v>
      </c>
      <c r="L3" s="11">
        <f>L2</f>
        <v>0</v>
      </c>
      <c r="M3" s="58">
        <f>'FS Seychelles'!B4</f>
        <v>55.81</v>
      </c>
    </row>
    <row r="4" spans="1:13" s="15" customFormat="1">
      <c r="A4" s="1" t="s">
        <v>13</v>
      </c>
      <c r="B4" s="14">
        <f t="shared" ref="B4:B32" si="0">B3+1</f>
        <v>3</v>
      </c>
      <c r="C4" s="11">
        <v>6</v>
      </c>
      <c r="D4" s="1">
        <v>2021</v>
      </c>
      <c r="E4" s="12">
        <f>'Submetering '!O4+'Submetering '!P4+'Submetering '!Q4+'Submetering '!R4+'Submetering '!S4</f>
        <v>28507.75</v>
      </c>
      <c r="F4" s="11">
        <f>('FS Seychelles'!R5*'FS Seychelles'!S5)/TOTAL!E4</f>
        <v>0.25618340626671693</v>
      </c>
      <c r="G4" s="12">
        <f>'Submetering '!AB4</f>
        <v>0</v>
      </c>
      <c r="H4" s="11">
        <f t="shared" ref="H4:H32" si="1">H3</f>
        <v>18.899999999999999</v>
      </c>
      <c r="I4" s="12">
        <f>'FS Seychelles'!T5+'FS Seychelles'!V5+'FS Seychelles'!W5+'FS Seychelles'!X5</f>
        <v>439</v>
      </c>
      <c r="J4" s="11">
        <f t="shared" ref="J4:L32" si="2">J3</f>
        <v>0</v>
      </c>
      <c r="K4" s="29">
        <f>'Submetering '!Z4</f>
        <v>76.5</v>
      </c>
      <c r="L4" s="11">
        <f t="shared" si="2"/>
        <v>0</v>
      </c>
      <c r="M4" s="58">
        <f>'FS Seychelles'!B5</f>
        <v>61.73</v>
      </c>
    </row>
    <row r="5" spans="1:13" s="15" customFormat="1">
      <c r="A5" s="1" t="s">
        <v>13</v>
      </c>
      <c r="B5" s="14">
        <f t="shared" si="0"/>
        <v>4</v>
      </c>
      <c r="C5" s="11">
        <v>6</v>
      </c>
      <c r="D5" s="1">
        <v>2021</v>
      </c>
      <c r="E5" s="12">
        <f>'Submetering '!O5+'Submetering '!P5+'Submetering '!Q5+'Submetering '!R5+'Submetering '!S5</f>
        <v>28507.75</v>
      </c>
      <c r="F5" s="11">
        <f>('FS Seychelles'!R6*'FS Seychelles'!S6)/TOTAL!E5</f>
        <v>0.25618340626671693</v>
      </c>
      <c r="G5" s="12">
        <f>'Submetering '!AB5</f>
        <v>0</v>
      </c>
      <c r="H5" s="11">
        <f t="shared" si="1"/>
        <v>18.899999999999999</v>
      </c>
      <c r="I5" s="12">
        <f>'FS Seychelles'!T6+'FS Seychelles'!V6+'FS Seychelles'!W6+'FS Seychelles'!X6</f>
        <v>439</v>
      </c>
      <c r="J5" s="11">
        <f t="shared" si="2"/>
        <v>0</v>
      </c>
      <c r="K5" s="29">
        <f>'Submetering '!Z5</f>
        <v>76.5</v>
      </c>
      <c r="L5" s="11">
        <f t="shared" si="2"/>
        <v>0</v>
      </c>
      <c r="M5" s="58">
        <f>'FS Seychelles'!B6</f>
        <v>60.49</v>
      </c>
    </row>
    <row r="6" spans="1:13" s="15" customFormat="1">
      <c r="A6" s="1" t="s">
        <v>13</v>
      </c>
      <c r="B6" s="14">
        <f t="shared" si="0"/>
        <v>5</v>
      </c>
      <c r="C6" s="11">
        <v>6</v>
      </c>
      <c r="D6" s="1">
        <v>2021</v>
      </c>
      <c r="E6" s="12">
        <f>'Submetering '!O6+'Submetering '!P6+'Submetering '!Q6+'Submetering '!R6+'Submetering '!S6</f>
        <v>29528</v>
      </c>
      <c r="F6" s="11">
        <f>('FS Seychelles'!R7*'FS Seychelles'!S7)/TOTAL!E6</f>
        <v>0.2783263343267407</v>
      </c>
      <c r="G6" s="12">
        <f>'Submetering '!AB6</f>
        <v>0</v>
      </c>
      <c r="H6" s="11">
        <f t="shared" si="1"/>
        <v>18.899999999999999</v>
      </c>
      <c r="I6" s="12">
        <f>'FS Seychelles'!T7+'FS Seychelles'!V7+'FS Seychelles'!W7+'FS Seychelles'!X7</f>
        <v>439</v>
      </c>
      <c r="J6" s="11">
        <f t="shared" si="2"/>
        <v>0</v>
      </c>
      <c r="K6" s="29">
        <f>'Submetering '!Z6</f>
        <v>76.5</v>
      </c>
      <c r="L6" s="11">
        <f t="shared" si="2"/>
        <v>0</v>
      </c>
      <c r="M6" s="58">
        <f>'FS Seychelles'!B7</f>
        <v>61.04</v>
      </c>
    </row>
    <row r="7" spans="1:13" s="15" customFormat="1">
      <c r="A7" s="1" t="s">
        <v>13</v>
      </c>
      <c r="B7" s="14">
        <f t="shared" si="0"/>
        <v>6</v>
      </c>
      <c r="C7" s="11">
        <v>6</v>
      </c>
      <c r="D7" s="1">
        <v>2021</v>
      </c>
      <c r="E7" s="12">
        <f>'Submetering '!O7+'Submetering '!P7+'Submetering '!Q7+'Submetering '!R7+'Submetering '!S7</f>
        <v>25779</v>
      </c>
      <c r="F7" s="11">
        <f>('FS Seychelles'!R8*'FS Seychelles'!S8)/TOTAL!E7</f>
        <v>0.24817254354319404</v>
      </c>
      <c r="G7" s="12">
        <f>'Submetering '!AB7</f>
        <v>0</v>
      </c>
      <c r="H7" s="11">
        <f t="shared" si="1"/>
        <v>18.899999999999999</v>
      </c>
      <c r="I7" s="12">
        <f>'FS Seychelles'!T8+'FS Seychelles'!V8+'FS Seychelles'!W8+'FS Seychelles'!X8</f>
        <v>379</v>
      </c>
      <c r="J7" s="11">
        <f t="shared" si="2"/>
        <v>0</v>
      </c>
      <c r="K7" s="29">
        <f>'Submetering '!Z7</f>
        <v>72</v>
      </c>
      <c r="L7" s="11">
        <f t="shared" si="2"/>
        <v>0</v>
      </c>
      <c r="M7" s="58">
        <f>'FS Seychelles'!B8</f>
        <v>46.75</v>
      </c>
    </row>
    <row r="8" spans="1:13" s="15" customFormat="1">
      <c r="A8" s="1" t="s">
        <v>13</v>
      </c>
      <c r="B8" s="14">
        <f t="shared" si="0"/>
        <v>7</v>
      </c>
      <c r="C8" s="11">
        <v>6</v>
      </c>
      <c r="D8" s="1">
        <v>2021</v>
      </c>
      <c r="E8" s="12">
        <f>'Submetering '!O8+'Submetering '!P8+'Submetering '!Q8+'Submetering '!R8+'Submetering '!S8</f>
        <v>30423</v>
      </c>
      <c r="F8" s="11">
        <f>('FS Seychelles'!R9*'FS Seychelles'!S9)/TOTAL!E8</f>
        <v>0.27180915754527823</v>
      </c>
      <c r="G8" s="12">
        <f>'Submetering '!AB8</f>
        <v>0</v>
      </c>
      <c r="H8" s="11">
        <f t="shared" si="1"/>
        <v>18.899999999999999</v>
      </c>
      <c r="I8" s="12">
        <f>'FS Seychelles'!T9+'FS Seychelles'!V9+'FS Seychelles'!W9+'FS Seychelles'!X9</f>
        <v>435</v>
      </c>
      <c r="J8" s="11">
        <f t="shared" si="2"/>
        <v>0</v>
      </c>
      <c r="K8" s="29">
        <f>'Submetering '!Z8</f>
        <v>76</v>
      </c>
      <c r="L8" s="11">
        <f t="shared" si="2"/>
        <v>0</v>
      </c>
      <c r="M8" s="58">
        <f>'FS Seychelles'!B9</f>
        <v>48.05</v>
      </c>
    </row>
    <row r="9" spans="1:13" s="15" customFormat="1">
      <c r="A9" s="1" t="s">
        <v>13</v>
      </c>
      <c r="B9" s="14">
        <f t="shared" si="0"/>
        <v>8</v>
      </c>
      <c r="C9" s="11">
        <v>6</v>
      </c>
      <c r="D9" s="1">
        <v>2021</v>
      </c>
      <c r="E9" s="12">
        <f>'Submetering '!O9+'Submetering '!P9+'Submetering '!Q9+'Submetering '!R9+'Submetering '!S9</f>
        <v>28427</v>
      </c>
      <c r="F9" s="11">
        <f>('FS Seychelles'!R10*'FS Seychelles'!S10)/TOTAL!E9</f>
        <v>0.25264290990959298</v>
      </c>
      <c r="G9" s="12">
        <f>'Submetering '!AB9</f>
        <v>0</v>
      </c>
      <c r="H9" s="11">
        <f t="shared" si="1"/>
        <v>18.899999999999999</v>
      </c>
      <c r="I9" s="12">
        <f>'FS Seychelles'!T10+'FS Seychelles'!V10+'FS Seychelles'!W10+'FS Seychelles'!X10</f>
        <v>439</v>
      </c>
      <c r="J9" s="11">
        <f t="shared" si="2"/>
        <v>0</v>
      </c>
      <c r="K9" s="29">
        <f>'Submetering '!Z9</f>
        <v>76.5</v>
      </c>
      <c r="L9" s="11">
        <f t="shared" si="2"/>
        <v>0</v>
      </c>
      <c r="M9" s="58">
        <f>'FS Seychelles'!B10</f>
        <v>51.95</v>
      </c>
    </row>
    <row r="10" spans="1:13" s="15" customFormat="1">
      <c r="A10" s="1" t="s">
        <v>13</v>
      </c>
      <c r="B10" s="14">
        <f t="shared" si="0"/>
        <v>9</v>
      </c>
      <c r="C10" s="11">
        <v>6</v>
      </c>
      <c r="D10" s="1">
        <v>2021</v>
      </c>
      <c r="E10" s="12">
        <f>'Submetering '!O10+'Submetering '!P10+'Submetering '!Q10+'Submetering '!R10+'Submetering '!S10</f>
        <v>27846</v>
      </c>
      <c r="F10" s="11">
        <f>('FS Seychelles'!R11*'FS Seychelles'!S11)/TOTAL!E10</f>
        <v>0.25672987143575376</v>
      </c>
      <c r="G10" s="12">
        <f>'Submetering '!AB10</f>
        <v>0</v>
      </c>
      <c r="H10" s="11">
        <f t="shared" si="1"/>
        <v>18.899999999999999</v>
      </c>
      <c r="I10" s="12">
        <f>'FS Seychelles'!T11+'FS Seychelles'!V11+'FS Seychelles'!W11+'FS Seychelles'!X11</f>
        <v>413</v>
      </c>
      <c r="J10" s="11">
        <f t="shared" si="2"/>
        <v>0</v>
      </c>
      <c r="K10" s="29">
        <f>'Submetering '!Z10</f>
        <v>86</v>
      </c>
      <c r="L10" s="11">
        <f t="shared" si="2"/>
        <v>0</v>
      </c>
      <c r="M10" s="58">
        <f>'FS Seychelles'!B11</f>
        <v>55.84</v>
      </c>
    </row>
    <row r="11" spans="1:13" s="15" customFormat="1">
      <c r="A11" s="1" t="s">
        <v>13</v>
      </c>
      <c r="B11" s="14">
        <f t="shared" si="0"/>
        <v>10</v>
      </c>
      <c r="C11" s="11">
        <v>6</v>
      </c>
      <c r="D11" s="1">
        <v>2021</v>
      </c>
      <c r="E11" s="12">
        <f>'Submetering '!O11+'Submetering '!P11+'Submetering '!Q11+'Submetering '!R11+'Submetering '!S11</f>
        <v>29658</v>
      </c>
      <c r="F11" s="11">
        <f>('FS Seychelles'!R12*'FS Seychelles'!S12)/TOTAL!E11</f>
        <v>0.24899217749005326</v>
      </c>
      <c r="G11" s="12">
        <f>'Submetering '!AB11</f>
        <v>0</v>
      </c>
      <c r="H11" s="11">
        <f t="shared" si="1"/>
        <v>18.899999999999999</v>
      </c>
      <c r="I11" s="12">
        <f>'FS Seychelles'!T12+'FS Seychelles'!V12+'FS Seychelles'!W12+'FS Seychelles'!X12</f>
        <v>459</v>
      </c>
      <c r="J11" s="11">
        <f t="shared" si="2"/>
        <v>0</v>
      </c>
      <c r="K11" s="29">
        <f>'Submetering '!Z11</f>
        <v>84</v>
      </c>
      <c r="L11" s="11">
        <f t="shared" si="2"/>
        <v>0</v>
      </c>
      <c r="M11" s="58">
        <f>'FS Seychelles'!B12</f>
        <v>58.44</v>
      </c>
    </row>
    <row r="12" spans="1:13" s="15" customFormat="1">
      <c r="A12" s="1" t="s">
        <v>13</v>
      </c>
      <c r="B12" s="14">
        <f t="shared" si="0"/>
        <v>11</v>
      </c>
      <c r="C12" s="11">
        <v>6</v>
      </c>
      <c r="D12" s="1">
        <v>2021</v>
      </c>
      <c r="E12" s="12">
        <f>'Submetering '!O12+'Submetering '!P12+'Submetering '!Q12+'Submetering '!R12+'Submetering '!S12</f>
        <v>29271</v>
      </c>
      <c r="F12" s="11">
        <f>('FS Seychelles'!R13*'FS Seychelles'!S13)/TOTAL!E12</f>
        <v>0.26925113593659256</v>
      </c>
      <c r="G12" s="12">
        <f>'Submetering '!AB12</f>
        <v>0</v>
      </c>
      <c r="H12" s="11">
        <f t="shared" si="1"/>
        <v>18.899999999999999</v>
      </c>
      <c r="I12" s="12">
        <f>'FS Seychelles'!T13+'FS Seychelles'!V13+'FS Seychelles'!W13+'FS Seychelles'!X13</f>
        <v>490</v>
      </c>
      <c r="J12" s="11">
        <f t="shared" si="2"/>
        <v>0</v>
      </c>
      <c r="K12" s="29">
        <f>'Submetering '!Z12</f>
        <v>82</v>
      </c>
      <c r="L12" s="11">
        <f t="shared" si="2"/>
        <v>0</v>
      </c>
      <c r="M12" s="58">
        <f>'FS Seychelles'!B13</f>
        <v>55.84</v>
      </c>
    </row>
    <row r="13" spans="1:13" s="15" customFormat="1">
      <c r="A13" s="1" t="s">
        <v>13</v>
      </c>
      <c r="B13" s="14">
        <f t="shared" si="0"/>
        <v>12</v>
      </c>
      <c r="C13" s="11">
        <v>6</v>
      </c>
      <c r="D13" s="1">
        <v>2021</v>
      </c>
      <c r="E13" s="12">
        <f>'Submetering '!O13+'Submetering '!P13+'Submetering '!Q13+'Submetering '!R13+'Submetering '!S13</f>
        <v>27130</v>
      </c>
      <c r="F13" s="11">
        <f>('FS Seychelles'!R14*'FS Seychelles'!S14)/TOTAL!E13</f>
        <v>0.27062034647991151</v>
      </c>
      <c r="G13" s="12">
        <f>'Submetering '!AB13</f>
        <v>0</v>
      </c>
      <c r="H13" s="11">
        <f t="shared" si="1"/>
        <v>18.899999999999999</v>
      </c>
      <c r="I13" s="12">
        <f>'FS Seychelles'!T14+'FS Seychelles'!V14+'FS Seychelles'!W14+'FS Seychelles'!X14</f>
        <v>501</v>
      </c>
      <c r="J13" s="11">
        <f t="shared" si="2"/>
        <v>0</v>
      </c>
      <c r="K13" s="29">
        <f>'Submetering '!Z13</f>
        <v>78</v>
      </c>
      <c r="L13" s="11">
        <f t="shared" si="2"/>
        <v>0</v>
      </c>
      <c r="M13" s="58">
        <f>'FS Seychelles'!B14</f>
        <v>51.94</v>
      </c>
    </row>
    <row r="14" spans="1:13" s="15" customFormat="1">
      <c r="A14" s="1" t="s">
        <v>13</v>
      </c>
      <c r="B14" s="14">
        <f t="shared" si="0"/>
        <v>13</v>
      </c>
      <c r="C14" s="11">
        <v>6</v>
      </c>
      <c r="D14" s="1">
        <v>2021</v>
      </c>
      <c r="E14" s="12">
        <f>'Submetering '!O14+'Submetering '!P14+'Submetering '!Q14+'Submetering '!R14+'Submetering '!S14</f>
        <v>0</v>
      </c>
      <c r="F14" s="11" t="e">
        <f>('FS Seychelles'!R15*'FS Seychelles'!S15)/TOTAL!E14</f>
        <v>#DIV/0!</v>
      </c>
      <c r="G14" s="12">
        <f>'Submetering '!AB14</f>
        <v>0</v>
      </c>
      <c r="H14" s="11">
        <f t="shared" si="1"/>
        <v>18.899999999999999</v>
      </c>
      <c r="I14" s="12">
        <f>'FS Seychelles'!T15+'FS Seychelles'!V15+'FS Seychelles'!W15+'FS Seychelles'!X15</f>
        <v>0</v>
      </c>
      <c r="J14" s="11">
        <f t="shared" si="2"/>
        <v>0</v>
      </c>
      <c r="K14" s="29">
        <f>'Submetering '!Z14</f>
        <v>0</v>
      </c>
      <c r="L14" s="11">
        <f t="shared" si="2"/>
        <v>0</v>
      </c>
      <c r="M14" s="58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v>6</v>
      </c>
      <c r="D15" s="1">
        <v>2021</v>
      </c>
      <c r="E15" s="12">
        <f>'Submetering '!O15+'Submetering '!P15+'Submetering '!Q15+'Submetering '!R15+'Submetering '!S15</f>
        <v>0</v>
      </c>
      <c r="F15" s="11" t="e">
        <f>('FS Seychelles'!R16*'FS Seychelles'!S16)/TOTAL!E15</f>
        <v>#DIV/0!</v>
      </c>
      <c r="G15" s="12">
        <f>'Submetering '!AB15</f>
        <v>0</v>
      </c>
      <c r="H15" s="11">
        <f t="shared" si="1"/>
        <v>18.899999999999999</v>
      </c>
      <c r="I15" s="12">
        <f>'FS Seychelles'!T16+'FS Seychelles'!V16+'FS Seychelles'!W16+'FS Seychelles'!X16</f>
        <v>0</v>
      </c>
      <c r="J15" s="11">
        <f t="shared" si="2"/>
        <v>0</v>
      </c>
      <c r="K15" s="29">
        <f>'Submetering '!Z15</f>
        <v>0</v>
      </c>
      <c r="L15" s="11">
        <f t="shared" si="2"/>
        <v>0</v>
      </c>
      <c r="M15" s="58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v>6</v>
      </c>
      <c r="D16" s="1">
        <v>2021</v>
      </c>
      <c r="E16" s="12">
        <f>'Submetering '!O16+'Submetering '!P16+'Submetering '!Q16+'Submetering '!R16+'Submetering '!S16</f>
        <v>0</v>
      </c>
      <c r="F16" s="11" t="e">
        <f>('FS Seychelles'!R17*'FS Seychelles'!S17)/TOTAL!E16</f>
        <v>#DIV/0!</v>
      </c>
      <c r="G16" s="12">
        <f>'Submetering '!AB16</f>
        <v>0</v>
      </c>
      <c r="H16" s="11">
        <f t="shared" si="1"/>
        <v>18.899999999999999</v>
      </c>
      <c r="I16" s="12">
        <f>'FS Seychelles'!T17+'FS Seychelles'!V17+'FS Seychelles'!W17+'FS Seychelles'!X17</f>
        <v>0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58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6</v>
      </c>
      <c r="D17" s="1">
        <v>2021</v>
      </c>
      <c r="E17" s="12">
        <f>'Submetering '!O17+'Submetering '!P17+'Submetering '!Q17+'Submetering '!R17+'Submetering '!S17</f>
        <v>0</v>
      </c>
      <c r="F17" s="11" t="e">
        <f>('FS Seychelles'!R18*'FS Seychelles'!S18)/TOTAL!E17</f>
        <v>#DIV/0!</v>
      </c>
      <c r="G17" s="12">
        <f>'Submetering '!AB17</f>
        <v>0</v>
      </c>
      <c r="H17" s="11">
        <f t="shared" si="1"/>
        <v>18.899999999999999</v>
      </c>
      <c r="I17" s="12">
        <f>'FS Seychelles'!T18+'FS Seychelles'!V18+'FS Seychelles'!W18+'FS Seychelles'!X18</f>
        <v>0</v>
      </c>
      <c r="J17" s="11">
        <f t="shared" si="2"/>
        <v>0</v>
      </c>
      <c r="K17" s="29">
        <f>'Submetering '!Z17</f>
        <v>0</v>
      </c>
      <c r="L17" s="11">
        <f t="shared" si="2"/>
        <v>0</v>
      </c>
      <c r="M17" s="58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6</v>
      </c>
      <c r="D18" s="1">
        <v>2021</v>
      </c>
      <c r="E18" s="12">
        <f>'Submetering '!O18+'Submetering '!P18+'Submetering '!Q18+'Submetering '!R18+'Submetering '!S18</f>
        <v>0</v>
      </c>
      <c r="F18" s="11" t="e">
        <f>('FS Seychelles'!R19*'FS Seychelles'!S19)/TOTAL!E18</f>
        <v>#DIV/0!</v>
      </c>
      <c r="G18" s="12">
        <f>'Submetering '!AB18</f>
        <v>0</v>
      </c>
      <c r="H18" s="11">
        <f t="shared" si="1"/>
        <v>18.899999999999999</v>
      </c>
      <c r="I18" s="12">
        <f>'FS Seychelles'!T19+'FS Seychelles'!V19+'FS Seychelles'!W19+'FS Seychelles'!X19</f>
        <v>0</v>
      </c>
      <c r="J18" s="11">
        <f t="shared" si="2"/>
        <v>0</v>
      </c>
      <c r="K18" s="29">
        <f>'Submetering '!Z18</f>
        <v>0</v>
      </c>
      <c r="L18" s="11">
        <f t="shared" si="2"/>
        <v>0</v>
      </c>
      <c r="M18" s="58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6</v>
      </c>
      <c r="D19" s="1">
        <v>2021</v>
      </c>
      <c r="E19" s="12">
        <f>'Submetering '!O19+'Submetering '!P19+'Submetering '!Q19+'Submetering '!R19+'Submetering '!S19</f>
        <v>0</v>
      </c>
      <c r="F19" s="11" t="e">
        <f>('FS Seychelles'!R20*'FS Seychelles'!S20)/TOTAL!E19</f>
        <v>#DIV/0!</v>
      </c>
      <c r="G19" s="12">
        <f>'Submetering '!AB19</f>
        <v>0</v>
      </c>
      <c r="H19" s="11">
        <f t="shared" si="1"/>
        <v>18.899999999999999</v>
      </c>
      <c r="I19" s="12">
        <f>'FS Seychelles'!T20+'FS Seychelles'!V20+'FS Seychelles'!W20+'FS Seychelles'!X20</f>
        <v>0</v>
      </c>
      <c r="J19" s="11">
        <f t="shared" si="2"/>
        <v>0</v>
      </c>
      <c r="K19" s="29">
        <f>'Submetering '!Z19</f>
        <v>0</v>
      </c>
      <c r="L19" s="11">
        <f t="shared" si="2"/>
        <v>0</v>
      </c>
      <c r="M19" s="58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6</v>
      </c>
      <c r="D20" s="1">
        <v>2021</v>
      </c>
      <c r="E20" s="12">
        <f>'Submetering '!O20+'Submetering '!P20+'Submetering '!Q20+'Submetering '!R20+'Submetering '!S20</f>
        <v>0</v>
      </c>
      <c r="F20" s="11" t="e">
        <f>('FS Seychelles'!R21*'FS Seychelles'!S21)/TOTAL!E20</f>
        <v>#DIV/0!</v>
      </c>
      <c r="G20" s="12">
        <f>'Submetering '!AB20</f>
        <v>0</v>
      </c>
      <c r="H20" s="11">
        <f t="shared" si="1"/>
        <v>18.899999999999999</v>
      </c>
      <c r="I20" s="12">
        <f>'FS Seychelles'!T21+'FS Seychelles'!V21+'FS Seychelles'!W21+'FS Seychelles'!X21</f>
        <v>0</v>
      </c>
      <c r="J20" s="11">
        <f t="shared" si="2"/>
        <v>0</v>
      </c>
      <c r="K20" s="29">
        <f>'Submetering '!Z20</f>
        <v>0</v>
      </c>
      <c r="L20" s="11">
        <f t="shared" si="2"/>
        <v>0</v>
      </c>
      <c r="M20" s="58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6</v>
      </c>
      <c r="D21" s="1">
        <v>2021</v>
      </c>
      <c r="E21" s="12">
        <f>'Submetering '!O21+'Submetering '!P21+'Submetering '!Q21+'Submetering '!R21+'Submetering '!S21</f>
        <v>0</v>
      </c>
      <c r="F21" s="11" t="e">
        <f>('FS Seychelles'!R22*'FS Seychelles'!S22)/TOTAL!E21</f>
        <v>#DIV/0!</v>
      </c>
      <c r="G21" s="12">
        <f>'Submetering '!AB21</f>
        <v>0</v>
      </c>
      <c r="H21" s="11">
        <f t="shared" si="1"/>
        <v>18.899999999999999</v>
      </c>
      <c r="I21" s="12">
        <f>'FS Seychelles'!T22+'FS Seychelles'!V22+'FS Seychelles'!W22+'FS Seychelles'!X22</f>
        <v>0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58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6</v>
      </c>
      <c r="D22" s="1">
        <v>2021</v>
      </c>
      <c r="E22" s="12">
        <f>'Submetering '!O22+'Submetering '!P22+'Submetering '!Q22+'Submetering '!R22+'Submetering '!S22</f>
        <v>0</v>
      </c>
      <c r="F22" s="11" t="e">
        <f>('FS Seychelles'!R23*'FS Seychelles'!S23)/TOTAL!E22</f>
        <v>#DIV/0!</v>
      </c>
      <c r="G22" s="12">
        <f>'Submetering '!AB22</f>
        <v>0</v>
      </c>
      <c r="H22" s="11">
        <f t="shared" si="1"/>
        <v>18.899999999999999</v>
      </c>
      <c r="I22" s="12">
        <f>'FS Seychelles'!T23+'FS Seychelles'!V23+'FS Seychelles'!W23+'FS Seychelles'!X23</f>
        <v>0</v>
      </c>
      <c r="J22" s="11">
        <f t="shared" si="2"/>
        <v>0</v>
      </c>
      <c r="K22" s="29">
        <f>'Submetering '!Z22</f>
        <v>0</v>
      </c>
      <c r="L22" s="11">
        <f t="shared" si="2"/>
        <v>0</v>
      </c>
      <c r="M22" s="58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6</v>
      </c>
      <c r="D23" s="1">
        <v>2021</v>
      </c>
      <c r="E23" s="12">
        <f>'Submetering '!O23+'Submetering '!P23+'Submetering '!Q23+'Submetering '!R23+'Submetering '!S23</f>
        <v>0</v>
      </c>
      <c r="F23" s="11" t="e">
        <f>('FS Seychelles'!R24*'FS Seychelles'!S24)/TOTAL!E23</f>
        <v>#DIV/0!</v>
      </c>
      <c r="G23" s="12">
        <f>'Submetering '!AB23</f>
        <v>0</v>
      </c>
      <c r="H23" s="11">
        <f t="shared" si="1"/>
        <v>18.899999999999999</v>
      </c>
      <c r="I23" s="12">
        <f>'FS Seychelles'!T24+'FS Seychelles'!V24+'FS Seychelles'!W24+'FS Seychelles'!X24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58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6</v>
      </c>
      <c r="D24" s="1">
        <v>2021</v>
      </c>
      <c r="E24" s="12">
        <f>'Submetering '!O24+'Submetering '!P24+'Submetering '!Q24+'Submetering '!R24+'Submetering '!S24</f>
        <v>0</v>
      </c>
      <c r="F24" s="11" t="e">
        <f>('FS Seychelles'!R25*'FS Seychelles'!S25)/TOTAL!E24</f>
        <v>#DIV/0!</v>
      </c>
      <c r="G24" s="12">
        <f>'Submetering '!AB24</f>
        <v>0</v>
      </c>
      <c r="H24" s="11">
        <f t="shared" si="1"/>
        <v>18.899999999999999</v>
      </c>
      <c r="I24" s="12">
        <f>'FS Seychelles'!T25+'FS Seychelles'!V25+'FS Seychelles'!W25+'FS Seychelles'!X25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58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6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Seychelles'!R26*'FS Seychelles'!S26)/TOTAL!E25</f>
        <v>#DIV/0!</v>
      </c>
      <c r="G25" s="12">
        <f>'Submetering '!AB25</f>
        <v>0</v>
      </c>
      <c r="H25" s="11">
        <f t="shared" si="1"/>
        <v>18.899999999999999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8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6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18.899999999999999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6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18.899999999999999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6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18.899999999999999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8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6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18.899999999999999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8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6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18.899999999999999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8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6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18.899999999999999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8">
        <f>'FS Seychelles'!B32</f>
        <v>0</v>
      </c>
    </row>
    <row r="32" spans="1:13">
      <c r="A32" s="1" t="s">
        <v>13</v>
      </c>
      <c r="B32" s="14"/>
      <c r="C32" s="11"/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18.899999999999999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A5" workbookViewId="0">
      <selection activeCell="B32" sqref="B32:D32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6</v>
      </c>
      <c r="D2" s="11">
        <v>2021</v>
      </c>
      <c r="E2" s="18">
        <f>'FS Seychelles'!B3</f>
        <v>54.22</v>
      </c>
      <c r="F2" s="18">
        <f>'FS Seychelles'!D3*1000</f>
        <v>2993.6639999999998</v>
      </c>
      <c r="G2" s="18">
        <f>'FS Seychelles'!E3*1000</f>
        <v>5147.1359999999995</v>
      </c>
      <c r="H2" s="18">
        <f>'FS Seychelles'!F3*1000</f>
        <v>5300.7359999999999</v>
      </c>
      <c r="I2" s="18">
        <f>'FS Seychelles'!G3*1000</f>
        <v>2060.8000000000002</v>
      </c>
      <c r="J2" s="18">
        <f>'FS Seychelles'!H3*1000</f>
        <v>2640.64</v>
      </c>
      <c r="K2" s="18">
        <f>'FS Seychelles'!I3*1000</f>
        <v>3711.7440000000001</v>
      </c>
      <c r="L2" s="18">
        <f>'FS Seychelles'!J3*1000</f>
        <v>1291.2639999999999</v>
      </c>
      <c r="M2" s="18">
        <f>'FS Seychelles'!K3*1000</f>
        <v>1611.008</v>
      </c>
      <c r="N2" s="18">
        <f>'FS Seychelles'!L3*1000</f>
        <v>3744.2559999999999</v>
      </c>
      <c r="O2" s="18">
        <f>'FS Seychelles'!M3</f>
        <v>0</v>
      </c>
      <c r="P2" s="18">
        <f>'FS Seychelles'!N3</f>
        <v>0</v>
      </c>
      <c r="Q2" s="18">
        <f>'FS Seychelles'!O3</f>
        <v>15044</v>
      </c>
      <c r="R2" s="18">
        <f>'FS Seychelles'!P3</f>
        <v>9533</v>
      </c>
      <c r="S2" s="18">
        <f>'FS Seychelles'!Q3</f>
        <v>0</v>
      </c>
      <c r="T2" s="18">
        <f>'FS Seychelles'!R3</f>
        <v>6751</v>
      </c>
      <c r="U2" s="18">
        <f>'FS Seychelles'!T3</f>
        <v>62</v>
      </c>
      <c r="V2" s="18">
        <f>'FS Seychelles'!U3</f>
        <v>30</v>
      </c>
      <c r="W2" s="18">
        <f>'FS Seychelles'!V3</f>
        <v>163</v>
      </c>
      <c r="X2" s="18">
        <f>'FS Seychelles'!W3</f>
        <v>87</v>
      </c>
      <c r="Y2" s="18">
        <f>'FS Seychelles'!X3</f>
        <v>157</v>
      </c>
      <c r="Z2" s="18">
        <f>'FS Seychelles'!Y3</f>
        <v>60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6</v>
      </c>
      <c r="D3" s="11">
        <v>2021</v>
      </c>
      <c r="E3" s="18">
        <f>'FS Seychelles'!B4</f>
        <v>55.81</v>
      </c>
      <c r="F3" s="18">
        <f>'FS Seychelles'!D4*1000</f>
        <v>3113.7280000000001</v>
      </c>
      <c r="G3" s="18">
        <f>'FS Seychelles'!E4*1000</f>
        <v>5632</v>
      </c>
      <c r="H3" s="18">
        <f>'FS Seychelles'!F4*1000</f>
        <v>5223.424</v>
      </c>
      <c r="I3" s="18">
        <f>'FS Seychelles'!G4*1000</f>
        <v>2289.92</v>
      </c>
      <c r="J3" s="18">
        <f>'FS Seychelles'!H4*1000</f>
        <v>2815.7440000000001</v>
      </c>
      <c r="K3" s="18">
        <f>'FS Seychelles'!I4*1000</f>
        <v>3651.328</v>
      </c>
      <c r="L3" s="18">
        <f>'FS Seychelles'!J4*1000</f>
        <v>1252.6079999999999</v>
      </c>
      <c r="M3" s="18">
        <f>'FS Seychelles'!K4*1000</f>
        <v>1615.8720000000001</v>
      </c>
      <c r="N3" s="18">
        <f>'FS Seychelles'!L4*1000</f>
        <v>3669.5039999999999</v>
      </c>
      <c r="O3" s="18">
        <f>'FS Seychelles'!M4</f>
        <v>0</v>
      </c>
      <c r="P3" s="18">
        <f>'FS Seychelles'!N4</f>
        <v>2517</v>
      </c>
      <c r="Q3" s="18">
        <f>'FS Seychelles'!O4</f>
        <v>13794</v>
      </c>
      <c r="R3" s="18">
        <f>'FS Seychelles'!P4</f>
        <v>13785</v>
      </c>
      <c r="S3" s="18">
        <f>'FS Seychelles'!Q4</f>
        <v>0</v>
      </c>
      <c r="T3" s="18">
        <f>'FS Seychelles'!R4</f>
        <v>8513</v>
      </c>
      <c r="U3" s="18">
        <f>'FS Seychelles'!T4</f>
        <v>55</v>
      </c>
      <c r="V3" s="18">
        <f>'FS Seychelles'!U4</f>
        <v>31</v>
      </c>
      <c r="W3" s="18">
        <f>'FS Seychelles'!V4</f>
        <v>68</v>
      </c>
      <c r="X3" s="18">
        <f>'FS Seychelles'!W4</f>
        <v>113</v>
      </c>
      <c r="Y3" s="18">
        <f>'FS Seychelles'!X4</f>
        <v>130</v>
      </c>
      <c r="Z3" s="18">
        <f>'FS Seychelles'!Y4</f>
        <v>74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6</v>
      </c>
      <c r="D4" s="11">
        <v>2021</v>
      </c>
      <c r="E4" s="18">
        <f>'FS Seychelles'!B5</f>
        <v>61.73</v>
      </c>
      <c r="F4" s="18">
        <f>'FS Seychelles'!D5*1000</f>
        <v>2813.6960000000004</v>
      </c>
      <c r="G4" s="18">
        <f>'FS Seychelles'!E5*1000</f>
        <v>4755.4560000000001</v>
      </c>
      <c r="H4" s="18">
        <f>'FS Seychelles'!F5*1000</f>
        <v>4891.6480000000001</v>
      </c>
      <c r="I4" s="18">
        <f>'FS Seychelles'!G5*1000</f>
        <v>2149.8879999999999</v>
      </c>
      <c r="J4" s="18">
        <f>'FS Seychelles'!H5*1000</f>
        <v>2117.6320000000001</v>
      </c>
      <c r="K4" s="18">
        <f>'FS Seychelles'!I5*1000</f>
        <v>3074.3040000000001</v>
      </c>
      <c r="L4" s="18">
        <f>'FS Seychelles'!J5*1000</f>
        <v>1325.6959999999999</v>
      </c>
      <c r="M4" s="18">
        <f>'FS Seychelles'!K5*1000</f>
        <v>1444.6079999999999</v>
      </c>
      <c r="N4" s="18">
        <f>'FS Seychelles'!L5*1000</f>
        <v>3429.8879999999999</v>
      </c>
      <c r="O4" s="18">
        <f>'FS Seychelles'!M5</f>
        <v>0</v>
      </c>
      <c r="P4" s="18">
        <f>'FS Seychelles'!N5</f>
        <v>8964.875</v>
      </c>
      <c r="Q4" s="18">
        <f>'FS Seychelles'!O5</f>
        <v>7225.5</v>
      </c>
      <c r="R4" s="18">
        <f>'FS Seychelles'!P5</f>
        <v>3310</v>
      </c>
      <c r="S4" s="18">
        <f>'FS Seychelles'!Q5</f>
        <v>9007.375</v>
      </c>
      <c r="T4" s="18">
        <f>'FS Seychelles'!R5</f>
        <v>7769.375</v>
      </c>
      <c r="U4" s="18">
        <f>'FS Seychelles'!T5</f>
        <v>62.125</v>
      </c>
      <c r="V4" s="18">
        <f>'FS Seychelles'!U5</f>
        <v>42.5</v>
      </c>
      <c r="W4" s="18">
        <f>'FS Seychelles'!V5</f>
        <v>90</v>
      </c>
      <c r="X4" s="18">
        <f>'FS Seychelles'!W5</f>
        <v>126.75</v>
      </c>
      <c r="Y4" s="18">
        <f>'FS Seychelles'!X5</f>
        <v>160.125</v>
      </c>
      <c r="Z4" s="18">
        <f>'FS Seychelles'!Y5</f>
        <v>76.5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6</v>
      </c>
      <c r="D5" s="11">
        <v>2021</v>
      </c>
      <c r="E5" s="18">
        <f>'FS Seychelles'!B6</f>
        <v>60.49</v>
      </c>
      <c r="F5" s="18">
        <f>'FS Seychelles'!D6*1000</f>
        <v>3243.52</v>
      </c>
      <c r="G5" s="18">
        <f>'FS Seychelles'!E6*1000</f>
        <v>5344.768</v>
      </c>
      <c r="H5" s="18">
        <f>'FS Seychelles'!F6*1000</f>
        <v>5228.0320000000002</v>
      </c>
      <c r="I5" s="18">
        <f>'FS Seychelles'!G6*1000</f>
        <v>2223.36</v>
      </c>
      <c r="J5" s="18">
        <f>'FS Seychelles'!H6*1000</f>
        <v>2482.1759999999999</v>
      </c>
      <c r="K5" s="18">
        <f>'FS Seychelles'!I6*1000</f>
        <v>3184.1279999999997</v>
      </c>
      <c r="L5" s="18">
        <f>'FS Seychelles'!J6*1000</f>
        <v>1318.528</v>
      </c>
      <c r="M5" s="18">
        <f>'FS Seychelles'!K6*1000</f>
        <v>1652.992</v>
      </c>
      <c r="N5" s="18">
        <f>'FS Seychelles'!L6*1000</f>
        <v>3472.384</v>
      </c>
      <c r="O5" s="18">
        <f>'FS Seychelles'!M6</f>
        <v>0</v>
      </c>
      <c r="P5" s="18">
        <f>'FS Seychelles'!N6</f>
        <v>8964.875</v>
      </c>
      <c r="Q5" s="18">
        <f>'FS Seychelles'!O6</f>
        <v>7225.5</v>
      </c>
      <c r="R5" s="18">
        <f>'FS Seychelles'!P6</f>
        <v>3310</v>
      </c>
      <c r="S5" s="18">
        <f>'FS Seychelles'!Q6</f>
        <v>9007.375</v>
      </c>
      <c r="T5" s="18">
        <f>'FS Seychelles'!R6</f>
        <v>7769.375</v>
      </c>
      <c r="U5" s="18">
        <f>'FS Seychelles'!T6</f>
        <v>62.125</v>
      </c>
      <c r="V5" s="18">
        <f>'FS Seychelles'!U6</f>
        <v>42.5</v>
      </c>
      <c r="W5" s="18">
        <f>'FS Seychelles'!V6</f>
        <v>90</v>
      </c>
      <c r="X5" s="18">
        <f>'FS Seychelles'!W6</f>
        <v>126.75</v>
      </c>
      <c r="Y5" s="18">
        <f>'FS Seychelles'!X6</f>
        <v>160.125</v>
      </c>
      <c r="Z5" s="18">
        <f>'FS Seychelles'!Y6</f>
        <v>76.5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6</v>
      </c>
      <c r="D6" s="11">
        <v>2021</v>
      </c>
      <c r="E6" s="18">
        <f>'FS Seychelles'!B7</f>
        <v>61.04</v>
      </c>
      <c r="F6" s="18">
        <f>'FS Seychelles'!D7*1000</f>
        <v>3214.3359999999998</v>
      </c>
      <c r="G6" s="18">
        <f>'FS Seychelles'!E7*1000</f>
        <v>5347.84</v>
      </c>
      <c r="H6" s="18">
        <f>'FS Seychelles'!F7*1000</f>
        <v>5135.8720000000003</v>
      </c>
      <c r="I6" s="18">
        <f>'FS Seychelles'!G7*1000</f>
        <v>2189.5679999999998</v>
      </c>
      <c r="J6" s="18">
        <f>'FS Seychelles'!H7*1000</f>
        <v>2377.4720000000002</v>
      </c>
      <c r="K6" s="18">
        <f>'FS Seychelles'!I7*1000</f>
        <v>3096.0640000000003</v>
      </c>
      <c r="L6" s="18">
        <f>'FS Seychelles'!J7*1000</f>
        <v>1384.0639999999999</v>
      </c>
      <c r="M6" s="18">
        <f>'FS Seychelles'!K7*1000</f>
        <v>1626.3679999999999</v>
      </c>
      <c r="N6" s="18">
        <f>'FS Seychelles'!L7*1000</f>
        <v>3472.8960000000002</v>
      </c>
      <c r="O6" s="18">
        <f>'FS Seychelles'!M7</f>
        <v>0</v>
      </c>
      <c r="P6" s="18">
        <f>'FS Seychelles'!N7</f>
        <v>9488</v>
      </c>
      <c r="Q6" s="18">
        <f>'FS Seychelles'!O7</f>
        <v>5292</v>
      </c>
      <c r="R6" s="18">
        <f>'FS Seychelles'!P7</f>
        <v>10027</v>
      </c>
      <c r="S6" s="18">
        <f>'FS Seychelles'!Q7</f>
        <v>4721</v>
      </c>
      <c r="T6" s="18">
        <f>'FS Seychelles'!R7</f>
        <v>8743</v>
      </c>
      <c r="U6" s="18">
        <f>'FS Seychelles'!T7</f>
        <v>62.125</v>
      </c>
      <c r="V6" s="18">
        <f>'FS Seychelles'!U7</f>
        <v>42.5</v>
      </c>
      <c r="W6" s="18">
        <f>'FS Seychelles'!V7</f>
        <v>90</v>
      </c>
      <c r="X6" s="18">
        <f>'FS Seychelles'!W7</f>
        <v>126.75</v>
      </c>
      <c r="Y6" s="18">
        <f>'FS Seychelles'!X7</f>
        <v>160.125</v>
      </c>
      <c r="Z6" s="18">
        <f>'FS Seychelles'!Y7</f>
        <v>76.5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6</v>
      </c>
      <c r="D7" s="11">
        <v>2021</v>
      </c>
      <c r="E7" s="18">
        <f>'FS Seychelles'!B8</f>
        <v>46.75</v>
      </c>
      <c r="F7" s="18">
        <f>'FS Seychelles'!D8*1000</f>
        <v>2912.2560000000003</v>
      </c>
      <c r="G7" s="18">
        <f>'FS Seychelles'!E8*1000</f>
        <v>5168.1280000000006</v>
      </c>
      <c r="H7" s="18">
        <f>'FS Seychelles'!F8*1000</f>
        <v>4984.3200000000006</v>
      </c>
      <c r="I7" s="18">
        <f>'FS Seychelles'!G8*1000</f>
        <v>1952.768</v>
      </c>
      <c r="J7" s="18">
        <f>'FS Seychelles'!H8*1000</f>
        <v>2149.3760000000002</v>
      </c>
      <c r="K7" s="18">
        <f>'FS Seychelles'!I8*1000</f>
        <v>2966.2719999999999</v>
      </c>
      <c r="L7" s="18">
        <f>'FS Seychelles'!J8*1000</f>
        <v>1387.136</v>
      </c>
      <c r="M7" s="18">
        <f>'FS Seychelles'!K8*1000</f>
        <v>1836.288</v>
      </c>
      <c r="N7" s="18">
        <f>'FS Seychelles'!L8*1000</f>
        <v>3352.0639999999999</v>
      </c>
      <c r="O7" s="18">
        <f>'FS Seychelles'!M8</f>
        <v>0</v>
      </c>
      <c r="P7" s="18">
        <f>'FS Seychelles'!N8</f>
        <v>9110</v>
      </c>
      <c r="Q7" s="18">
        <f>'FS Seychelles'!O8</f>
        <v>5996</v>
      </c>
      <c r="R7" s="18">
        <f>'FS Seychelles'!P8</f>
        <v>0</v>
      </c>
      <c r="S7" s="18">
        <f>'FS Seychelles'!Q8</f>
        <v>10673</v>
      </c>
      <c r="T7" s="18">
        <f>'FS Seychelles'!R8</f>
        <v>6806</v>
      </c>
      <c r="U7" s="18">
        <f>'FS Seychelles'!T8</f>
        <v>57</v>
      </c>
      <c r="V7" s="18">
        <f>'FS Seychelles'!U8</f>
        <v>39</v>
      </c>
      <c r="W7" s="18">
        <f>'FS Seychelles'!V8</f>
        <v>64</v>
      </c>
      <c r="X7" s="18">
        <f>'FS Seychelles'!W8</f>
        <v>132</v>
      </c>
      <c r="Y7" s="18">
        <f>'FS Seychelles'!X8</f>
        <v>126</v>
      </c>
      <c r="Z7" s="18">
        <f>'FS Seychelles'!Y8</f>
        <v>72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6</v>
      </c>
      <c r="D8" s="11">
        <v>2021</v>
      </c>
      <c r="E8" s="18">
        <f>'FS Seychelles'!B9</f>
        <v>48.05</v>
      </c>
      <c r="F8" s="18">
        <f>'FS Seychelles'!D9*1000</f>
        <v>3092.48</v>
      </c>
      <c r="G8" s="18">
        <f>'FS Seychelles'!E9*1000</f>
        <v>5498.88</v>
      </c>
      <c r="H8" s="18">
        <f>'FS Seychelles'!F9*1000</f>
        <v>5052.9279999999999</v>
      </c>
      <c r="I8" s="18">
        <f>'FS Seychelles'!G9*1000</f>
        <v>1999.8720000000001</v>
      </c>
      <c r="J8" s="18">
        <f>'FS Seychelles'!H9*1000</f>
        <v>2251.52</v>
      </c>
      <c r="K8" s="18">
        <f>'FS Seychelles'!I9*1000</f>
        <v>3001.6</v>
      </c>
      <c r="L8" s="18">
        <f>'FS Seychelles'!J9*1000</f>
        <v>1405.952</v>
      </c>
      <c r="M8" s="18">
        <f>'FS Seychelles'!K9*1000</f>
        <v>1652.7359999999999</v>
      </c>
      <c r="N8" s="18">
        <f>'FS Seychelles'!L9*1000</f>
        <v>3575.808</v>
      </c>
      <c r="O8" s="18">
        <f>'FS Seychelles'!M9</f>
        <v>0</v>
      </c>
      <c r="P8" s="18">
        <f>'FS Seychelles'!N9</f>
        <v>8485</v>
      </c>
      <c r="Q8" s="18">
        <f>'FS Seychelles'!O9</f>
        <v>6573</v>
      </c>
      <c r="R8" s="18">
        <f>'FS Seychelles'!P9</f>
        <v>6813</v>
      </c>
      <c r="S8" s="18">
        <f>'FS Seychelles'!Q9</f>
        <v>8552</v>
      </c>
      <c r="T8" s="18">
        <f>'FS Seychelles'!R9</f>
        <v>8525</v>
      </c>
      <c r="U8" s="18">
        <f>'FS Seychelles'!T9</f>
        <v>69</v>
      </c>
      <c r="V8" s="18">
        <f>'FS Seychelles'!U9</f>
        <v>51</v>
      </c>
      <c r="W8" s="18">
        <f>'FS Seychelles'!V9</f>
        <v>85</v>
      </c>
      <c r="X8" s="18">
        <f>'FS Seychelles'!W9</f>
        <v>130</v>
      </c>
      <c r="Y8" s="18">
        <f>'FS Seychelles'!X9</f>
        <v>151</v>
      </c>
      <c r="Z8" s="18">
        <f>'FS Seychelles'!Y9</f>
        <v>76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6</v>
      </c>
      <c r="D9" s="11">
        <v>2021</v>
      </c>
      <c r="E9" s="18">
        <f>'FS Seychelles'!B10</f>
        <v>51.95</v>
      </c>
      <c r="F9" s="18">
        <f>'FS Seychelles'!D10*1000</f>
        <v>3054.08</v>
      </c>
      <c r="G9" s="18">
        <f>'FS Seychelles'!E10*1000</f>
        <v>5488.1279999999997</v>
      </c>
      <c r="H9" s="18">
        <f>'FS Seychelles'!F10*1000</f>
        <v>5036.5439999999999</v>
      </c>
      <c r="I9" s="18">
        <f>'FS Seychelles'!G10*1000</f>
        <v>1992.4480000000001</v>
      </c>
      <c r="J9" s="18">
        <f>'FS Seychelles'!H10*1000</f>
        <v>2503.9360000000001</v>
      </c>
      <c r="K9" s="18">
        <f>'FS Seychelles'!I10*1000</f>
        <v>3002.1120000000001</v>
      </c>
      <c r="L9" s="18">
        <f>'FS Seychelles'!J10*1000</f>
        <v>1406.8480000000002</v>
      </c>
      <c r="M9" s="18">
        <f>'FS Seychelles'!K10*1000</f>
        <v>1561.856</v>
      </c>
      <c r="N9" s="18">
        <f>'FS Seychelles'!L10*1000</f>
        <v>3661.3119999999999</v>
      </c>
      <c r="O9" s="18">
        <f>'FS Seychelles'!M10</f>
        <v>0</v>
      </c>
      <c r="P9" s="18">
        <f>'FS Seychelles'!N10</f>
        <v>10164</v>
      </c>
      <c r="Q9" s="18">
        <f>'FS Seychelles'!O10</f>
        <v>4991</v>
      </c>
      <c r="R9" s="18">
        <f>'FS Seychelles'!P10</f>
        <v>0</v>
      </c>
      <c r="S9" s="18">
        <f>'FS Seychelles'!Q10</f>
        <v>13272</v>
      </c>
      <c r="T9" s="18">
        <f>'FS Seychelles'!R10</f>
        <v>7404</v>
      </c>
      <c r="U9" s="18">
        <f>'FS Seychelles'!T10</f>
        <v>62.125</v>
      </c>
      <c r="V9" s="18">
        <f>'FS Seychelles'!U10</f>
        <v>42.5</v>
      </c>
      <c r="W9" s="18">
        <f>'FS Seychelles'!V10</f>
        <v>90</v>
      </c>
      <c r="X9" s="18">
        <f>'FS Seychelles'!W10</f>
        <v>126.75</v>
      </c>
      <c r="Y9" s="18">
        <f>'FS Seychelles'!X10</f>
        <v>160.125</v>
      </c>
      <c r="Z9" s="18">
        <f>'FS Seychelles'!Y10</f>
        <v>76.5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6</v>
      </c>
      <c r="D10" s="11">
        <v>2021</v>
      </c>
      <c r="E10" s="18">
        <f>'FS Seychelles'!B11</f>
        <v>55.84</v>
      </c>
      <c r="F10" s="18">
        <f>'FS Seychelles'!D11*1000</f>
        <v>2715.6479999999997</v>
      </c>
      <c r="G10" s="18">
        <f>'FS Seychelles'!E11*1000</f>
        <v>5069.3119999999999</v>
      </c>
      <c r="H10" s="18">
        <f>'FS Seychelles'!F11*1000</f>
        <v>4932.6080000000002</v>
      </c>
      <c r="I10" s="18">
        <f>'FS Seychelles'!G11*1000</f>
        <v>1883.136</v>
      </c>
      <c r="J10" s="18">
        <f>'FS Seychelles'!H11*1000</f>
        <v>2219.2640000000001</v>
      </c>
      <c r="K10" s="18">
        <f>'FS Seychelles'!I11*1000</f>
        <v>2690.8159999999998</v>
      </c>
      <c r="L10" s="18">
        <f>'FS Seychelles'!J11*1000</f>
        <v>1433.472</v>
      </c>
      <c r="M10" s="18">
        <f>'FS Seychelles'!K11*1000</f>
        <v>1509.1200000000001</v>
      </c>
      <c r="N10" s="18">
        <f>'FS Seychelles'!L11*1000</f>
        <v>3670.0160000000001</v>
      </c>
      <c r="O10" s="18">
        <f>'FS Seychelles'!M11</f>
        <v>0</v>
      </c>
      <c r="P10" s="18">
        <f>'FS Seychelles'!N11</f>
        <v>8339</v>
      </c>
      <c r="Q10" s="18">
        <f>'FS Seychelles'!O11</f>
        <v>10654</v>
      </c>
      <c r="R10" s="18">
        <f>'FS Seychelles'!P11</f>
        <v>0</v>
      </c>
      <c r="S10" s="18">
        <f>'FS Seychelles'!Q11</f>
        <v>8853</v>
      </c>
      <c r="T10" s="18">
        <f>'FS Seychelles'!R11</f>
        <v>7370</v>
      </c>
      <c r="U10" s="18">
        <f>'FS Seychelles'!T11</f>
        <v>58</v>
      </c>
      <c r="V10" s="18">
        <f>'FS Seychelles'!U11</f>
        <v>37</v>
      </c>
      <c r="W10" s="18">
        <f>'FS Seychelles'!V11</f>
        <v>65</v>
      </c>
      <c r="X10" s="18">
        <f>'FS Seychelles'!W11</f>
        <v>136</v>
      </c>
      <c r="Y10" s="18">
        <f>'FS Seychelles'!X11</f>
        <v>154</v>
      </c>
      <c r="Z10" s="18">
        <f>'FS Seychelles'!Y11</f>
        <v>86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6</v>
      </c>
      <c r="D11" s="11">
        <v>2021</v>
      </c>
      <c r="E11" s="18">
        <f>'FS Seychelles'!B12</f>
        <v>58.44</v>
      </c>
      <c r="F11" s="18">
        <f>'FS Seychelles'!D12*1000</f>
        <v>2963.4559999999997</v>
      </c>
      <c r="G11" s="18">
        <f>'FS Seychelles'!E12*1000</f>
        <v>5533.6959999999999</v>
      </c>
      <c r="H11" s="18">
        <f>'FS Seychelles'!F12*1000</f>
        <v>5329.92</v>
      </c>
      <c r="I11" s="18">
        <f>'FS Seychelles'!G12*1000</f>
        <v>2524.4160000000002</v>
      </c>
      <c r="J11" s="18">
        <f>'FS Seychelles'!H12*1000</f>
        <v>2486.0159999999996</v>
      </c>
      <c r="K11" s="18">
        <f>'FS Seychelles'!I12*1000</f>
        <v>3049.2159999999999</v>
      </c>
      <c r="L11" s="18">
        <f>'FS Seychelles'!J12*1000</f>
        <v>1401.856</v>
      </c>
      <c r="M11" s="18">
        <f>'FS Seychelles'!K12*1000</f>
        <v>1653.248</v>
      </c>
      <c r="N11" s="18">
        <f>'FS Seychelles'!L12*1000</f>
        <v>3668.9919999999997</v>
      </c>
      <c r="O11" s="18">
        <f>'FS Seychelles'!M12</f>
        <v>0</v>
      </c>
      <c r="P11" s="18">
        <f>'FS Seychelles'!N12</f>
        <v>10256</v>
      </c>
      <c r="Q11" s="18">
        <f>'FS Seychelles'!O12</f>
        <v>10710</v>
      </c>
      <c r="R11" s="18">
        <f>'FS Seychelles'!P12</f>
        <v>0</v>
      </c>
      <c r="S11" s="18">
        <f>'FS Seychelles'!Q12</f>
        <v>8692</v>
      </c>
      <c r="T11" s="18">
        <f>'FS Seychelles'!R12</f>
        <v>7613</v>
      </c>
      <c r="U11" s="18">
        <f>'FS Seychelles'!T12</f>
        <v>61</v>
      </c>
      <c r="V11" s="18">
        <f>'FS Seychelles'!U12</f>
        <v>42</v>
      </c>
      <c r="W11" s="18">
        <f>'FS Seychelles'!V12</f>
        <v>82</v>
      </c>
      <c r="X11" s="18">
        <f>'FS Seychelles'!W12</f>
        <v>149</v>
      </c>
      <c r="Y11" s="18">
        <f>'FS Seychelles'!X12</f>
        <v>167</v>
      </c>
      <c r="Z11" s="18">
        <f>'FS Seychelles'!Y12</f>
        <v>84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6</v>
      </c>
      <c r="D12" s="11">
        <v>2021</v>
      </c>
      <c r="E12" s="18">
        <f>'FS Seychelles'!B13</f>
        <v>55.84</v>
      </c>
      <c r="F12" s="18">
        <f>'FS Seychelles'!D13*1000</f>
        <v>2903.2960000000003</v>
      </c>
      <c r="G12" s="18">
        <f>'FS Seychelles'!E13*1000</f>
        <v>5179.9039999999995</v>
      </c>
      <c r="H12" s="18">
        <f>'FS Seychelles'!F13*1000</f>
        <v>5193.7280000000001</v>
      </c>
      <c r="I12" s="18">
        <f>'FS Seychelles'!G13*1000</f>
        <v>2534.6559999999999</v>
      </c>
      <c r="J12" s="18">
        <f>'FS Seychelles'!H13*1000</f>
        <v>2458.3679999999999</v>
      </c>
      <c r="K12" s="18">
        <f>'FS Seychelles'!I13*1000</f>
        <v>3163.3919999999998</v>
      </c>
      <c r="L12" s="18">
        <f>'FS Seychelles'!J13*1000</f>
        <v>1093.6319999999998</v>
      </c>
      <c r="M12" s="18">
        <f>'FS Seychelles'!K13*1000</f>
        <v>1656.32</v>
      </c>
      <c r="N12" s="18">
        <f>'FS Seychelles'!L13*1000</f>
        <v>3460.6080000000002</v>
      </c>
      <c r="O12" s="18">
        <f>'FS Seychelles'!M13</f>
        <v>0</v>
      </c>
      <c r="P12" s="18">
        <f>'FS Seychelles'!N13</f>
        <v>6844</v>
      </c>
      <c r="Q12" s="18">
        <f>'FS Seychelles'!O13</f>
        <v>8677</v>
      </c>
      <c r="R12" s="18">
        <f>'FS Seychelles'!P13</f>
        <v>4836</v>
      </c>
      <c r="S12" s="18">
        <f>'FS Seychelles'!Q13</f>
        <v>8914</v>
      </c>
      <c r="T12" s="18">
        <f>'FS Seychelles'!R13</f>
        <v>8125</v>
      </c>
      <c r="U12" s="18">
        <f>'FS Seychelles'!T13</f>
        <v>63</v>
      </c>
      <c r="V12" s="18">
        <f>'FS Seychelles'!U13</f>
        <v>37</v>
      </c>
      <c r="W12" s="18">
        <f>'FS Seychelles'!V13</f>
        <v>83</v>
      </c>
      <c r="X12" s="18">
        <f>'FS Seychelles'!W13</f>
        <v>127</v>
      </c>
      <c r="Y12" s="18">
        <f>'FS Seychelles'!X13</f>
        <v>217</v>
      </c>
      <c r="Z12" s="18">
        <f>'FS Seychelles'!Y13</f>
        <v>82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6</v>
      </c>
      <c r="D13" s="11">
        <v>2021</v>
      </c>
      <c r="E13" s="18">
        <f>'FS Seychelles'!B14</f>
        <v>51.94</v>
      </c>
      <c r="F13" s="18">
        <f>'FS Seychelles'!D14*1000</f>
        <v>2836.9919999999997</v>
      </c>
      <c r="G13" s="18">
        <f>'FS Seychelles'!E14*1000</f>
        <v>4963.3279999999995</v>
      </c>
      <c r="H13" s="18">
        <f>'FS Seychelles'!F14*1000</f>
        <v>5015.5519999999997</v>
      </c>
      <c r="I13" s="18">
        <f>'FS Seychelles'!G14*1000</f>
        <v>2461.9520000000002</v>
      </c>
      <c r="J13" s="18">
        <f>'FS Seychelles'!H14*1000</f>
        <v>2234.88</v>
      </c>
      <c r="K13" s="18">
        <f>'FS Seychelles'!I14*1000</f>
        <v>3075.8399999999997</v>
      </c>
      <c r="L13" s="18">
        <f>'FS Seychelles'!J14*1000</f>
        <v>1420.16</v>
      </c>
      <c r="M13" s="18">
        <f>'FS Seychelles'!K14*1000</f>
        <v>1733.12</v>
      </c>
      <c r="N13" s="18">
        <f>'FS Seychelles'!L14*1000</f>
        <v>3675.136</v>
      </c>
      <c r="O13" s="18">
        <f>'FS Seychelles'!M14</f>
        <v>0</v>
      </c>
      <c r="P13" s="18">
        <f>'FS Seychelles'!N14</f>
        <v>9033</v>
      </c>
      <c r="Q13" s="18">
        <f>'FS Seychelles'!O14</f>
        <v>4911</v>
      </c>
      <c r="R13" s="18">
        <f>'FS Seychelles'!P14</f>
        <v>4804</v>
      </c>
      <c r="S13" s="18">
        <f>'FS Seychelles'!Q14</f>
        <v>8382</v>
      </c>
      <c r="T13" s="18">
        <f>'FS Seychelles'!R14</f>
        <v>7569</v>
      </c>
      <c r="U13" s="18">
        <f>'FS Seychelles'!T14</f>
        <v>72</v>
      </c>
      <c r="V13" s="18">
        <f>'FS Seychelles'!U14</f>
        <v>73</v>
      </c>
      <c r="W13" s="18">
        <f>'FS Seychelles'!V14</f>
        <v>110</v>
      </c>
      <c r="X13" s="18">
        <f>'FS Seychelles'!W14</f>
        <v>140</v>
      </c>
      <c r="Y13" s="18">
        <f>'FS Seychelles'!X14</f>
        <v>179</v>
      </c>
      <c r="Z13" s="18">
        <f>'FS Seychelles'!Y14</f>
        <v>78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6</v>
      </c>
      <c r="D14" s="11">
        <v>2021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Seychelles'!T15</f>
        <v>0</v>
      </c>
      <c r="V14" s="18">
        <f>'FS Seychelles'!U15</f>
        <v>0</v>
      </c>
      <c r="W14" s="18">
        <f>'FS Seychelles'!V15</f>
        <v>0</v>
      </c>
      <c r="X14" s="18">
        <f>'FS Seychelles'!W15</f>
        <v>0</v>
      </c>
      <c r="Y14" s="18">
        <f>'FS Seychelles'!X15</f>
        <v>0</v>
      </c>
      <c r="Z14" s="18">
        <f>'FS Seychelles'!Y15</f>
        <v>0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6</v>
      </c>
      <c r="D15" s="11">
        <v>2021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Seychelles'!T16</f>
        <v>0</v>
      </c>
      <c r="V15" s="18">
        <f>'FS Seychelles'!U16</f>
        <v>0</v>
      </c>
      <c r="W15" s="18">
        <f>'FS Seychelles'!V16</f>
        <v>0</v>
      </c>
      <c r="X15" s="18">
        <f>'FS Seychelles'!W16</f>
        <v>0</v>
      </c>
      <c r="Y15" s="18">
        <f>'FS Seychelles'!X16</f>
        <v>0</v>
      </c>
      <c r="Z15" s="18">
        <f>'FS Seychelles'!Y16</f>
        <v>0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6</v>
      </c>
      <c r="D16" s="11">
        <v>2021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Seychelles'!T17</f>
        <v>0</v>
      </c>
      <c r="V16" s="18">
        <f>'FS Seychelles'!U17</f>
        <v>0</v>
      </c>
      <c r="W16" s="18">
        <f>'FS Seychelles'!V17</f>
        <v>0</v>
      </c>
      <c r="X16" s="18">
        <f>'FS Seychelles'!W17</f>
        <v>0</v>
      </c>
      <c r="Y16" s="18">
        <f>'FS Seychelles'!X17</f>
        <v>0</v>
      </c>
      <c r="Z16" s="18">
        <f>'FS Seychelles'!Y17</f>
        <v>0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6</v>
      </c>
      <c r="D17" s="11">
        <v>2021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Seychelles'!T18</f>
        <v>0</v>
      </c>
      <c r="V17" s="18">
        <f>'FS Seychelles'!U18</f>
        <v>0</v>
      </c>
      <c r="W17" s="18">
        <f>'FS Seychelles'!V18</f>
        <v>0</v>
      </c>
      <c r="X17" s="18">
        <f>'FS Seychelles'!W18</f>
        <v>0</v>
      </c>
      <c r="Y17" s="18">
        <f>'FS Seychelles'!X18</f>
        <v>0</v>
      </c>
      <c r="Z17" s="18">
        <f>'FS Seychelles'!Y18</f>
        <v>0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6</v>
      </c>
      <c r="D18" s="11">
        <v>2021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Seychelles'!T19</f>
        <v>0</v>
      </c>
      <c r="V18" s="18">
        <f>'FS Seychelles'!U19</f>
        <v>0</v>
      </c>
      <c r="W18" s="18">
        <f>'FS Seychelles'!V19</f>
        <v>0</v>
      </c>
      <c r="X18" s="18">
        <f>'FS Seychelles'!W19</f>
        <v>0</v>
      </c>
      <c r="Y18" s="18">
        <f>'FS Seychelles'!X19</f>
        <v>0</v>
      </c>
      <c r="Z18" s="18">
        <f>'FS Seychelles'!Y19</f>
        <v>0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6</v>
      </c>
      <c r="D19" s="11">
        <v>2021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Seychelles'!T20</f>
        <v>0</v>
      </c>
      <c r="V19" s="18">
        <f>'FS Seychelles'!U20</f>
        <v>0</v>
      </c>
      <c r="W19" s="18">
        <f>'FS Seychelles'!V20</f>
        <v>0</v>
      </c>
      <c r="X19" s="18">
        <f>'FS Seychelles'!W20</f>
        <v>0</v>
      </c>
      <c r="Y19" s="18">
        <f>'FS Seychelles'!X20</f>
        <v>0</v>
      </c>
      <c r="Z19" s="18">
        <f>'FS Seychelles'!Y20</f>
        <v>0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6</v>
      </c>
      <c r="D20" s="11">
        <v>2021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Seychelles'!T21</f>
        <v>0</v>
      </c>
      <c r="V20" s="18">
        <f>'FS Seychelles'!U21</f>
        <v>0</v>
      </c>
      <c r="W20" s="18">
        <f>'FS Seychelles'!V21</f>
        <v>0</v>
      </c>
      <c r="X20" s="18">
        <f>'FS Seychelles'!W21</f>
        <v>0</v>
      </c>
      <c r="Y20" s="18">
        <f>'FS Seychelles'!X21</f>
        <v>0</v>
      </c>
      <c r="Z20" s="18">
        <f>'FS Seychelles'!Y21</f>
        <v>0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6</v>
      </c>
      <c r="D21" s="11">
        <v>2021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Seychelles'!R22</f>
        <v>0</v>
      </c>
      <c r="U21" s="18">
        <f>'FS Seychelles'!T22</f>
        <v>0</v>
      </c>
      <c r="V21" s="18">
        <f>'FS Seychelles'!U22</f>
        <v>0</v>
      </c>
      <c r="W21" s="18">
        <f>'FS Seychelles'!V22</f>
        <v>0</v>
      </c>
      <c r="X21" s="18">
        <f>'FS Seychelles'!W22</f>
        <v>0</v>
      </c>
      <c r="Y21" s="18">
        <f>'FS Seychelles'!X22</f>
        <v>0</v>
      </c>
      <c r="Z21" s="18">
        <f>'FS Seychelles'!Y22</f>
        <v>0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6</v>
      </c>
      <c r="D22" s="11">
        <v>2021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0</v>
      </c>
      <c r="U22" s="18">
        <f>'FS Seychelles'!T23</f>
        <v>0</v>
      </c>
      <c r="V22" s="18">
        <f>'FS Seychelles'!U23</f>
        <v>0</v>
      </c>
      <c r="W22" s="18">
        <f>'FS Seychelles'!V23</f>
        <v>0</v>
      </c>
      <c r="X22" s="18">
        <f>'FS Seychelles'!W23</f>
        <v>0</v>
      </c>
      <c r="Y22" s="18">
        <f>'FS Seychelles'!X23</f>
        <v>0</v>
      </c>
      <c r="Z22" s="18">
        <f>'FS Seychelles'!Y23</f>
        <v>0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6</v>
      </c>
      <c r="D23" s="11">
        <v>2021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Seychelles'!U24</f>
        <v>0</v>
      </c>
      <c r="W23" s="18">
        <f>'FS Seychelles'!V24</f>
        <v>0</v>
      </c>
      <c r="X23" s="18">
        <f>'FS Seychelles'!W24</f>
        <v>0</v>
      </c>
      <c r="Y23" s="18">
        <f>'FS Seychelles'!X24</f>
        <v>0</v>
      </c>
      <c r="Z23" s="18">
        <f>'FS Seychelles'!Y24</f>
        <v>0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6</v>
      </c>
      <c r="D24" s="11">
        <v>2021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Seychelles'!U25</f>
        <v>0</v>
      </c>
      <c r="W24" s="18">
        <f>'FS Seychelles'!V25</f>
        <v>0</v>
      </c>
      <c r="X24" s="18">
        <f>'FS Seychelles'!W25</f>
        <v>0</v>
      </c>
      <c r="Y24" s="18">
        <f>'FS Seychelles'!X25</f>
        <v>0</v>
      </c>
      <c r="Z24" s="18">
        <f>'FS Seychelles'!Y25</f>
        <v>0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6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6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6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6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6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6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6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0</v>
      </c>
      <c r="P33" s="18">
        <f>SUM(P2:P32)</f>
        <v>92165.75</v>
      </c>
      <c r="Q33" s="18">
        <f>SUM(Q2:Q32)</f>
        <v>101093</v>
      </c>
      <c r="R33" s="18">
        <f>SUM(R2:R32)</f>
        <v>56418</v>
      </c>
    </row>
    <row r="35" spans="15:18">
      <c r="R35" s="18">
        <f>SUM(O33:R33)</f>
        <v>249676.75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3"/>
  <sheetViews>
    <sheetView tabSelected="1" zoomScaleNormal="100" workbookViewId="0">
      <pane xSplit="1" topLeftCell="J2" activePane="topRight" state="frozen"/>
      <selection pane="topRight" activeCell="N6" sqref="N6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8"/>
      <c r="E1" s="88"/>
      <c r="F1" s="88"/>
      <c r="G1" s="88"/>
      <c r="H1" s="88"/>
      <c r="I1" s="88"/>
      <c r="J1" s="88"/>
      <c r="K1" s="88"/>
      <c r="L1" s="88"/>
      <c r="AA1" s="84"/>
      <c r="AB1" s="84"/>
      <c r="AC1" s="84"/>
    </row>
    <row r="2" spans="1:29" s="23" customFormat="1" ht="31.5" customHeight="1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3" t="s">
        <v>37</v>
      </c>
      <c r="AB2" s="93"/>
      <c r="AC2" s="93"/>
    </row>
    <row r="3" spans="1:29" ht="15" customHeight="1">
      <c r="A3" s="59">
        <v>44348</v>
      </c>
      <c r="B3" s="70">
        <v>54.22</v>
      </c>
      <c r="C3" s="70">
        <v>476</v>
      </c>
      <c r="D3" s="71">
        <v>2.9936639999999999</v>
      </c>
      <c r="E3" s="69">
        <v>5.1471359999999997</v>
      </c>
      <c r="F3" s="69">
        <v>5.3007359999999997</v>
      </c>
      <c r="G3" s="69">
        <v>2.0608</v>
      </c>
      <c r="H3" s="69">
        <v>2.6406399999999999</v>
      </c>
      <c r="I3" s="69">
        <v>3.7117439999999999</v>
      </c>
      <c r="J3" s="69">
        <v>1.291264</v>
      </c>
      <c r="K3" s="69">
        <v>1.611008</v>
      </c>
      <c r="L3" s="69">
        <v>3.744256</v>
      </c>
      <c r="M3" s="77">
        <v>0</v>
      </c>
      <c r="N3" s="60">
        <v>0</v>
      </c>
      <c r="O3" s="32">
        <v>15044</v>
      </c>
      <c r="P3" s="32">
        <v>9533</v>
      </c>
      <c r="Q3" s="32">
        <v>0</v>
      </c>
      <c r="R3" s="21">
        <f>4033+2718</f>
        <v>6751</v>
      </c>
      <c r="S3" s="21">
        <v>0.94</v>
      </c>
      <c r="T3" s="31">
        <v>62</v>
      </c>
      <c r="U3" s="20">
        <v>30</v>
      </c>
      <c r="V3" s="20">
        <v>163</v>
      </c>
      <c r="W3" s="20">
        <v>87</v>
      </c>
      <c r="X3" s="20">
        <v>157</v>
      </c>
      <c r="Y3" s="31">
        <v>60</v>
      </c>
      <c r="Z3" s="35">
        <v>0</v>
      </c>
      <c r="AA3" s="94" t="s">
        <v>64</v>
      </c>
      <c r="AB3" s="94"/>
      <c r="AC3" s="94"/>
    </row>
    <row r="4" spans="1:29" ht="16.5" customHeight="1">
      <c r="A4" s="59">
        <v>44349</v>
      </c>
      <c r="B4" s="70">
        <v>55.81</v>
      </c>
      <c r="C4" s="70">
        <v>315</v>
      </c>
      <c r="D4" s="71">
        <v>3.1137280000000001</v>
      </c>
      <c r="E4" s="69">
        <v>5.6319999999999997</v>
      </c>
      <c r="F4" s="69">
        <v>5.2234239999999996</v>
      </c>
      <c r="G4" s="69">
        <v>2.28992</v>
      </c>
      <c r="H4" s="69">
        <v>2.815744</v>
      </c>
      <c r="I4" s="69">
        <v>3.6513279999999999</v>
      </c>
      <c r="J4" s="69">
        <v>1.2526079999999999</v>
      </c>
      <c r="K4" s="69">
        <v>1.615872</v>
      </c>
      <c r="L4" s="69">
        <v>3.6695039999999999</v>
      </c>
      <c r="M4" s="78">
        <v>0</v>
      </c>
      <c r="N4" s="60">
        <v>2517</v>
      </c>
      <c r="O4" s="32">
        <v>13794</v>
      </c>
      <c r="P4" s="32">
        <v>13785</v>
      </c>
      <c r="Q4" s="32">
        <v>0</v>
      </c>
      <c r="R4" s="21">
        <f>649+3680+4184</f>
        <v>8513</v>
      </c>
      <c r="S4" s="21">
        <v>0.94</v>
      </c>
      <c r="T4" s="31">
        <v>55</v>
      </c>
      <c r="U4" s="20">
        <v>31</v>
      </c>
      <c r="V4" s="20">
        <v>68</v>
      </c>
      <c r="W4" s="20">
        <v>113</v>
      </c>
      <c r="X4" s="20">
        <v>130</v>
      </c>
      <c r="Y4" s="31">
        <v>74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59">
        <v>44350</v>
      </c>
      <c r="B5" s="70">
        <v>61.73</v>
      </c>
      <c r="C5" s="70">
        <v>345</v>
      </c>
      <c r="D5" s="71">
        <v>2.8136960000000002</v>
      </c>
      <c r="E5" s="69">
        <v>4.7554559999999997</v>
      </c>
      <c r="F5" s="69">
        <v>4.891648</v>
      </c>
      <c r="G5" s="69">
        <v>2.1498879999999998</v>
      </c>
      <c r="H5" s="69">
        <v>2.117632</v>
      </c>
      <c r="I5" s="69">
        <v>3.0743040000000001</v>
      </c>
      <c r="J5" s="69">
        <v>1.325696</v>
      </c>
      <c r="K5" s="69">
        <v>1.4446079999999999</v>
      </c>
      <c r="L5" s="69">
        <v>3.429888</v>
      </c>
      <c r="M5" s="78">
        <v>0</v>
      </c>
      <c r="N5" s="48">
        <v>8964.875</v>
      </c>
      <c r="O5" s="48">
        <v>7225.5</v>
      </c>
      <c r="P5" s="48">
        <v>3310</v>
      </c>
      <c r="Q5" s="48">
        <v>9007.375</v>
      </c>
      <c r="R5" s="48">
        <v>7769.375</v>
      </c>
      <c r="S5" s="21">
        <v>0.94</v>
      </c>
      <c r="T5" s="31">
        <v>62.125</v>
      </c>
      <c r="U5" s="31">
        <v>42.5</v>
      </c>
      <c r="V5" s="31">
        <v>90</v>
      </c>
      <c r="W5" s="31">
        <v>126.75</v>
      </c>
      <c r="X5" s="31">
        <v>160.125</v>
      </c>
      <c r="Y5" s="31">
        <v>76.5</v>
      </c>
      <c r="Z5" s="35">
        <v>0</v>
      </c>
      <c r="AA5" s="34">
        <v>4.5</v>
      </c>
      <c r="AB5" s="37"/>
      <c r="AC5" s="34"/>
    </row>
    <row r="6" spans="1:29" ht="15">
      <c r="A6" s="59">
        <v>44351</v>
      </c>
      <c r="B6" s="70">
        <v>60.49</v>
      </c>
      <c r="C6" s="70">
        <v>359</v>
      </c>
      <c r="D6" s="71">
        <v>3.2435200000000002</v>
      </c>
      <c r="E6" s="69">
        <v>5.3447680000000002</v>
      </c>
      <c r="F6" s="69">
        <v>5.2280319999999998</v>
      </c>
      <c r="G6" s="69">
        <v>2.22336</v>
      </c>
      <c r="H6" s="69">
        <v>2.4821759999999999</v>
      </c>
      <c r="I6" s="69">
        <v>3.1841279999999998</v>
      </c>
      <c r="J6" s="69">
        <v>1.3185279999999999</v>
      </c>
      <c r="K6" s="69">
        <v>1.652992</v>
      </c>
      <c r="L6" s="69">
        <v>3.4723839999999999</v>
      </c>
      <c r="M6" s="78">
        <v>0</v>
      </c>
      <c r="N6" s="48">
        <v>8964.875</v>
      </c>
      <c r="O6" s="48">
        <v>7225.5</v>
      </c>
      <c r="P6" s="48">
        <v>3310</v>
      </c>
      <c r="Q6" s="48">
        <v>9007.375</v>
      </c>
      <c r="R6" s="48">
        <v>7769.375</v>
      </c>
      <c r="S6" s="21">
        <v>0.94</v>
      </c>
      <c r="T6" s="31">
        <v>62.125</v>
      </c>
      <c r="U6" s="31">
        <v>42.5</v>
      </c>
      <c r="V6" s="31">
        <v>90</v>
      </c>
      <c r="W6" s="31">
        <v>126.75</v>
      </c>
      <c r="X6" s="31">
        <v>160.125</v>
      </c>
      <c r="Y6" s="31">
        <v>76.5</v>
      </c>
      <c r="Z6" s="35">
        <v>0</v>
      </c>
      <c r="AA6" s="34">
        <v>9</v>
      </c>
      <c r="AB6" s="37"/>
      <c r="AC6" s="34"/>
    </row>
    <row r="7" spans="1:29" ht="15">
      <c r="A7" s="59">
        <v>44352</v>
      </c>
      <c r="B7" s="70">
        <v>61.04</v>
      </c>
      <c r="C7" s="70">
        <v>396</v>
      </c>
      <c r="D7" s="71">
        <v>3.2143359999999999</v>
      </c>
      <c r="E7" s="69">
        <v>5.3478399999999997</v>
      </c>
      <c r="F7" s="69">
        <v>5.135872</v>
      </c>
      <c r="G7" s="69">
        <v>2.189568</v>
      </c>
      <c r="H7" s="69">
        <v>2.377472</v>
      </c>
      <c r="I7" s="69">
        <v>3.0960640000000001</v>
      </c>
      <c r="J7" s="69">
        <v>1.384064</v>
      </c>
      <c r="K7" s="69">
        <v>1.626368</v>
      </c>
      <c r="L7" s="69">
        <v>3.472896</v>
      </c>
      <c r="M7" s="77">
        <v>0</v>
      </c>
      <c r="N7" s="60">
        <v>9488</v>
      </c>
      <c r="O7" s="32">
        <v>5292</v>
      </c>
      <c r="P7" s="32">
        <v>10027</v>
      </c>
      <c r="Q7" s="32">
        <v>4721</v>
      </c>
      <c r="R7" s="21">
        <f>2465+1429+3620+1229</f>
        <v>8743</v>
      </c>
      <c r="S7" s="21">
        <v>0.94</v>
      </c>
      <c r="T7" s="31">
        <v>62.125</v>
      </c>
      <c r="U7" s="31">
        <v>42.5</v>
      </c>
      <c r="V7" s="31">
        <v>90</v>
      </c>
      <c r="W7" s="31">
        <v>126.75</v>
      </c>
      <c r="X7" s="31">
        <v>160.125</v>
      </c>
      <c r="Y7" s="31">
        <v>76.5</v>
      </c>
      <c r="Z7" s="35">
        <v>0</v>
      </c>
      <c r="AA7" s="34">
        <v>5</v>
      </c>
      <c r="AB7" s="64"/>
      <c r="AC7" s="34"/>
    </row>
    <row r="8" spans="1:29" ht="15">
      <c r="A8" s="59">
        <v>44353</v>
      </c>
      <c r="B8" s="70">
        <v>46.75</v>
      </c>
      <c r="C8" s="70">
        <v>306</v>
      </c>
      <c r="D8" s="71">
        <v>2.9122560000000002</v>
      </c>
      <c r="E8" s="69">
        <v>5.1681280000000003</v>
      </c>
      <c r="F8" s="69">
        <v>4.9843200000000003</v>
      </c>
      <c r="G8" s="69">
        <v>1.9527680000000001</v>
      </c>
      <c r="H8" s="69">
        <v>2.1493760000000002</v>
      </c>
      <c r="I8" s="69">
        <v>2.966272</v>
      </c>
      <c r="J8" s="69">
        <v>1.3871359999999999</v>
      </c>
      <c r="K8" s="69">
        <v>1.8362879999999999</v>
      </c>
      <c r="L8" s="69">
        <v>3.3520639999999999</v>
      </c>
      <c r="M8" s="77">
        <v>0</v>
      </c>
      <c r="N8" s="60">
        <v>9110</v>
      </c>
      <c r="O8" s="32">
        <v>5996</v>
      </c>
      <c r="P8" s="32">
        <v>0</v>
      </c>
      <c r="Q8" s="32">
        <v>10673</v>
      </c>
      <c r="R8" s="21">
        <f>2380+1582+2844</f>
        <v>6806</v>
      </c>
      <c r="S8" s="21">
        <v>0.94</v>
      </c>
      <c r="T8" s="47">
        <v>57</v>
      </c>
      <c r="U8" s="47">
        <v>39</v>
      </c>
      <c r="V8" s="47">
        <v>64</v>
      </c>
      <c r="W8" s="47">
        <v>132</v>
      </c>
      <c r="X8" s="47">
        <v>126</v>
      </c>
      <c r="Y8" s="47">
        <v>72</v>
      </c>
      <c r="Z8" s="35">
        <v>0</v>
      </c>
      <c r="AA8" s="66">
        <v>20</v>
      </c>
      <c r="AB8" s="65"/>
      <c r="AC8" s="34"/>
    </row>
    <row r="9" spans="1:29" ht="15" customHeight="1">
      <c r="A9" s="59">
        <v>44354</v>
      </c>
      <c r="B9" s="70">
        <v>48.05</v>
      </c>
      <c r="C9" s="70">
        <v>305</v>
      </c>
      <c r="D9" s="71">
        <v>3.0924800000000001</v>
      </c>
      <c r="E9" s="69">
        <v>5.4988799999999998</v>
      </c>
      <c r="F9" s="69">
        <v>5.0529279999999996</v>
      </c>
      <c r="G9" s="69">
        <v>1.9998720000000001</v>
      </c>
      <c r="H9" s="69">
        <v>2.2515200000000002</v>
      </c>
      <c r="I9" s="69">
        <v>3.0015999999999998</v>
      </c>
      <c r="J9" s="69">
        <v>1.4059520000000001</v>
      </c>
      <c r="K9" s="69">
        <v>1.652736</v>
      </c>
      <c r="L9" s="69">
        <v>3.5758079999999999</v>
      </c>
      <c r="M9" s="77">
        <v>0</v>
      </c>
      <c r="N9" s="60">
        <v>8485</v>
      </c>
      <c r="O9" s="32">
        <v>6573</v>
      </c>
      <c r="P9" s="32">
        <v>6813</v>
      </c>
      <c r="Q9" s="32">
        <v>8552</v>
      </c>
      <c r="R9" s="21">
        <f>2193+1780+2192+2360</f>
        <v>8525</v>
      </c>
      <c r="S9" s="21">
        <v>0.97</v>
      </c>
      <c r="T9" s="31">
        <v>69</v>
      </c>
      <c r="U9" s="20">
        <v>51</v>
      </c>
      <c r="V9" s="20">
        <v>85</v>
      </c>
      <c r="W9" s="20">
        <v>130</v>
      </c>
      <c r="X9" s="20">
        <v>151</v>
      </c>
      <c r="Y9" s="31">
        <v>76</v>
      </c>
      <c r="Z9" s="35">
        <v>0</v>
      </c>
      <c r="AA9" s="67">
        <v>24</v>
      </c>
      <c r="AB9" s="65"/>
      <c r="AC9" s="34"/>
    </row>
    <row r="10" spans="1:29" ht="15.75" customHeight="1">
      <c r="A10" s="59">
        <v>44355</v>
      </c>
      <c r="B10" s="70">
        <v>51.95</v>
      </c>
      <c r="C10" s="70">
        <v>317</v>
      </c>
      <c r="D10" s="71">
        <v>3.0540799999999999</v>
      </c>
      <c r="E10" s="69">
        <v>5.4881279999999997</v>
      </c>
      <c r="F10" s="69">
        <v>5.0365440000000001</v>
      </c>
      <c r="G10" s="69">
        <v>1.992448</v>
      </c>
      <c r="H10" s="69">
        <v>2.5039359999999999</v>
      </c>
      <c r="I10" s="69">
        <v>3.0021119999999999</v>
      </c>
      <c r="J10" s="69">
        <v>1.4068480000000001</v>
      </c>
      <c r="K10" s="69">
        <v>1.5618559999999999</v>
      </c>
      <c r="L10" s="69">
        <v>3.6613120000000001</v>
      </c>
      <c r="M10" s="77">
        <v>0</v>
      </c>
      <c r="N10" s="60">
        <v>10164</v>
      </c>
      <c r="O10" s="32">
        <v>4991</v>
      </c>
      <c r="P10" s="32">
        <v>0</v>
      </c>
      <c r="Q10" s="32">
        <v>13272</v>
      </c>
      <c r="R10" s="21">
        <f>2664+1340+3400</f>
        <v>7404</v>
      </c>
      <c r="S10" s="21">
        <v>0.97</v>
      </c>
      <c r="T10" s="31">
        <v>62.125</v>
      </c>
      <c r="U10" s="31">
        <v>42.5</v>
      </c>
      <c r="V10" s="31">
        <v>90</v>
      </c>
      <c r="W10" s="31">
        <v>126.75</v>
      </c>
      <c r="X10" s="31">
        <v>160.125</v>
      </c>
      <c r="Y10" s="31">
        <v>76.5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>
      <c r="A11" s="59">
        <v>44356</v>
      </c>
      <c r="B11" s="70">
        <v>55.84</v>
      </c>
      <c r="C11" s="70">
        <v>292</v>
      </c>
      <c r="D11" s="71">
        <v>2.7156479999999998</v>
      </c>
      <c r="E11" s="69">
        <v>5.069312</v>
      </c>
      <c r="F11" s="69">
        <v>4.9326080000000001</v>
      </c>
      <c r="G11" s="69">
        <v>1.8831359999999999</v>
      </c>
      <c r="H11" s="69">
        <v>2.2192639999999999</v>
      </c>
      <c r="I11" s="69">
        <v>2.6908159999999999</v>
      </c>
      <c r="J11" s="69">
        <v>1.4334720000000001</v>
      </c>
      <c r="K11" s="69">
        <v>1.50912</v>
      </c>
      <c r="L11" s="69">
        <v>3.6700159999999999</v>
      </c>
      <c r="M11" s="77">
        <v>0</v>
      </c>
      <c r="N11" s="77">
        <v>8339</v>
      </c>
      <c r="O11" s="60">
        <v>10654</v>
      </c>
      <c r="P11" s="32">
        <v>0</v>
      </c>
      <c r="Q11" s="32">
        <v>8853</v>
      </c>
      <c r="R11" s="21">
        <f>2163+2857+2350</f>
        <v>7370</v>
      </c>
      <c r="S11" s="21">
        <v>0.97</v>
      </c>
      <c r="T11" s="31">
        <v>58</v>
      </c>
      <c r="U11" s="20">
        <v>37</v>
      </c>
      <c r="V11" s="20">
        <v>65</v>
      </c>
      <c r="W11" s="20">
        <v>136</v>
      </c>
      <c r="X11" s="20">
        <v>154</v>
      </c>
      <c r="Y11" s="31">
        <v>86</v>
      </c>
      <c r="Z11" s="35">
        <v>0</v>
      </c>
      <c r="AA11" s="95" t="s">
        <v>69</v>
      </c>
      <c r="AB11" s="96"/>
      <c r="AC11" s="96"/>
    </row>
    <row r="12" spans="1:29" ht="15" customHeight="1">
      <c r="A12" s="59">
        <v>44357</v>
      </c>
      <c r="B12" s="70">
        <v>58.44</v>
      </c>
      <c r="C12" s="70"/>
      <c r="D12" s="71">
        <v>2.9634559999999999</v>
      </c>
      <c r="E12" s="69">
        <v>5.5336959999999999</v>
      </c>
      <c r="F12" s="69">
        <v>5.3299200000000004</v>
      </c>
      <c r="G12" s="69">
        <v>2.524416</v>
      </c>
      <c r="H12" s="69">
        <v>2.4860159999999998</v>
      </c>
      <c r="I12" s="69">
        <v>3.0492159999999999</v>
      </c>
      <c r="J12" s="69">
        <v>1.401856</v>
      </c>
      <c r="K12" s="69">
        <v>1.6532480000000001</v>
      </c>
      <c r="L12" s="69">
        <v>3.6689919999999998</v>
      </c>
      <c r="M12" s="77">
        <v>0</v>
      </c>
      <c r="N12" s="60">
        <v>10256</v>
      </c>
      <c r="O12" s="32">
        <v>10710</v>
      </c>
      <c r="P12" s="32">
        <v>0</v>
      </c>
      <c r="Q12" s="32">
        <v>8692</v>
      </c>
      <c r="R12" s="21">
        <f>2403+2861+2349</f>
        <v>7613</v>
      </c>
      <c r="S12" s="21">
        <v>0.97</v>
      </c>
      <c r="T12" s="31">
        <v>61</v>
      </c>
      <c r="U12" s="31">
        <v>42</v>
      </c>
      <c r="V12" s="31">
        <v>82</v>
      </c>
      <c r="W12" s="31">
        <v>149</v>
      </c>
      <c r="X12" s="31">
        <v>167</v>
      </c>
      <c r="Y12" s="31">
        <v>84</v>
      </c>
      <c r="Z12" s="35">
        <v>0</v>
      </c>
      <c r="AA12" s="82"/>
      <c r="AB12" s="97" t="s">
        <v>70</v>
      </c>
      <c r="AC12" s="98"/>
    </row>
    <row r="13" spans="1:29" ht="15" customHeight="1">
      <c r="A13" s="59">
        <v>44358</v>
      </c>
      <c r="B13" s="70">
        <v>55.84</v>
      </c>
      <c r="C13" s="70"/>
      <c r="D13" s="71">
        <v>2.9032960000000001</v>
      </c>
      <c r="E13" s="69">
        <v>5.1799039999999996</v>
      </c>
      <c r="F13" s="69">
        <v>5.1937280000000001</v>
      </c>
      <c r="G13" s="69">
        <v>2.534656</v>
      </c>
      <c r="H13" s="69">
        <v>2.4583680000000001</v>
      </c>
      <c r="I13" s="69">
        <v>3.163392</v>
      </c>
      <c r="J13" s="69">
        <v>1.0936319999999999</v>
      </c>
      <c r="K13" s="69">
        <v>1.65632</v>
      </c>
      <c r="L13" s="69">
        <v>3.4606080000000001</v>
      </c>
      <c r="M13" s="80">
        <v>0</v>
      </c>
      <c r="N13" s="60">
        <v>6844</v>
      </c>
      <c r="O13" s="32">
        <v>8677</v>
      </c>
      <c r="P13" s="32">
        <v>4836</v>
      </c>
      <c r="Q13" s="32">
        <v>8914</v>
      </c>
      <c r="R13" s="21">
        <f>2000+2353+1405+2367</f>
        <v>8125</v>
      </c>
      <c r="S13" s="21">
        <v>0.97</v>
      </c>
      <c r="T13" s="31">
        <v>63</v>
      </c>
      <c r="U13" s="31">
        <v>37</v>
      </c>
      <c r="V13" s="31">
        <v>83</v>
      </c>
      <c r="W13" s="31">
        <v>127</v>
      </c>
      <c r="X13" s="31">
        <v>217</v>
      </c>
      <c r="Y13" s="31">
        <v>82</v>
      </c>
      <c r="Z13" s="35">
        <v>0</v>
      </c>
      <c r="AA13" s="45" t="s">
        <v>71</v>
      </c>
      <c r="AB13" s="85"/>
      <c r="AC13" s="86"/>
    </row>
    <row r="14" spans="1:29" ht="15" customHeight="1">
      <c r="A14" s="59">
        <v>44359</v>
      </c>
      <c r="B14" s="70">
        <v>51.94</v>
      </c>
      <c r="C14" s="70"/>
      <c r="D14" s="71">
        <v>2.836992</v>
      </c>
      <c r="E14" s="69">
        <v>4.9633279999999997</v>
      </c>
      <c r="F14" s="69">
        <v>5.0155519999999996</v>
      </c>
      <c r="G14" s="69">
        <v>2.4619520000000001</v>
      </c>
      <c r="H14" s="69">
        <v>2.23488</v>
      </c>
      <c r="I14" s="69">
        <v>3.0758399999999999</v>
      </c>
      <c r="J14" s="69">
        <v>1.4201600000000001</v>
      </c>
      <c r="K14" s="69">
        <v>1.73312</v>
      </c>
      <c r="L14" s="69">
        <v>3.6751360000000002</v>
      </c>
      <c r="M14" s="68">
        <v>0</v>
      </c>
      <c r="N14" s="50">
        <v>9033</v>
      </c>
      <c r="O14" s="48">
        <v>4911</v>
      </c>
      <c r="P14" s="48">
        <v>4804</v>
      </c>
      <c r="Q14" s="48">
        <v>8382</v>
      </c>
      <c r="R14" s="21">
        <f>2619+1339+1391+2220</f>
        <v>7569</v>
      </c>
      <c r="S14" s="21">
        <v>0.97</v>
      </c>
      <c r="T14" s="31">
        <v>72</v>
      </c>
      <c r="U14" s="20">
        <v>73</v>
      </c>
      <c r="V14" s="20">
        <v>110</v>
      </c>
      <c r="W14" s="20">
        <v>140</v>
      </c>
      <c r="X14" s="20">
        <v>179</v>
      </c>
      <c r="Y14" s="20">
        <v>78</v>
      </c>
      <c r="Z14" s="35">
        <v>0</v>
      </c>
      <c r="AA14" s="45" t="s">
        <v>72</v>
      </c>
      <c r="AB14" s="85"/>
      <c r="AC14" s="86"/>
    </row>
    <row r="15" spans="1:29" ht="15">
      <c r="A15" s="59">
        <v>44360</v>
      </c>
      <c r="B15" s="70"/>
      <c r="C15" s="70"/>
      <c r="D15" s="71"/>
      <c r="E15" s="69"/>
      <c r="F15" s="69"/>
      <c r="G15" s="69"/>
      <c r="H15" s="69"/>
      <c r="I15" s="69"/>
      <c r="J15" s="69"/>
      <c r="K15" s="69"/>
      <c r="L15" s="69"/>
      <c r="M15" s="68"/>
      <c r="N15" s="50"/>
      <c r="O15" s="48"/>
      <c r="P15" s="48"/>
      <c r="Q15" s="48"/>
      <c r="R15" s="21"/>
      <c r="S15" s="21"/>
      <c r="T15" s="31"/>
      <c r="U15" s="31"/>
      <c r="V15" s="20"/>
      <c r="W15" s="20"/>
      <c r="X15" s="20"/>
      <c r="Y15" s="20"/>
      <c r="Z15" s="35">
        <v>0</v>
      </c>
      <c r="AA15" s="83"/>
      <c r="AB15" s="38" t="s">
        <v>68</v>
      </c>
      <c r="AC15" s="34">
        <f>SUM(AB13:AC14)</f>
        <v>0</v>
      </c>
    </row>
    <row r="16" spans="1:29" ht="15" customHeight="1">
      <c r="A16" s="59">
        <v>44361</v>
      </c>
      <c r="B16" s="70"/>
      <c r="C16" s="70"/>
      <c r="D16" s="71"/>
      <c r="E16" s="69"/>
      <c r="F16" s="69"/>
      <c r="G16" s="69"/>
      <c r="H16" s="69"/>
      <c r="I16" s="69"/>
      <c r="J16" s="69"/>
      <c r="K16" s="69"/>
      <c r="L16" s="69"/>
      <c r="M16" s="68"/>
      <c r="N16" s="48"/>
      <c r="O16" s="48"/>
      <c r="P16" s="48"/>
      <c r="Q16" s="48"/>
      <c r="R16" s="48"/>
      <c r="S16" s="21"/>
      <c r="T16" s="31"/>
      <c r="U16" s="31"/>
      <c r="V16" s="31"/>
      <c r="W16" s="31"/>
      <c r="X16" s="31"/>
      <c r="Y16" s="31"/>
      <c r="Z16" s="35">
        <v>0</v>
      </c>
      <c r="AA16" s="87"/>
      <c r="AB16" s="88"/>
      <c r="AC16" s="89"/>
    </row>
    <row r="17" spans="1:30" ht="15" customHeight="1">
      <c r="A17" s="59">
        <v>44362</v>
      </c>
      <c r="B17" s="70"/>
      <c r="C17" s="70"/>
      <c r="D17" s="71"/>
      <c r="E17" s="69"/>
      <c r="F17" s="69"/>
      <c r="G17" s="69"/>
      <c r="H17" s="69"/>
      <c r="I17" s="69"/>
      <c r="J17" s="69"/>
      <c r="K17" s="69"/>
      <c r="L17" s="69"/>
      <c r="M17" s="68"/>
      <c r="N17" s="50"/>
      <c r="O17" s="48"/>
      <c r="P17" s="48"/>
      <c r="Q17" s="48"/>
      <c r="R17" s="21"/>
      <c r="S17" s="21"/>
      <c r="T17" s="31"/>
      <c r="U17" s="31"/>
      <c r="V17" s="31"/>
      <c r="W17" s="31"/>
      <c r="X17" s="31"/>
      <c r="Y17" s="31"/>
      <c r="Z17" s="35">
        <v>0</v>
      </c>
      <c r="AA17" s="87"/>
      <c r="AB17" s="88"/>
      <c r="AC17" s="89"/>
    </row>
    <row r="18" spans="1:30" ht="15" customHeight="1">
      <c r="A18" s="59">
        <v>44363</v>
      </c>
      <c r="B18" s="70"/>
      <c r="C18" s="70"/>
      <c r="D18" s="71"/>
      <c r="E18" s="69"/>
      <c r="F18" s="69"/>
      <c r="G18" s="69"/>
      <c r="H18" s="69"/>
      <c r="I18" s="69"/>
      <c r="J18" s="69"/>
      <c r="K18" s="69"/>
      <c r="L18" s="69"/>
      <c r="M18" s="68"/>
      <c r="N18" s="48"/>
      <c r="O18" s="48"/>
      <c r="P18" s="48"/>
      <c r="Q18" s="48"/>
      <c r="R18" s="21"/>
      <c r="S18" s="21"/>
      <c r="T18" s="31"/>
      <c r="U18" s="31"/>
      <c r="V18" s="31"/>
      <c r="W18" s="31"/>
      <c r="X18" s="31"/>
      <c r="Y18" s="31"/>
      <c r="Z18" s="35">
        <v>0</v>
      </c>
      <c r="AA18" s="87"/>
      <c r="AB18" s="88"/>
      <c r="AC18" s="89"/>
    </row>
    <row r="19" spans="1:30" ht="15" customHeight="1">
      <c r="A19" s="59">
        <v>44364</v>
      </c>
      <c r="B19" s="70"/>
      <c r="C19" s="70"/>
      <c r="D19" s="71"/>
      <c r="E19" s="69"/>
      <c r="F19" s="69"/>
      <c r="G19" s="69"/>
      <c r="H19" s="69"/>
      <c r="I19" s="69"/>
      <c r="J19" s="69"/>
      <c r="K19" s="69"/>
      <c r="L19" s="69"/>
      <c r="M19" s="68"/>
      <c r="N19" s="48"/>
      <c r="O19" s="48"/>
      <c r="P19" s="48"/>
      <c r="Q19" s="48"/>
      <c r="R19" s="21"/>
      <c r="S19" s="21"/>
      <c r="T19" s="31"/>
      <c r="U19" s="31"/>
      <c r="V19" s="31"/>
      <c r="W19" s="31"/>
      <c r="X19" s="31"/>
      <c r="Y19" s="31"/>
      <c r="Z19" s="35">
        <v>0</v>
      </c>
      <c r="AA19" s="87"/>
      <c r="AB19" s="88"/>
      <c r="AC19" s="89"/>
    </row>
    <row r="20" spans="1:30" ht="15" customHeight="1">
      <c r="A20" s="59">
        <v>44365</v>
      </c>
      <c r="B20" s="70"/>
      <c r="C20" s="70"/>
      <c r="D20" s="71"/>
      <c r="E20" s="69"/>
      <c r="F20" s="69"/>
      <c r="G20" s="69"/>
      <c r="H20" s="69"/>
      <c r="I20" s="69"/>
      <c r="J20" s="69"/>
      <c r="K20" s="69"/>
      <c r="L20" s="69"/>
      <c r="M20" s="68"/>
      <c r="N20" s="48"/>
      <c r="O20" s="48"/>
      <c r="P20" s="48"/>
      <c r="Q20" s="48"/>
      <c r="R20" s="21"/>
      <c r="S20" s="21"/>
      <c r="T20" s="31"/>
      <c r="U20" s="31"/>
      <c r="V20" s="31"/>
      <c r="W20" s="31"/>
      <c r="X20" s="31"/>
      <c r="Y20" s="31"/>
      <c r="Z20" s="35">
        <v>0</v>
      </c>
      <c r="AA20" s="87"/>
      <c r="AB20" s="88"/>
      <c r="AC20" s="89"/>
    </row>
    <row r="21" spans="1:30" ht="15" customHeight="1">
      <c r="A21" s="59">
        <v>44366</v>
      </c>
      <c r="B21" s="70"/>
      <c r="C21" s="70"/>
      <c r="D21" s="71"/>
      <c r="E21" s="69"/>
      <c r="F21" s="69"/>
      <c r="G21" s="69"/>
      <c r="H21" s="69"/>
      <c r="I21" s="69"/>
      <c r="J21" s="69"/>
      <c r="K21" s="69"/>
      <c r="L21" s="69"/>
      <c r="M21" s="68"/>
      <c r="N21" s="48"/>
      <c r="O21" s="48"/>
      <c r="P21" s="48"/>
      <c r="Q21" s="48"/>
      <c r="R21" s="21"/>
      <c r="S21" s="21"/>
      <c r="T21" s="31"/>
      <c r="U21" s="31"/>
      <c r="V21" s="31"/>
      <c r="W21" s="31"/>
      <c r="X21" s="31"/>
      <c r="Y21" s="31"/>
      <c r="Z21" s="35">
        <v>0</v>
      </c>
      <c r="AA21" s="87"/>
      <c r="AB21" s="88"/>
      <c r="AC21" s="89"/>
      <c r="AD21" s="22"/>
    </row>
    <row r="22" spans="1:30" ht="15" customHeight="1">
      <c r="A22" s="59">
        <v>44367</v>
      </c>
      <c r="B22" s="70"/>
      <c r="C22" s="70"/>
      <c r="D22" s="71"/>
      <c r="E22" s="69"/>
      <c r="F22" s="69"/>
      <c r="G22" s="69"/>
      <c r="H22" s="69"/>
      <c r="I22" s="69"/>
      <c r="J22" s="69"/>
      <c r="K22" s="69"/>
      <c r="L22" s="69"/>
      <c r="M22" s="68"/>
      <c r="N22" s="50"/>
      <c r="O22" s="48"/>
      <c r="P22" s="48"/>
      <c r="Q22" s="48"/>
      <c r="R22" s="21"/>
      <c r="S22" s="21"/>
      <c r="T22" s="31"/>
      <c r="U22" s="31"/>
      <c r="V22" s="31"/>
      <c r="W22" s="31"/>
      <c r="X22" s="31"/>
      <c r="Y22" s="31"/>
      <c r="Z22" s="35">
        <v>0</v>
      </c>
      <c r="AA22" s="87"/>
      <c r="AB22" s="88"/>
      <c r="AC22" s="89"/>
      <c r="AD22" s="22"/>
    </row>
    <row r="23" spans="1:30" ht="15" customHeight="1">
      <c r="A23" s="59">
        <v>44368</v>
      </c>
      <c r="B23" s="70"/>
      <c r="C23" s="70"/>
      <c r="D23" s="71"/>
      <c r="E23" s="69"/>
      <c r="F23" s="69"/>
      <c r="G23" s="69"/>
      <c r="H23" s="69"/>
      <c r="I23" s="69"/>
      <c r="J23" s="69"/>
      <c r="K23" s="69"/>
      <c r="L23" s="69"/>
      <c r="M23" s="68"/>
      <c r="N23" s="50"/>
      <c r="O23" s="48"/>
      <c r="P23" s="48"/>
      <c r="Q23" s="48"/>
      <c r="R23" s="21"/>
      <c r="S23" s="21"/>
      <c r="T23" s="31"/>
      <c r="U23" s="31"/>
      <c r="V23" s="31"/>
      <c r="W23" s="31"/>
      <c r="X23" s="31"/>
      <c r="Y23" s="31"/>
      <c r="Z23" s="35">
        <v>0</v>
      </c>
      <c r="AA23" s="87"/>
      <c r="AB23" s="88"/>
      <c r="AC23" s="89"/>
      <c r="AD23" s="22"/>
    </row>
    <row r="24" spans="1:30" ht="15" customHeight="1">
      <c r="A24" s="59">
        <v>44369</v>
      </c>
      <c r="B24" s="70"/>
      <c r="C24" s="70"/>
      <c r="D24" s="71"/>
      <c r="E24" s="69"/>
      <c r="F24" s="69"/>
      <c r="G24" s="69"/>
      <c r="H24" s="69"/>
      <c r="I24" s="69"/>
      <c r="J24" s="69"/>
      <c r="K24" s="69"/>
      <c r="L24" s="69"/>
      <c r="M24" s="68"/>
      <c r="N24" s="50"/>
      <c r="O24" s="48"/>
      <c r="P24" s="48"/>
      <c r="Q24" s="48"/>
      <c r="R24" s="21"/>
      <c r="S24" s="21"/>
      <c r="T24" s="31"/>
      <c r="U24" s="31"/>
      <c r="V24" s="20"/>
      <c r="W24" s="20"/>
      <c r="X24" s="20"/>
      <c r="Y24" s="20"/>
      <c r="Z24" s="35">
        <v>0</v>
      </c>
      <c r="AA24" s="87"/>
      <c r="AB24" s="88"/>
      <c r="AC24" s="89"/>
      <c r="AD24" s="22"/>
    </row>
    <row r="25" spans="1:30" ht="15" customHeight="1">
      <c r="A25" s="59">
        <v>44370</v>
      </c>
      <c r="B25" s="70"/>
      <c r="C25" s="70"/>
      <c r="D25" s="71"/>
      <c r="E25" s="69"/>
      <c r="F25" s="69"/>
      <c r="G25" s="69"/>
      <c r="H25" s="69"/>
      <c r="I25" s="69"/>
      <c r="J25" s="69"/>
      <c r="K25" s="69"/>
      <c r="L25" s="69"/>
      <c r="M25" s="68"/>
      <c r="N25" s="50"/>
      <c r="O25" s="48"/>
      <c r="P25" s="48"/>
      <c r="Q25" s="48"/>
      <c r="R25" s="21"/>
      <c r="S25" s="21"/>
      <c r="T25" s="31"/>
      <c r="U25" s="31"/>
      <c r="V25" s="20"/>
      <c r="W25" s="20"/>
      <c r="X25" s="20"/>
      <c r="Y25" s="20"/>
      <c r="Z25" s="35">
        <v>0</v>
      </c>
      <c r="AA25" s="87"/>
      <c r="AB25" s="88"/>
      <c r="AC25" s="89"/>
      <c r="AD25" s="22"/>
    </row>
    <row r="26" spans="1:30" ht="15" customHeight="1">
      <c r="A26" s="59">
        <v>44371</v>
      </c>
      <c r="B26" s="70"/>
      <c r="C26" s="70"/>
      <c r="D26" s="71"/>
      <c r="E26" s="69"/>
      <c r="F26" s="69"/>
      <c r="G26" s="69"/>
      <c r="H26" s="69"/>
      <c r="I26" s="69"/>
      <c r="J26" s="69"/>
      <c r="K26" s="69"/>
      <c r="L26" s="69"/>
      <c r="M26" s="68"/>
      <c r="N26" s="50"/>
      <c r="O26" s="48"/>
      <c r="P26" s="48"/>
      <c r="Q26" s="48"/>
      <c r="R26" s="21"/>
      <c r="S26" s="21"/>
      <c r="T26" s="31"/>
      <c r="U26" s="31"/>
      <c r="V26" s="20"/>
      <c r="W26" s="20"/>
      <c r="X26" s="20"/>
      <c r="Y26" s="20"/>
      <c r="Z26" s="35">
        <v>0</v>
      </c>
      <c r="AA26" s="87"/>
      <c r="AB26" s="88"/>
      <c r="AC26" s="89"/>
      <c r="AD26" s="22"/>
    </row>
    <row r="27" spans="1:30" ht="15" customHeight="1">
      <c r="A27" s="59">
        <v>44372</v>
      </c>
      <c r="B27" s="70"/>
      <c r="C27" s="70"/>
      <c r="D27" s="71"/>
      <c r="E27" s="69"/>
      <c r="F27" s="69"/>
      <c r="G27" s="69"/>
      <c r="H27" s="69"/>
      <c r="I27" s="69"/>
      <c r="J27" s="69"/>
      <c r="K27" s="69"/>
      <c r="L27" s="69"/>
      <c r="M27" s="68"/>
      <c r="N27" s="50"/>
      <c r="O27" s="48"/>
      <c r="P27" s="48"/>
      <c r="Q27" s="48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87"/>
      <c r="AB27" s="88"/>
      <c r="AC27" s="89"/>
      <c r="AD27" s="22"/>
    </row>
    <row r="28" spans="1:30" ht="15" customHeight="1">
      <c r="A28" s="59">
        <v>44373</v>
      </c>
      <c r="B28" s="70"/>
      <c r="C28" s="70"/>
      <c r="D28" s="71"/>
      <c r="E28" s="69"/>
      <c r="F28" s="69"/>
      <c r="G28" s="69"/>
      <c r="H28" s="69"/>
      <c r="I28" s="69"/>
      <c r="J28" s="69"/>
      <c r="K28" s="69"/>
      <c r="L28" s="69"/>
      <c r="M28" s="68"/>
      <c r="N28" s="50"/>
      <c r="O28" s="48"/>
      <c r="P28" s="48"/>
      <c r="Q28" s="48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87"/>
      <c r="AB28" s="88"/>
      <c r="AC28" s="89"/>
      <c r="AD28" s="22"/>
    </row>
    <row r="29" spans="1:30" ht="15" customHeight="1">
      <c r="A29" s="59">
        <v>44374</v>
      </c>
      <c r="B29" s="70"/>
      <c r="C29" s="70"/>
      <c r="D29" s="71"/>
      <c r="E29" s="69"/>
      <c r="F29" s="69"/>
      <c r="G29" s="69"/>
      <c r="H29" s="69"/>
      <c r="I29" s="69"/>
      <c r="J29" s="69"/>
      <c r="K29" s="69"/>
      <c r="L29" s="69"/>
      <c r="M29" s="68"/>
      <c r="N29" s="50"/>
      <c r="O29" s="48"/>
      <c r="P29" s="48"/>
      <c r="Q29" s="48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87"/>
      <c r="AB29" s="88"/>
      <c r="AC29" s="89"/>
      <c r="AD29" s="22"/>
    </row>
    <row r="30" spans="1:30" ht="15" customHeight="1">
      <c r="A30" s="59">
        <v>44375</v>
      </c>
      <c r="B30" s="70"/>
      <c r="C30" s="70"/>
      <c r="D30" s="71"/>
      <c r="E30" s="69"/>
      <c r="F30" s="69"/>
      <c r="G30" s="69"/>
      <c r="H30" s="69"/>
      <c r="I30" s="69"/>
      <c r="J30" s="69"/>
      <c r="K30" s="69"/>
      <c r="L30" s="69"/>
      <c r="M30" s="68"/>
      <c r="N30" s="50"/>
      <c r="O30" s="48"/>
      <c r="P30" s="48"/>
      <c r="Q30" s="48"/>
      <c r="R30" s="21"/>
      <c r="S30" s="21"/>
      <c r="T30" s="31"/>
      <c r="U30" s="31"/>
      <c r="V30" s="20"/>
      <c r="W30" s="20"/>
      <c r="X30" s="20"/>
      <c r="Y30" s="20"/>
      <c r="Z30" s="35">
        <v>0</v>
      </c>
      <c r="AA30" s="87"/>
      <c r="AB30" s="88"/>
      <c r="AC30" s="89"/>
      <c r="AD30" s="22"/>
    </row>
    <row r="31" spans="1:30" ht="15" customHeight="1">
      <c r="A31" s="59">
        <v>44376</v>
      </c>
      <c r="B31" s="70"/>
      <c r="C31" s="70"/>
      <c r="D31" s="71"/>
      <c r="E31" s="69"/>
      <c r="F31" s="69"/>
      <c r="G31" s="69"/>
      <c r="H31" s="69"/>
      <c r="I31" s="69"/>
      <c r="J31" s="69"/>
      <c r="K31" s="69"/>
      <c r="L31" s="69"/>
      <c r="M31" s="68"/>
      <c r="N31" s="51"/>
      <c r="O31" s="52"/>
      <c r="P31" s="48"/>
      <c r="Q31" s="48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87"/>
      <c r="AB31" s="88"/>
      <c r="AC31" s="89"/>
      <c r="AD31" s="22"/>
    </row>
    <row r="32" spans="1:30" ht="15" customHeight="1">
      <c r="A32" s="59">
        <v>44377</v>
      </c>
      <c r="B32" s="70"/>
      <c r="C32" s="70"/>
      <c r="D32" s="71"/>
      <c r="E32" s="69"/>
      <c r="F32" s="69"/>
      <c r="G32" s="69"/>
      <c r="H32" s="69"/>
      <c r="I32" s="69"/>
      <c r="J32" s="69"/>
      <c r="K32" s="69"/>
      <c r="L32" s="69"/>
      <c r="M32" s="68"/>
      <c r="N32" s="53"/>
      <c r="O32" s="54"/>
      <c r="P32" s="54"/>
      <c r="Q32" s="54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87"/>
      <c r="AB32" s="88"/>
      <c r="AC32" s="89"/>
      <c r="AD32" s="22"/>
    </row>
    <row r="33" spans="1:29" ht="12.75" customHeight="1">
      <c r="A33" s="59"/>
      <c r="B33" s="49"/>
      <c r="C33" s="72"/>
      <c r="D33" s="81"/>
      <c r="E33" s="81"/>
      <c r="F33" s="81"/>
      <c r="G33" s="81"/>
      <c r="H33" s="81"/>
      <c r="I33" s="81"/>
      <c r="J33" s="81"/>
      <c r="K33" s="81"/>
      <c r="L33" s="81"/>
      <c r="M33" s="68"/>
      <c r="N33" s="54"/>
      <c r="O33" s="54"/>
      <c r="P33" s="55"/>
      <c r="Q33" s="56"/>
      <c r="R33" s="21"/>
      <c r="S33" s="21"/>
      <c r="T33" s="57"/>
      <c r="U33" s="57"/>
      <c r="V33" s="57"/>
      <c r="W33" s="57"/>
      <c r="X33" s="57"/>
      <c r="Y33" s="57"/>
      <c r="Z33" s="35"/>
      <c r="AA33" s="90"/>
      <c r="AB33" s="91"/>
      <c r="AC33" s="92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E99E6936-EF7E-451B-BDFB-80F884242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2021-06-13T07:59:25Z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