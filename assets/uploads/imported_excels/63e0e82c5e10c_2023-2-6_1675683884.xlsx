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<sst xmlns="http://schemas.openxmlformats.org/spreadsheetml/2006/main" count="142" uniqueCount="63">
  <si>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</si>
  <si>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</si>
  <si>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</si>
  <si>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</si>
  <si>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</si>
  <si>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</si>
  <si>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</si>
  <si>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</si>
  <si>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</si>
  <si>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</si>
  <si>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</si>
  <si>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</si>
  <si>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</si>
  <si>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</si>
  <si>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</si>
  <si>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</si>
  <si>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</si>
  <si>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</si>
  <si>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</si>
  <si>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</si>
  <si>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</si>
  <si>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</si>
  <si>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</si>
  <si>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</si>
  <si>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</si>
  <si>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</si>
  <si>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</si>
  <si>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</si>
  <si>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</si>
  <si>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</si>
  <si>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</si>
  <si>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</si>
  <si>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</si>
  <si>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</si>
  <si>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</si>
  <si>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</si>
  <si>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</si>
  <si>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</si>
  <si>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</si>
  <si>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</si>
  <si>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</si>
  <si>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</si>
  <si>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</si>
  <si>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</si>
  <si>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</si>
  <si>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</si>
  <si>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</si>
  <si>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</si>
  <si>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</si>
  <si>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Feb</t>
  </si>
  <si>
    <t>8814830</t>
  </si>
  <si>
    <t>21180080</t>
  </si>
  <si>
    <t>3940940</t>
  </si>
  <si>
    <t>4462750</t>
  </si>
  <si>
    <t>13260500</t>
  </si>
  <si>
    <t>7913930</t>
  </si>
  <si>
    <t>6822130</t>
  </si>
  <si>
    <t>8559530</t>
  </si>
  <si>
    <t>12355430</t>
  </si>
  <si>
    <t>5390070</t>
  </si>
  <si>
    <t>9757950</t>
  </si>
  <si>
    <t>16373790</t>
  </si>
  <si>
    <t>23059160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</si>
</sst>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Submetering!R2</f>
        <v>506.866399</v>
      </c>
      <c r="H2" s="11">
        <v>0.52800000000000002</v>
      </c>
      <c r="I2" s="12">
        <f>Hotel!B7</f>
        <v>141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Submetering!R3</f>
        <v>607.55830500000002</v>
      </c>
      <c r="H3" s="11">
        <v>0.52800000000000002</v>
      </c>
      <c r="I3" s="12">
        <f>Hotel!B8</f>
        <v>144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Submetering!R4</f>
        <v>501.94536599999998</v>
      </c>
      <c r="H4" s="11">
        <v>0.52800000000000002</v>
      </c>
      <c r="I4" s="12">
        <f>Hotel!B9</f>
        <v>184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Submetering!R5</f>
        <v>595.06645200000003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Submetering!R6</f>
        <v>551.912778</v>
      </c>
      <c r="H6" s="11">
        <v>0.52800000000000002</v>
      </c>
      <c r="I6" s="12">
        <f>Hotel!B11</f>
        <v>125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Hotel!AV7*0.00378541*100</f>
        <v>506.866399</v>
      </c>
      <c r="S2" s="4">
        <f>Hotel!B7</f>
        <v>141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Hotel!AV8*0.00378541*100</f>
        <v>607.55830500000002</v>
      </c>
      <c r="S3" s="4">
        <f>Hotel!B8</f>
        <v>144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Hotel!AV9*0.00378541*100</f>
        <v>501.94536599999998</v>
      </c>
      <c r="S4" s="4">
        <f>Hotel!B9</f>
        <v>184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Hotel!AV10*0.00378541*100</f>
        <v>595.06645200000003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Hotel!AV11*0.00378541*100</f>
        <v>551.912778</v>
      </c>
      <c r="S6" s="4">
        <f>Hotel!B11</f>
        <v>125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2023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AR17" sqref="AR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44957</v>
      </c>
      <c r="B2" s="61">
        <v>116</v>
      </c>
      <c r="C2" s="62" t="s">
        <v>50</v>
      </c>
      <c r="D2" s="51" t="s">
        <v>51</v>
      </c>
      <c r="E2" s="51" t="s">
        <v>52</v>
      </c>
      <c r="F2" s="51" t="s">
        <v>53</v>
      </c>
      <c r="G2" s="51" t="s">
        <v>54</v>
      </c>
      <c r="H2" s="51" t="s">
        <v>55</v>
      </c>
      <c r="I2" s="51" t="s">
        <v>56</v>
      </c>
      <c r="J2" s="51" t="s">
        <v>57</v>
      </c>
      <c r="K2" s="51" t="s">
        <v>58</v>
      </c>
      <c r="L2" s="51" t="s">
        <v>59</v>
      </c>
      <c r="M2" s="51" t="s">
        <v>60</v>
      </c>
      <c r="N2" s="51" t="s">
        <v>61</v>
      </c>
      <c r="O2" s="51" t="s">
        <v>62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407070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407070</v>
      </c>
    </row>
    <row r="7" spans="1:50" x14ac:dyDescent="0.25">
      <c r="A7" s="23">
        <v>44958</v>
      </c>
      <c r="B7" s="40">
        <v>141</v>
      </c>
      <c r="C7" s="51">
        <v>8815390</v>
      </c>
      <c r="D7" s="51">
        <v>21181850</v>
      </c>
      <c r="E7" s="51">
        <v>3943540</v>
      </c>
      <c r="F7" s="51">
        <v>4464120</v>
      </c>
      <c r="G7" s="51">
        <v>13266620</v>
      </c>
      <c r="H7" s="51">
        <v>7918000</v>
      </c>
      <c r="I7" s="51">
        <v>6825750</v>
      </c>
      <c r="J7" s="51">
        <v>8563700</v>
      </c>
      <c r="K7" s="51">
        <v>12361120</v>
      </c>
      <c r="L7" s="51">
        <v>5392510</v>
      </c>
      <c r="M7" s="51">
        <v>9760650</v>
      </c>
      <c r="N7" s="51">
        <v>16380730</v>
      </c>
      <c r="O7" s="51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U7" s="54">
        <v>408409</v>
      </c>
      <c r="AV7" s="37">
        <f>IF((AU7-AU6&lt;0),"0",AU7-AU6)</f>
        <v>1339</v>
      </c>
      <c r="AW7" s="37">
        <f>AV7*100*AV44</f>
        <v>506.866399</v>
      </c>
      <c r="AX7" s="35">
        <f t="shared" ref="AX7:AX35" si="14">AV7*$D$40</f>
        <v>2.6779999999999999</v>
      </c>
    </row>
    <row r="8" spans="1:50" x14ac:dyDescent="0.25">
      <c r="A8" s="23">
        <v>44959</v>
      </c>
      <c r="B8" s="40">
        <v>144</v>
      </c>
      <c r="C8" s="52">
        <v>8816000</v>
      </c>
      <c r="D8" s="52">
        <v>21183790</v>
      </c>
      <c r="E8" s="52">
        <v>3946450</v>
      </c>
      <c r="F8" s="52">
        <v>4465630</v>
      </c>
      <c r="G8" s="52">
        <v>13273320</v>
      </c>
      <c r="H8" s="52">
        <v>7922560</v>
      </c>
      <c r="I8" s="52">
        <v>6829330</v>
      </c>
      <c r="J8" s="52">
        <v>8568120</v>
      </c>
      <c r="K8" s="52">
        <v>12367480</v>
      </c>
      <c r="L8" s="52">
        <v>5395200</v>
      </c>
      <c r="M8" s="52">
        <v>9764080</v>
      </c>
      <c r="N8" s="52">
        <v>16388690</v>
      </c>
      <c r="O8" s="52">
        <v>23085410</v>
      </c>
      <c r="Q8" s="37">
        <f>IF((C8-C7&lt;0), "0",C8-C7)</f>
        <v>610</v>
      </c>
      <c r="R8" s="37">
        <f t="shared" ref="R8:AC8" si="15">IF((D8-D7&lt;0), "0",D8-D7)</f>
        <v>1940</v>
      </c>
      <c r="S8" s="37">
        <f t="shared" ref="S8:S35" si="16">IF((E8-E7&lt;0), "0",E8-E7)</f>
        <v>2910</v>
      </c>
      <c r="T8" s="37">
        <f t="shared" si="15"/>
        <v>1510</v>
      </c>
      <c r="U8" s="37">
        <f t="shared" si="15"/>
        <v>6700</v>
      </c>
      <c r="V8" s="37">
        <f t="shared" si="15"/>
        <v>4560</v>
      </c>
      <c r="W8" s="37">
        <f t="shared" si="15"/>
        <v>3580</v>
      </c>
      <c r="X8" s="37">
        <f t="shared" si="15"/>
        <v>4420</v>
      </c>
      <c r="Y8" s="37">
        <f t="shared" si="15"/>
        <v>6360</v>
      </c>
      <c r="Z8" s="37">
        <f t="shared" si="15"/>
        <v>2690</v>
      </c>
      <c r="AA8" s="37">
        <f t="shared" si="15"/>
        <v>3430</v>
      </c>
      <c r="AB8" s="37">
        <f t="shared" si="15"/>
        <v>7960</v>
      </c>
      <c r="AC8" s="37">
        <f t="shared" si="15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U8" s="55">
        <v>410014</v>
      </c>
      <c r="AV8" s="37">
        <f>IF((AU8-AU7&lt;0),"0",AU8-AU7)</f>
        <v>1605</v>
      </c>
      <c r="AW8" s="37">
        <f>AV8*100*AV44</f>
        <v>607.55830500000002</v>
      </c>
      <c r="AX8" s="35">
        <f t="shared" si="14"/>
        <v>3.21</v>
      </c>
    </row>
    <row r="9" spans="1:50" x14ac:dyDescent="0.25">
      <c r="A9" s="23">
        <v>44960</v>
      </c>
      <c r="B9" s="40">
        <v>184</v>
      </c>
      <c r="C9" s="52">
        <v>8816550</v>
      </c>
      <c r="D9" s="52">
        <v>21185540</v>
      </c>
      <c r="E9" s="52">
        <v>3949050</v>
      </c>
      <c r="F9" s="52">
        <v>4466990</v>
      </c>
      <c r="G9" s="52">
        <v>13279420</v>
      </c>
      <c r="H9" s="52">
        <v>7926690</v>
      </c>
      <c r="I9" s="52">
        <v>6832440</v>
      </c>
      <c r="J9" s="52">
        <v>8572210</v>
      </c>
      <c r="K9" s="52">
        <v>12373280</v>
      </c>
      <c r="L9" s="52">
        <v>5397730</v>
      </c>
      <c r="M9" s="52">
        <v>9767370</v>
      </c>
      <c r="N9" s="52">
        <v>16395700</v>
      </c>
      <c r="O9" s="52">
        <v>23098360</v>
      </c>
      <c r="Q9" s="37">
        <f t="shared" ref="Q9:Q30" si="17">IF((C9-C8&lt;0), "0",C9-C8)</f>
        <v>550</v>
      </c>
      <c r="R9" s="37">
        <f t="shared" ref="R9:R37" si="18">IF((D9-D8&lt;0), "0",D9-D8)</f>
        <v>1750</v>
      </c>
      <c r="S9" s="37">
        <f t="shared" si="16"/>
        <v>2600</v>
      </c>
      <c r="T9" s="37">
        <f t="shared" ref="T9:T35" si="19">IF((F9-F8&lt;0), "0",F9-F8)</f>
        <v>1360</v>
      </c>
      <c r="U9" s="37">
        <f t="shared" ref="U9:U35" si="20">IF((G9-G8&lt;0), "0",G9-G8)</f>
        <v>6100</v>
      </c>
      <c r="V9" s="37">
        <f t="shared" ref="V9:V35" si="21">IF((H9-H8&lt;0), "0",H9-H8)</f>
        <v>4130</v>
      </c>
      <c r="W9" s="37">
        <f t="shared" ref="W9:W35" si="22">IF((I9-I8&lt;0), "0",I9-I8)</f>
        <v>3110</v>
      </c>
      <c r="X9" s="37">
        <f t="shared" ref="X9:X37" si="23">IF((J9-J8&lt;0), "0",J9-J8)</f>
        <v>4090</v>
      </c>
      <c r="Y9" s="37">
        <f t="shared" ref="Y9:Y35" si="24">IF((K9-K8&lt;0), "0",K9-K8)</f>
        <v>5800</v>
      </c>
      <c r="Z9" s="37">
        <f t="shared" ref="Z9:Z35" si="25">IF((L9-L8&lt;0), "0",L9-L8)</f>
        <v>2530</v>
      </c>
      <c r="AA9" s="37">
        <f t="shared" ref="AA9:AA35" si="26">IF((M9-M8&lt;0), "0",M9-M8)</f>
        <v>3290</v>
      </c>
      <c r="AB9" s="37">
        <f t="shared" ref="AB9:AB37" si="27">IF((N9-N8&lt;0), "0",N9-N8)</f>
        <v>7010</v>
      </c>
      <c r="AC9" s="37">
        <f t="shared" ref="AC9:AC37" si="28">IF((O9-O8&lt;0), "0",O9-O8)</f>
        <v>12950</v>
      </c>
      <c r="AD9" s="35">
        <f t="shared" ref="AD9:AD37" si="29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0">SUM(AF9:AR9)</f>
        <v>276.35000000000002</v>
      </c>
      <c r="AU9" s="55">
        <v>411340</v>
      </c>
      <c r="AV9" s="37">
        <f>IF((AU9-AU8&lt;0),"0",AU9-AU8)</f>
        <v>1326</v>
      </c>
      <c r="AW9" s="37">
        <f>AV9*100*AV44</f>
        <v>501.94536599999998</v>
      </c>
      <c r="AX9" s="35">
        <f t="shared" si="14"/>
        <v>2.6520000000000001</v>
      </c>
    </row>
    <row r="10" spans="1:50" x14ac:dyDescent="0.25">
      <c r="A10" s="23">
        <v>44961</v>
      </c>
      <c r="B10" s="40">
        <v>119</v>
      </c>
      <c r="C10" s="51">
        <v>8817150</v>
      </c>
      <c r="D10" s="51">
        <v>21187460</v>
      </c>
      <c r="E10" s="51">
        <v>3951770</v>
      </c>
      <c r="F10" s="51">
        <v>4468500</v>
      </c>
      <c r="G10" s="51">
        <v>13286080</v>
      </c>
      <c r="H10" s="51">
        <v>7931130</v>
      </c>
      <c r="I10" s="51">
        <v>6835660</v>
      </c>
      <c r="J10" s="51">
        <v>8576630</v>
      </c>
      <c r="K10" s="51">
        <v>12379870</v>
      </c>
      <c r="L10" s="51">
        <v>5400480</v>
      </c>
      <c r="M10" s="51">
        <v>9770770</v>
      </c>
      <c r="N10" s="51">
        <v>16403530</v>
      </c>
      <c r="O10" s="51">
        <v>23111880</v>
      </c>
      <c r="Q10" s="37">
        <f t="shared" si="17"/>
        <v>600</v>
      </c>
      <c r="R10" s="37">
        <f t="shared" si="18"/>
        <v>1920</v>
      </c>
      <c r="S10" s="37">
        <f t="shared" si="16"/>
        <v>2720</v>
      </c>
      <c r="T10" s="37">
        <f t="shared" si="19"/>
        <v>1510</v>
      </c>
      <c r="U10" s="37">
        <f t="shared" si="20"/>
        <v>6660</v>
      </c>
      <c r="V10" s="37">
        <f t="shared" si="21"/>
        <v>4440</v>
      </c>
      <c r="W10" s="37">
        <f t="shared" si="22"/>
        <v>3220</v>
      </c>
      <c r="X10" s="37">
        <f t="shared" si="23"/>
        <v>4420</v>
      </c>
      <c r="Y10" s="37">
        <f t="shared" si="24"/>
        <v>6590</v>
      </c>
      <c r="Z10" s="37">
        <f t="shared" si="25"/>
        <v>2750</v>
      </c>
      <c r="AA10" s="37">
        <f t="shared" si="26"/>
        <v>3400</v>
      </c>
      <c r="AB10" s="37">
        <f t="shared" si="27"/>
        <v>7830</v>
      </c>
      <c r="AC10" s="37">
        <f t="shared" si="28"/>
        <v>13520</v>
      </c>
      <c r="AD10" s="35">
        <f t="shared" si="29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0"/>
        <v>297.89999999999998</v>
      </c>
      <c r="AU10" s="54">
        <v>412912</v>
      </c>
      <c r="AV10" s="37">
        <f t="shared" ref="AV10:AV26" si="31">IF((AU10-AU9&lt;0),"0",AU10-AU9)</f>
        <v>1572</v>
      </c>
      <c r="AW10" s="37">
        <f>AV10*100*AV44</f>
        <v>595.06645200000003</v>
      </c>
      <c r="AX10" s="35">
        <f t="shared" si="14"/>
        <v>3.1440000000000001</v>
      </c>
    </row>
    <row r="11" spans="1:50" x14ac:dyDescent="0.25">
      <c r="A11" s="23">
        <v>44962</v>
      </c>
      <c r="B11" s="40">
        <v>125</v>
      </c>
      <c r="C11" s="51">
        <v>8817710</v>
      </c>
      <c r="D11" s="51">
        <v>21189230</v>
      </c>
      <c r="E11" s="51">
        <v>3954370</v>
      </c>
      <c r="F11" s="51">
        <v>4469890</v>
      </c>
      <c r="G11" s="51">
        <v>13291980</v>
      </c>
      <c r="H11" s="51">
        <v>7935160</v>
      </c>
      <c r="I11" s="51">
        <v>6838800</v>
      </c>
      <c r="J11" s="51">
        <v>8580650</v>
      </c>
      <c r="K11" s="51">
        <v>12385580</v>
      </c>
      <c r="L11" s="51">
        <v>5402920</v>
      </c>
      <c r="M11" s="51">
        <v>9773860</v>
      </c>
      <c r="N11" s="51">
        <v>16410700</v>
      </c>
      <c r="O11" s="51">
        <v>23123070</v>
      </c>
      <c r="Q11" s="37">
        <f t="shared" si="17"/>
        <v>560</v>
      </c>
      <c r="R11" s="37">
        <f t="shared" si="18"/>
        <v>1770</v>
      </c>
      <c r="S11" s="37">
        <f t="shared" si="16"/>
        <v>2600</v>
      </c>
      <c r="T11" s="37">
        <f t="shared" si="19"/>
        <v>1390</v>
      </c>
      <c r="U11" s="37">
        <f t="shared" si="20"/>
        <v>5900</v>
      </c>
      <c r="V11" s="37">
        <f t="shared" si="21"/>
        <v>4030</v>
      </c>
      <c r="W11" s="37">
        <f t="shared" si="22"/>
        <v>3140</v>
      </c>
      <c r="X11" s="37">
        <f t="shared" si="23"/>
        <v>4020</v>
      </c>
      <c r="Y11" s="37">
        <f t="shared" si="24"/>
        <v>5710</v>
      </c>
      <c r="Z11" s="37">
        <f t="shared" si="25"/>
        <v>2440</v>
      </c>
      <c r="AA11" s="37">
        <f t="shared" si="26"/>
        <v>3090</v>
      </c>
      <c r="AB11" s="37">
        <f t="shared" si="27"/>
        <v>7170</v>
      </c>
      <c r="AC11" s="37">
        <f t="shared" si="28"/>
        <v>11190</v>
      </c>
      <c r="AD11" s="35">
        <f t="shared" si="29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0"/>
        <v>265.05</v>
      </c>
      <c r="AU11" s="54">
        <v>414370</v>
      </c>
      <c r="AV11" s="37">
        <f t="shared" si="31"/>
        <v>1458</v>
      </c>
      <c r="AW11" s="37">
        <f>AV11*100*AV44</f>
        <v>551.912778</v>
      </c>
      <c r="AX11" s="35">
        <f t="shared" si="14"/>
        <v>2.9159999999999999</v>
      </c>
    </row>
    <row r="12" spans="1:50" x14ac:dyDescent="0.25">
      <c r="A12" s="23">
        <v>44963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 t="str">
        <f t="shared" si="17"/>
        <v>0</v>
      </c>
      <c r="R12" s="37" t="str">
        <f t="shared" si="18"/>
        <v>0</v>
      </c>
      <c r="S12" s="37" t="str">
        <f t="shared" si="16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3"/>
        <v>0</v>
      </c>
      <c r="Y12" s="37" t="str">
        <f t="shared" si="24"/>
        <v>0</v>
      </c>
      <c r="Z12" s="37" t="str">
        <f>IF((L12-L11&lt;0), "0",L12-L11)</f>
        <v>0</v>
      </c>
      <c r="AA12" s="37" t="str">
        <f t="shared" si="26"/>
        <v>0</v>
      </c>
      <c r="AB12" s="37" t="str">
        <f t="shared" si="27"/>
        <v>0</v>
      </c>
      <c r="AC12" s="37" t="str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 t="str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44964</v>
      </c>
      <c r="B13" s="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60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44965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4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44966</v>
      </c>
      <c r="B15" s="40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5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44967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44968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5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44969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44970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5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44971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44972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5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44973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44974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44975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44976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44977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44978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44979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44980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44981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44982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44983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44984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44985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/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/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2880</v>
      </c>
      <c r="R38" s="38">
        <f t="shared" ref="R38:AD38" si="60">SUM(R7:R37)</f>
        <v>9150</v>
      </c>
      <c r="S38" s="38">
        <f t="shared" si="60"/>
        <v>13430</v>
      </c>
      <c r="T38" s="38">
        <f t="shared" si="60"/>
        <v>7140</v>
      </c>
      <c r="U38" s="38">
        <f t="shared" si="60"/>
        <v>31480</v>
      </c>
      <c r="V38" s="38">
        <f t="shared" si="60"/>
        <v>21230</v>
      </c>
      <c r="W38" s="38">
        <f t="shared" si="60"/>
        <v>16670</v>
      </c>
      <c r="X38" s="38">
        <f t="shared" si="60"/>
        <v>21120</v>
      </c>
      <c r="Y38" s="38">
        <f t="shared" si="60"/>
        <v>30150</v>
      </c>
      <c r="Z38" s="38">
        <f t="shared" si="60"/>
        <v>12850</v>
      </c>
      <c r="AA38" s="38">
        <f t="shared" si="60"/>
        <v>15910</v>
      </c>
      <c r="AB38" s="38">
        <f t="shared" si="60"/>
        <v>36910</v>
      </c>
      <c r="AC38" s="38">
        <f t="shared" si="60"/>
        <v>63910</v>
      </c>
      <c r="AD38" s="38">
        <f t="shared" si="60"/>
        <v>282830</v>
      </c>
      <c r="AF38" s="35">
        <f>SUM(AF7:AF37)</f>
        <v>14.400000000000002</v>
      </c>
      <c r="AG38" s="35">
        <f t="shared" ref="AG38:AS38" si="61">SUM(AG7:AG37)</f>
        <v>45.75</v>
      </c>
      <c r="AH38" s="35">
        <f t="shared" si="61"/>
        <v>67.150000000000006</v>
      </c>
      <c r="AI38" s="35">
        <f t="shared" si="61"/>
        <v>35.700000000000003</v>
      </c>
      <c r="AJ38" s="35">
        <f t="shared" si="61"/>
        <v>157.39999999999998</v>
      </c>
      <c r="AK38" s="35">
        <f t="shared" si="61"/>
        <v>106.15000000000002</v>
      </c>
      <c r="AL38" s="35">
        <f t="shared" si="61"/>
        <v>83.350000000000009</v>
      </c>
      <c r="AM38" s="35">
        <f t="shared" si="61"/>
        <v>105.6</v>
      </c>
      <c r="AN38" s="35">
        <f t="shared" si="61"/>
        <v>150.75</v>
      </c>
      <c r="AO38" s="35">
        <f t="shared" si="61"/>
        <v>64.25</v>
      </c>
      <c r="AP38" s="35">
        <f t="shared" si="61"/>
        <v>79.55</v>
      </c>
      <c r="AQ38" s="35">
        <f t="shared" si="61"/>
        <v>184.55</v>
      </c>
      <c r="AR38" s="35">
        <f t="shared" si="61"/>
        <v>319.55</v>
      </c>
      <c r="AS38" s="35">
        <f t="shared" si="61"/>
        <v>1414.1499999999999</v>
      </c>
      <c r="AU38" s="46"/>
      <c r="AV38" s="34">
        <f>SUM(AV7:AV37)</f>
        <v>7300</v>
      </c>
      <c r="AW38" s="34">
        <f>SUM(AW7:AW37)</f>
        <v>2763.3492999999999</v>
      </c>
      <c r="AX38" s="35">
        <f>SUM(AX7:AX37)</f>
        <v>14.6</v>
      </c>
    </row>
    <row r="39" spans="1:50" x14ac:dyDescent="0.25">
      <c r="B39" s="39">
        <f>SUM(B7:B37)</f>
        <v>713</v>
      </c>
      <c r="D39">
        <v>5.0000000000000001E-3</v>
      </c>
      <c r="AV39" s="36"/>
      <c r="AW39" s="50">
        <f>AW38/31</f>
        <v>89.140299999999996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2023-02-06T11:44:16Z</dcterms:modified>
</cp:coreProperties>
</file>