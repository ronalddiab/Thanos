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459B94E-A055-49D0-AE9A-753A4BB55AB1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<sst xmlns="http://schemas.openxmlformats.org/spreadsheetml/2006/main" count="66" uniqueCount="32">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</sst>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94</v>
          </cell>
          <cell r="H387">
            <v>77</v>
          </cell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144</v>
          </cell>
          <cell r="H388">
            <v>128</v>
          </cell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156</v>
          </cell>
          <cell r="H41">
            <v>155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28.613399999999999</v>
          </cell>
          <cell r="H91">
            <v>4.4447999999999999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39018.676800000001</v>
          </cell>
          <cell r="H115">
            <v>41203.296000000002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17326</v>
          </cell>
          <cell r="H147">
            <v>16930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30.45</v>
          </cell>
        </row>
        <row r="23">
          <cell r="M23">
            <v>220.90719760479038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11" sqref="L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30.45</v>
      </c>
      <c r="G2" s="9">
        <f>'Otemachi Daily'!F5</f>
        <v>188.1</v>
      </c>
      <c r="H2" s="34">
        <f>[1]見込!$M$23</f>
        <v>220.90719760479038</v>
      </c>
      <c r="I2" s="9">
        <f>'Otemachi Daily'!H5</f>
        <v>39018.676800000001</v>
      </c>
      <c r="J2" s="34">
        <v>10.79</v>
      </c>
      <c r="K2" s="9">
        <f>'Otemachi Daily'!J5</f>
        <v>28.613399999999999</v>
      </c>
      <c r="L2" s="34">
        <v>7.22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30.45</v>
      </c>
      <c r="G3" s="9">
        <f>'Otemachi Daily'!F6</f>
        <v>179.3</v>
      </c>
      <c r="H3" s="34">
        <f>[1]見込!$M$23</f>
        <v>220.90719760479038</v>
      </c>
      <c r="I3" s="9">
        <f>'Otemachi Daily'!H6</f>
        <v>41203.296000000002</v>
      </c>
      <c r="J3" s="34">
        <v>10.79</v>
      </c>
      <c r="K3" s="9">
        <f>'Otemachi Daily'!J6</f>
        <v>4.4447999999999999</v>
      </c>
      <c r="L3" s="34">
        <v>7.22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0</v>
      </c>
      <c r="F4" s="34">
        <f>[1]見込!$G$3</f>
        <v>30.45</v>
      </c>
      <c r="G4" s="9">
        <f>'Otemachi Daily'!F7</f>
        <v>0</v>
      </c>
      <c r="H4" s="34">
        <f>[1]見込!$M$23</f>
        <v>220.90719760479038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0</v>
      </c>
      <c r="F5" s="34">
        <f>[1]見込!$G$3</f>
        <v>30.45</v>
      </c>
      <c r="G5" s="9">
        <f>'Otemachi Daily'!F8</f>
        <v>0</v>
      </c>
      <c r="H5" s="34">
        <f>[1]見込!$M$23</f>
        <v>220.90719760479038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0</v>
      </c>
      <c r="F6" s="34">
        <f>[1]見込!$G$3</f>
        <v>30.45</v>
      </c>
      <c r="G6" s="9">
        <f>'Otemachi Daily'!F9</f>
        <v>0</v>
      </c>
      <c r="H6" s="34">
        <f>[1]見込!$M$23</f>
        <v>220.90719760479038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0</v>
      </c>
      <c r="F7" s="34">
        <f>[1]見込!$G$3</f>
        <v>30.45</v>
      </c>
      <c r="G7" s="9">
        <f>'Otemachi Daily'!F10</f>
        <v>0</v>
      </c>
      <c r="H7" s="34">
        <f>[1]見込!$M$23</f>
        <v>220.90719760479038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0</v>
      </c>
      <c r="F8" s="34">
        <f>[1]見込!$G$3</f>
        <v>30.45</v>
      </c>
      <c r="G8" s="9">
        <f>'Otemachi Daily'!F11</f>
        <v>0</v>
      </c>
      <c r="H8" s="34">
        <f>[1]見込!$M$23</f>
        <v>220.90719760479038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0</v>
      </c>
      <c r="F9" s="34">
        <f>[1]見込!$G$3</f>
        <v>30.45</v>
      </c>
      <c r="G9" s="9">
        <f>'Otemachi Daily'!F12</f>
        <v>0</v>
      </c>
      <c r="H9" s="34">
        <f>[1]見込!$M$23</f>
        <v>220.90719760479038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0</v>
      </c>
      <c r="F10" s="34">
        <f>[1]見込!$G$3</f>
        <v>30.45</v>
      </c>
      <c r="G10" s="9">
        <f>'Otemachi Daily'!F13</f>
        <v>0</v>
      </c>
      <c r="H10" s="34">
        <f>[1]見込!$M$23</f>
        <v>220.90719760479038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0</v>
      </c>
      <c r="F11" s="34">
        <f>[1]見込!$G$3</f>
        <v>30.45</v>
      </c>
      <c r="G11" s="9">
        <f>'Otemachi Daily'!F14</f>
        <v>0</v>
      </c>
      <c r="H11" s="34">
        <f>[1]見込!$M$23</f>
        <v>220.90719760479038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0</v>
      </c>
      <c r="F12" s="34">
        <f>[1]見込!$G$3</f>
        <v>30.45</v>
      </c>
      <c r="G12" s="9">
        <f>'Otemachi Daily'!F15</f>
        <v>0</v>
      </c>
      <c r="H12" s="34">
        <f>[1]見込!$M$23</f>
        <v>220.90719760479038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0</v>
      </c>
      <c r="F13" s="34">
        <f>[1]見込!$G$3</f>
        <v>30.45</v>
      </c>
      <c r="G13" s="9">
        <f>'Otemachi Daily'!F16</f>
        <v>0</v>
      </c>
      <c r="H13" s="34">
        <f>[1]見込!$M$23</f>
        <v>220.90719760479038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0</v>
      </c>
      <c r="F14" s="34">
        <f>[1]見込!$G$3</f>
        <v>30.45</v>
      </c>
      <c r="G14" s="9">
        <f>'Otemachi Daily'!F17</f>
        <v>0</v>
      </c>
      <c r="H14" s="34">
        <f>[1]見込!$M$23</f>
        <v>220.90719760479038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0</v>
      </c>
      <c r="F15" s="34">
        <f>[1]見込!$G$3</f>
        <v>30.45</v>
      </c>
      <c r="G15" s="9">
        <f>'Otemachi Daily'!F18</f>
        <v>0</v>
      </c>
      <c r="H15" s="34">
        <f>[1]見込!$M$23</f>
        <v>220.90719760479038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0</v>
      </c>
      <c r="F16" s="34">
        <f>[1]見込!$G$3</f>
        <v>30.45</v>
      </c>
      <c r="G16" s="9">
        <f>'Otemachi Daily'!F19</f>
        <v>0</v>
      </c>
      <c r="H16" s="34">
        <f>[1]見込!$M$23</f>
        <v>220.90719760479038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0</v>
      </c>
      <c r="F17" s="34">
        <f>[1]見込!$G$3</f>
        <v>30.45</v>
      </c>
      <c r="G17" s="9">
        <f>'Otemachi Daily'!F20</f>
        <v>0</v>
      </c>
      <c r="H17" s="34">
        <f>[1]見込!$M$23</f>
        <v>220.90719760479038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0</v>
      </c>
      <c r="F18" s="34">
        <f>[1]見込!$G$3</f>
        <v>30.45</v>
      </c>
      <c r="G18" s="9">
        <f>'Otemachi Daily'!F21</f>
        <v>0</v>
      </c>
      <c r="H18" s="34">
        <f>[1]見込!$M$23</f>
        <v>220.90719760479038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0</v>
      </c>
      <c r="F19" s="34">
        <f>[1]見込!$G$3</f>
        <v>30.45</v>
      </c>
      <c r="G19" s="9">
        <f>'Otemachi Daily'!F22</f>
        <v>0</v>
      </c>
      <c r="H19" s="34">
        <f>[1]見込!$M$23</f>
        <v>220.90719760479038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0</v>
      </c>
      <c r="F20" s="34">
        <f>[1]見込!$G$3</f>
        <v>30.45</v>
      </c>
      <c r="G20" s="9">
        <f>'Otemachi Daily'!F23</f>
        <v>0</v>
      </c>
      <c r="H20" s="34">
        <f>[1]見込!$M$23</f>
        <v>220.90719760479038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0</v>
      </c>
      <c r="F21" s="34">
        <f>[1]見込!$G$3</f>
        <v>30.45</v>
      </c>
      <c r="G21" s="9">
        <f>'Otemachi Daily'!F24</f>
        <v>0</v>
      </c>
      <c r="H21" s="34">
        <f>[1]見込!$M$23</f>
        <v>220.90719760479038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0</v>
      </c>
      <c r="F22" s="34">
        <f>[1]見込!$G$3</f>
        <v>30.45</v>
      </c>
      <c r="G22" s="9">
        <f>'Otemachi Daily'!F25</f>
        <v>0</v>
      </c>
      <c r="H22" s="34">
        <f>[1]見込!$M$23</f>
        <v>220.90719760479038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0</v>
      </c>
      <c r="F23" s="34">
        <f>[1]見込!$G$3</f>
        <v>30.45</v>
      </c>
      <c r="G23" s="9">
        <f>'Otemachi Daily'!F26</f>
        <v>0</v>
      </c>
      <c r="H23" s="34">
        <f>[1]見込!$M$23</f>
        <v>220.90719760479038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0</v>
      </c>
      <c r="F24" s="34">
        <f>[1]見込!$G$3</f>
        <v>30.45</v>
      </c>
      <c r="G24" s="9">
        <f>'Otemachi Daily'!F27</f>
        <v>0</v>
      </c>
      <c r="H24" s="34">
        <f>[1]見込!$M$23</f>
        <v>220.90719760479038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0</v>
      </c>
      <c r="F25" s="34">
        <f>[1]見込!$G$3</f>
        <v>30.45</v>
      </c>
      <c r="G25" s="9">
        <f>'Otemachi Daily'!F28</f>
        <v>0</v>
      </c>
      <c r="H25" s="34">
        <f>[1]見込!$M$23</f>
        <v>220.90719760479038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0</v>
      </c>
      <c r="F26" s="34">
        <f>[1]見込!$G$3</f>
        <v>30.45</v>
      </c>
      <c r="G26" s="9">
        <f>'Otemachi Daily'!F29</f>
        <v>0</v>
      </c>
      <c r="H26" s="34">
        <f>[1]見込!$M$23</f>
        <v>220.90719760479038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0</v>
      </c>
      <c r="F27" s="34">
        <f>[1]見込!$G$3</f>
        <v>30.45</v>
      </c>
      <c r="G27" s="9">
        <f>'Otemachi Daily'!F30</f>
        <v>0</v>
      </c>
      <c r="H27" s="34">
        <f>[1]見込!$M$23</f>
        <v>220.90719760479038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0</v>
      </c>
      <c r="F28" s="34">
        <f>[1]見込!$G$3</f>
        <v>30.45</v>
      </c>
      <c r="G28" s="9">
        <f>'Otemachi Daily'!F31</f>
        <v>0</v>
      </c>
      <c r="H28" s="34">
        <f>[1]見込!$M$23</f>
        <v>220.90719760479038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0</v>
      </c>
      <c r="F29" s="34">
        <f>[1]見込!$G$3</f>
        <v>30.45</v>
      </c>
      <c r="G29" s="9">
        <f>'Otemachi Daily'!F32</f>
        <v>0</v>
      </c>
      <c r="H29" s="34">
        <f>[1]見込!$M$23</f>
        <v>220.90719760479038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0</v>
      </c>
      <c r="F30" s="34">
        <f>[1]見込!$G$3</f>
        <v>30.45</v>
      </c>
      <c r="G30" s="9">
        <f>'Otemachi Daily'!F33</f>
        <v>0</v>
      </c>
      <c r="H30" s="34">
        <f>[1]見込!$M$23</f>
        <v>220.90719760479038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0</v>
      </c>
      <c r="F31" s="34">
        <f>[1]見込!$G$3</f>
        <v>30.45</v>
      </c>
      <c r="G31" s="9">
        <f>'Otemachi Daily'!F34</f>
        <v>0</v>
      </c>
      <c r="H31" s="34">
        <f>[1]見込!$M$23</f>
        <v>220.90719760479038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0</v>
      </c>
      <c r="F32" s="34">
        <f>[1]見込!$G$3</f>
        <v>30.45</v>
      </c>
      <c r="G32" s="9">
        <f>'Otemachi Daily'!F35</f>
        <v>0</v>
      </c>
      <c r="H32" s="34">
        <f>[1]見込!$M$23</f>
        <v>220.90719760479038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8"/>
      <c r="C5" s="35">
        <f>[1]コスト!$G$147</f>
        <v>17326</v>
      </c>
      <c r="D5" s="35">
        <f>C5</f>
        <v>17326</v>
      </c>
      <c r="E5" s="35">
        <f>[1]コスト!$G$23</f>
        <v>188.1</v>
      </c>
      <c r="F5" s="35">
        <f>E5</f>
        <v>188.1</v>
      </c>
      <c r="G5" s="35">
        <f>[1]コスト!$G$115</f>
        <v>39018.676800000001</v>
      </c>
      <c r="H5" s="35">
        <f>G5</f>
        <v>39018.676800000001</v>
      </c>
      <c r="I5" s="35">
        <f>[1]コスト!$G$91</f>
        <v>28.613399999999999</v>
      </c>
      <c r="J5" s="35">
        <f>I5</f>
        <v>28.613399999999999</v>
      </c>
      <c r="K5" s="35">
        <f>[1]コスト!$G$41</f>
        <v>156</v>
      </c>
      <c r="L5" s="35">
        <f>K5</f>
        <v>156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8"/>
      <c r="C6" s="35">
        <f>[1]コスト!$H$147</f>
        <v>16930</v>
      </c>
      <c r="D6" s="35">
        <f t="shared" ref="D6:F35" si="0">C6</f>
        <v>16930</v>
      </c>
      <c r="E6" s="35">
        <f>[1]コスト!$H$23</f>
        <v>179.3</v>
      </c>
      <c r="F6" s="35">
        <f t="shared" si="0"/>
        <v>179.3</v>
      </c>
      <c r="G6" s="35">
        <f>[1]コスト!$H$115</f>
        <v>41203.296000000002</v>
      </c>
      <c r="H6" s="35">
        <f t="shared" ref="H6" si="1">G6</f>
        <v>41203.296000000002</v>
      </c>
      <c r="I6" s="35">
        <f>[1]コスト!$H$91</f>
        <v>4.4447999999999999</v>
      </c>
      <c r="J6" s="35">
        <f t="shared" ref="J6" si="2">I6</f>
        <v>4.4447999999999999</v>
      </c>
      <c r="K6" s="35">
        <f>[1]コスト!$H$41</f>
        <v>155</v>
      </c>
      <c r="L6" s="35">
        <f t="shared" ref="L6" si="3">K6</f>
        <v>155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8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  <c r="P7" s="37"/>
      <c r="Q7" s="37"/>
    </row>
    <row r="8" spans="1:17" ht="45" customHeight="1">
      <c r="A8" s="28">
        <v>44777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44778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44779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44780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44781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44782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44783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44784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44785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44786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44787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44788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44789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44790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44791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44792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44793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44794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44795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44796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44797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44798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44799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44800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44801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44802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44803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44804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2022-08-03T02:01:45Z</dcterms:modified>
</cp:coreProperties>
</file>