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-225" windowWidth="14175" windowHeight="12060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<sst xmlns="http://schemas.openxmlformats.org/spreadsheetml/2006/main" count="668" uniqueCount="417">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</sst>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86452224"/>
        <c:axId val="186479744"/>
      </c:lineChart>
      <c:catAx>
        <c:axId val="18645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79744"/>
        <c:crosses val="autoZero"/>
        <c:auto val="1"/>
        <c:lblAlgn val="ctr"/>
        <c:lblOffset val="100"/>
      </c:catAx>
      <c:valAx>
        <c:axId val="18647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5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0225152"/>
        <c:axId val="180226688"/>
      </c:lineChart>
      <c:catAx>
        <c:axId val="18022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26688"/>
        <c:crosses val="autoZero"/>
        <c:auto val="1"/>
        <c:lblAlgn val="ctr"/>
        <c:lblOffset val="100"/>
      </c:catAx>
      <c:valAx>
        <c:axId val="18022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2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93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80243072"/>
        <c:axId val="180248960"/>
      </c:lineChart>
      <c:catAx>
        <c:axId val="18024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48960"/>
        <c:crosses val="autoZero"/>
        <c:auto val="1"/>
        <c:lblAlgn val="ctr"/>
        <c:lblOffset val="100"/>
      </c:catAx>
      <c:valAx>
        <c:axId val="180248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4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80273536"/>
        <c:axId val="180275072"/>
      </c:lineChart>
      <c:catAx>
        <c:axId val="18027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75072"/>
        <c:crosses val="autoZero"/>
        <c:auto val="1"/>
        <c:lblAlgn val="ctr"/>
        <c:lblOffset val="100"/>
      </c:catAx>
      <c:valAx>
        <c:axId val="180275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7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8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80356992"/>
        <c:axId val="180358528"/>
      </c:lineChart>
      <c:catAx>
        <c:axId val="18035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58528"/>
        <c:crosses val="autoZero"/>
        <c:auto val="1"/>
        <c:lblAlgn val="ctr"/>
        <c:lblOffset val="100"/>
      </c:catAx>
      <c:valAx>
        <c:axId val="1803585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35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2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81141504"/>
        <c:axId val="181143040"/>
      </c:lineChart>
      <c:catAx>
        <c:axId val="18114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43040"/>
        <c:crosses val="autoZero"/>
        <c:auto val="1"/>
        <c:lblAlgn val="ctr"/>
        <c:lblOffset val="100"/>
      </c:catAx>
      <c:valAx>
        <c:axId val="18114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4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81167616"/>
        <c:axId val="181169152"/>
      </c:lineChart>
      <c:catAx>
        <c:axId val="18116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69152"/>
        <c:crosses val="autoZero"/>
        <c:auto val="1"/>
        <c:lblAlgn val="ctr"/>
        <c:lblOffset val="100"/>
      </c:catAx>
      <c:valAx>
        <c:axId val="18116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6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81185536"/>
        <c:axId val="181195520"/>
      </c:lineChart>
      <c:catAx>
        <c:axId val="18118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95520"/>
        <c:crosses val="autoZero"/>
        <c:auto val="1"/>
        <c:lblAlgn val="ctr"/>
        <c:lblOffset val="100"/>
      </c:catAx>
      <c:valAx>
        <c:axId val="18119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8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81433088"/>
        <c:axId val="181434624"/>
      </c:lineChart>
      <c:catAx>
        <c:axId val="1814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34624"/>
        <c:crosses val="autoZero"/>
        <c:auto val="1"/>
        <c:lblAlgn val="ctr"/>
        <c:lblOffset val="100"/>
      </c:catAx>
      <c:valAx>
        <c:axId val="18143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755"/>
          <c:w val="0.1272403315177637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81455104"/>
        <c:axId val="181338112"/>
      </c:lineChart>
      <c:catAx>
        <c:axId val="18145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338112"/>
        <c:crosses val="autoZero"/>
        <c:auto val="1"/>
        <c:lblAlgn val="ctr"/>
        <c:lblOffset val="100"/>
      </c:catAx>
      <c:valAx>
        <c:axId val="18133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45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81506048"/>
        <c:axId val="181507584"/>
      </c:lineChart>
      <c:catAx>
        <c:axId val="18150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507584"/>
        <c:crosses val="autoZero"/>
        <c:auto val="1"/>
        <c:lblAlgn val="ctr"/>
        <c:lblOffset val="100"/>
      </c:catAx>
      <c:valAx>
        <c:axId val="181507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50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81032832"/>
        <c:axId val="181034368"/>
      </c:lineChart>
      <c:catAx>
        <c:axId val="1810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34368"/>
        <c:crosses val="autoZero"/>
        <c:auto val="1"/>
        <c:lblAlgn val="ctr"/>
        <c:lblOffset val="100"/>
      </c:catAx>
      <c:valAx>
        <c:axId val="18103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8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607</c:v>
                </c:pt>
                <c:pt idx="17">
                  <c:v>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80764672"/>
        <c:axId val="180766208"/>
      </c:lineChart>
      <c:catAx>
        <c:axId val="18076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66208"/>
        <c:crosses val="autoZero"/>
        <c:auto val="1"/>
        <c:lblAlgn val="ctr"/>
        <c:lblOffset val="100"/>
      </c:catAx>
      <c:valAx>
        <c:axId val="18076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6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755"/>
          <c:w val="0.135416885389378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0807168"/>
        <c:axId val="180808704"/>
      </c:lineChart>
      <c:catAx>
        <c:axId val="18080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08704"/>
        <c:crosses val="autoZero"/>
        <c:auto val="1"/>
        <c:lblAlgn val="ctr"/>
        <c:lblOffset val="100"/>
      </c:catAx>
      <c:valAx>
        <c:axId val="180808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0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7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82009216"/>
        <c:axId val="182023296"/>
      </c:lineChart>
      <c:catAx>
        <c:axId val="18200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23296"/>
        <c:crosses val="autoZero"/>
        <c:auto val="1"/>
        <c:lblAlgn val="ctr"/>
        <c:lblOffset val="100"/>
      </c:catAx>
      <c:valAx>
        <c:axId val="182023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0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2047872"/>
        <c:axId val="182049408"/>
      </c:lineChart>
      <c:catAx>
        <c:axId val="1820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49408"/>
        <c:crosses val="autoZero"/>
        <c:auto val="1"/>
        <c:lblAlgn val="ctr"/>
        <c:lblOffset val="100"/>
      </c:catAx>
      <c:valAx>
        <c:axId val="18204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755"/>
          <c:w val="0.135416885389378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2086272"/>
        <c:axId val="182100352"/>
      </c:lineChart>
      <c:catAx>
        <c:axId val="18208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00352"/>
        <c:crosses val="autoZero"/>
        <c:auto val="1"/>
        <c:lblAlgn val="ctr"/>
        <c:lblOffset val="100"/>
      </c:catAx>
      <c:valAx>
        <c:axId val="182100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08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5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2120832"/>
        <c:axId val="182122368"/>
      </c:lineChart>
      <c:catAx>
        <c:axId val="18212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2368"/>
        <c:crosses val="autoZero"/>
        <c:auto val="1"/>
        <c:lblAlgn val="ctr"/>
        <c:lblOffset val="100"/>
      </c:catAx>
      <c:valAx>
        <c:axId val="182122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2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2147328"/>
        <c:axId val="182153216"/>
      </c:lineChart>
      <c:catAx>
        <c:axId val="1821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53216"/>
        <c:crosses val="autoZero"/>
        <c:auto val="1"/>
        <c:lblAlgn val="ctr"/>
        <c:lblOffset val="100"/>
      </c:catAx>
      <c:valAx>
        <c:axId val="18215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2194176"/>
        <c:axId val="182195712"/>
      </c:lineChart>
      <c:catAx>
        <c:axId val="18219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95712"/>
        <c:crosses val="autoZero"/>
        <c:auto val="1"/>
        <c:lblAlgn val="ctr"/>
        <c:lblOffset val="100"/>
      </c:catAx>
      <c:valAx>
        <c:axId val="182195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9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2232576"/>
        <c:axId val="182234112"/>
      </c:lineChart>
      <c:catAx>
        <c:axId val="1822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34112"/>
        <c:crosses val="autoZero"/>
        <c:auto val="1"/>
        <c:lblAlgn val="ctr"/>
        <c:lblOffset val="100"/>
      </c:catAx>
      <c:valAx>
        <c:axId val="18223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2266880"/>
        <c:axId val="182272768"/>
      </c:lineChart>
      <c:catAx>
        <c:axId val="18226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72768"/>
        <c:crosses val="autoZero"/>
        <c:auto val="1"/>
        <c:lblAlgn val="ctr"/>
        <c:lblOffset val="100"/>
      </c:catAx>
      <c:valAx>
        <c:axId val="18227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26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5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2301440"/>
        <c:axId val="182302976"/>
      </c:lineChart>
      <c:catAx>
        <c:axId val="1823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02976"/>
        <c:crosses val="autoZero"/>
        <c:auto val="1"/>
        <c:lblAlgn val="ctr"/>
        <c:lblOffset val="100"/>
      </c:catAx>
      <c:valAx>
        <c:axId val="18230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7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2343936"/>
        <c:axId val="182345728"/>
      </c:lineChart>
      <c:catAx>
        <c:axId val="1823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45728"/>
        <c:crosses val="autoZero"/>
        <c:auto val="1"/>
        <c:lblAlgn val="ctr"/>
        <c:lblOffset val="100"/>
      </c:catAx>
      <c:valAx>
        <c:axId val="18234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886"/>
          <c:w val="0.1234311819809440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2391936"/>
        <c:axId val="182393472"/>
      </c:lineChart>
      <c:catAx>
        <c:axId val="1823919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93472"/>
        <c:crosses val="autoZero"/>
        <c:auto val="1"/>
        <c:lblAlgn val="ctr"/>
        <c:lblOffset val="100"/>
      </c:catAx>
      <c:valAx>
        <c:axId val="1823934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127"/>
          <c:w val="0.156903985328243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2417664"/>
        <c:axId val="182423552"/>
      </c:lineChart>
      <c:catAx>
        <c:axId val="18241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23552"/>
        <c:crosses val="autoZero"/>
        <c:auto val="1"/>
        <c:lblAlgn val="ctr"/>
        <c:lblOffset val="100"/>
      </c:catAx>
      <c:valAx>
        <c:axId val="182423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1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03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2493568"/>
        <c:axId val="182495104"/>
      </c:lineChart>
      <c:catAx>
        <c:axId val="18249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95104"/>
        <c:crosses val="autoZero"/>
        <c:auto val="1"/>
        <c:lblAlgn val="ctr"/>
        <c:lblOffset val="100"/>
      </c:catAx>
      <c:valAx>
        <c:axId val="18249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9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11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2869376"/>
        <c:axId val="182895744"/>
      </c:lineChart>
      <c:catAx>
        <c:axId val="1828693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895744"/>
        <c:crosses val="autoZero"/>
        <c:auto val="1"/>
        <c:lblAlgn val="ctr"/>
        <c:lblOffset val="100"/>
      </c:catAx>
      <c:valAx>
        <c:axId val="1828957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8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12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0.2540072019547378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0.3681306090961991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0.30769424740247009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0.13876283846437731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0.278504377712535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0.30563252908656163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0.29418192779960528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0.13992639609959967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0.25903320882510295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0.30086901166006164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0.29082987751688694</v>
      </c>
      <c r="G17" s="203">
        <f>-tanks!AW21</f>
        <v>607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4.6968202970426656E-2</v>
      </c>
      <c r="G18" s="203">
        <f>-tanks!AW22</f>
        <v>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0.79500000000000004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0.79500000000000004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0.79500000000000004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0.79500000000000004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0.79500000000000004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0.79500000000000004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0.79500000000000004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0.79500000000000004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3" activePane="bottomLeft" state="frozen"/>
      <selection activeCell="C1" sqref="C1"/>
      <selection pane="bottomLeft" activeCell="U20" sqref="U2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si="7"/>
        <v>0</v>
      </c>
      <c r="F22" s="573">
        <f t="shared" si="24"/>
        <v>4117705</v>
      </c>
      <c r="G22" s="449">
        <f t="shared" si="15"/>
        <v>0</v>
      </c>
      <c r="H22" s="426">
        <f t="shared" si="25"/>
        <v>18015854</v>
      </c>
      <c r="I22" s="449">
        <f t="shared" si="16"/>
        <v>0</v>
      </c>
      <c r="J22" s="426">
        <f t="shared" si="26"/>
        <v>29705082</v>
      </c>
      <c r="K22" s="449">
        <f t="shared" si="17"/>
        <v>0</v>
      </c>
      <c r="L22" s="426">
        <f t="shared" si="27"/>
        <v>24532082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18953.817999999999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191090</v>
      </c>
      <c r="E23" s="584">
        <f t="shared" si="7"/>
        <v>0</v>
      </c>
      <c r="F23" s="573">
        <f t="shared" si="24"/>
        <v>4117705</v>
      </c>
      <c r="G23" s="449">
        <f t="shared" si="15"/>
        <v>0</v>
      </c>
      <c r="H23" s="426">
        <f t="shared" si="25"/>
        <v>18015854</v>
      </c>
      <c r="I23" s="449">
        <f t="shared" si="16"/>
        <v>0</v>
      </c>
      <c r="J23" s="426">
        <f t="shared" si="26"/>
        <v>29705082</v>
      </c>
      <c r="K23" s="449">
        <f t="shared" si="17"/>
        <v>0</v>
      </c>
      <c r="L23" s="426">
        <f t="shared" si="27"/>
        <v>24532082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18953.817999999999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191090</v>
      </c>
      <c r="E24" s="584">
        <f t="shared" si="7"/>
        <v>0</v>
      </c>
      <c r="F24" s="573">
        <f t="shared" si="24"/>
        <v>4117705</v>
      </c>
      <c r="G24" s="449">
        <f t="shared" si="15"/>
        <v>0</v>
      </c>
      <c r="H24" s="426">
        <f t="shared" si="25"/>
        <v>18015854</v>
      </c>
      <c r="I24" s="613">
        <f t="shared" si="16"/>
        <v>0</v>
      </c>
      <c r="J24" s="426">
        <f t="shared" si="26"/>
        <v>29705082</v>
      </c>
      <c r="K24" s="449">
        <f t="shared" si="17"/>
        <v>0</v>
      </c>
      <c r="L24" s="426">
        <f t="shared" si="27"/>
        <v>24532082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18953.817999999999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191090</v>
      </c>
      <c r="E25" s="584">
        <f t="shared" si="7"/>
        <v>0</v>
      </c>
      <c r="F25" s="573">
        <f t="shared" si="24"/>
        <v>4117705</v>
      </c>
      <c r="G25" s="449">
        <f t="shared" si="15"/>
        <v>0</v>
      </c>
      <c r="H25" s="426">
        <f t="shared" si="25"/>
        <v>18015854</v>
      </c>
      <c r="I25" s="449">
        <f t="shared" si="16"/>
        <v>0</v>
      </c>
      <c r="J25" s="426">
        <f t="shared" si="26"/>
        <v>29705082</v>
      </c>
      <c r="K25" s="449">
        <f t="shared" si="17"/>
        <v>0</v>
      </c>
      <c r="L25" s="426">
        <f t="shared" si="27"/>
        <v>24532082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18953.817999999999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191090</v>
      </c>
      <c r="E26" s="584">
        <f t="shared" si="7"/>
        <v>0</v>
      </c>
      <c r="F26" s="573">
        <f t="shared" si="24"/>
        <v>4117705</v>
      </c>
      <c r="G26" s="449">
        <f t="shared" si="15"/>
        <v>0</v>
      </c>
      <c r="H26" s="426">
        <f t="shared" si="25"/>
        <v>18015854</v>
      </c>
      <c r="I26" s="449">
        <f t="shared" si="16"/>
        <v>0</v>
      </c>
      <c r="J26" s="426">
        <f t="shared" si="26"/>
        <v>29705082</v>
      </c>
      <c r="K26" s="449">
        <f t="shared" si="17"/>
        <v>0</v>
      </c>
      <c r="L26" s="426">
        <f t="shared" si="27"/>
        <v>24532082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18953.817999999999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191090</v>
      </c>
      <c r="E27" s="584">
        <f t="shared" si="7"/>
        <v>0</v>
      </c>
      <c r="F27" s="573">
        <f t="shared" si="24"/>
        <v>4117705</v>
      </c>
      <c r="G27" s="449">
        <f t="shared" si="15"/>
        <v>0</v>
      </c>
      <c r="H27" s="426">
        <f t="shared" si="25"/>
        <v>18015854</v>
      </c>
      <c r="I27" s="449">
        <f t="shared" si="16"/>
        <v>0</v>
      </c>
      <c r="J27" s="426">
        <f t="shared" si="26"/>
        <v>29705082</v>
      </c>
      <c r="K27" s="449">
        <f t="shared" si="17"/>
        <v>0</v>
      </c>
      <c r="L27" s="426">
        <f t="shared" si="27"/>
        <v>24532082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18953.817999999999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191090</v>
      </c>
      <c r="E28" s="584">
        <f t="shared" si="7"/>
        <v>0</v>
      </c>
      <c r="F28" s="573">
        <f t="shared" si="24"/>
        <v>4117705</v>
      </c>
      <c r="G28" s="449">
        <f>F28-F27</f>
        <v>0</v>
      </c>
      <c r="H28" s="426">
        <f t="shared" si="25"/>
        <v>18015854</v>
      </c>
      <c r="I28" s="449">
        <f t="shared" si="16"/>
        <v>0</v>
      </c>
      <c r="J28" s="426">
        <f t="shared" si="26"/>
        <v>29705082</v>
      </c>
      <c r="K28" s="449">
        <f t="shared" si="17"/>
        <v>0</v>
      </c>
      <c r="L28" s="426">
        <f t="shared" si="27"/>
        <v>24532082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18953.817999999999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191090</v>
      </c>
      <c r="E29" s="584">
        <f t="shared" si="7"/>
        <v>0</v>
      </c>
      <c r="F29" s="573">
        <f t="shared" si="24"/>
        <v>4117705</v>
      </c>
      <c r="G29" s="449">
        <f>F29-F28</f>
        <v>0</v>
      </c>
      <c r="H29" s="426">
        <f t="shared" si="25"/>
        <v>18015854</v>
      </c>
      <c r="I29" s="449">
        <f>H29-H28</f>
        <v>0</v>
      </c>
      <c r="J29" s="426">
        <f t="shared" si="26"/>
        <v>29705082</v>
      </c>
      <c r="K29" s="449">
        <f>J29-J28</f>
        <v>0</v>
      </c>
      <c r="L29" s="426">
        <f t="shared" si="27"/>
        <v>24532082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18953.817999999999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191090</v>
      </c>
      <c r="E30" s="584">
        <f t="shared" si="7"/>
        <v>0</v>
      </c>
      <c r="F30" s="573">
        <f t="shared" si="24"/>
        <v>4117705</v>
      </c>
      <c r="G30" s="449">
        <f t="shared" si="15"/>
        <v>0</v>
      </c>
      <c r="H30" s="426">
        <f t="shared" si="25"/>
        <v>18015854</v>
      </c>
      <c r="I30" s="449">
        <f t="shared" si="16"/>
        <v>0</v>
      </c>
      <c r="J30" s="426">
        <f t="shared" si="26"/>
        <v>29705082</v>
      </c>
      <c r="K30" s="449">
        <f t="shared" si="17"/>
        <v>0</v>
      </c>
      <c r="L30" s="426">
        <f t="shared" si="27"/>
        <v>24532082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18953.817999999999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191090</v>
      </c>
      <c r="E31" s="584">
        <f t="shared" si="7"/>
        <v>0</v>
      </c>
      <c r="F31" s="573">
        <f t="shared" si="24"/>
        <v>4117705</v>
      </c>
      <c r="G31" s="449">
        <f t="shared" si="15"/>
        <v>0</v>
      </c>
      <c r="H31" s="426">
        <f t="shared" si="25"/>
        <v>18015854</v>
      </c>
      <c r="I31" s="449">
        <f t="shared" si="16"/>
        <v>0</v>
      </c>
      <c r="J31" s="426">
        <f t="shared" si="26"/>
        <v>29705082</v>
      </c>
      <c r="K31" s="449">
        <f t="shared" si="17"/>
        <v>0</v>
      </c>
      <c r="L31" s="426">
        <f t="shared" si="27"/>
        <v>24532082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18953.817999999999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C21" sqref="AC2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181570</v>
      </c>
      <c r="R20" s="379">
        <f t="shared" si="44"/>
        <v>607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607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607</v>
      </c>
      <c r="AJ20" s="303">
        <f>-tanks!AW21</f>
        <v>607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32</v>
      </c>
      <c r="AJ21" s="303">
        <f>-tanks!AW22</f>
        <v>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1:P32" si="48">P21</f>
        <v>2167</v>
      </c>
      <c r="Q22" s="537">
        <f t="shared" ref="Q21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179</v>
      </c>
      <c r="C24" s="537">
        <f t="shared" si="41"/>
        <v>186</v>
      </c>
      <c r="D24" s="45">
        <f t="shared" si="47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f t="shared" si="48"/>
        <v>2167</v>
      </c>
      <c r="Q24" s="537">
        <f t="shared" si="49"/>
        <v>181602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179</v>
      </c>
      <c r="C25" s="537">
        <f t="shared" si="41"/>
        <v>186</v>
      </c>
      <c r="D25" s="45">
        <f t="shared" si="47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8"/>
        <v>2167</v>
      </c>
      <c r="Q25" s="537">
        <f t="shared" si="49"/>
        <v>181602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179</v>
      </c>
      <c r="C26" s="537">
        <f t="shared" si="41"/>
        <v>186</v>
      </c>
      <c r="D26" s="45">
        <f t="shared" si="47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2167</v>
      </c>
      <c r="Q26" s="537">
        <f t="shared" si="49"/>
        <v>181602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179</v>
      </c>
      <c r="C27" s="537">
        <f t="shared" si="41"/>
        <v>186</v>
      </c>
      <c r="D27" s="45">
        <f t="shared" si="47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8"/>
        <v>2167</v>
      </c>
      <c r="Q27" s="537">
        <f t="shared" si="49"/>
        <v>181602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179</v>
      </c>
      <c r="C28" s="537">
        <f t="shared" si="41"/>
        <v>186</v>
      </c>
      <c r="D28" s="45">
        <f t="shared" si="47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2167</v>
      </c>
      <c r="Q28" s="537">
        <f t="shared" si="49"/>
        <v>181602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179</v>
      </c>
      <c r="C29" s="537">
        <f t="shared" si="41"/>
        <v>186</v>
      </c>
      <c r="D29" s="45">
        <f t="shared" si="47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2167</v>
      </c>
      <c r="Q29" s="537">
        <f t="shared" si="49"/>
        <v>181602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179</v>
      </c>
      <c r="C30" s="537">
        <f t="shared" si="41"/>
        <v>186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2167</v>
      </c>
      <c r="Q30" s="537">
        <f t="shared" si="49"/>
        <v>181602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179</v>
      </c>
      <c r="C31" s="537">
        <f t="shared" si="41"/>
        <v>186</v>
      </c>
      <c r="D31" s="45">
        <f t="shared" si="47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2167</v>
      </c>
      <c r="Q31" s="537">
        <f t="shared" si="49"/>
        <v>181602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179</v>
      </c>
      <c r="C32" s="537">
        <f t="shared" si="41"/>
        <v>186</v>
      </c>
      <c r="D32" s="45">
        <f t="shared" si="47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2167</v>
      </c>
      <c r="Q32" s="537">
        <f t="shared" si="49"/>
        <v>181602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64</v>
      </c>
      <c r="V36" s="62">
        <f>SUM(V5:V35)</f>
        <v>4884</v>
      </c>
      <c r="AE36" s="71" t="s">
        <v>379</v>
      </c>
      <c r="AG36" s="329"/>
      <c r="AH36" s="62">
        <f>SUM(AH5:AH35)</f>
        <v>0</v>
      </c>
      <c r="AL36" s="62">
        <f>SUM(AL5:AL35)</f>
        <v>64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76.3125</v>
      </c>
      <c r="AH37" s="62">
        <f>AF37+AA37</f>
        <v>0</v>
      </c>
      <c r="AI37" s="306">
        <f>SUM(AI5:AI35)</f>
        <v>4884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4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8151559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627043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f t="shared" si="50"/>
        <v>150</v>
      </c>
      <c r="AU25" s="408">
        <f t="shared" si="42"/>
        <v>1.1000000000000001</v>
      </c>
      <c r="AV25" s="201">
        <f t="shared" si="43"/>
        <v>96</v>
      </c>
      <c r="AW25" s="5">
        <v>2.9</v>
      </c>
      <c r="AX25" s="201">
        <f t="shared" si="44"/>
        <v>98</v>
      </c>
      <c r="AY25" s="409">
        <f t="shared" si="36"/>
        <v>135</v>
      </c>
      <c r="AZ25" s="409">
        <f t="shared" si="37"/>
        <v>105.60000000000001</v>
      </c>
      <c r="BA25" s="409">
        <f t="shared" si="38"/>
        <v>284.2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627043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150</v>
      </c>
      <c r="AU26" s="408">
        <f t="shared" si="42"/>
        <v>1.1000000000000001</v>
      </c>
      <c r="AV26" s="201">
        <f t="shared" si="43"/>
        <v>96</v>
      </c>
      <c r="AW26" s="5">
        <v>2.9</v>
      </c>
      <c r="AX26" s="201">
        <f t="shared" si="44"/>
        <v>98</v>
      </c>
      <c r="AY26" s="409">
        <f t="shared" si="36"/>
        <v>135</v>
      </c>
      <c r="AZ26" s="409">
        <f t="shared" si="37"/>
        <v>105.60000000000001</v>
      </c>
      <c r="BA26" s="409">
        <f t="shared" si="38"/>
        <v>284.2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627043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150</v>
      </c>
      <c r="AU27" s="408">
        <f t="shared" si="42"/>
        <v>1.1000000000000001</v>
      </c>
      <c r="AV27" s="201">
        <f t="shared" si="43"/>
        <v>96</v>
      </c>
      <c r="AW27" s="5">
        <v>2.9</v>
      </c>
      <c r="AX27" s="201">
        <f t="shared" si="44"/>
        <v>98</v>
      </c>
      <c r="AY27" s="409">
        <f t="shared" si="36"/>
        <v>135</v>
      </c>
      <c r="AZ27" s="409">
        <f t="shared" si="37"/>
        <v>105.60000000000001</v>
      </c>
      <c r="BA27" s="409">
        <f t="shared" si="38"/>
        <v>284.2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627043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150</v>
      </c>
      <c r="AU28" s="408">
        <f t="shared" si="42"/>
        <v>1.1000000000000001</v>
      </c>
      <c r="AV28" s="201">
        <f t="shared" si="43"/>
        <v>96</v>
      </c>
      <c r="AW28" s="5">
        <v>2.9</v>
      </c>
      <c r="AX28" s="201">
        <f t="shared" si="44"/>
        <v>98</v>
      </c>
      <c r="AY28" s="409">
        <f t="shared" si="36"/>
        <v>135</v>
      </c>
      <c r="AZ28" s="409">
        <f t="shared" si="37"/>
        <v>105.60000000000001</v>
      </c>
      <c r="BA28" s="409">
        <f t="shared" si="38"/>
        <v>284.2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627043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150</v>
      </c>
      <c r="AU29" s="408">
        <f t="shared" si="42"/>
        <v>1.1000000000000001</v>
      </c>
      <c r="AV29" s="201">
        <f t="shared" si="43"/>
        <v>96</v>
      </c>
      <c r="AW29" s="5">
        <v>2.9</v>
      </c>
      <c r="AX29" s="201">
        <f t="shared" si="44"/>
        <v>98</v>
      </c>
      <c r="AY29" s="409">
        <f t="shared" si="36"/>
        <v>135</v>
      </c>
      <c r="AZ29" s="409">
        <f t="shared" si="37"/>
        <v>105.60000000000001</v>
      </c>
      <c r="BA29" s="409">
        <f t="shared" si="38"/>
        <v>284.2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627043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150</v>
      </c>
      <c r="AU30" s="408">
        <f t="shared" si="42"/>
        <v>1.1000000000000001</v>
      </c>
      <c r="AV30" s="201">
        <f t="shared" si="43"/>
        <v>96</v>
      </c>
      <c r="AW30" s="5">
        <v>2.9</v>
      </c>
      <c r="AX30" s="201">
        <f t="shared" si="44"/>
        <v>98</v>
      </c>
      <c r="AY30" s="409">
        <f t="shared" si="36"/>
        <v>135</v>
      </c>
      <c r="AZ30" s="409">
        <f t="shared" si="37"/>
        <v>105.60000000000001</v>
      </c>
      <c r="BA30" s="409">
        <f t="shared" si="38"/>
        <v>284.2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627043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150</v>
      </c>
      <c r="AU31" s="408">
        <f t="shared" si="42"/>
        <v>1.1000000000000001</v>
      </c>
      <c r="AV31" s="201">
        <f t="shared" si="43"/>
        <v>96</v>
      </c>
      <c r="AW31" s="5">
        <v>2.9</v>
      </c>
      <c r="AX31" s="201">
        <f t="shared" si="44"/>
        <v>98</v>
      </c>
      <c r="AY31" s="409">
        <f t="shared" si="36"/>
        <v>135</v>
      </c>
      <c r="AZ31" s="409">
        <f>AU31*AV31</f>
        <v>105.60000000000001</v>
      </c>
      <c r="BA31" s="409">
        <f t="shared" si="38"/>
        <v>284.2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627043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150</v>
      </c>
      <c r="AU32" s="408">
        <f t="shared" si="42"/>
        <v>1.1000000000000001</v>
      </c>
      <c r="AV32" s="201">
        <f t="shared" si="43"/>
        <v>96</v>
      </c>
      <c r="AW32" s="5">
        <v>2.9</v>
      </c>
      <c r="AX32" s="201">
        <f t="shared" si="44"/>
        <v>98</v>
      </c>
      <c r="AY32" s="409">
        <f t="shared" si="36"/>
        <v>135</v>
      </c>
      <c r="AZ32" s="409">
        <f t="shared" si="37"/>
        <v>105.60000000000001</v>
      </c>
      <c r="BA32" s="409">
        <f t="shared" si="38"/>
        <v>284.2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627043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150</v>
      </c>
      <c r="AU33" s="408">
        <f t="shared" si="42"/>
        <v>1.1000000000000001</v>
      </c>
      <c r="AV33" s="201">
        <f t="shared" si="43"/>
        <v>96</v>
      </c>
      <c r="AW33" s="5">
        <v>2.9</v>
      </c>
      <c r="AX33" s="201">
        <f t="shared" si="44"/>
        <v>98</v>
      </c>
      <c r="AY33" s="409">
        <f t="shared" si="36"/>
        <v>135</v>
      </c>
      <c r="AZ33" s="409">
        <f t="shared" si="37"/>
        <v>105.60000000000001</v>
      </c>
      <c r="BA33" s="409">
        <f t="shared" si="38"/>
        <v>284.2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179</v>
      </c>
      <c r="I37" s="395">
        <f>SUM(I6:I36)</f>
        <v>179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179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S19" sqref="S1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29"/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8"/>
        <v>13606</v>
      </c>
      <c r="S22" s="276">
        <f t="shared" si="4"/>
        <v>0</v>
      </c>
      <c r="T22" s="503">
        <f t="shared" si="18"/>
        <v>341012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29"/>
        <v>11476</v>
      </c>
      <c r="C23" s="276">
        <f t="shared" si="9"/>
        <v>0</v>
      </c>
      <c r="D23" s="503">
        <f t="shared" si="10"/>
        <v>632016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13606</v>
      </c>
      <c r="S23" s="276">
        <f>R23-R22</f>
        <v>0</v>
      </c>
      <c r="T23" s="503">
        <f t="shared" si="18"/>
        <v>341012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11476</v>
      </c>
      <c r="C24" s="276">
        <f t="shared" si="9"/>
        <v>0</v>
      </c>
      <c r="D24" s="503">
        <f t="shared" si="10"/>
        <v>632016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13606</v>
      </c>
      <c r="S24" s="276">
        <f t="shared" si="4"/>
        <v>0</v>
      </c>
      <c r="T24" s="503">
        <f t="shared" si="18"/>
        <v>341012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11476</v>
      </c>
      <c r="C25" s="276">
        <f t="shared" si="9"/>
        <v>0</v>
      </c>
      <c r="D25" s="503">
        <f t="shared" si="10"/>
        <v>632016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13606</v>
      </c>
      <c r="S25" s="276">
        <f t="shared" si="4"/>
        <v>0</v>
      </c>
      <c r="T25" s="503">
        <f t="shared" si="18"/>
        <v>341012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11476</v>
      </c>
      <c r="C26" s="276">
        <f>B26-B25</f>
        <v>0</v>
      </c>
      <c r="D26" s="503">
        <f t="shared" si="10"/>
        <v>632016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13606</v>
      </c>
      <c r="S26" s="276">
        <f>R26-R25</f>
        <v>0</v>
      </c>
      <c r="T26" s="503">
        <f t="shared" si="18"/>
        <v>341012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11476</v>
      </c>
      <c r="C27" s="276">
        <f>B27-B26</f>
        <v>0</v>
      </c>
      <c r="D27" s="503">
        <f t="shared" si="10"/>
        <v>632016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13606</v>
      </c>
      <c r="S27" s="276">
        <f t="shared" si="4"/>
        <v>0</v>
      </c>
      <c r="T27" s="503">
        <f t="shared" si="18"/>
        <v>341012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11476</v>
      </c>
      <c r="C28" s="276">
        <f t="shared" si="9"/>
        <v>0</v>
      </c>
      <c r="D28" s="503">
        <f t="shared" si="10"/>
        <v>632016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13606</v>
      </c>
      <c r="S28" s="276">
        <f t="shared" si="4"/>
        <v>0</v>
      </c>
      <c r="T28" s="503">
        <f t="shared" si="18"/>
        <v>341012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11476</v>
      </c>
      <c r="C29" s="276">
        <f t="shared" si="9"/>
        <v>0</v>
      </c>
      <c r="D29" s="503">
        <f t="shared" si="10"/>
        <v>632016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13606</v>
      </c>
      <c r="S29" s="276">
        <f t="shared" si="4"/>
        <v>0</v>
      </c>
      <c r="T29" s="503">
        <f>T28+U29</f>
        <v>341012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11476</v>
      </c>
      <c r="C30" s="276">
        <f t="shared" si="9"/>
        <v>0</v>
      </c>
      <c r="D30" s="503">
        <f t="shared" si="10"/>
        <v>632016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13606</v>
      </c>
      <c r="S30" s="276">
        <f t="shared" si="4"/>
        <v>0</v>
      </c>
      <c r="T30" s="503">
        <f t="shared" si="18"/>
        <v>341012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133</v>
      </c>
      <c r="V34" s="40"/>
      <c r="X34">
        <v>341</v>
      </c>
      <c r="Z34" s="404">
        <f>SUM(Z3:Z33)</f>
        <v>133</v>
      </c>
      <c r="AF34" s="387">
        <f>SUM(AE34/1600)</f>
        <v>0</v>
      </c>
      <c r="AL34">
        <f>SUM(AL3:AL33)</f>
        <v>12</v>
      </c>
    </row>
    <row r="35" spans="1:38">
      <c r="C35" s="40">
        <f>SUM(C3:C33)</f>
        <v>48</v>
      </c>
      <c r="K35" s="40">
        <f>SUM(K3:K33)</f>
        <v>0</v>
      </c>
      <c r="S35" s="40">
        <f>SUM(S3:S33)</f>
        <v>85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R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-607</v>
      </c>
      <c r="AX21" s="279">
        <f t="shared" si="17"/>
        <v>-1776.419354838712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-222.052419354839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-32</v>
      </c>
      <c r="AX22" s="279">
        <f t="shared" si="17"/>
        <v>-74.322580645151902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-8.2580645161279893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179</v>
      </c>
      <c r="C25" s="203">
        <f t="shared" si="18"/>
        <v>3851.3870967741937</v>
      </c>
      <c r="D25">
        <f t="shared" si="19"/>
        <v>179</v>
      </c>
      <c r="E25" s="203">
        <f t="shared" si="18"/>
        <v>3851.3870967741937</v>
      </c>
      <c r="F25">
        <f t="shared" si="20"/>
        <v>179</v>
      </c>
      <c r="G25" s="203">
        <f t="shared" si="1"/>
        <v>3851.3870967741937</v>
      </c>
      <c r="H25" s="203">
        <f t="shared" si="21"/>
        <v>179</v>
      </c>
      <c r="I25" s="203">
        <f t="shared" si="2"/>
        <v>3851.3870967741937</v>
      </c>
      <c r="J25" s="203">
        <f t="shared" si="22"/>
        <v>179</v>
      </c>
      <c r="K25" s="203">
        <f t="shared" si="3"/>
        <v>3851.3870967741937</v>
      </c>
      <c r="L25" s="203">
        <f t="shared" si="23"/>
        <v>179</v>
      </c>
      <c r="M25" s="203">
        <f t="shared" si="4"/>
        <v>3851.3870967741937</v>
      </c>
      <c r="N25" s="203">
        <f t="shared" si="24"/>
        <v>179</v>
      </c>
      <c r="O25" s="203">
        <f t="shared" si="5"/>
        <v>3851.3870967741937</v>
      </c>
      <c r="P25" s="203">
        <f t="shared" si="25"/>
        <v>179</v>
      </c>
      <c r="Q25" s="203">
        <f t="shared" si="6"/>
        <v>3851.3870967741937</v>
      </c>
      <c r="R25" s="203">
        <f t="shared" si="26"/>
        <v>179</v>
      </c>
      <c r="S25" s="203">
        <f t="shared" si="7"/>
        <v>3851.3870967741937</v>
      </c>
      <c r="T25" s="203">
        <f t="shared" si="27"/>
        <v>179</v>
      </c>
      <c r="U25" s="203">
        <f t="shared" si="8"/>
        <v>3851.3870967741937</v>
      </c>
      <c r="V25" s="203">
        <f t="shared" si="28"/>
        <v>179</v>
      </c>
      <c r="W25" s="203">
        <f t="shared" si="9"/>
        <v>3851.3870967741937</v>
      </c>
      <c r="X25" s="35">
        <f t="shared" si="10"/>
        <v>0.57741935483870976</v>
      </c>
      <c r="Y25" s="36">
        <f t="shared" si="29"/>
        <v>42365.258064516136</v>
      </c>
      <c r="Z25" s="203">
        <f>'B5'!C24</f>
        <v>186</v>
      </c>
      <c r="AA25" s="203">
        <f t="shared" si="30"/>
        <v>1860</v>
      </c>
      <c r="AB25" s="203">
        <f t="shared" si="31"/>
        <v>186</v>
      </c>
      <c r="AC25" s="203">
        <f t="shared" si="30"/>
        <v>1860</v>
      </c>
      <c r="AD25" s="203">
        <f t="shared" si="32"/>
        <v>186</v>
      </c>
      <c r="AE25" s="203">
        <f t="shared" si="11"/>
        <v>1860</v>
      </c>
      <c r="AF25" s="203">
        <f t="shared" si="33"/>
        <v>186</v>
      </c>
      <c r="AG25" s="203">
        <f t="shared" si="12"/>
        <v>1860</v>
      </c>
      <c r="AH25" s="203">
        <f t="shared" si="34"/>
        <v>186</v>
      </c>
      <c r="AI25" s="203">
        <f t="shared" si="13"/>
        <v>1860</v>
      </c>
      <c r="AJ25" s="203">
        <f t="shared" si="35"/>
        <v>186</v>
      </c>
      <c r="AK25" s="203">
        <f t="shared" si="14"/>
        <v>1860</v>
      </c>
      <c r="AL25" s="203">
        <f t="shared" si="36"/>
        <v>186</v>
      </c>
      <c r="AM25" s="203">
        <f t="shared" si="15"/>
        <v>1860</v>
      </c>
      <c r="AN25" s="35">
        <f t="shared" si="16"/>
        <v>0.66428571428571426</v>
      </c>
      <c r="AO25" s="36">
        <f t="shared" si="41"/>
        <v>13020</v>
      </c>
      <c r="AQ25" s="223">
        <f t="shared" si="37"/>
        <v>0.59573258109622607</v>
      </c>
      <c r="AR25" s="38">
        <f>Y25+AO25</f>
        <v>55385.258064516136</v>
      </c>
      <c r="AS25" s="197">
        <f t="shared" si="47"/>
        <v>0</v>
      </c>
      <c r="AT25" s="340"/>
      <c r="AU25" s="550"/>
      <c r="AV25" s="485">
        <f t="shared" si="43"/>
        <v>0.79500000000000004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179</v>
      </c>
      <c r="C26" s="203">
        <f t="shared" si="18"/>
        <v>3851.3870967741937</v>
      </c>
      <c r="D26">
        <f t="shared" si="19"/>
        <v>179</v>
      </c>
      <c r="E26" s="203">
        <f t="shared" si="18"/>
        <v>3851.3870967741937</v>
      </c>
      <c r="F26">
        <f t="shared" si="20"/>
        <v>179</v>
      </c>
      <c r="G26" s="203">
        <f t="shared" si="1"/>
        <v>3851.3870967741937</v>
      </c>
      <c r="H26" s="203">
        <f t="shared" si="21"/>
        <v>179</v>
      </c>
      <c r="I26" s="203">
        <f t="shared" si="2"/>
        <v>3851.3870967741937</v>
      </c>
      <c r="J26" s="203">
        <f t="shared" si="22"/>
        <v>179</v>
      </c>
      <c r="K26" s="203">
        <f t="shared" si="3"/>
        <v>3851.3870967741937</v>
      </c>
      <c r="L26" s="203">
        <f t="shared" si="23"/>
        <v>179</v>
      </c>
      <c r="M26" s="203">
        <f t="shared" si="4"/>
        <v>3851.3870967741937</v>
      </c>
      <c r="N26" s="203">
        <f t="shared" si="24"/>
        <v>179</v>
      </c>
      <c r="O26" s="203">
        <f t="shared" si="5"/>
        <v>3851.3870967741937</v>
      </c>
      <c r="P26" s="203">
        <f t="shared" si="25"/>
        <v>179</v>
      </c>
      <c r="Q26" s="203">
        <f t="shared" si="6"/>
        <v>3851.3870967741937</v>
      </c>
      <c r="R26" s="203">
        <f t="shared" si="26"/>
        <v>179</v>
      </c>
      <c r="S26" s="203">
        <f t="shared" si="7"/>
        <v>3851.3870967741937</v>
      </c>
      <c r="T26" s="203">
        <f t="shared" si="27"/>
        <v>179</v>
      </c>
      <c r="U26" s="203">
        <f t="shared" si="8"/>
        <v>3851.3870967741937</v>
      </c>
      <c r="V26" s="203">
        <f t="shared" si="28"/>
        <v>179</v>
      </c>
      <c r="W26" s="203">
        <f t="shared" si="9"/>
        <v>3851.3870967741937</v>
      </c>
      <c r="X26" s="35">
        <f t="shared" si="10"/>
        <v>0.57741935483870976</v>
      </c>
      <c r="Y26" s="36">
        <f t="shared" si="29"/>
        <v>42365.258064516136</v>
      </c>
      <c r="Z26" s="203">
        <f>'B5'!C25</f>
        <v>186</v>
      </c>
      <c r="AA26" s="203">
        <f t="shared" si="30"/>
        <v>1860</v>
      </c>
      <c r="AB26" s="203">
        <f t="shared" si="31"/>
        <v>186</v>
      </c>
      <c r="AC26" s="203">
        <f t="shared" si="30"/>
        <v>1860</v>
      </c>
      <c r="AD26" s="203">
        <f t="shared" si="32"/>
        <v>186</v>
      </c>
      <c r="AE26" s="203">
        <f t="shared" si="11"/>
        <v>1860</v>
      </c>
      <c r="AF26" s="203">
        <f t="shared" si="33"/>
        <v>186</v>
      </c>
      <c r="AG26" s="203">
        <f t="shared" si="12"/>
        <v>1860</v>
      </c>
      <c r="AH26" s="203">
        <f t="shared" si="34"/>
        <v>186</v>
      </c>
      <c r="AI26" s="203">
        <f t="shared" si="13"/>
        <v>1860</v>
      </c>
      <c r="AJ26" s="203">
        <f t="shared" si="35"/>
        <v>186</v>
      </c>
      <c r="AK26" s="203">
        <f t="shared" si="14"/>
        <v>1860</v>
      </c>
      <c r="AL26" s="203">
        <f t="shared" si="36"/>
        <v>186</v>
      </c>
      <c r="AM26" s="203">
        <f t="shared" si="15"/>
        <v>1860</v>
      </c>
      <c r="AN26" s="35">
        <f t="shared" si="16"/>
        <v>0.66428571428571426</v>
      </c>
      <c r="AO26" s="36">
        <f t="shared" si="41"/>
        <v>13020</v>
      </c>
      <c r="AQ26" s="223">
        <f t="shared" si="37"/>
        <v>0.59573258109622607</v>
      </c>
      <c r="AR26" s="38">
        <f t="shared" si="38"/>
        <v>55385.258064516136</v>
      </c>
      <c r="AS26" s="197">
        <f t="shared" si="47"/>
        <v>0</v>
      </c>
      <c r="AT26" s="340"/>
      <c r="AU26" s="549"/>
      <c r="AV26" s="485">
        <f t="shared" si="43"/>
        <v>0.79500000000000004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179</v>
      </c>
      <c r="C27" s="203">
        <f t="shared" si="18"/>
        <v>3851.3870967741937</v>
      </c>
      <c r="D27">
        <f t="shared" si="19"/>
        <v>179</v>
      </c>
      <c r="E27" s="203">
        <f t="shared" si="18"/>
        <v>3851.3870967741937</v>
      </c>
      <c r="F27">
        <f t="shared" si="20"/>
        <v>179</v>
      </c>
      <c r="G27" s="203">
        <f t="shared" si="1"/>
        <v>3851.3870967741937</v>
      </c>
      <c r="H27" s="203">
        <f t="shared" si="21"/>
        <v>179</v>
      </c>
      <c r="I27" s="203">
        <f t="shared" si="2"/>
        <v>3851.3870967741937</v>
      </c>
      <c r="J27" s="203">
        <f t="shared" si="22"/>
        <v>179</v>
      </c>
      <c r="K27" s="203">
        <f t="shared" si="3"/>
        <v>3851.3870967741937</v>
      </c>
      <c r="L27" s="203">
        <f t="shared" si="23"/>
        <v>179</v>
      </c>
      <c r="M27" s="203">
        <f t="shared" si="4"/>
        <v>3851.3870967741937</v>
      </c>
      <c r="N27" s="203">
        <f t="shared" si="24"/>
        <v>179</v>
      </c>
      <c r="O27" s="203">
        <f t="shared" si="5"/>
        <v>3851.3870967741937</v>
      </c>
      <c r="P27" s="203">
        <f t="shared" si="25"/>
        <v>179</v>
      </c>
      <c r="Q27" s="203">
        <f t="shared" si="6"/>
        <v>3851.3870967741937</v>
      </c>
      <c r="R27" s="203">
        <f t="shared" si="26"/>
        <v>179</v>
      </c>
      <c r="S27" s="203">
        <f t="shared" si="7"/>
        <v>3851.3870967741937</v>
      </c>
      <c r="T27" s="203">
        <f t="shared" si="27"/>
        <v>179</v>
      </c>
      <c r="U27" s="203">
        <f t="shared" si="8"/>
        <v>3851.3870967741937</v>
      </c>
      <c r="V27" s="203">
        <f t="shared" si="28"/>
        <v>179</v>
      </c>
      <c r="W27" s="203">
        <f t="shared" si="9"/>
        <v>3851.3870967741937</v>
      </c>
      <c r="X27" s="35">
        <f t="shared" si="10"/>
        <v>0.57741935483870976</v>
      </c>
      <c r="Y27" s="36">
        <f t="shared" si="29"/>
        <v>42365.258064516136</v>
      </c>
      <c r="Z27" s="203">
        <f>'B5'!C26</f>
        <v>186</v>
      </c>
      <c r="AA27" s="203">
        <f t="shared" si="30"/>
        <v>1860</v>
      </c>
      <c r="AB27" s="203">
        <f t="shared" si="31"/>
        <v>186</v>
      </c>
      <c r="AC27" s="203">
        <f t="shared" si="30"/>
        <v>1860</v>
      </c>
      <c r="AD27" s="203">
        <f t="shared" si="32"/>
        <v>186</v>
      </c>
      <c r="AE27" s="203">
        <f t="shared" si="11"/>
        <v>1860</v>
      </c>
      <c r="AF27" s="203">
        <f t="shared" si="33"/>
        <v>186</v>
      </c>
      <c r="AG27" s="203">
        <f t="shared" si="12"/>
        <v>1860</v>
      </c>
      <c r="AH27" s="203">
        <f t="shared" si="34"/>
        <v>186</v>
      </c>
      <c r="AI27" s="203">
        <f t="shared" si="13"/>
        <v>1860</v>
      </c>
      <c r="AJ27" s="203">
        <f t="shared" si="35"/>
        <v>186</v>
      </c>
      <c r="AK27" s="203">
        <f t="shared" si="14"/>
        <v>1860</v>
      </c>
      <c r="AL27" s="203">
        <f t="shared" si="36"/>
        <v>186</v>
      </c>
      <c r="AM27" s="203">
        <f t="shared" si="15"/>
        <v>1860</v>
      </c>
      <c r="AN27" s="35">
        <f t="shared" si="16"/>
        <v>0.66428571428571426</v>
      </c>
      <c r="AO27" s="36">
        <f t="shared" si="41"/>
        <v>13020</v>
      </c>
      <c r="AQ27" s="223">
        <f t="shared" si="37"/>
        <v>0.59573258109622607</v>
      </c>
      <c r="AR27" s="38">
        <f t="shared" si="38"/>
        <v>55385.258064516136</v>
      </c>
      <c r="AS27" s="197">
        <f t="shared" si="47"/>
        <v>0</v>
      </c>
      <c r="AT27" s="340"/>
      <c r="AU27" s="549"/>
      <c r="AV27" s="485">
        <f t="shared" si="43"/>
        <v>0.79500000000000004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179</v>
      </c>
      <c r="C28" s="203">
        <f t="shared" si="18"/>
        <v>3851.3870967741937</v>
      </c>
      <c r="D28">
        <f t="shared" si="19"/>
        <v>179</v>
      </c>
      <c r="E28" s="203">
        <f t="shared" si="18"/>
        <v>3851.3870967741937</v>
      </c>
      <c r="F28">
        <f t="shared" si="20"/>
        <v>179</v>
      </c>
      <c r="G28" s="203">
        <f t="shared" si="1"/>
        <v>3851.3870967741937</v>
      </c>
      <c r="H28" s="203">
        <f t="shared" si="21"/>
        <v>179</v>
      </c>
      <c r="I28" s="203">
        <f t="shared" si="2"/>
        <v>3851.3870967741937</v>
      </c>
      <c r="J28" s="203">
        <f t="shared" si="22"/>
        <v>179</v>
      </c>
      <c r="K28" s="203">
        <f t="shared" si="3"/>
        <v>3851.3870967741937</v>
      </c>
      <c r="L28" s="203">
        <f t="shared" si="23"/>
        <v>179</v>
      </c>
      <c r="M28" s="203">
        <f t="shared" si="4"/>
        <v>3851.3870967741937</v>
      </c>
      <c r="N28" s="203">
        <f t="shared" si="24"/>
        <v>179</v>
      </c>
      <c r="O28" s="203">
        <f t="shared" si="5"/>
        <v>3851.3870967741937</v>
      </c>
      <c r="P28" s="203">
        <f t="shared" si="25"/>
        <v>179</v>
      </c>
      <c r="Q28" s="203">
        <f t="shared" si="6"/>
        <v>3851.3870967741937</v>
      </c>
      <c r="R28" s="203">
        <f t="shared" si="26"/>
        <v>179</v>
      </c>
      <c r="S28" s="203">
        <f t="shared" si="7"/>
        <v>3851.3870967741937</v>
      </c>
      <c r="T28" s="203">
        <f t="shared" si="27"/>
        <v>179</v>
      </c>
      <c r="U28" s="203">
        <f t="shared" si="8"/>
        <v>3851.3870967741937</v>
      </c>
      <c r="V28" s="203">
        <f t="shared" si="28"/>
        <v>179</v>
      </c>
      <c r="W28" s="203">
        <f t="shared" si="9"/>
        <v>3851.3870967741937</v>
      </c>
      <c r="X28" s="35">
        <f t="shared" si="10"/>
        <v>0.57741935483870976</v>
      </c>
      <c r="Y28" s="36">
        <f t="shared" si="29"/>
        <v>42365.258064516136</v>
      </c>
      <c r="Z28" s="203">
        <f>'B5'!C27</f>
        <v>186</v>
      </c>
      <c r="AA28" s="203">
        <f t="shared" si="30"/>
        <v>1860</v>
      </c>
      <c r="AB28" s="203">
        <f t="shared" si="31"/>
        <v>186</v>
      </c>
      <c r="AC28" s="203">
        <f t="shared" si="30"/>
        <v>1860</v>
      </c>
      <c r="AD28" s="203">
        <f t="shared" si="32"/>
        <v>186</v>
      </c>
      <c r="AE28" s="203">
        <f t="shared" si="11"/>
        <v>1860</v>
      </c>
      <c r="AF28" s="203">
        <f t="shared" si="33"/>
        <v>186</v>
      </c>
      <c r="AG28" s="203">
        <f t="shared" si="12"/>
        <v>1860</v>
      </c>
      <c r="AH28" s="203">
        <f t="shared" si="34"/>
        <v>186</v>
      </c>
      <c r="AI28" s="203">
        <f t="shared" si="13"/>
        <v>1860</v>
      </c>
      <c r="AJ28" s="203">
        <f t="shared" si="35"/>
        <v>186</v>
      </c>
      <c r="AK28" s="203">
        <f t="shared" si="14"/>
        <v>1860</v>
      </c>
      <c r="AL28" s="203">
        <f t="shared" si="36"/>
        <v>186</v>
      </c>
      <c r="AM28" s="203">
        <f t="shared" si="15"/>
        <v>1860</v>
      </c>
      <c r="AN28" s="35">
        <f t="shared" si="16"/>
        <v>0.66428571428571426</v>
      </c>
      <c r="AO28" s="36">
        <f t="shared" si="41"/>
        <v>13020</v>
      </c>
      <c r="AQ28" s="223">
        <f t="shared" si="37"/>
        <v>0.59573258109622607</v>
      </c>
      <c r="AR28" s="38">
        <f t="shared" si="38"/>
        <v>55385.258064516136</v>
      </c>
      <c r="AS28" s="197">
        <f t="shared" si="47"/>
        <v>0</v>
      </c>
      <c r="AT28" s="340"/>
      <c r="AU28" s="550"/>
      <c r="AV28" s="485">
        <f t="shared" si="43"/>
        <v>0.79500000000000004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179</v>
      </c>
      <c r="C29" s="203">
        <f t="shared" si="18"/>
        <v>3851.3870967741937</v>
      </c>
      <c r="D29">
        <f t="shared" si="19"/>
        <v>179</v>
      </c>
      <c r="E29" s="203">
        <f t="shared" si="18"/>
        <v>3851.3870967741937</v>
      </c>
      <c r="F29">
        <f t="shared" si="20"/>
        <v>179</v>
      </c>
      <c r="G29" s="203">
        <f t="shared" si="1"/>
        <v>3851.3870967741937</v>
      </c>
      <c r="H29" s="203">
        <f t="shared" si="21"/>
        <v>179</v>
      </c>
      <c r="I29" s="203">
        <f t="shared" si="2"/>
        <v>3851.3870967741937</v>
      </c>
      <c r="J29" s="203">
        <f t="shared" si="22"/>
        <v>179</v>
      </c>
      <c r="K29" s="203">
        <f t="shared" si="3"/>
        <v>3851.3870967741937</v>
      </c>
      <c r="L29" s="203">
        <f t="shared" si="23"/>
        <v>179</v>
      </c>
      <c r="M29" s="203">
        <f t="shared" si="4"/>
        <v>3851.3870967741937</v>
      </c>
      <c r="N29" s="203">
        <f t="shared" si="24"/>
        <v>179</v>
      </c>
      <c r="O29" s="203">
        <f t="shared" si="5"/>
        <v>3851.3870967741937</v>
      </c>
      <c r="P29" s="203">
        <f t="shared" si="25"/>
        <v>179</v>
      </c>
      <c r="Q29" s="203">
        <f t="shared" si="6"/>
        <v>3851.3870967741937</v>
      </c>
      <c r="R29" s="203">
        <f t="shared" si="26"/>
        <v>179</v>
      </c>
      <c r="S29" s="203">
        <f t="shared" si="7"/>
        <v>3851.3870967741937</v>
      </c>
      <c r="T29" s="203">
        <f t="shared" si="27"/>
        <v>179</v>
      </c>
      <c r="U29" s="203">
        <f t="shared" si="8"/>
        <v>3851.3870967741937</v>
      </c>
      <c r="V29" s="203">
        <f t="shared" si="28"/>
        <v>179</v>
      </c>
      <c r="W29" s="203">
        <f t="shared" si="9"/>
        <v>3851.3870967741937</v>
      </c>
      <c r="X29" s="35">
        <f t="shared" si="10"/>
        <v>0.57741935483870976</v>
      </c>
      <c r="Y29" s="36">
        <f t="shared" si="29"/>
        <v>42365.258064516136</v>
      </c>
      <c r="Z29" s="203">
        <f>'B5'!C28</f>
        <v>186</v>
      </c>
      <c r="AA29" s="203">
        <f t="shared" si="30"/>
        <v>1860</v>
      </c>
      <c r="AB29" s="203">
        <f t="shared" si="31"/>
        <v>186</v>
      </c>
      <c r="AC29" s="203">
        <f t="shared" si="30"/>
        <v>1860</v>
      </c>
      <c r="AD29" s="203">
        <f t="shared" si="32"/>
        <v>186</v>
      </c>
      <c r="AE29" s="203">
        <f t="shared" si="11"/>
        <v>1860</v>
      </c>
      <c r="AF29" s="203">
        <f t="shared" si="33"/>
        <v>186</v>
      </c>
      <c r="AG29" s="203">
        <f t="shared" si="12"/>
        <v>1860</v>
      </c>
      <c r="AH29" s="203">
        <f t="shared" si="34"/>
        <v>186</v>
      </c>
      <c r="AI29" s="203">
        <f t="shared" si="13"/>
        <v>1860</v>
      </c>
      <c r="AJ29" s="203">
        <f t="shared" si="35"/>
        <v>186</v>
      </c>
      <c r="AK29" s="203">
        <f t="shared" si="14"/>
        <v>1860</v>
      </c>
      <c r="AL29" s="203">
        <f t="shared" si="36"/>
        <v>186</v>
      </c>
      <c r="AM29" s="203">
        <f t="shared" si="15"/>
        <v>1860</v>
      </c>
      <c r="AN29" s="35">
        <f t="shared" si="16"/>
        <v>0.66428571428571426</v>
      </c>
      <c r="AO29" s="36">
        <f t="shared" si="41"/>
        <v>13020</v>
      </c>
      <c r="AQ29" s="223">
        <f t="shared" si="37"/>
        <v>0.59573258109622607</v>
      </c>
      <c r="AR29" s="38">
        <f t="shared" si="38"/>
        <v>55385.258064516136</v>
      </c>
      <c r="AS29" s="197">
        <f>SUM(AR29-AR28-AT29)</f>
        <v>0</v>
      </c>
      <c r="AT29" s="340"/>
      <c r="AU29" s="550"/>
      <c r="AV29" s="485">
        <f t="shared" si="43"/>
        <v>0.79500000000000004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179</v>
      </c>
      <c r="C30" s="203">
        <f t="shared" si="18"/>
        <v>3851.3870967741937</v>
      </c>
      <c r="D30">
        <f>SUM(B30)</f>
        <v>179</v>
      </c>
      <c r="E30" s="203">
        <f t="shared" si="18"/>
        <v>3851.3870967741937</v>
      </c>
      <c r="F30">
        <f>SUM(D30)</f>
        <v>179</v>
      </c>
      <c r="G30" s="203">
        <f t="shared" si="1"/>
        <v>3851.3870967741937</v>
      </c>
      <c r="H30" s="203">
        <f>SUM(F30)</f>
        <v>179</v>
      </c>
      <c r="I30" s="203">
        <f t="shared" si="2"/>
        <v>3851.3870967741937</v>
      </c>
      <c r="J30" s="203">
        <f>SUM(H30)</f>
        <v>179</v>
      </c>
      <c r="K30" s="203">
        <f t="shared" si="3"/>
        <v>3851.3870967741937</v>
      </c>
      <c r="L30" s="203">
        <f>SUM(J30)</f>
        <v>179</v>
      </c>
      <c r="M30" s="203">
        <f t="shared" si="4"/>
        <v>3851.3870967741937</v>
      </c>
      <c r="N30" s="203">
        <f>SUM(L30)</f>
        <v>179</v>
      </c>
      <c r="O30" s="203">
        <f t="shared" si="5"/>
        <v>3851.3870967741937</v>
      </c>
      <c r="P30" s="203">
        <f>SUM(N30)</f>
        <v>179</v>
      </c>
      <c r="Q30" s="203">
        <f t="shared" si="6"/>
        <v>3851.3870967741937</v>
      </c>
      <c r="R30" s="203">
        <f>SUM(P30)</f>
        <v>179</v>
      </c>
      <c r="S30" s="203">
        <f t="shared" si="7"/>
        <v>3851.3870967741937</v>
      </c>
      <c r="T30" s="203">
        <f>SUM(R30)</f>
        <v>179</v>
      </c>
      <c r="U30" s="203">
        <f t="shared" si="8"/>
        <v>3851.3870967741937</v>
      </c>
      <c r="V30" s="203">
        <f>SUM(T30)</f>
        <v>179</v>
      </c>
      <c r="W30" s="203">
        <f t="shared" si="9"/>
        <v>3851.3870967741937</v>
      </c>
      <c r="X30" s="35">
        <f>SUM(Y30/73370)</f>
        <v>0.57741935483870976</v>
      </c>
      <c r="Y30" s="36">
        <f>SUM(C30+E30+G30+I30+K30+M30+O30+Q30+S30+U30+W30)</f>
        <v>42365.258064516136</v>
      </c>
      <c r="Z30" s="203">
        <f>'B5'!C29</f>
        <v>186</v>
      </c>
      <c r="AA30" s="203">
        <f t="shared" si="30"/>
        <v>1860</v>
      </c>
      <c r="AB30" s="203">
        <f>SUM(Z30)</f>
        <v>186</v>
      </c>
      <c r="AC30" s="203">
        <f t="shared" si="30"/>
        <v>1860</v>
      </c>
      <c r="AD30" s="203">
        <f>SUM(AB30)</f>
        <v>186</v>
      </c>
      <c r="AE30" s="203">
        <f t="shared" si="11"/>
        <v>1860</v>
      </c>
      <c r="AF30" s="203">
        <f>SUM(AD30)</f>
        <v>186</v>
      </c>
      <c r="AG30" s="203">
        <f t="shared" si="12"/>
        <v>1860</v>
      </c>
      <c r="AH30" s="203">
        <f>SUM(AF30)</f>
        <v>186</v>
      </c>
      <c r="AI30" s="203">
        <f t="shared" si="13"/>
        <v>1860</v>
      </c>
      <c r="AJ30" s="203">
        <f>SUM(AH30)</f>
        <v>186</v>
      </c>
      <c r="AK30" s="203">
        <f t="shared" si="14"/>
        <v>1860</v>
      </c>
      <c r="AL30" s="203">
        <f>SUM(AJ30)</f>
        <v>186</v>
      </c>
      <c r="AM30" s="203">
        <f t="shared" si="15"/>
        <v>1860</v>
      </c>
      <c r="AN30" s="35">
        <f>SUM(AO30/19600)</f>
        <v>0.66428571428571426</v>
      </c>
      <c r="AO30" s="36">
        <f>SUM(AA30+AC30+AE30+AG30+AI30+AK30+AM30)</f>
        <v>13020</v>
      </c>
      <c r="AQ30" s="223">
        <f t="shared" si="37"/>
        <v>0.59573258109622607</v>
      </c>
      <c r="AR30" s="38">
        <f t="shared" si="38"/>
        <v>55385.258064516136</v>
      </c>
      <c r="AS30" s="197">
        <f>SUM(AR30-AR29-AT30)</f>
        <v>0</v>
      </c>
      <c r="AT30" s="340"/>
      <c r="AU30" s="550"/>
      <c r="AV30" s="485">
        <f t="shared" si="43"/>
        <v>0.79500000000000004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179</v>
      </c>
      <c r="C31" s="203">
        <f t="shared" si="18"/>
        <v>3851.3870967741937</v>
      </c>
      <c r="D31">
        <f>SUM(B31)</f>
        <v>179</v>
      </c>
      <c r="E31" s="203">
        <f t="shared" si="18"/>
        <v>3851.3870967741937</v>
      </c>
      <c r="F31">
        <f>SUM(D31)</f>
        <v>179</v>
      </c>
      <c r="G31" s="203">
        <f t="shared" si="1"/>
        <v>3851.3870967741937</v>
      </c>
      <c r="H31" s="203">
        <f>SUM(F31)</f>
        <v>179</v>
      </c>
      <c r="I31" s="203">
        <f t="shared" si="2"/>
        <v>3851.3870967741937</v>
      </c>
      <c r="J31" s="203">
        <f>SUM(H31)</f>
        <v>179</v>
      </c>
      <c r="K31" s="203">
        <f t="shared" si="3"/>
        <v>3851.3870967741937</v>
      </c>
      <c r="L31" s="203">
        <f>SUM(J31)</f>
        <v>179</v>
      </c>
      <c r="M31" s="203">
        <f t="shared" si="4"/>
        <v>3851.3870967741937</v>
      </c>
      <c r="N31" s="203">
        <f>SUM(L31)</f>
        <v>179</v>
      </c>
      <c r="O31" s="203">
        <f t="shared" si="5"/>
        <v>3851.3870967741937</v>
      </c>
      <c r="P31" s="203">
        <f>SUM(N31)</f>
        <v>179</v>
      </c>
      <c r="Q31" s="203">
        <f t="shared" si="6"/>
        <v>3851.3870967741937</v>
      </c>
      <c r="R31" s="203">
        <f>SUM(P31)</f>
        <v>179</v>
      </c>
      <c r="S31" s="203">
        <f t="shared" si="7"/>
        <v>3851.3870967741937</v>
      </c>
      <c r="T31" s="203">
        <f>SUM(R31)</f>
        <v>179</v>
      </c>
      <c r="U31" s="203">
        <f t="shared" si="8"/>
        <v>3851.3870967741937</v>
      </c>
      <c r="V31" s="203">
        <f>SUM(T31)</f>
        <v>179</v>
      </c>
      <c r="W31" s="203">
        <f t="shared" si="9"/>
        <v>3851.3870967741937</v>
      </c>
      <c r="X31" s="35">
        <f>SUM(Y31/73370)</f>
        <v>0.57741935483870976</v>
      </c>
      <c r="Y31" s="36">
        <f>SUM(C31+E31+G31+I31+K31+M31+O31+Q31+S31+U31+W31)</f>
        <v>42365.258064516136</v>
      </c>
      <c r="Z31" s="203">
        <f>'B5'!C30</f>
        <v>186</v>
      </c>
      <c r="AA31" s="203">
        <f t="shared" si="30"/>
        <v>1860</v>
      </c>
      <c r="AB31" s="203">
        <f>SUM(Z31)</f>
        <v>186</v>
      </c>
      <c r="AC31" s="203">
        <f t="shared" si="30"/>
        <v>1860</v>
      </c>
      <c r="AD31" s="203">
        <f>SUM(AB31)</f>
        <v>186</v>
      </c>
      <c r="AE31" s="203">
        <f t="shared" si="11"/>
        <v>1860</v>
      </c>
      <c r="AF31" s="203">
        <f>SUM(AD31)</f>
        <v>186</v>
      </c>
      <c r="AG31" s="203">
        <f t="shared" si="12"/>
        <v>1860</v>
      </c>
      <c r="AH31" s="203">
        <f>SUM(AF31)</f>
        <v>186</v>
      </c>
      <c r="AI31" s="203">
        <f t="shared" si="13"/>
        <v>1860</v>
      </c>
      <c r="AJ31" s="203">
        <f>SUM(AH31)</f>
        <v>186</v>
      </c>
      <c r="AK31" s="203">
        <f t="shared" si="14"/>
        <v>1860</v>
      </c>
      <c r="AL31" s="203">
        <f>SUM(AJ31)</f>
        <v>186</v>
      </c>
      <c r="AM31" s="203">
        <f t="shared" si="15"/>
        <v>1860</v>
      </c>
      <c r="AN31" s="35">
        <f>SUM(AO31/19600)</f>
        <v>0.66428571428571426</v>
      </c>
      <c r="AO31" s="36">
        <f>SUM(AA31+AC31+AE31+AG31+AI31+AK31+AM31)</f>
        <v>13020</v>
      </c>
      <c r="AQ31" s="223">
        <f t="shared" si="37"/>
        <v>0.59573258109622607</v>
      </c>
      <c r="AR31" s="38">
        <f t="shared" si="38"/>
        <v>55385.258064516136</v>
      </c>
      <c r="AS31" s="197">
        <f t="shared" si="47"/>
        <v>0</v>
      </c>
      <c r="AT31" s="340"/>
      <c r="AU31" s="575"/>
      <c r="AV31" s="485">
        <f t="shared" si="43"/>
        <v>0.79500000000000004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179</v>
      </c>
      <c r="C32" s="203">
        <f t="shared" si="18"/>
        <v>3851.3870967741937</v>
      </c>
      <c r="D32">
        <f>SUM(B32)</f>
        <v>179</v>
      </c>
      <c r="E32" s="203">
        <f t="shared" si="18"/>
        <v>3851.3870967741937</v>
      </c>
      <c r="F32">
        <f>SUM(D32)</f>
        <v>179</v>
      </c>
      <c r="G32" s="203">
        <f t="shared" si="1"/>
        <v>3851.3870967741937</v>
      </c>
      <c r="H32" s="203">
        <f>SUM(F32)</f>
        <v>179</v>
      </c>
      <c r="I32" s="203">
        <f t="shared" si="2"/>
        <v>3851.3870967741937</v>
      </c>
      <c r="J32" s="203">
        <f>SUM(H32)</f>
        <v>179</v>
      </c>
      <c r="K32" s="203">
        <f t="shared" si="3"/>
        <v>3851.3870967741937</v>
      </c>
      <c r="L32" s="203">
        <f>SUM(J32)</f>
        <v>179</v>
      </c>
      <c r="M32" s="203">
        <f t="shared" si="4"/>
        <v>3851.3870967741937</v>
      </c>
      <c r="N32" s="203">
        <f>SUM(L32)</f>
        <v>179</v>
      </c>
      <c r="O32" s="203">
        <f t="shared" si="5"/>
        <v>3851.3870967741937</v>
      </c>
      <c r="P32" s="203">
        <f>SUM(N32)</f>
        <v>179</v>
      </c>
      <c r="Q32" s="203">
        <f t="shared" si="6"/>
        <v>3851.3870967741937</v>
      </c>
      <c r="R32" s="203">
        <f>SUM(P32)</f>
        <v>179</v>
      </c>
      <c r="S32" s="203">
        <f t="shared" si="7"/>
        <v>3851.3870967741937</v>
      </c>
      <c r="T32" s="203">
        <f>SUM(R32)</f>
        <v>179</v>
      </c>
      <c r="U32" s="203">
        <f t="shared" si="8"/>
        <v>3851.3870967741937</v>
      </c>
      <c r="V32" s="203">
        <f>SUM(T32)</f>
        <v>179</v>
      </c>
      <c r="W32" s="203">
        <f t="shared" si="9"/>
        <v>3851.3870967741937</v>
      </c>
      <c r="X32" s="35">
        <f>SUM(Y32/73370)</f>
        <v>0.57741935483870976</v>
      </c>
      <c r="Y32" s="36">
        <f>SUM(C32+E32+G32+I32+K32+M32+O32+Q32+S32+U32+W32)</f>
        <v>42365.258064516136</v>
      </c>
      <c r="Z32" s="203">
        <f>'B5'!C31</f>
        <v>186</v>
      </c>
      <c r="AA32" s="203">
        <f t="shared" si="30"/>
        <v>1860</v>
      </c>
      <c r="AB32" s="203">
        <f>SUM(Z32)</f>
        <v>186</v>
      </c>
      <c r="AC32" s="203">
        <f t="shared" si="30"/>
        <v>1860</v>
      </c>
      <c r="AD32" s="203">
        <f>SUM(AB32)</f>
        <v>186</v>
      </c>
      <c r="AE32" s="203">
        <f t="shared" si="11"/>
        <v>1860</v>
      </c>
      <c r="AF32" s="203">
        <f>SUM(AD32)</f>
        <v>186</v>
      </c>
      <c r="AG32" s="203">
        <f t="shared" si="12"/>
        <v>1860</v>
      </c>
      <c r="AH32" s="203">
        <f>SUM(AF32)</f>
        <v>186</v>
      </c>
      <c r="AI32" s="203">
        <f t="shared" si="13"/>
        <v>1860</v>
      </c>
      <c r="AJ32" s="203">
        <f>SUM(AH32)</f>
        <v>186</v>
      </c>
      <c r="AK32" s="203">
        <f t="shared" si="14"/>
        <v>1860</v>
      </c>
      <c r="AL32" s="203">
        <f>SUM(AJ32)</f>
        <v>186</v>
      </c>
      <c r="AM32" s="203">
        <f t="shared" si="15"/>
        <v>1860</v>
      </c>
      <c r="AN32" s="35">
        <f>SUM(AO32/19600)</f>
        <v>0.66428571428571426</v>
      </c>
      <c r="AO32" s="36">
        <f>SUM(AA32+AC32+AE32+AG32+AI32+AK32+AM32)</f>
        <v>13020</v>
      </c>
      <c r="AQ32" s="223">
        <f t="shared" si="37"/>
        <v>0.59573258109622607</v>
      </c>
      <c r="AR32" s="38">
        <f t="shared" si="38"/>
        <v>55385.258064516136</v>
      </c>
      <c r="AS32" s="197">
        <f t="shared" si="47"/>
        <v>0</v>
      </c>
      <c r="AT32" s="340"/>
      <c r="AU32" s="549"/>
      <c r="AV32" s="485">
        <f>IF(AT32&gt;0,AU32,AV31)</f>
        <v>0.79500000000000004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179</v>
      </c>
      <c r="C33" s="203">
        <f t="shared" si="18"/>
        <v>3851.3870967741937</v>
      </c>
      <c r="D33">
        <f>SUM(B33)</f>
        <v>179</v>
      </c>
      <c r="E33" s="203">
        <f t="shared" si="18"/>
        <v>3851.3870967741937</v>
      </c>
      <c r="F33">
        <f>SUM(D33)</f>
        <v>179</v>
      </c>
      <c r="G33" s="203">
        <f t="shared" si="1"/>
        <v>3851.3870967741937</v>
      </c>
      <c r="H33" s="203">
        <f>SUM(F33)</f>
        <v>179</v>
      </c>
      <c r="I33" s="203">
        <f t="shared" si="2"/>
        <v>3851.3870967741937</v>
      </c>
      <c r="J33" s="203">
        <f>SUM(H33)</f>
        <v>179</v>
      </c>
      <c r="K33" s="203">
        <f t="shared" si="3"/>
        <v>3851.3870967741937</v>
      </c>
      <c r="L33" s="203">
        <f>SUM(J33)</f>
        <v>179</v>
      </c>
      <c r="M33" s="203">
        <f t="shared" si="4"/>
        <v>3851.3870967741937</v>
      </c>
      <c r="N33" s="203">
        <f>SUM(L33)</f>
        <v>179</v>
      </c>
      <c r="O33" s="203">
        <f t="shared" si="5"/>
        <v>3851.3870967741937</v>
      </c>
      <c r="P33" s="203">
        <f>SUM(N33)</f>
        <v>179</v>
      </c>
      <c r="Q33" s="203">
        <f t="shared" si="6"/>
        <v>3851.3870967741937</v>
      </c>
      <c r="R33" s="203">
        <f>SUM(P33)</f>
        <v>179</v>
      </c>
      <c r="S33" s="203">
        <f t="shared" si="7"/>
        <v>3851.3870967741937</v>
      </c>
      <c r="T33" s="203">
        <f>SUM(R33)</f>
        <v>179</v>
      </c>
      <c r="U33" s="203">
        <f t="shared" si="8"/>
        <v>3851.3870967741937</v>
      </c>
      <c r="V33" s="203">
        <f>SUM(T33)</f>
        <v>179</v>
      </c>
      <c r="W33" s="203">
        <f t="shared" si="9"/>
        <v>3851.3870967741937</v>
      </c>
      <c r="X33" s="35">
        <f>SUM(Y33/73370)</f>
        <v>0.57741935483870976</v>
      </c>
      <c r="Y33" s="36">
        <f>SUM(C33+E33+G33+I33+K33+M33+O33+Q33+S33+U33+W33)</f>
        <v>42365.258064516136</v>
      </c>
      <c r="Z33" s="203">
        <f>'B5'!C32</f>
        <v>186</v>
      </c>
      <c r="AA33" s="203">
        <f t="shared" si="30"/>
        <v>1860</v>
      </c>
      <c r="AB33" s="203">
        <f>SUM(Z33)</f>
        <v>186</v>
      </c>
      <c r="AC33" s="203">
        <f t="shared" si="30"/>
        <v>1860</v>
      </c>
      <c r="AD33" s="203">
        <f>SUM(AB33)</f>
        <v>186</v>
      </c>
      <c r="AE33" s="203">
        <f t="shared" si="11"/>
        <v>1860</v>
      </c>
      <c r="AF33" s="203">
        <f>SUM(AD33)</f>
        <v>186</v>
      </c>
      <c r="AG33" s="203">
        <f t="shared" si="12"/>
        <v>1860</v>
      </c>
      <c r="AH33" s="203">
        <f>SUM(AF33)</f>
        <v>186</v>
      </c>
      <c r="AI33" s="203">
        <f t="shared" si="13"/>
        <v>1860</v>
      </c>
      <c r="AJ33" s="203">
        <f>SUM(AH33)</f>
        <v>186</v>
      </c>
      <c r="AK33" s="203">
        <f t="shared" si="14"/>
        <v>1860</v>
      </c>
      <c r="AL33" s="203">
        <f>SUM(AJ33)</f>
        <v>186</v>
      </c>
      <c r="AM33" s="203">
        <f t="shared" si="15"/>
        <v>1860</v>
      </c>
      <c r="AN33" s="35">
        <f>SUM(AO33/19600)</f>
        <v>0.66428571428571426</v>
      </c>
      <c r="AO33" s="36">
        <f>SUM(AA33+AC33+AE33+AG33+AI33+AK33+AM33)</f>
        <v>13020</v>
      </c>
      <c r="AQ33" s="223">
        <f t="shared" si="37"/>
        <v>0.59573258109622607</v>
      </c>
      <c r="AR33" s="38">
        <f t="shared" si="38"/>
        <v>55385.258064516136</v>
      </c>
      <c r="AS33" s="197">
        <f>SUM(AR33-AR32-AT33)</f>
        <v>0</v>
      </c>
      <c r="AT33" s="340"/>
      <c r="AU33" s="549"/>
      <c r="AV33" s="485">
        <f>IF(AT33&gt;0,AU33,AV32)</f>
        <v>0.79500000000000004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29415</v>
      </c>
      <c r="AU37" s="545">
        <f>SUM(AU6:AU36)/AS37</f>
        <v>0.76400000000000001</v>
      </c>
      <c r="AX37" s="203">
        <f>SUM(AX6:AX36)</f>
        <v>-19317.483870967728</v>
      </c>
      <c r="AY37" s="203">
        <f>SUM(AY6:AY36)</f>
        <v>-24201.483870967728</v>
      </c>
    </row>
    <row r="38" spans="1:63">
      <c r="AS38" s="206"/>
      <c r="AT38" s="82">
        <f>+AT37*AU37</f>
        <v>22473.06</v>
      </c>
    </row>
    <row r="40" spans="1:63">
      <c r="AS40" s="165">
        <f>SUM(AS6:AS36)/'EDl log'!A35</f>
        <v>-3457.3548387096753</v>
      </c>
      <c r="AT40" s="203"/>
    </row>
    <row r="41" spans="1:63">
      <c r="AX41">
        <v>43309</v>
      </c>
    </row>
    <row r="42" spans="1:63">
      <c r="AR42" s="203">
        <f>AR33-22000</f>
        <v>33385.258064516136</v>
      </c>
      <c r="AU42" s="203"/>
      <c r="AX42">
        <f>AX37/AX41</f>
        <v>-0.44603855713518503</v>
      </c>
    </row>
    <row r="43" spans="1:63">
      <c r="AR43">
        <f>AR42/5500</f>
        <v>6.0700469208211159</v>
      </c>
    </row>
    <row r="44" spans="1:63">
      <c r="AR44">
        <f>AR43*2</f>
        <v>12.140093841642232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19" sqref="K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1738.1739354838633</v>
      </c>
      <c r="R4" s="285">
        <f>SUM(P4:Q4)</f>
        <v>1962.6628480638205</v>
      </c>
      <c r="S4" s="287">
        <f>SUM(ELEC!N4)</f>
        <v>7726.7999999998137</v>
      </c>
      <c r="T4" s="321">
        <f>IF(S4&gt;0,R4/S4,0)</f>
        <v>0.2540072019547378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1490.1203870967704</v>
      </c>
      <c r="R5" s="285">
        <f t="shared" ref="R5:R30" si="10">SUM(P5:Q5)</f>
        <v>1677.9393162604756</v>
      </c>
      <c r="S5" s="287">
        <f>SUM(ELEC!N5)</f>
        <v>4558</v>
      </c>
      <c r="T5" s="321">
        <f>IF(S5&gt;0,R5/S5,0)</f>
        <v>0.3681306090961991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1574.160387096776</v>
      </c>
      <c r="R6" s="285">
        <f t="shared" si="10"/>
        <v>1745.5494655142127</v>
      </c>
      <c r="S6" s="287">
        <f>SUM(ELEC!N6)</f>
        <v>5673</v>
      </c>
      <c r="T6" s="321">
        <f t="shared" ref="T6:T30" si="16">IF(S6&gt;0,R6/S6,0)</f>
        <v>0.30769424740247009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821.64503225807118</v>
      </c>
      <c r="R9" s="285">
        <f>SUM(P9:Q9)</f>
        <v>1004.6984556174647</v>
      </c>
      <c r="S9" s="287">
        <f>SUM(ELEC!N9)</f>
        <v>7240.3999999999069</v>
      </c>
      <c r="T9" s="321">
        <f t="shared" si="16"/>
        <v>0.13876283846437731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1385.896</v>
      </c>
      <c r="R10" s="285">
        <f t="shared" si="10"/>
        <v>1557.2850784174366</v>
      </c>
      <c r="S10" s="287">
        <f>SUM(ELEC!N10)</f>
        <v>5591.6000000000931</v>
      </c>
      <c r="T10" s="321">
        <f t="shared" si="16"/>
        <v>0.278504377712535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1233.9092903225737</v>
      </c>
      <c r="R12" s="285">
        <f t="shared" si="10"/>
        <v>1405.2983687400103</v>
      </c>
      <c r="S12" s="287">
        <f>SUM(ELEC!N12)</f>
        <v>4598</v>
      </c>
      <c r="T12" s="321">
        <f t="shared" si="16"/>
        <v>0.30563252908656163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1542.0723870967872</v>
      </c>
      <c r="R13" s="285">
        <f t="shared" si="10"/>
        <v>1756.2661089636435</v>
      </c>
      <c r="S13" s="287">
        <f>SUM(ELEC!N13)</f>
        <v>5970</v>
      </c>
      <c r="T13" s="321">
        <f>IF(S13&gt;0,R13/S13,0)</f>
        <v>0.29418192779960528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764.29574193547523</v>
      </c>
      <c r="R16" s="285">
        <f>SUM(P16:Q16)</f>
        <v>968.99029298972778</v>
      </c>
      <c r="S16" s="287">
        <f>SUM(ELEC!N16)</f>
        <v>6925</v>
      </c>
      <c r="T16" s="321">
        <f>IF(S16&gt;0,R16/S16,0)</f>
        <v>0.13992639609959967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1387.9908387096832</v>
      </c>
      <c r="R17" s="285">
        <f>SUM(P17:Q17)</f>
        <v>1559.3799171271198</v>
      </c>
      <c r="S17" s="287">
        <f>SUM(ELEC!N17)</f>
        <v>6020</v>
      </c>
      <c r="T17" s="321">
        <f>IF(S17&gt;0,R17/S17,0)</f>
        <v>0.25903320882510295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1406.3268387096721</v>
      </c>
      <c r="R18" s="285">
        <f t="shared" si="10"/>
        <v>1587.3849055184851</v>
      </c>
      <c r="S18" s="287">
        <f>SUM(ELEC!N18)</f>
        <v>5276</v>
      </c>
      <c r="T18" s="321">
        <f t="shared" si="16"/>
        <v>0.30086901166006164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1357.1843870967759</v>
      </c>
      <c r="R19" s="285">
        <f>SUM(P19:Q19)</f>
        <v>1551.2865666750749</v>
      </c>
      <c r="S19" s="287">
        <f>SUM(ELEC!N19)</f>
        <v>5334</v>
      </c>
      <c r="T19" s="321">
        <f>IF(S19&gt;0,R19/S19,0)</f>
        <v>0.29082987751688694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56.782451612896054</v>
      </c>
      <c r="R20" s="285">
        <f t="shared" si="10"/>
        <v>228.17153003033269</v>
      </c>
      <c r="S20" s="287">
        <f>SUM(ELEC!N20)</f>
        <v>4858</v>
      </c>
      <c r="T20" s="321">
        <f t="shared" si="16"/>
        <v>4.6968202970426656E-2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f t="shared" si="11"/>
        <v>1111071</v>
      </c>
      <c r="C25" s="254">
        <f t="shared" si="0"/>
        <v>0</v>
      </c>
      <c r="D25" s="295">
        <f t="shared" si="12"/>
        <v>0</v>
      </c>
      <c r="E25" s="295">
        <f t="shared" si="13"/>
        <v>1111071</v>
      </c>
      <c r="F25" s="617">
        <f t="shared" si="7"/>
        <v>160915</v>
      </c>
      <c r="G25" s="160">
        <f t="shared" si="1"/>
        <v>0</v>
      </c>
      <c r="H25" s="617">
        <f t="shared" si="14"/>
        <v>549420</v>
      </c>
      <c r="I25" s="161">
        <f t="shared" si="2"/>
        <v>0</v>
      </c>
      <c r="J25" s="617">
        <f t="shared" si="15"/>
        <v>400735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1111071</v>
      </c>
      <c r="C26" s="254">
        <f t="shared" si="0"/>
        <v>0</v>
      </c>
      <c r="D26" s="295">
        <f t="shared" si="12"/>
        <v>0</v>
      </c>
      <c r="E26" s="295">
        <f t="shared" si="13"/>
        <v>1111071</v>
      </c>
      <c r="F26" s="617">
        <f t="shared" si="7"/>
        <v>160915</v>
      </c>
      <c r="G26" s="160">
        <f t="shared" si="1"/>
        <v>0</v>
      </c>
      <c r="H26" s="617">
        <f t="shared" si="14"/>
        <v>549420</v>
      </c>
      <c r="I26" s="161">
        <f t="shared" si="2"/>
        <v>0</v>
      </c>
      <c r="J26" s="617">
        <f t="shared" si="15"/>
        <v>400735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400735</v>
      </c>
      <c r="X26" s="172" t="s">
        <v>199</v>
      </c>
      <c r="Y26" s="172">
        <v>80</v>
      </c>
      <c r="Z26" s="172">
        <v>1</v>
      </c>
      <c r="AA26" s="323">
        <f>(W26-V26)*Z26</f>
        <v>206</v>
      </c>
      <c r="AB26" s="323">
        <f>AA26*Y26</f>
        <v>16480</v>
      </c>
      <c r="AC26" s="244">
        <f>AC9</f>
        <v>1033333</v>
      </c>
      <c r="AD26" s="476">
        <f>SUM(K36)</f>
        <v>0.11914401388085598</v>
      </c>
    </row>
    <row r="27" spans="1:32" ht="20.100000000000001" customHeight="1">
      <c r="A27" s="163">
        <f>ELEC!C27</f>
        <v>44616</v>
      </c>
      <c r="B27" s="617">
        <f t="shared" si="11"/>
        <v>1111071</v>
      </c>
      <c r="C27" s="254">
        <f t="shared" si="0"/>
        <v>0</v>
      </c>
      <c r="D27" s="295">
        <f t="shared" si="12"/>
        <v>0</v>
      </c>
      <c r="E27" s="295">
        <f t="shared" si="13"/>
        <v>1111071</v>
      </c>
      <c r="F27" s="617">
        <f t="shared" si="7"/>
        <v>160915</v>
      </c>
      <c r="G27" s="160">
        <f t="shared" si="1"/>
        <v>0</v>
      </c>
      <c r="H27" s="617">
        <f t="shared" si="14"/>
        <v>549420</v>
      </c>
      <c r="I27" s="161">
        <f t="shared" si="2"/>
        <v>0</v>
      </c>
      <c r="J27" s="617">
        <f t="shared" si="15"/>
        <v>400735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549420</v>
      </c>
      <c r="X27" s="172" t="s">
        <v>212</v>
      </c>
      <c r="Y27" s="172">
        <v>112</v>
      </c>
      <c r="Z27" s="172">
        <v>1</v>
      </c>
      <c r="AA27" s="323">
        <f>(W27-V27)*Z27</f>
        <v>1046</v>
      </c>
      <c r="AB27" s="323">
        <f>SUM(AA27*Y27)</f>
        <v>117152</v>
      </c>
      <c r="AC27" s="244">
        <f>AC10</f>
        <v>6200000</v>
      </c>
      <c r="AD27" s="476">
        <f>SUM(I36)</f>
        <v>0.60497397339502601</v>
      </c>
    </row>
    <row r="28" spans="1:32" ht="20.100000000000001" customHeight="1">
      <c r="A28" s="163">
        <f>ELEC!C28</f>
        <v>44617</v>
      </c>
      <c r="B28" s="617">
        <f t="shared" si="11"/>
        <v>1111071</v>
      </c>
      <c r="C28" s="254">
        <f t="shared" si="0"/>
        <v>0</v>
      </c>
      <c r="D28" s="295">
        <f t="shared" si="12"/>
        <v>0</v>
      </c>
      <c r="E28" s="295">
        <f>B27+D28</f>
        <v>1111071</v>
      </c>
      <c r="F28" s="617">
        <f t="shared" si="7"/>
        <v>160915</v>
      </c>
      <c r="G28" s="160">
        <f t="shared" si="1"/>
        <v>0</v>
      </c>
      <c r="H28" s="617">
        <f t="shared" si="14"/>
        <v>549420</v>
      </c>
      <c r="I28" s="161">
        <f t="shared" si="2"/>
        <v>0</v>
      </c>
      <c r="J28" s="617">
        <f t="shared" si="15"/>
        <v>400735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160915</v>
      </c>
      <c r="X28" s="172" t="s">
        <v>197</v>
      </c>
      <c r="Y28" s="172">
        <v>320</v>
      </c>
      <c r="Z28" s="172">
        <v>1</v>
      </c>
      <c r="AA28" s="323">
        <f>(W28-V28)*Z28</f>
        <v>476</v>
      </c>
      <c r="AB28" s="323">
        <f>SUM(AA28*Y28)</f>
        <v>152320</v>
      </c>
      <c r="AC28" s="244">
        <f>AC11</f>
        <v>1000</v>
      </c>
      <c r="AD28" s="476">
        <f>SUM(G36)</f>
        <v>0.27530364372469635</v>
      </c>
      <c r="AE28" s="40">
        <f>SUM(AB28*5%)</f>
        <v>7616</v>
      </c>
      <c r="AF28" s="82">
        <f>SUM(AE28/7)*31</f>
        <v>33728</v>
      </c>
    </row>
    <row r="29" spans="1:32" ht="20.100000000000001" customHeight="1">
      <c r="A29" s="163">
        <f>ELEC!C29</f>
        <v>44618</v>
      </c>
      <c r="B29" s="617">
        <f t="shared" si="11"/>
        <v>1111071</v>
      </c>
      <c r="C29" s="254">
        <f t="shared" si="0"/>
        <v>0</v>
      </c>
      <c r="D29" s="295">
        <f t="shared" si="12"/>
        <v>0</v>
      </c>
      <c r="E29" s="295">
        <f>B28+D29</f>
        <v>1111071</v>
      </c>
      <c r="F29" s="617">
        <f t="shared" si="7"/>
        <v>160915</v>
      </c>
      <c r="G29" s="160">
        <f t="shared" si="1"/>
        <v>0</v>
      </c>
      <c r="H29" s="617">
        <f t="shared" si="14"/>
        <v>549420</v>
      </c>
      <c r="I29" s="161">
        <f t="shared" si="2"/>
        <v>0</v>
      </c>
      <c r="J29" s="617">
        <f t="shared" si="15"/>
        <v>400735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1728</v>
      </c>
      <c r="AB29" s="323">
        <f>SUM(AB26:AB28)</f>
        <v>285952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1111071</v>
      </c>
      <c r="C30" s="254">
        <f t="shared" si="0"/>
        <v>0</v>
      </c>
      <c r="D30" s="295">
        <f t="shared" si="12"/>
        <v>0</v>
      </c>
      <c r="E30" s="295">
        <f t="shared" si="13"/>
        <v>1111071</v>
      </c>
      <c r="F30" s="617">
        <f t="shared" si="7"/>
        <v>160915</v>
      </c>
      <c r="G30" s="160">
        <f t="shared" si="1"/>
        <v>0</v>
      </c>
      <c r="H30" s="617">
        <f t="shared" si="14"/>
        <v>549420</v>
      </c>
      <c r="I30" s="161">
        <f t="shared" si="2"/>
        <v>0</v>
      </c>
      <c r="J30" s="617">
        <f t="shared" si="15"/>
        <v>400735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7520285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1111071</v>
      </c>
      <c r="C31" s="254">
        <f>SUM(B31-B30)</f>
        <v>0</v>
      </c>
      <c r="D31" s="295">
        <f t="shared" si="12"/>
        <v>0</v>
      </c>
      <c r="E31" s="295">
        <f>B30+D31</f>
        <v>1111071</v>
      </c>
      <c r="F31" s="617">
        <f t="shared" si="7"/>
        <v>160915</v>
      </c>
      <c r="G31" s="160">
        <f>F31-F30</f>
        <v>0</v>
      </c>
      <c r="H31" s="617">
        <f t="shared" si="14"/>
        <v>549420</v>
      </c>
      <c r="I31" s="161">
        <f>H31-H30</f>
        <v>0</v>
      </c>
      <c r="J31" s="617">
        <f t="shared" si="15"/>
        <v>400735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133</v>
      </c>
      <c r="X32" s="222">
        <f>SUM(W32/A35)</f>
        <v>19</v>
      </c>
      <c r="Y32" s="250">
        <f>SUM(X32/1)</f>
        <v>19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827231.35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8347516.3499999996</v>
      </c>
      <c r="AC34" s="244">
        <f>SUM(AC30)</f>
        <v>0</v>
      </c>
    </row>
    <row r="35" spans="1:32" ht="15.75" thickBot="1">
      <c r="A35" s="501">
        <f>A37-COUNTIF(C4:C31,0)</f>
        <v>7</v>
      </c>
      <c r="C35" s="173">
        <f>SUM(C4:C34)/A35</f>
        <v>247</v>
      </c>
      <c r="D35" s="173"/>
      <c r="E35" s="173"/>
      <c r="F35" s="568"/>
      <c r="G35" s="568">
        <f>SUM(G4:G34)/A35</f>
        <v>68</v>
      </c>
      <c r="H35" s="173"/>
      <c r="I35" s="173">
        <f>SUM(I4:I34)/A35</f>
        <v>149.42857142857142</v>
      </c>
      <c r="K35" s="173">
        <f>SUM(K4:K34)/A35</f>
        <v>29.428571428571427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0.99942163100057835</v>
      </c>
      <c r="G36" s="225">
        <f>IF(C35&gt;0,G35/C35,0)</f>
        <v>0.27530364372469635</v>
      </c>
      <c r="H36" s="212"/>
      <c r="I36" s="225">
        <f>SUM(I35/C35)</f>
        <v>0.60497397339502601</v>
      </c>
      <c r="J36" s="212"/>
      <c r="K36" s="225">
        <f>SUM(K35/C35)</f>
        <v>0.11914401388085598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4988.5804311774464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4988.5804311774464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I25" sqref="I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607</v>
      </c>
      <c r="C20" s="76">
        <f>'B5'!AH20</f>
        <v>0</v>
      </c>
      <c r="D20" s="76">
        <f>GEN!AI18</f>
        <v>1330.1603375531247</v>
      </c>
      <c r="E20" s="239">
        <f t="shared" si="0"/>
        <v>1937.1603375531247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32</v>
      </c>
      <c r="C21" s="76">
        <f>'B5'!AH21</f>
        <v>0</v>
      </c>
      <c r="D21" s="76">
        <f>GEN!AI19</f>
        <v>1189.8860759492622</v>
      </c>
      <c r="E21" s="239">
        <f t="shared" si="0"/>
        <v>1221.8860759492622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34" sqref="J34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22" sqref="H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17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179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29415</v>
      </c>
      <c r="C8" s="466">
        <f>SUM(tanks!AU37)</f>
        <v>0.76400000000000001</v>
      </c>
      <c r="D8" s="191">
        <f>SUM(B8*C8)*D4</f>
        <v>33878137.950000003</v>
      </c>
      <c r="E8" s="192">
        <f>SUM(D8/D4/F4)</f>
        <v>802.60928571428576</v>
      </c>
      <c r="F8" s="192">
        <f>SUM(E8*F4)</f>
        <v>22473.06</v>
      </c>
      <c r="G8" s="574">
        <f>E8*$G$4</f>
        <v>13644.357857142859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1728</v>
      </c>
      <c r="C10" s="181"/>
      <c r="D10" s="183">
        <f>'EDl log'!AB30</f>
        <v>7520285</v>
      </c>
      <c r="E10" s="182">
        <f>SUM(D10/D4/F4)</f>
        <v>178.16358682776595</v>
      </c>
      <c r="F10" s="182">
        <f>SUM(E10*F4)</f>
        <v>4988.5804311774464</v>
      </c>
      <c r="G10" s="478">
        <f>E10*$G$4</f>
        <v>3028.7809760720211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1273.6300153991947</v>
      </c>
      <c r="F12" s="180">
        <f>SUM(F6:F10)</f>
        <v>35661.640431177446</v>
      </c>
      <c r="G12" s="179">
        <f>SUM(G6:G10)</f>
        <v>24873.138833214878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-55255.761166785116</v>
      </c>
      <c r="I14" s="406">
        <f>SUM(G12-I12)</f>
        <v>-26370.780887215231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23.5</v>
      </c>
      <c r="C16" s="415">
        <f>'[12]Utility Cost '!$B$16</f>
        <v>15.821428571428571</v>
      </c>
      <c r="D16" s="415"/>
      <c r="E16" s="580">
        <f>B16-C16</f>
        <v>7.6785714285714288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133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-56</v>
      </c>
      <c r="F18" s="495">
        <f>B18-D18</f>
        <v>-69.666666666666657</v>
      </c>
    </row>
    <row r="19" spans="1:10">
      <c r="A19" s="489" t="s">
        <v>412</v>
      </c>
      <c r="B19" s="493">
        <f>GEN!AL34</f>
        <v>12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11.083333333333334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2022-02-18T07:01:36Z</dcterms:modified>
</cp:coreProperties>
</file>