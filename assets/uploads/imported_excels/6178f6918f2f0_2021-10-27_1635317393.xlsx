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30" yWindow="0" windowWidth="11340" windowHeight="11070" tabRatio="579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27" i="3"/>
  <c r="Z24" i="5"/>
  <c r="E17" i="2" l="1"/>
  <c r="D17"/>
  <c r="E5" l="1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E15"/>
  <c r="AV16" i="7"/>
  <c r="AV17" s="1"/>
  <c r="AV18" s="1"/>
  <c r="AV19" s="1"/>
  <c r="AV20" s="1"/>
  <c r="AV21" s="1"/>
  <c r="A11" i="5"/>
  <c r="F36" i="73" l="1"/>
  <c r="AE5" i="7"/>
  <c r="D18" i="2" l="1"/>
  <c r="E18" s="1"/>
  <c r="J3"/>
  <c r="H3"/>
  <c r="F3"/>
  <c r="AH38" i="1"/>
  <c r="AH37"/>
  <c r="AK38" i="5"/>
  <c r="F39"/>
  <c r="B39"/>
  <c r="F37"/>
  <c r="G36" i="73"/>
  <c r="P34" i="3"/>
  <c r="AS37" i="7"/>
  <c r="AT37"/>
  <c r="C15" i="77"/>
  <c r="C16"/>
  <c r="C17"/>
  <c r="C18"/>
  <c r="C19"/>
  <c r="C14"/>
  <c r="D19" i="2" l="1"/>
  <c r="K77" i="74"/>
  <c r="K76"/>
  <c r="J77"/>
  <c r="J76"/>
  <c r="J75"/>
  <c r="B5" i="79"/>
  <c r="B3" i="76"/>
  <c r="B5" i="7"/>
  <c r="B2" i="3"/>
  <c r="B5" i="5"/>
  <c r="B4" i="1"/>
  <c r="AB5" i="5"/>
  <c r="D20" i="2" l="1"/>
  <c r="E21" s="1"/>
  <c r="E19"/>
  <c r="I8" i="77"/>
  <c r="E20" i="2" l="1"/>
  <c r="E22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C5" i="79"/>
  <c r="D5"/>
  <c r="E5"/>
  <c r="F5"/>
  <c r="G5"/>
  <c r="H5"/>
  <c r="A5"/>
  <c r="W16" i="76"/>
  <c r="W15"/>
  <c r="X14"/>
  <c r="W14"/>
  <c r="AD18"/>
  <c r="AB19"/>
  <c r="AF11"/>
  <c r="AE11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Y13"/>
  <c r="Z13"/>
  <c r="AA13"/>
  <c r="AB13"/>
  <c r="AC13"/>
  <c r="AD13"/>
  <c r="Z14"/>
  <c r="AA14"/>
  <c r="AB14"/>
  <c r="AC14"/>
  <c r="AD14"/>
  <c r="Y15"/>
  <c r="Z15"/>
  <c r="AA15"/>
  <c r="AB15"/>
  <c r="AC15"/>
  <c r="AD15"/>
  <c r="Y16"/>
  <c r="Z16"/>
  <c r="AA16"/>
  <c r="AB16"/>
  <c r="AC16"/>
  <c r="AD16"/>
  <c r="Z9"/>
  <c r="AA9"/>
  <c r="AB9"/>
  <c r="AC9"/>
  <c r="AD9"/>
  <c r="Y9"/>
  <c r="V10"/>
  <c r="W10"/>
  <c r="V11"/>
  <c r="W11"/>
  <c r="W9"/>
  <c r="V9"/>
  <c r="B4"/>
  <c r="B5" s="1"/>
  <c r="B6" s="1"/>
  <c r="B8" s="1"/>
  <c r="B9" s="1"/>
  <c r="B10" s="1"/>
  <c r="B11" s="1"/>
  <c r="B12" s="1"/>
  <c r="B14" s="1"/>
  <c r="B15" s="1"/>
  <c r="B16" s="1"/>
  <c r="B17" s="1"/>
  <c r="B18" s="1"/>
  <c r="B19" s="1"/>
  <c r="B20" s="1"/>
  <c r="B22" s="1"/>
  <c r="B24" s="1"/>
  <c r="B25" s="1"/>
  <c r="B26" s="1"/>
  <c r="B27" s="1"/>
  <c r="B28" s="1"/>
  <c r="B30" s="1"/>
  <c r="B31" s="1"/>
  <c r="B32" s="1"/>
  <c r="B33" s="1"/>
  <c r="B34" s="1"/>
  <c r="C3"/>
  <c r="D3"/>
  <c r="E3"/>
  <c r="F3"/>
  <c r="F4" s="1"/>
  <c r="F5" s="1"/>
  <c r="F6" s="1"/>
  <c r="F8" s="1"/>
  <c r="F9" s="1"/>
  <c r="F10" s="1"/>
  <c r="F11" s="1"/>
  <c r="F12" s="1"/>
  <c r="F14" s="1"/>
  <c r="F15" s="1"/>
  <c r="F16" s="1"/>
  <c r="F17" s="1"/>
  <c r="F18" s="1"/>
  <c r="F19" s="1"/>
  <c r="F20" s="1"/>
  <c r="F21" s="1"/>
  <c r="F22" s="1"/>
  <c r="F24" s="1"/>
  <c r="F25" s="1"/>
  <c r="F26" s="1"/>
  <c r="F27" s="1"/>
  <c r="F28" s="1"/>
  <c r="F30" s="1"/>
  <c r="F31" s="1"/>
  <c r="F32" s="1"/>
  <c r="F33" s="1"/>
  <c r="F34" s="1"/>
  <c r="G3"/>
  <c r="H3"/>
  <c r="H4" s="1"/>
  <c r="H5" s="1"/>
  <c r="H6" s="1"/>
  <c r="H8" s="1"/>
  <c r="H9" s="1"/>
  <c r="H10" s="1"/>
  <c r="H11" s="1"/>
  <c r="H12" s="1"/>
  <c r="H14" s="1"/>
  <c r="H15" s="1"/>
  <c r="H16" s="1"/>
  <c r="H17" s="1"/>
  <c r="H18" s="1"/>
  <c r="H19" s="1"/>
  <c r="H20" s="1"/>
  <c r="H22" s="1"/>
  <c r="H24" s="1"/>
  <c r="H25" s="1"/>
  <c r="H26" s="1"/>
  <c r="H27" s="1"/>
  <c r="H28" s="1"/>
  <c r="H30" s="1"/>
  <c r="H31" s="1"/>
  <c r="H32" s="1"/>
  <c r="H33" s="1"/>
  <c r="H34" s="1"/>
  <c r="I3"/>
  <c r="J3"/>
  <c r="J4" s="1"/>
  <c r="J5" s="1"/>
  <c r="J6" s="1"/>
  <c r="J8" s="1"/>
  <c r="J9" s="1"/>
  <c r="J10" s="1"/>
  <c r="J11" s="1"/>
  <c r="J12" s="1"/>
  <c r="J14" s="1"/>
  <c r="J15" s="1"/>
  <c r="J16" s="1"/>
  <c r="J17" s="1"/>
  <c r="J18" s="1"/>
  <c r="J19" s="1"/>
  <c r="J20" s="1"/>
  <c r="J22" s="1"/>
  <c r="J24" s="1"/>
  <c r="J25" s="1"/>
  <c r="J26" s="1"/>
  <c r="J27" s="1"/>
  <c r="J28" s="1"/>
  <c r="J30" s="1"/>
  <c r="J31" s="1"/>
  <c r="J32" s="1"/>
  <c r="J33" s="1"/>
  <c r="J34" s="1"/>
  <c r="K3"/>
  <c r="L3"/>
  <c r="M3"/>
  <c r="N3"/>
  <c r="O3"/>
  <c r="P3"/>
  <c r="Q3"/>
  <c r="R3"/>
  <c r="S3"/>
  <c r="T3"/>
  <c r="A3"/>
  <c r="AS5" i="7"/>
  <c r="AT5"/>
  <c r="AU5"/>
  <c r="AV5"/>
  <c r="AW5"/>
  <c r="AX5"/>
  <c r="AY5"/>
  <c r="AZ5"/>
  <c r="BA5"/>
  <c r="BB5"/>
  <c r="BC5"/>
  <c r="BD5"/>
  <c r="BE5"/>
  <c r="BF5"/>
  <c r="BG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F5"/>
  <c r="AG5"/>
  <c r="AH5"/>
  <c r="AI5"/>
  <c r="AJ5"/>
  <c r="AK5"/>
  <c r="AL5"/>
  <c r="AM5"/>
  <c r="AN5"/>
  <c r="AO5"/>
  <c r="A5"/>
  <c r="C2" i="3"/>
  <c r="D2"/>
  <c r="D3" s="1"/>
  <c r="D4" s="1"/>
  <c r="D7" s="1"/>
  <c r="D10" s="1"/>
  <c r="D11" s="1"/>
  <c r="D15" s="1"/>
  <c r="D16" s="1"/>
  <c r="D17" s="1"/>
  <c r="D18" s="1"/>
  <c r="D19" s="1"/>
  <c r="D24" s="1"/>
  <c r="D25" s="1"/>
  <c r="D26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3" s="1"/>
  <c r="R4" s="1"/>
  <c r="R10" s="1"/>
  <c r="R11" s="1"/>
  <c r="R15" s="1"/>
  <c r="R16" s="1"/>
  <c r="R17" s="1"/>
  <c r="R18" s="1"/>
  <c r="R19" s="1"/>
  <c r="R21" s="1"/>
  <c r="R22" s="1"/>
  <c r="R24" s="1"/>
  <c r="R25" s="1"/>
  <c r="R27" s="1"/>
  <c r="R29" s="1"/>
  <c r="R30" s="1"/>
  <c r="R31" s="1"/>
  <c r="R32" s="1"/>
  <c r="R33" s="1"/>
  <c r="S2"/>
  <c r="T2"/>
  <c r="T3" s="1"/>
  <c r="U2"/>
  <c r="V2"/>
  <c r="W2"/>
  <c r="Y2"/>
  <c r="Z2"/>
  <c r="AA2"/>
  <c r="AB2"/>
  <c r="AC2"/>
  <c r="AD2"/>
  <c r="AE2"/>
  <c r="AF2"/>
  <c r="AG2"/>
  <c r="AH2"/>
  <c r="AI2"/>
  <c r="AJ2"/>
  <c r="AK2"/>
  <c r="B3"/>
  <c r="B4" s="1"/>
  <c r="B10" s="1"/>
  <c r="B11" s="1"/>
  <c r="B15" s="1"/>
  <c r="B16" s="1"/>
  <c r="B17" s="1"/>
  <c r="B18" s="1"/>
  <c r="B19" s="1"/>
  <c r="B24" s="1"/>
  <c r="B25" s="1"/>
  <c r="B29" s="1"/>
  <c r="B30" s="1"/>
  <c r="B31" s="1"/>
  <c r="B32" s="1"/>
  <c r="B33" s="1"/>
  <c r="A2"/>
  <c r="AT5" i="5"/>
  <c r="AT6" s="1"/>
  <c r="AT7" s="1"/>
  <c r="AT12" s="1"/>
  <c r="AT13" s="1"/>
  <c r="AT14" s="1"/>
  <c r="AT15" s="1"/>
  <c r="AT18" s="1"/>
  <c r="AT19" s="1"/>
  <c r="AT20" s="1"/>
  <c r="AT21" s="1"/>
  <c r="AT22" s="1"/>
  <c r="AT25" s="1"/>
  <c r="AT27" s="1"/>
  <c r="AT28" s="1"/>
  <c r="AT29" s="1"/>
  <c r="AT30" s="1"/>
  <c r="AT32" s="1"/>
  <c r="AT33" s="1"/>
  <c r="AT34" s="1"/>
  <c r="AT35" s="1"/>
  <c r="AT36" s="1"/>
  <c r="AU5"/>
  <c r="AV5"/>
  <c r="AV6" s="1"/>
  <c r="AV7" s="1"/>
  <c r="AV12" s="1"/>
  <c r="AV13" s="1"/>
  <c r="AV14" s="1"/>
  <c r="AV17" s="1"/>
  <c r="AV18" s="1"/>
  <c r="AV19" s="1"/>
  <c r="AV20" s="1"/>
  <c r="AV21" s="1"/>
  <c r="AV22" s="1"/>
  <c r="AV27" s="1"/>
  <c r="AV28" s="1"/>
  <c r="AV30" s="1"/>
  <c r="AV32" s="1"/>
  <c r="AV33" s="1"/>
  <c r="AV34" s="1"/>
  <c r="AV35" s="1"/>
  <c r="AV36" s="1"/>
  <c r="AW5"/>
  <c r="AX5"/>
  <c r="AX6" s="1"/>
  <c r="AX7" s="1"/>
  <c r="AX13" s="1"/>
  <c r="AX14" s="1"/>
  <c r="AX18" s="1"/>
  <c r="AX19" s="1"/>
  <c r="AX20" s="1"/>
  <c r="AX21" s="1"/>
  <c r="AX22" s="1"/>
  <c r="AX27" s="1"/>
  <c r="AX28" s="1"/>
  <c r="AX32" s="1"/>
  <c r="AX33" s="1"/>
  <c r="AX34" s="1"/>
  <c r="AX35" s="1"/>
  <c r="AX36" s="1"/>
  <c r="BA36" s="1"/>
  <c r="AY5"/>
  <c r="AZ5"/>
  <c r="BA5"/>
  <c r="BB5"/>
  <c r="BC5"/>
  <c r="BD5"/>
  <c r="BE5"/>
  <c r="BF5"/>
  <c r="BG5"/>
  <c r="AS5"/>
  <c r="AR5"/>
  <c r="C5"/>
  <c r="D5"/>
  <c r="E5"/>
  <c r="F5"/>
  <c r="G5"/>
  <c r="G6" s="1"/>
  <c r="G7" s="1"/>
  <c r="G8" s="1"/>
  <c r="G10" s="1"/>
  <c r="G11" s="1"/>
  <c r="G13" s="1"/>
  <c r="G14" s="1"/>
  <c r="G15" s="1"/>
  <c r="G16" s="1"/>
  <c r="G18" s="1"/>
  <c r="G19" s="1"/>
  <c r="G20" s="1"/>
  <c r="G21" s="1"/>
  <c r="G22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AA5"/>
  <c r="AC5"/>
  <c r="AD5"/>
  <c r="AE5"/>
  <c r="AF5"/>
  <c r="AG5"/>
  <c r="AH5"/>
  <c r="AI5"/>
  <c r="AJ5"/>
  <c r="AK5"/>
  <c r="AL5"/>
  <c r="AM5"/>
  <c r="AN5"/>
  <c r="AO5"/>
  <c r="AP5"/>
  <c r="A5"/>
  <c r="C4" i="1"/>
  <c r="C5" s="1"/>
  <c r="C6" s="1"/>
  <c r="C12" s="1"/>
  <c r="C13" s="1"/>
  <c r="C17" s="1"/>
  <c r="C18" s="1"/>
  <c r="C19" s="1"/>
  <c r="C20" s="1"/>
  <c r="C21" s="1"/>
  <c r="C26" s="1"/>
  <c r="C27" s="1"/>
  <c r="C31" s="1"/>
  <c r="C32" s="1"/>
  <c r="C33" s="1"/>
  <c r="C34" s="1"/>
  <c r="C35" s="1"/>
  <c r="D4"/>
  <c r="E4"/>
  <c r="F4"/>
  <c r="F5" s="1"/>
  <c r="F6" s="1"/>
  <c r="F8" s="1"/>
  <c r="F11" s="1"/>
  <c r="F12" s="1"/>
  <c r="F13" s="1"/>
  <c r="F17" s="1"/>
  <c r="F18" s="1"/>
  <c r="F19" s="1"/>
  <c r="F20" s="1"/>
  <c r="F21" s="1"/>
  <c r="F23" s="1"/>
  <c r="F26" s="1"/>
  <c r="F27" s="1"/>
  <c r="F30" s="1"/>
  <c r="F31" s="1"/>
  <c r="F32" s="1"/>
  <c r="F33" s="1"/>
  <c r="F34" s="1"/>
  <c r="F35" s="1"/>
  <c r="G4"/>
  <c r="H4"/>
  <c r="H5" s="1"/>
  <c r="H6" s="1"/>
  <c r="H8" s="1"/>
  <c r="H12" s="1"/>
  <c r="H13" s="1"/>
  <c r="H17" s="1"/>
  <c r="H18" s="1"/>
  <c r="H19" s="1"/>
  <c r="H20" s="1"/>
  <c r="H21" s="1"/>
  <c r="H23" s="1"/>
  <c r="H24" s="1"/>
  <c r="H26" s="1"/>
  <c r="H27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1" s="1"/>
  <c r="P12" s="1"/>
  <c r="P13" s="1"/>
  <c r="P14" s="1"/>
  <c r="P15" s="1"/>
  <c r="P16" s="1"/>
  <c r="P17" s="1"/>
  <c r="P18" s="1"/>
  <c r="P19" s="1"/>
  <c r="P20" s="1"/>
  <c r="P21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1" s="1"/>
  <c r="Q12" s="1"/>
  <c r="Q13" s="1"/>
  <c r="Q14" s="1"/>
  <c r="Q15" s="1"/>
  <c r="Q16" s="1"/>
  <c r="Q17" s="1"/>
  <c r="Q18" s="1"/>
  <c r="Q19" s="1"/>
  <c r="Q20" s="1"/>
  <c r="Q21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5"/>
  <c r="B6" s="1"/>
  <c r="B12" s="1"/>
  <c r="B13" s="1"/>
  <c r="B17" s="1"/>
  <c r="B18" s="1"/>
  <c r="B19" s="1"/>
  <c r="B20" s="1"/>
  <c r="B21" s="1"/>
  <c r="B26" s="1"/>
  <c r="B27" s="1"/>
  <c r="B31" s="1"/>
  <c r="B32" s="1"/>
  <c r="B33" s="1"/>
  <c r="B34" s="1"/>
  <c r="B35" s="1"/>
  <c r="F4" i="2"/>
  <c r="F5" s="1"/>
  <c r="F11" s="1"/>
  <c r="F12" s="1"/>
  <c r="F16" s="1"/>
  <c r="G3"/>
  <c r="H4"/>
  <c r="H5" s="1"/>
  <c r="H11" s="1"/>
  <c r="H12" s="1"/>
  <c r="H16" s="1"/>
  <c r="I3"/>
  <c r="J4"/>
  <c r="J5" s="1"/>
  <c r="J11" s="1"/>
  <c r="J12" s="1"/>
  <c r="J16" s="1"/>
  <c r="K3"/>
  <c r="L3"/>
  <c r="L4" s="1"/>
  <c r="L5" s="1"/>
  <c r="L11" s="1"/>
  <c r="L12" s="1"/>
  <c r="L16" s="1"/>
  <c r="M3"/>
  <c r="N3"/>
  <c r="O3"/>
  <c r="P3"/>
  <c r="P4" s="1"/>
  <c r="P5" s="1"/>
  <c r="P11" s="1"/>
  <c r="P12" s="1"/>
  <c r="P16" s="1"/>
  <c r="Q3"/>
  <c r="R3"/>
  <c r="S3"/>
  <c r="T3"/>
  <c r="U3"/>
  <c r="V3"/>
  <c r="W3"/>
  <c r="W4" s="1"/>
  <c r="W5" s="1"/>
  <c r="W8" s="1"/>
  <c r="W9" s="1"/>
  <c r="W11" s="1"/>
  <c r="W12" s="1"/>
  <c r="W16" s="1"/>
  <c r="X3"/>
  <c r="Y3"/>
  <c r="Y4" s="1"/>
  <c r="Y5" s="1"/>
  <c r="Y7" s="1"/>
  <c r="Y8" s="1"/>
  <c r="Y9" s="1"/>
  <c r="Y11" s="1"/>
  <c r="Y12" s="1"/>
  <c r="Y16" s="1"/>
  <c r="Z3"/>
  <c r="AA3"/>
  <c r="AA4" s="1"/>
  <c r="AA5" s="1"/>
  <c r="AA11" s="1"/>
  <c r="AA12" s="1"/>
  <c r="AA16" s="1"/>
  <c r="AB3"/>
  <c r="AC3"/>
  <c r="AC4" s="1"/>
  <c r="AC5" s="1"/>
  <c r="AC11" s="1"/>
  <c r="AC12" s="1"/>
  <c r="AC16" s="1"/>
  <c r="AD3"/>
  <c r="AE3"/>
  <c r="AF3"/>
  <c r="AG3"/>
  <c r="C3"/>
  <c r="X16" l="1"/>
  <c r="W17"/>
  <c r="Q16"/>
  <c r="P17"/>
  <c r="M16"/>
  <c r="L17"/>
  <c r="I16"/>
  <c r="H17"/>
  <c r="E23"/>
  <c r="AB16"/>
  <c r="AA17"/>
  <c r="AD16"/>
  <c r="AC17"/>
  <c r="Z16"/>
  <c r="Y17"/>
  <c r="K16"/>
  <c r="J17"/>
  <c r="G16"/>
  <c r="F17"/>
  <c r="Z30" i="1"/>
  <c r="AA30" s="1"/>
  <c r="S30"/>
  <c r="T30" s="1"/>
  <c r="R30"/>
  <c r="O30"/>
  <c r="N30"/>
  <c r="L30"/>
  <c r="I30"/>
  <c r="G30"/>
  <c r="J30" s="1"/>
  <c r="D30"/>
  <c r="E30" s="1"/>
  <c r="D25" i="73"/>
  <c r="D26"/>
  <c r="D27"/>
  <c r="D28"/>
  <c r="D29"/>
  <c r="D30"/>
  <c r="G17" i="2" l="1"/>
  <c r="F18"/>
  <c r="Z17"/>
  <c r="Y18"/>
  <c r="AB17"/>
  <c r="AA18"/>
  <c r="I17"/>
  <c r="H18"/>
  <c r="Q17"/>
  <c r="P18"/>
  <c r="E24"/>
  <c r="N16"/>
  <c r="R16" s="1"/>
  <c r="K17"/>
  <c r="J18"/>
  <c r="AD17"/>
  <c r="AC18"/>
  <c r="M17"/>
  <c r="L18"/>
  <c r="X17"/>
  <c r="W18"/>
  <c r="V30" i="1"/>
  <c r="U30"/>
  <c r="K18" i="2" l="1"/>
  <c r="J19"/>
  <c r="L19"/>
  <c r="M18"/>
  <c r="E25"/>
  <c r="H19"/>
  <c r="I18"/>
  <c r="Z18"/>
  <c r="Y19"/>
  <c r="W19"/>
  <c r="X18"/>
  <c r="AD18"/>
  <c r="AC19"/>
  <c r="P19"/>
  <c r="Q18"/>
  <c r="AA19"/>
  <c r="AB18"/>
  <c r="G18"/>
  <c r="F19"/>
  <c r="N17"/>
  <c r="R17" s="1"/>
  <c r="AC20" l="1"/>
  <c r="AD19"/>
  <c r="P20"/>
  <c r="Q19"/>
  <c r="G19"/>
  <c r="F20"/>
  <c r="N18"/>
  <c r="R18" s="1"/>
  <c r="H20"/>
  <c r="I19"/>
  <c r="AB19"/>
  <c r="AA20"/>
  <c r="K19"/>
  <c r="J20"/>
  <c r="Y20"/>
  <c r="Z19"/>
  <c r="D26"/>
  <c r="E26" s="1"/>
  <c r="X19"/>
  <c r="W20"/>
  <c r="L20"/>
  <c r="M19"/>
  <c r="AB20" l="1"/>
  <c r="AA21"/>
  <c r="X20"/>
  <c r="M20"/>
  <c r="E27"/>
  <c r="K20"/>
  <c r="AC21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B17"/>
  <c r="AC17"/>
  <c r="AD17"/>
  <c r="AA18"/>
  <c r="AB18"/>
  <c r="AC18"/>
  <c r="AA19"/>
  <c r="AC19"/>
  <c r="AD19"/>
  <c r="H6" i="79"/>
  <c r="H7" s="1"/>
  <c r="H10" s="1"/>
  <c r="H12" s="1"/>
  <c r="H13" s="1"/>
  <c r="H14" s="1"/>
  <c r="H18" s="1"/>
  <c r="H19" s="1"/>
  <c r="H20" s="1"/>
  <c r="H21" s="1"/>
  <c r="H22" s="1"/>
  <c r="H25" s="1"/>
  <c r="H27" s="1"/>
  <c r="H28" s="1"/>
  <c r="H30" s="1"/>
  <c r="H32" s="1"/>
  <c r="H33" s="1"/>
  <c r="H34" s="1"/>
  <c r="H35" s="1"/>
  <c r="H36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U4"/>
  <c r="U5" s="1"/>
  <c r="U6" s="1"/>
  <c r="U7" s="1"/>
  <c r="U8" s="1"/>
  <c r="U9" s="1"/>
  <c r="U10" s="1"/>
  <c r="U11" s="1"/>
  <c r="U12" s="1"/>
  <c r="U13" s="1"/>
  <c r="U14" s="1"/>
  <c r="U15" s="1"/>
  <c r="U16" s="1"/>
  <c r="B3"/>
  <c r="A3"/>
  <c r="K21" l="1"/>
  <c r="N20"/>
  <c r="R20" s="1"/>
  <c r="T16"/>
  <c r="AE16" s="1"/>
  <c r="AG16" s="1"/>
  <c r="S17"/>
  <c r="G21"/>
  <c r="M21"/>
  <c r="AA22"/>
  <c r="AB21"/>
  <c r="V16"/>
  <c r="AF16" s="1"/>
  <c r="U17"/>
  <c r="Q21"/>
  <c r="I21"/>
  <c r="AD21"/>
  <c r="AC22"/>
  <c r="E28"/>
  <c r="Z21"/>
  <c r="X21"/>
  <c r="Q6"/>
  <c r="Q9"/>
  <c r="K6" i="5"/>
  <c r="I36" i="79"/>
  <c r="E27" i="3"/>
  <c r="C27"/>
  <c r="C26"/>
  <c r="S26"/>
  <c r="AB22" i="2" l="1"/>
  <c r="G22"/>
  <c r="Z22"/>
  <c r="Q22"/>
  <c r="X22"/>
  <c r="E29"/>
  <c r="K22"/>
  <c r="N21"/>
  <c r="R21" s="1"/>
  <c r="AD22"/>
  <c r="I22"/>
  <c r="V17"/>
  <c r="AF17" s="1"/>
  <c r="U18"/>
  <c r="M22"/>
  <c r="T17"/>
  <c r="AE17" s="1"/>
  <c r="AG17" s="1"/>
  <c r="S18"/>
  <c r="Q7"/>
  <c r="Q8"/>
  <c r="AD7" i="3" s="1"/>
  <c r="Q10" i="2"/>
  <c r="E28" i="3"/>
  <c r="I5" i="2"/>
  <c r="N22" l="1"/>
  <c r="R22" s="1"/>
  <c r="D30"/>
  <c r="E30" s="1"/>
  <c r="G23"/>
  <c r="S19"/>
  <c r="T18"/>
  <c r="AE18" s="1"/>
  <c r="AG18" s="1"/>
  <c r="V18"/>
  <c r="AF18" s="1"/>
  <c r="U19"/>
  <c r="AD23"/>
  <c r="X23"/>
  <c r="AB23"/>
  <c r="Q23"/>
  <c r="R23" s="1"/>
  <c r="M23"/>
  <c r="I23"/>
  <c r="K23"/>
  <c r="Z23"/>
  <c r="Q11"/>
  <c r="I7" i="77"/>
  <c r="N23" i="2" l="1"/>
  <c r="J25"/>
  <c r="K24"/>
  <c r="Y25"/>
  <c r="Z24"/>
  <c r="Q24"/>
  <c r="P25"/>
  <c r="U20"/>
  <c r="V19"/>
  <c r="AF19" s="1"/>
  <c r="AC25"/>
  <c r="AD24"/>
  <c r="T19"/>
  <c r="AE19" s="1"/>
  <c r="AG19" s="1"/>
  <c r="S20"/>
  <c r="I24"/>
  <c r="H25"/>
  <c r="X24"/>
  <c r="W25"/>
  <c r="M24"/>
  <c r="L25"/>
  <c r="AB24"/>
  <c r="AA25"/>
  <c r="D31"/>
  <c r="E31" s="1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F26" i="2" l="1"/>
  <c r="G25"/>
  <c r="AA26"/>
  <c r="AB25"/>
  <c r="W26"/>
  <c r="X25"/>
  <c r="AD25"/>
  <c r="AC26"/>
  <c r="J26"/>
  <c r="K25"/>
  <c r="D32"/>
  <c r="E32" s="1"/>
  <c r="Q25"/>
  <c r="P26"/>
  <c r="N24"/>
  <c r="R24" s="1"/>
  <c r="M25"/>
  <c r="L26"/>
  <c r="I25"/>
  <c r="H26"/>
  <c r="U21"/>
  <c r="V20"/>
  <c r="AF20" s="1"/>
  <c r="Z25"/>
  <c r="Y26"/>
  <c r="T20"/>
  <c r="AE20" s="1"/>
  <c r="AG20" s="1"/>
  <c r="S21"/>
  <c r="AC30" i="1"/>
  <c r="AD30" s="1"/>
  <c r="X30"/>
  <c r="Y30" s="1"/>
  <c r="AB30" s="1"/>
  <c r="Q13" i="2"/>
  <c r="E29" i="3"/>
  <c r="AY36" i="5"/>
  <c r="N25" i="2" l="1"/>
  <c r="R25" s="1"/>
  <c r="Z26"/>
  <c r="V21"/>
  <c r="AF21" s="1"/>
  <c r="U22"/>
  <c r="S22"/>
  <c r="T21"/>
  <c r="AE21" s="1"/>
  <c r="M26"/>
  <c r="K26"/>
  <c r="X26"/>
  <c r="G26"/>
  <c r="Q26"/>
  <c r="I26"/>
  <c r="D33"/>
  <c r="E33" s="1"/>
  <c r="AB26"/>
  <c r="AD26"/>
  <c r="X31" i="1"/>
  <c r="X32" s="1"/>
  <c r="X33" s="1"/>
  <c r="X34" s="1"/>
  <c r="X35" s="1"/>
  <c r="AC31"/>
  <c r="AC32" s="1"/>
  <c r="AC33" s="1"/>
  <c r="AC34" s="1"/>
  <c r="AC35" s="1"/>
  <c r="Q14" i="2"/>
  <c r="E30" i="3"/>
  <c r="AG21" i="2" l="1"/>
  <c r="N26"/>
  <c r="R26" s="1"/>
  <c r="D34"/>
  <c r="E34" s="1"/>
  <c r="AB27"/>
  <c r="AA28"/>
  <c r="I27"/>
  <c r="S23"/>
  <c r="T22"/>
  <c r="AE22" s="1"/>
  <c r="AG22" s="1"/>
  <c r="AC28"/>
  <c r="AD27"/>
  <c r="Q27"/>
  <c r="G27"/>
  <c r="K27"/>
  <c r="Z27"/>
  <c r="X27"/>
  <c r="M27"/>
  <c r="V22"/>
  <c r="AF22" s="1"/>
  <c r="U23"/>
  <c r="Q15"/>
  <c r="E31" i="3"/>
  <c r="N27" i="2" l="1"/>
  <c r="R27" s="1"/>
  <c r="AC29"/>
  <c r="AD28"/>
  <c r="G28"/>
  <c r="I28"/>
  <c r="M28"/>
  <c r="U24"/>
  <c r="V23"/>
  <c r="AF23" s="1"/>
  <c r="X28"/>
  <c r="Q28"/>
  <c r="K28"/>
  <c r="T23"/>
  <c r="AE23" s="1"/>
  <c r="AG23" s="1"/>
  <c r="S24"/>
  <c r="Z28"/>
  <c r="AB28"/>
  <c r="AA29"/>
  <c r="E33" i="3"/>
  <c r="E32"/>
  <c r="G17" i="76"/>
  <c r="C18"/>
  <c r="W30" i="2" l="1"/>
  <c r="X29"/>
  <c r="U25"/>
  <c r="V24"/>
  <c r="AF24" s="1"/>
  <c r="AA30"/>
  <c r="AB29"/>
  <c r="Q29"/>
  <c r="P30"/>
  <c r="F30"/>
  <c r="G29"/>
  <c r="J30"/>
  <c r="K29"/>
  <c r="M29"/>
  <c r="L30"/>
  <c r="AD29"/>
  <c r="AC30"/>
  <c r="I29"/>
  <c r="H30"/>
  <c r="Z29"/>
  <c r="Y30"/>
  <c r="T24"/>
  <c r="AE24" s="1"/>
  <c r="S25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W13" i="76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O32" i="81"/>
  <c r="A13" i="1"/>
  <c r="AG24" i="2" l="1"/>
  <c r="S26"/>
  <c r="T25"/>
  <c r="AE25" s="1"/>
  <c r="AG25" s="1"/>
  <c r="I30"/>
  <c r="H31"/>
  <c r="L31"/>
  <c r="M30"/>
  <c r="V25"/>
  <c r="AF25" s="1"/>
  <c r="U26"/>
  <c r="W31"/>
  <c r="X30"/>
  <c r="K30"/>
  <c r="J31"/>
  <c r="P31"/>
  <c r="Q30"/>
  <c r="Z30"/>
  <c r="Y31"/>
  <c r="AD30"/>
  <c r="AC31"/>
  <c r="G30"/>
  <c r="F31"/>
  <c r="AA31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7" i="5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Y36"/>
  <c r="J32" i="82" s="1"/>
  <c r="AG7" i="5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N30" i="2" l="1"/>
  <c r="R30" s="1"/>
  <c r="AA32"/>
  <c r="AB31"/>
  <c r="X31"/>
  <c r="W32"/>
  <c r="AD31"/>
  <c r="AC32"/>
  <c r="P32"/>
  <c r="Q31"/>
  <c r="L32"/>
  <c r="M31"/>
  <c r="S27"/>
  <c r="T26"/>
  <c r="AE26" s="1"/>
  <c r="AG26" s="1"/>
  <c r="G31"/>
  <c r="F32"/>
  <c r="Z31"/>
  <c r="Y32"/>
  <c r="K31"/>
  <c r="J32"/>
  <c r="V26"/>
  <c r="AF26" s="1"/>
  <c r="U27"/>
  <c r="H32"/>
  <c r="I31"/>
  <c r="AE31" i="1"/>
  <c r="AE32" s="1"/>
  <c r="AE33" s="1"/>
  <c r="AE34" s="1"/>
  <c r="AE35" s="1"/>
  <c r="AF35" s="1"/>
  <c r="AH35" s="1"/>
  <c r="AE30"/>
  <c r="AF30" s="1"/>
  <c r="AJ36" i="5"/>
  <c r="K32" i="82" s="1"/>
  <c r="AI36" i="5"/>
  <c r="R35" i="1"/>
  <c r="AB36" i="7"/>
  <c r="D35" i="1"/>
  <c r="E35" s="1"/>
  <c r="B7" i="7"/>
  <c r="I4" i="2"/>
  <c r="G4"/>
  <c r="N31" l="1"/>
  <c r="R31" s="1"/>
  <c r="H33"/>
  <c r="I32"/>
  <c r="T27"/>
  <c r="AE27" s="1"/>
  <c r="S28"/>
  <c r="P33"/>
  <c r="Q32"/>
  <c r="AD32"/>
  <c r="AC33"/>
  <c r="U28"/>
  <c r="V27"/>
  <c r="AF27" s="1"/>
  <c r="Y33"/>
  <c r="Z32"/>
  <c r="AB32"/>
  <c r="AA33"/>
  <c r="K32"/>
  <c r="J33"/>
  <c r="F33"/>
  <c r="G32"/>
  <c r="L33"/>
  <c r="M32"/>
  <c r="X32"/>
  <c r="W33"/>
  <c r="AL36" i="5"/>
  <c r="AD36" i="7"/>
  <c r="B8"/>
  <c r="G5" i="2"/>
  <c r="AG27" l="1"/>
  <c r="N32"/>
  <c r="R32" s="1"/>
  <c r="AB33"/>
  <c r="AA34"/>
  <c r="AB34" s="1"/>
  <c r="AC34"/>
  <c r="AD34" s="1"/>
  <c r="AD33"/>
  <c r="T28"/>
  <c r="AE28" s="1"/>
  <c r="AG28" s="1"/>
  <c r="S29"/>
  <c r="Y34"/>
  <c r="Z34" s="1"/>
  <c r="Z33"/>
  <c r="Q33"/>
  <c r="P34"/>
  <c r="Q34" s="1"/>
  <c r="I33"/>
  <c r="H34"/>
  <c r="I34" s="1"/>
  <c r="G32" i="82" s="1"/>
  <c r="W34" i="2"/>
  <c r="X34" s="1"/>
  <c r="X33"/>
  <c r="J34"/>
  <c r="K34" s="1"/>
  <c r="F32" i="82" s="1"/>
  <c r="K33" i="2"/>
  <c r="M33"/>
  <c r="L34"/>
  <c r="M34" s="1"/>
  <c r="G33"/>
  <c r="F34"/>
  <c r="G34" s="1"/>
  <c r="U29"/>
  <c r="V28"/>
  <c r="AF28" s="1"/>
  <c r="AF36" i="7"/>
  <c r="B9"/>
  <c r="N33" i="2" l="1"/>
  <c r="R33" s="1"/>
  <c r="N34"/>
  <c r="R34" s="1"/>
  <c r="E32" i="82"/>
  <c r="S30" i="2"/>
  <c r="T29"/>
  <c r="AE29" s="1"/>
  <c r="AG29" s="1"/>
  <c r="I32" i="82"/>
  <c r="V29" i="2"/>
  <c r="AF29" s="1"/>
  <c r="U30"/>
  <c r="AH36" i="7"/>
  <c r="B10"/>
  <c r="S31" i="2" l="1"/>
  <c r="T30"/>
  <c r="AE30" s="1"/>
  <c r="AG30" s="1"/>
  <c r="V30"/>
  <c r="AF30" s="1"/>
  <c r="U31"/>
  <c r="AJ36" i="7"/>
  <c r="B11"/>
  <c r="F38" i="5"/>
  <c r="S32" i="2" l="1"/>
  <c r="T31"/>
  <c r="AE31" s="1"/>
  <c r="AG31" s="1"/>
  <c r="U32"/>
  <c r="V31"/>
  <c r="AF31" s="1"/>
  <c r="AL36" i="7"/>
  <c r="B12"/>
  <c r="T32" i="2" l="1"/>
  <c r="AE32" s="1"/>
  <c r="AG32" s="1"/>
  <c r="S33"/>
  <c r="U33"/>
  <c r="V32"/>
  <c r="AF32" s="1"/>
  <c r="B13" i="7"/>
  <c r="T33" i="2" l="1"/>
  <c r="AE33" s="1"/>
  <c r="AG33" s="1"/>
  <c r="S34"/>
  <c r="T34" s="1"/>
  <c r="AE34" s="1"/>
  <c r="AG34" s="1"/>
  <c r="V33"/>
  <c r="AF33" s="1"/>
  <c r="U34"/>
  <c r="V34" s="1"/>
  <c r="AF34" s="1"/>
  <c r="B14" i="7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AC34" i="76"/>
  <c r="AB34" s="1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T34" s="1"/>
  <c r="F32" i="81" s="1"/>
  <c r="E32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I3"/>
  <c r="AJ6" i="5"/>
  <c r="J2" i="82"/>
  <c r="U6" i="5"/>
  <c r="U37" s="1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K4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35" i="76" l="1"/>
  <c r="D37" i="73" s="1"/>
  <c r="D4" i="76"/>
  <c r="E4" s="1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G35" i="76" l="1"/>
  <c r="C35"/>
  <c r="I35"/>
  <c r="F4" i="77"/>
  <c r="K35" i="76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s="1"/>
  <c r="AS7" s="1"/>
  <c r="E21" i="82" l="1"/>
  <c r="AS11" i="7"/>
  <c r="AS13"/>
  <c r="AS14"/>
  <c r="AS12"/>
  <c r="AR8"/>
  <c r="AS9" s="1"/>
  <c r="AS6"/>
  <c r="BC15"/>
  <c r="AS10"/>
  <c r="AX12"/>
  <c r="AQ6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K21" i="82" l="1"/>
  <c r="AS8" i="7"/>
  <c r="AX8" s="1"/>
  <c r="G23" i="82"/>
  <c r="I24"/>
  <c r="AX15" i="7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X7"/>
  <c r="AY12"/>
  <c r="I25" i="82" l="1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K23" i="82" l="1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I27" i="82" l="1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V20" i="1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I28" i="82" l="1"/>
  <c r="B24" i="63"/>
  <c r="H28" i="65"/>
  <c r="F28" i="3"/>
  <c r="J26" i="82"/>
  <c r="S26" i="76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K26" i="82" l="1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D29" l="1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Z38" i="5" l="1"/>
  <c r="E29" i="82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R24" i="7" l="1"/>
  <c r="AS24" s="1"/>
  <c r="D32" i="65"/>
  <c r="B29" i="63"/>
  <c r="S31" i="76"/>
  <c r="I26" i="3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F7" i="7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V36" s="1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E8" s="1"/>
  <c r="AF8" s="1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Q10" i="3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AC28" i="76"/>
  <c r="AC27"/>
  <c r="F6" i="77" l="1"/>
  <c r="AC29" i="76"/>
  <c r="AC33" l="1"/>
  <c r="AB33" s="1"/>
  <c r="O34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P34" i="76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E9" i="81" s="1"/>
  <c r="N13" i="2"/>
  <c r="R13" s="1"/>
  <c r="N12"/>
  <c r="R12" s="1"/>
  <c r="N9"/>
  <c r="E7" i="81" s="1"/>
  <c r="N8" i="2"/>
  <c r="E6" i="81" s="1"/>
  <c r="S7" i="76" l="1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R11"/>
  <c r="C5" i="63"/>
  <c r="D5" s="1"/>
  <c r="C7"/>
  <c r="D7" s="1"/>
  <c r="E8" i="81"/>
  <c r="J8" i="65" l="1"/>
  <c r="J12"/>
  <c r="J7"/>
  <c r="J9"/>
  <c r="J6"/>
  <c r="J10"/>
  <c r="N14" i="2"/>
  <c r="E12" i="81" l="1"/>
  <c r="C12" i="63"/>
  <c r="D12" s="1"/>
  <c r="R14" i="2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New power meter installed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<sst xmlns="http://schemas.openxmlformats.org/spreadsheetml/2006/main" count="654" uniqueCount="416">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</sst>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4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18" fillId="0" borderId="64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7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22" fillId="0" borderId="31" xfId="0" applyFont="1" applyBorder="1"/>
    <xf numFmtId="0" fontId="22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2" fillId="0" borderId="44" xfId="0" applyFont="1" applyBorder="1"/>
    <xf numFmtId="0" fontId="22" fillId="0" borderId="23" xfId="0" applyFont="1" applyBorder="1"/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 applyAlignment="1">
      <alignment horizontal="right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67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8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9" xfId="0" applyNumberFormat="1" applyFont="1" applyFill="1" applyBorder="1" applyAlignment="1">
      <alignment vertical="top" wrapText="1"/>
    </xf>
    <xf numFmtId="4" fontId="19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5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2" fillId="0" borderId="71" xfId="0" applyNumberFormat="1" applyFont="1" applyBorder="1"/>
    <xf numFmtId="0" fontId="0" fillId="0" borderId="72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52" xfId="0" applyFont="1" applyBorder="1" applyAlignment="1">
      <alignment vertical="center" wrapText="1"/>
    </xf>
    <xf numFmtId="0" fontId="27" fillId="0" borderId="52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6" fillId="0" borderId="1" xfId="1" applyNumberFormat="1" applyFont="1" applyBorder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8" xfId="0" applyFont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2" fillId="0" borderId="3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0" borderId="4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59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60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6669</c:v>
                </c:pt>
                <c:pt idx="20">
                  <c:v>5877</c:v>
                </c:pt>
                <c:pt idx="21">
                  <c:v>6112</c:v>
                </c:pt>
                <c:pt idx="22">
                  <c:v>610</c:v>
                </c:pt>
                <c:pt idx="23">
                  <c:v>0</c:v>
                </c:pt>
                <c:pt idx="24">
                  <c:v>6232</c:v>
                </c:pt>
                <c:pt idx="25">
                  <c:v>5784</c:v>
                </c:pt>
                <c:pt idx="26">
                  <c:v>7303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53481216"/>
        <c:axId val="153482752"/>
      </c:lineChart>
      <c:catAx>
        <c:axId val="15348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82752"/>
        <c:crosses val="autoZero"/>
        <c:auto val="1"/>
        <c:lblAlgn val="ctr"/>
        <c:lblOffset val="100"/>
      </c:catAx>
      <c:valAx>
        <c:axId val="153482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8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83129600"/>
        <c:axId val="183131136"/>
      </c:lineChart>
      <c:catAx>
        <c:axId val="18312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131136"/>
        <c:crosses val="autoZero"/>
        <c:auto val="1"/>
        <c:lblAlgn val="ctr"/>
        <c:lblOffset val="100"/>
      </c:catAx>
      <c:valAx>
        <c:axId val="183131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12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49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83159808"/>
        <c:axId val="183161600"/>
      </c:lineChart>
      <c:catAx>
        <c:axId val="18315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161600"/>
        <c:crosses val="autoZero"/>
        <c:auto val="1"/>
        <c:lblAlgn val="ctr"/>
        <c:lblOffset val="100"/>
      </c:catAx>
      <c:valAx>
        <c:axId val="1831616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15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84963840"/>
        <c:axId val="184965376"/>
      </c:lineChart>
      <c:catAx>
        <c:axId val="18496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65376"/>
        <c:crosses val="autoZero"/>
        <c:auto val="1"/>
        <c:lblAlgn val="ctr"/>
        <c:lblOffset val="100"/>
      </c:catAx>
      <c:valAx>
        <c:axId val="1849653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6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681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219.57142857142858</c:v>
                </c:pt>
                <c:pt idx="19">
                  <c:v>251</c:v>
                </c:pt>
                <c:pt idx="20">
                  <c:v>240.625</c:v>
                </c:pt>
                <c:pt idx="21">
                  <c:v>0</c:v>
                </c:pt>
                <c:pt idx="22">
                  <c:v>0</c:v>
                </c:pt>
                <c:pt idx="23">
                  <c:v>262</c:v>
                </c:pt>
                <c:pt idx="24">
                  <c:v>203.83333333333334</c:v>
                </c:pt>
                <c:pt idx="25">
                  <c:v>247.4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85424128"/>
        <c:axId val="185446400"/>
      </c:lineChart>
      <c:catAx>
        <c:axId val="18542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46400"/>
        <c:crosses val="autoZero"/>
        <c:auto val="1"/>
        <c:lblAlgn val="ctr"/>
        <c:lblOffset val="100"/>
      </c:catAx>
      <c:valAx>
        <c:axId val="1854464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2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36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3607808"/>
        <c:axId val="133609344"/>
      </c:lineChart>
      <c:catAx>
        <c:axId val="13360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09344"/>
        <c:crosses val="autoZero"/>
        <c:auto val="1"/>
        <c:lblAlgn val="ctr"/>
        <c:lblOffset val="100"/>
      </c:catAx>
      <c:valAx>
        <c:axId val="133609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0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5800704"/>
        <c:axId val="135802240"/>
      </c:lineChart>
      <c:catAx>
        <c:axId val="13580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02240"/>
        <c:crosses val="autoZero"/>
        <c:auto val="1"/>
        <c:lblAlgn val="ctr"/>
        <c:lblOffset val="100"/>
      </c:catAx>
      <c:valAx>
        <c:axId val="135802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0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5835008"/>
        <c:axId val="135844992"/>
      </c:lineChart>
      <c:catAx>
        <c:axId val="13583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44992"/>
        <c:crosses val="autoZero"/>
        <c:auto val="1"/>
        <c:lblAlgn val="ctr"/>
        <c:lblOffset val="100"/>
      </c:catAx>
      <c:valAx>
        <c:axId val="135844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3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23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9848448"/>
        <c:axId val="129849984"/>
      </c:lineChart>
      <c:catAx>
        <c:axId val="12984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49984"/>
        <c:crosses val="autoZero"/>
        <c:auto val="1"/>
        <c:lblAlgn val="ctr"/>
        <c:lblOffset val="100"/>
      </c:catAx>
      <c:valAx>
        <c:axId val="129849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4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945"/>
          <c:w val="0.1272403315177558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9874560"/>
        <c:axId val="129876352"/>
      </c:lineChart>
      <c:catAx>
        <c:axId val="12987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76352"/>
        <c:crosses val="autoZero"/>
        <c:auto val="1"/>
        <c:lblAlgn val="ctr"/>
        <c:lblOffset val="100"/>
      </c:catAx>
      <c:valAx>
        <c:axId val="12987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7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9</c:v>
                </c:pt>
                <c:pt idx="24">
                  <c:v>11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4765312"/>
        <c:axId val="144766848"/>
      </c:lineChart>
      <c:catAx>
        <c:axId val="14476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66848"/>
        <c:crosses val="autoZero"/>
        <c:auto val="1"/>
        <c:lblAlgn val="ctr"/>
        <c:lblOffset val="100"/>
      </c:catAx>
      <c:valAx>
        <c:axId val="1447668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6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4918784"/>
        <c:axId val="144941056"/>
      </c:lineChart>
      <c:catAx>
        <c:axId val="14491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41056"/>
        <c:crosses val="autoZero"/>
        <c:auto val="1"/>
        <c:lblAlgn val="ctr"/>
        <c:lblOffset val="100"/>
      </c:catAx>
      <c:valAx>
        <c:axId val="144941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1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91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81</c:v>
                </c:pt>
                <c:pt idx="4">
                  <c:v>0</c:v>
                </c:pt>
                <c:pt idx="5">
                  <c:v>106</c:v>
                </c:pt>
                <c:pt idx="6">
                  <c:v>102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106</c:v>
                </c:pt>
                <c:pt idx="11">
                  <c:v>64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120</c:v>
                </c:pt>
                <c:pt idx="19">
                  <c:v>127</c:v>
                </c:pt>
                <c:pt idx="20">
                  <c:v>0</c:v>
                </c:pt>
                <c:pt idx="21">
                  <c:v>126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91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5117568"/>
        <c:axId val="145119104"/>
      </c:lineChart>
      <c:catAx>
        <c:axId val="14511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19104"/>
        <c:crosses val="autoZero"/>
        <c:auto val="1"/>
        <c:lblAlgn val="ctr"/>
        <c:lblOffset val="100"/>
      </c:catAx>
      <c:valAx>
        <c:axId val="145119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1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945"/>
          <c:w val="0.1354168853893711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5135488"/>
        <c:axId val="145137024"/>
      </c:lineChart>
      <c:catAx>
        <c:axId val="14513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37024"/>
        <c:crosses val="autoZero"/>
        <c:auto val="1"/>
        <c:lblAlgn val="ctr"/>
        <c:lblOffset val="100"/>
      </c:catAx>
      <c:valAx>
        <c:axId val="145137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3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94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6669</c:v>
                </c:pt>
                <c:pt idx="20">
                  <c:v>5877</c:v>
                </c:pt>
                <c:pt idx="21">
                  <c:v>6112</c:v>
                </c:pt>
                <c:pt idx="22">
                  <c:v>610</c:v>
                </c:pt>
                <c:pt idx="23">
                  <c:v>0</c:v>
                </c:pt>
                <c:pt idx="24">
                  <c:v>6232</c:v>
                </c:pt>
                <c:pt idx="25">
                  <c:v>5784</c:v>
                </c:pt>
                <c:pt idx="26">
                  <c:v>7303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5182720"/>
        <c:axId val="145184256"/>
      </c:lineChart>
      <c:catAx>
        <c:axId val="14518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84256"/>
        <c:crosses val="autoZero"/>
        <c:auto val="1"/>
        <c:lblAlgn val="ctr"/>
        <c:lblOffset val="100"/>
      </c:catAx>
      <c:valAx>
        <c:axId val="145184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8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5208832"/>
        <c:axId val="145210368"/>
      </c:lineChart>
      <c:catAx>
        <c:axId val="14520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10368"/>
        <c:crosses val="autoZero"/>
        <c:auto val="1"/>
        <c:lblAlgn val="ctr"/>
        <c:lblOffset val="100"/>
      </c:catAx>
      <c:valAx>
        <c:axId val="14521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0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945"/>
          <c:w val="0.1354168853893711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9</c:v>
                </c:pt>
                <c:pt idx="24">
                  <c:v>11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5038336"/>
        <c:axId val="145052416"/>
      </c:lineChart>
      <c:catAx>
        <c:axId val="14503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52416"/>
        <c:crosses val="autoZero"/>
        <c:auto val="1"/>
        <c:lblAlgn val="ctr"/>
        <c:lblOffset val="100"/>
      </c:catAx>
      <c:valAx>
        <c:axId val="1450524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3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9548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-5000</c:v>
                </c:pt>
                <c:pt idx="1">
                  <c:v>0</c:v>
                </c:pt>
                <c:pt idx="2">
                  <c:v>3373.4516129032199</c:v>
                </c:pt>
                <c:pt idx="3">
                  <c:v>-990.03225806451519</c:v>
                </c:pt>
                <c:pt idx="4">
                  <c:v>-2383.4193548387047</c:v>
                </c:pt>
                <c:pt idx="5">
                  <c:v>-2453.419354838712</c:v>
                </c:pt>
                <c:pt idx="6">
                  <c:v>-2216.7419354838712</c:v>
                </c:pt>
                <c:pt idx="7">
                  <c:v>0</c:v>
                </c:pt>
                <c:pt idx="8">
                  <c:v>0</c:v>
                </c:pt>
                <c:pt idx="9">
                  <c:v>-1840.0645161290377</c:v>
                </c:pt>
                <c:pt idx="10">
                  <c:v>-1029.7096774193415</c:v>
                </c:pt>
                <c:pt idx="11">
                  <c:v>-2453.4193548387266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-3255.1129032258032</c:v>
                </c:pt>
                <c:pt idx="18">
                  <c:v>-2265.0806451612953</c:v>
                </c:pt>
                <c:pt idx="19">
                  <c:v>-2146.7419354838639</c:v>
                </c:pt>
                <c:pt idx="20">
                  <c:v>-2146.7419354838712</c:v>
                </c:pt>
                <c:pt idx="21">
                  <c:v>-10355</c:v>
                </c:pt>
                <c:pt idx="22">
                  <c:v>0</c:v>
                </c:pt>
                <c:pt idx="23">
                  <c:v>9813.6774193548335</c:v>
                </c:pt>
                <c:pt idx="24">
                  <c:v>-1840.0645161290231</c:v>
                </c:pt>
                <c:pt idx="25">
                  <c:v>-2760.0967741935456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5081088"/>
        <c:axId val="145082624"/>
      </c:lineChart>
      <c:catAx>
        <c:axId val="14508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82624"/>
        <c:crosses val="autoZero"/>
        <c:auto val="1"/>
        <c:lblAlgn val="ctr"/>
        <c:lblOffset val="100"/>
      </c:catAx>
      <c:valAx>
        <c:axId val="145082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8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5091200"/>
        <c:axId val="145314176"/>
      </c:lineChart>
      <c:catAx>
        <c:axId val="14509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14176"/>
        <c:crosses val="autoZero"/>
        <c:auto val="1"/>
        <c:lblAlgn val="ctr"/>
        <c:lblOffset val="100"/>
      </c:catAx>
      <c:valAx>
        <c:axId val="145314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9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15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5346944"/>
        <c:axId val="145348480"/>
      </c:lineChart>
      <c:catAx>
        <c:axId val="14534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48480"/>
        <c:crosses val="autoZero"/>
        <c:auto val="1"/>
        <c:lblAlgn val="ctr"/>
        <c:lblOffset val="100"/>
      </c:catAx>
      <c:valAx>
        <c:axId val="1453484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4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53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5250176"/>
        <c:axId val="145251712"/>
      </c:lineChart>
      <c:catAx>
        <c:axId val="14525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51712"/>
        <c:crosses val="autoZero"/>
        <c:auto val="1"/>
        <c:lblAlgn val="ctr"/>
        <c:lblOffset val="100"/>
      </c:catAx>
      <c:valAx>
        <c:axId val="1452517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5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5280384"/>
        <c:axId val="145282176"/>
      </c:lineChart>
      <c:catAx>
        <c:axId val="14528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82176"/>
        <c:crosses val="autoZero"/>
        <c:auto val="1"/>
        <c:lblAlgn val="ctr"/>
        <c:lblOffset val="100"/>
      </c:catAx>
      <c:valAx>
        <c:axId val="14528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8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31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5384576"/>
        <c:axId val="145386112"/>
      </c:lineChart>
      <c:catAx>
        <c:axId val="14538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86112"/>
        <c:crosses val="autoZero"/>
        <c:auto val="1"/>
        <c:lblAlgn val="ctr"/>
        <c:lblOffset val="100"/>
      </c:catAx>
      <c:valAx>
        <c:axId val="14538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8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94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23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5410688"/>
        <c:axId val="145424768"/>
      </c:lineChart>
      <c:catAx>
        <c:axId val="14541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24768"/>
        <c:crosses val="autoZero"/>
        <c:auto val="1"/>
        <c:lblAlgn val="ctr"/>
        <c:lblOffset val="100"/>
      </c:catAx>
      <c:valAx>
        <c:axId val="14542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1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6812"/>
          <c:w val="0.1234311819809406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5446400"/>
        <c:axId val="145447936"/>
      </c:lineChart>
      <c:catAx>
        <c:axId val="1454464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47936"/>
        <c:crosses val="autoZero"/>
        <c:auto val="1"/>
        <c:lblAlgn val="ctr"/>
        <c:lblOffset val="100"/>
      </c:catAx>
      <c:valAx>
        <c:axId val="1454479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4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401"/>
          <c:w val="0.1569039853282369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219.57142857142858</c:v>
                </c:pt>
                <c:pt idx="19">
                  <c:v>251</c:v>
                </c:pt>
                <c:pt idx="20">
                  <c:v>240.625</c:v>
                </c:pt>
                <c:pt idx="21">
                  <c:v>0</c:v>
                </c:pt>
                <c:pt idx="22">
                  <c:v>0</c:v>
                </c:pt>
                <c:pt idx="23">
                  <c:v>262</c:v>
                </c:pt>
                <c:pt idx="24">
                  <c:v>203.83333333333334</c:v>
                </c:pt>
                <c:pt idx="25">
                  <c:v>247.4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5627776"/>
        <c:axId val="145633664"/>
      </c:lineChart>
      <c:catAx>
        <c:axId val="14562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33664"/>
        <c:crosses val="autoZero"/>
        <c:auto val="1"/>
        <c:lblAlgn val="ctr"/>
        <c:lblOffset val="100"/>
      </c:catAx>
      <c:valAx>
        <c:axId val="145633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2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06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23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5732352"/>
        <c:axId val="145733888"/>
      </c:lineChart>
      <c:catAx>
        <c:axId val="14573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33888"/>
        <c:crosses val="autoZero"/>
        <c:auto val="1"/>
        <c:lblAlgn val="ctr"/>
        <c:lblOffset val="100"/>
      </c:catAx>
      <c:valAx>
        <c:axId val="145733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3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998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50028288"/>
        <c:axId val="150029824"/>
      </c:lineChart>
      <c:catAx>
        <c:axId val="1500282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29824"/>
        <c:crosses val="autoZero"/>
        <c:auto val="1"/>
        <c:lblAlgn val="ctr"/>
        <c:lblOffset val="100"/>
      </c:catAx>
      <c:valAx>
        <c:axId val="1500298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2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40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  <cell r="AB34">
            <v>0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  <cell r="F33">
            <v>4091226</v>
          </cell>
          <cell r="G33">
            <v>169.60000000009313</v>
          </cell>
          <cell r="H33">
            <v>17967768</v>
          </cell>
          <cell r="I33">
            <v>524</v>
          </cell>
          <cell r="J33">
            <v>29530270</v>
          </cell>
          <cell r="K33">
            <v>2988</v>
          </cell>
          <cell r="L33">
            <v>24431942</v>
          </cell>
          <cell r="M33">
            <v>1052</v>
          </cell>
          <cell r="N33">
            <v>6462.6000000000931</v>
          </cell>
          <cell r="O33">
            <v>0</v>
          </cell>
          <cell r="P33">
            <v>18411.684000000001</v>
          </cell>
          <cell r="Q33">
            <v>6333.0000000023574</v>
          </cell>
          <cell r="R33">
            <v>129.59999999773572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33304</v>
          </cell>
          <cell r="X33">
            <v>8</v>
          </cell>
          <cell r="Y33">
            <v>953159</v>
          </cell>
          <cell r="Z33">
            <v>1899</v>
          </cell>
          <cell r="AA33">
            <v>36762</v>
          </cell>
          <cell r="AB33">
            <v>0</v>
          </cell>
          <cell r="AC33">
            <v>1162232</v>
          </cell>
          <cell r="AD33">
            <v>0</v>
          </cell>
          <cell r="AE33">
            <v>8</v>
          </cell>
          <cell r="AF33">
            <v>1899</v>
          </cell>
          <cell r="AG33">
            <v>237.375</v>
          </cell>
        </row>
      </sheetData>
      <sheetData sheetId="3">
        <row r="34">
          <cell r="B34">
            <v>146</v>
          </cell>
          <cell r="C34">
            <v>153</v>
          </cell>
          <cell r="D34">
            <v>7</v>
          </cell>
          <cell r="E34">
            <v>58.660000000000004</v>
          </cell>
          <cell r="F34">
            <v>1890</v>
          </cell>
          <cell r="G34">
            <v>1</v>
          </cell>
          <cell r="H34">
            <v>17095</v>
          </cell>
          <cell r="I34">
            <v>57</v>
          </cell>
          <cell r="J34">
            <v>57</v>
          </cell>
          <cell r="K34">
            <v>2356</v>
          </cell>
          <cell r="L34">
            <v>0</v>
          </cell>
          <cell r="M34">
            <v>173915</v>
          </cell>
          <cell r="N34">
            <v>0</v>
          </cell>
          <cell r="O34">
            <v>1869</v>
          </cell>
          <cell r="P34">
            <v>2129</v>
          </cell>
          <cell r="Q34">
            <v>178720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57</v>
          </cell>
          <cell r="W34">
            <v>0</v>
          </cell>
          <cell r="X34">
            <v>2470</v>
          </cell>
          <cell r="Y34">
            <v>0</v>
          </cell>
          <cell r="Z34">
            <v>139138.1</v>
          </cell>
          <cell r="AA34">
            <v>0</v>
          </cell>
          <cell r="AB34">
            <v>0</v>
          </cell>
          <cell r="AC34">
            <v>1942</v>
          </cell>
          <cell r="AD34">
            <v>0</v>
          </cell>
          <cell r="AE34">
            <v>366072</v>
          </cell>
          <cell r="AF34">
            <v>0</v>
          </cell>
          <cell r="AG34">
            <v>0</v>
          </cell>
          <cell r="AH34">
            <v>0</v>
          </cell>
          <cell r="AI34">
            <v>57</v>
          </cell>
          <cell r="AJ34">
            <v>57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44469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624723</v>
          </cell>
          <cell r="H35">
            <v>0</v>
          </cell>
          <cell r="I35">
            <v>0</v>
          </cell>
          <cell r="J35">
            <v>0</v>
          </cell>
          <cell r="K35">
            <v>6884</v>
          </cell>
          <cell r="L35">
            <v>2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5180</v>
          </cell>
          <cell r="U35">
            <v>4</v>
          </cell>
          <cell r="V35">
            <v>477</v>
          </cell>
          <cell r="W35">
            <v>1</v>
          </cell>
          <cell r="X35">
            <v>153815</v>
          </cell>
          <cell r="Y35">
            <v>85</v>
          </cell>
          <cell r="Z35">
            <v>99258</v>
          </cell>
          <cell r="AA35">
            <v>0</v>
          </cell>
          <cell r="AB35">
            <v>238</v>
          </cell>
          <cell r="AC35">
            <v>779</v>
          </cell>
          <cell r="AD35">
            <v>0</v>
          </cell>
          <cell r="AE35">
            <v>238.2</v>
          </cell>
          <cell r="AF35">
            <v>0</v>
          </cell>
          <cell r="AG35">
            <v>2215.8000000000002</v>
          </cell>
          <cell r="AH35">
            <v>0</v>
          </cell>
          <cell r="AI35">
            <v>0</v>
          </cell>
          <cell r="AJ35">
            <v>0</v>
          </cell>
          <cell r="AK35">
            <v>83</v>
          </cell>
          <cell r="AL35">
            <v>-1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44469</v>
          </cell>
          <cell r="AS35">
            <v>0.9</v>
          </cell>
          <cell r="AT35">
            <v>107</v>
          </cell>
          <cell r="AU35">
            <v>1.1000000000000001</v>
          </cell>
          <cell r="AV35">
            <v>155</v>
          </cell>
          <cell r="AW35">
            <v>2.9</v>
          </cell>
          <cell r="AX35">
            <v>131</v>
          </cell>
          <cell r="AY35">
            <v>96.3</v>
          </cell>
          <cell r="AZ35">
            <v>170.5</v>
          </cell>
          <cell r="BA35">
            <v>379.9</v>
          </cell>
          <cell r="BB35">
            <v>-60.3</v>
          </cell>
          <cell r="BC35">
            <v>-2.2000000000000171</v>
          </cell>
          <cell r="BD35">
            <v>43.5</v>
          </cell>
          <cell r="BE35">
            <v>-19.000000000000014</v>
          </cell>
          <cell r="BF35">
            <v>19.000000000000014</v>
          </cell>
          <cell r="BG35">
            <v>-19.000000000000014</v>
          </cell>
        </row>
      </sheetData>
      <sheetData sheetId="5">
        <row r="32">
          <cell r="A32">
            <v>44469</v>
          </cell>
          <cell r="B32">
            <v>10965</v>
          </cell>
          <cell r="C32">
            <v>8</v>
          </cell>
          <cell r="D32">
            <v>522014.3</v>
          </cell>
          <cell r="E32">
            <v>982.29999999998836</v>
          </cell>
          <cell r="F32">
            <v>122.78749999999854</v>
          </cell>
          <cell r="G32">
            <v>0</v>
          </cell>
          <cell r="H32">
            <v>11055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13131</v>
          </cell>
          <cell r="S32">
            <v>2</v>
          </cell>
          <cell r="T32">
            <v>222244</v>
          </cell>
          <cell r="U32">
            <v>500</v>
          </cell>
          <cell r="V32">
            <v>250</v>
          </cell>
          <cell r="W32">
            <v>0</v>
          </cell>
          <cell r="Y32" t="str">
            <v>ok</v>
          </cell>
          <cell r="Z32">
            <v>10</v>
          </cell>
          <cell r="AA32">
            <v>1482.2999999999884</v>
          </cell>
          <cell r="AB32">
            <v>372.78749999999854</v>
          </cell>
          <cell r="AC32">
            <v>148.22999999999882</v>
          </cell>
          <cell r="AD32">
            <v>6333.0000000023574</v>
          </cell>
          <cell r="AE32">
            <v>633.30000000023574</v>
          </cell>
          <cell r="AF32">
            <v>0.39581250000014734</v>
          </cell>
          <cell r="AG32">
            <v>126.66000000004715</v>
          </cell>
          <cell r="AH32">
            <v>21.569999999951676</v>
          </cell>
          <cell r="AI32">
            <v>1630.0126582284549</v>
          </cell>
          <cell r="AJ32">
            <v>0.25738396624472576</v>
          </cell>
          <cell r="AK32">
            <v>163.00126582284548</v>
          </cell>
        </row>
      </sheetData>
      <sheetData sheetId="6">
        <row r="35">
          <cell r="A35">
            <v>44469</v>
          </cell>
          <cell r="B35">
            <v>146</v>
          </cell>
          <cell r="C35">
            <v>3141.3548387096776</v>
          </cell>
          <cell r="D35">
            <v>146</v>
          </cell>
          <cell r="E35">
            <v>3141.3548387096776</v>
          </cell>
          <cell r="F35">
            <v>146</v>
          </cell>
          <cell r="G35">
            <v>3141.3548387096776</v>
          </cell>
          <cell r="H35">
            <v>146</v>
          </cell>
          <cell r="I35">
            <v>3141.3548387096776</v>
          </cell>
          <cell r="J35">
            <v>146</v>
          </cell>
          <cell r="K35">
            <v>3141.3548387096776</v>
          </cell>
          <cell r="L35">
            <v>146</v>
          </cell>
          <cell r="M35">
            <v>3141.3548387096776</v>
          </cell>
          <cell r="N35">
            <v>146</v>
          </cell>
          <cell r="O35">
            <v>3141.3548387096776</v>
          </cell>
          <cell r="P35">
            <v>146</v>
          </cell>
          <cell r="Q35">
            <v>3141.3548387096776</v>
          </cell>
          <cell r="R35">
            <v>146</v>
          </cell>
          <cell r="S35">
            <v>3141.3548387096776</v>
          </cell>
          <cell r="T35">
            <v>146</v>
          </cell>
          <cell r="U35">
            <v>3141.3548387096776</v>
          </cell>
          <cell r="V35">
            <v>146</v>
          </cell>
          <cell r="W35">
            <v>3141.3548387096776</v>
          </cell>
          <cell r="X35">
            <v>0.47096774193548391</v>
          </cell>
          <cell r="Y35">
            <v>34554.903225806454</v>
          </cell>
          <cell r="Z35">
            <v>153</v>
          </cell>
          <cell r="AA35">
            <v>1530</v>
          </cell>
          <cell r="AB35">
            <v>153</v>
          </cell>
          <cell r="AC35">
            <v>1530</v>
          </cell>
          <cell r="AD35">
            <v>153</v>
          </cell>
          <cell r="AE35">
            <v>1530</v>
          </cell>
          <cell r="AF35">
            <v>153</v>
          </cell>
          <cell r="AG35">
            <v>1530</v>
          </cell>
          <cell r="AH35">
            <v>153</v>
          </cell>
          <cell r="AI35">
            <v>1530</v>
          </cell>
          <cell r="AJ35">
            <v>153</v>
          </cell>
          <cell r="AK35">
            <v>1530</v>
          </cell>
          <cell r="AL35">
            <v>153</v>
          </cell>
          <cell r="AM35">
            <v>1530</v>
          </cell>
          <cell r="AN35">
            <v>0.54642857142857137</v>
          </cell>
          <cell r="AO35">
            <v>10710</v>
          </cell>
          <cell r="AQ35">
            <v>0.48687644644300798</v>
          </cell>
          <cell r="AR35">
            <v>45264.903225806454</v>
          </cell>
          <cell r="AS35">
            <v>-2383.4193548387047</v>
          </cell>
          <cell r="AT35">
            <v>0</v>
          </cell>
          <cell r="AU35">
            <v>0</v>
          </cell>
          <cell r="AV35">
            <v>0.60499999999999998</v>
          </cell>
          <cell r="AW35">
            <v>-57</v>
          </cell>
          <cell r="AX35">
            <v>-2326.4193548387047</v>
          </cell>
          <cell r="AY35">
            <v>-2383.4193548387047</v>
          </cell>
          <cell r="AZ35">
            <v>0</v>
          </cell>
          <cell r="BA35">
            <v>26</v>
          </cell>
          <cell r="BB35">
            <v>0.65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  <cell r="W26">
            <v>398895</v>
          </cell>
          <cell r="Y26">
            <v>80</v>
          </cell>
          <cell r="Z26">
            <v>1</v>
          </cell>
          <cell r="AA26">
            <v>1104</v>
          </cell>
          <cell r="AB26">
            <v>88320</v>
          </cell>
          <cell r="AC26">
            <v>1033333</v>
          </cell>
          <cell r="AD26">
            <v>0.19477769936485531</v>
          </cell>
        </row>
        <row r="27">
          <cell r="V27">
            <v>533436</v>
          </cell>
          <cell r="W27">
            <v>537522</v>
          </cell>
          <cell r="Y27">
            <v>112</v>
          </cell>
          <cell r="Z27">
            <v>1</v>
          </cell>
          <cell r="AA27">
            <v>4086</v>
          </cell>
          <cell r="AB27">
            <v>457632</v>
          </cell>
          <cell r="AC27">
            <v>6200000</v>
          </cell>
          <cell r="AD27">
            <v>0.72088920254057864</v>
          </cell>
        </row>
        <row r="28">
          <cell r="V28">
            <v>158913</v>
          </cell>
          <cell r="W28">
            <v>159392</v>
          </cell>
          <cell r="Y28">
            <v>320</v>
          </cell>
          <cell r="Z28">
            <v>1</v>
          </cell>
          <cell r="AA28">
            <v>479</v>
          </cell>
          <cell r="AB28">
            <v>153280</v>
          </cell>
          <cell r="AC28">
            <v>1000</v>
          </cell>
          <cell r="AD28">
            <v>8.4509527170077633E-2</v>
          </cell>
          <cell r="AE28">
            <v>7664</v>
          </cell>
          <cell r="AF28">
            <v>33940.571428571428</v>
          </cell>
        </row>
        <row r="29">
          <cell r="Y29">
            <v>0</v>
          </cell>
          <cell r="Z29">
            <v>0</v>
          </cell>
          <cell r="AA29">
            <v>5669</v>
          </cell>
          <cell r="AB29">
            <v>0</v>
          </cell>
          <cell r="AC29">
            <v>7234333</v>
          </cell>
        </row>
        <row r="30">
          <cell r="Y30" t="str">
            <v>Per G</v>
          </cell>
          <cell r="Z30">
            <v>0</v>
          </cell>
          <cell r="AA30">
            <v>0</v>
          </cell>
          <cell r="AB30">
            <v>699232</v>
          </cell>
          <cell r="AC30">
            <v>0</v>
          </cell>
        </row>
        <row r="31"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44469</v>
          </cell>
          <cell r="B33">
            <v>1095809</v>
          </cell>
          <cell r="C33">
            <v>353</v>
          </cell>
          <cell r="D33">
            <v>356</v>
          </cell>
          <cell r="E33">
            <v>1095812</v>
          </cell>
          <cell r="F33">
            <v>159392</v>
          </cell>
          <cell r="G33">
            <v>0</v>
          </cell>
          <cell r="H33">
            <v>537522</v>
          </cell>
          <cell r="I33">
            <v>356</v>
          </cell>
          <cell r="J33">
            <v>398895</v>
          </cell>
          <cell r="K33">
            <v>0</v>
          </cell>
          <cell r="L33">
            <v>0</v>
          </cell>
          <cell r="M33">
            <v>26.449087893864014</v>
          </cell>
          <cell r="N33">
            <v>0</v>
          </cell>
          <cell r="O33">
            <v>159.96313985627418</v>
          </cell>
          <cell r="P33">
            <v>186.41222775013819</v>
          </cell>
          <cell r="Q33">
            <v>1337.691129032255</v>
          </cell>
          <cell r="R33">
            <v>1524.1033567823933</v>
          </cell>
          <cell r="S33">
            <v>6462.6000000000931</v>
          </cell>
          <cell r="T33">
            <v>0.23583439432772743</v>
          </cell>
          <cell r="W33">
            <v>325</v>
          </cell>
          <cell r="X33">
            <v>21.666666666666668</v>
          </cell>
          <cell r="Y33">
            <v>21.666666666666668</v>
          </cell>
          <cell r="Z33">
            <v>0</v>
          </cell>
          <cell r="AA33">
            <v>0</v>
          </cell>
          <cell r="AB33">
            <v>7933565</v>
          </cell>
          <cell r="AC33">
            <v>7234333</v>
          </cell>
        </row>
        <row r="35">
          <cell r="AD35">
            <v>4800.4863968148638</v>
          </cell>
        </row>
        <row r="36">
          <cell r="AB36">
            <v>5262.7296849087897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  <cell r="B35">
            <v>2.2000000000000002</v>
          </cell>
          <cell r="C35">
            <v>7.9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6884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  <row r="81">
          <cell r="J81">
            <v>-183.00000000000003</v>
          </cell>
          <cell r="K81">
            <v>176.99999999999997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K14">
            <v>30289.884387096768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25.661290322580644</v>
          </cell>
        </row>
        <row r="17">
          <cell r="B17">
            <v>0</v>
          </cell>
        </row>
        <row r="18">
          <cell r="B18">
            <v>103</v>
          </cell>
        </row>
        <row r="19">
          <cell r="B19">
            <v>3.3225806451612905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2" customWidth="1"/>
    <col min="15" max="15" width="11.7109375" bestFit="1" customWidth="1"/>
  </cols>
  <sheetData>
    <row r="1" spans="1:15" ht="45">
      <c r="A1" s="631" t="s">
        <v>340</v>
      </c>
      <c r="B1" s="631" t="s">
        <v>198</v>
      </c>
      <c r="C1" s="631" t="s">
        <v>341</v>
      </c>
      <c r="D1" s="631" t="s">
        <v>342</v>
      </c>
      <c r="E1" s="632" t="s">
        <v>352</v>
      </c>
      <c r="F1" s="632" t="s">
        <v>353</v>
      </c>
      <c r="G1" s="632" t="s">
        <v>415</v>
      </c>
      <c r="H1" s="632" t="s">
        <v>354</v>
      </c>
      <c r="I1" s="632" t="s">
        <v>355</v>
      </c>
      <c r="J1" s="632" t="s">
        <v>356</v>
      </c>
      <c r="K1" s="632" t="s">
        <v>357</v>
      </c>
      <c r="L1" s="632" t="s">
        <v>358</v>
      </c>
      <c r="M1" s="633" t="s">
        <v>399</v>
      </c>
      <c r="N1" s="480" t="s">
        <v>400</v>
      </c>
      <c r="O1" s="632" t="s">
        <v>343</v>
      </c>
    </row>
    <row r="2" spans="1:15">
      <c r="A2" t="s">
        <v>344</v>
      </c>
      <c r="B2">
        <v>1</v>
      </c>
      <c r="C2">
        <v>10</v>
      </c>
      <c r="D2">
        <v>2021</v>
      </c>
      <c r="E2" s="203">
        <f>ELEC!N4</f>
        <v>0</v>
      </c>
      <c r="F2" s="323">
        <f>SUM('EDl log'!T4)</f>
        <v>0</v>
      </c>
      <c r="G2" s="203">
        <f>-tanks!AW6</f>
        <v>0</v>
      </c>
      <c r="H2" s="323">
        <f>SUM(tanks!AV6)</f>
        <v>0.61499999999999999</v>
      </c>
      <c r="I2" s="10">
        <f>('B5'!AU5)*0.51</f>
        <v>0</v>
      </c>
      <c r="J2" s="303">
        <f>'B5'!AX5/0.51</f>
        <v>1.5686274509803921</v>
      </c>
      <c r="K2" s="203">
        <f>WATER!I6</f>
        <v>0</v>
      </c>
      <c r="L2" s="324">
        <f>SUM(WATER!J6)</f>
        <v>0</v>
      </c>
      <c r="M2" s="324">
        <f>WATER!Q6</f>
        <v>0</v>
      </c>
      <c r="N2" s="481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10</v>
      </c>
      <c r="D3">
        <v>2021</v>
      </c>
      <c r="E3" s="203">
        <f>ELEC!N5</f>
        <v>0</v>
      </c>
      <c r="F3" s="323">
        <f>SUM('EDl log'!T5)</f>
        <v>0</v>
      </c>
      <c r="G3" s="203">
        <f>-tanks!AW7</f>
        <v>0</v>
      </c>
      <c r="H3" s="323">
        <f>SUM(tanks!AV7)</f>
        <v>0.61499999999999999</v>
      </c>
      <c r="I3" s="10">
        <f>('B5'!AU6)*0.51</f>
        <v>0</v>
      </c>
      <c r="J3" s="303">
        <f>'B5'!AX6/0.51</f>
        <v>1.5686274509803921</v>
      </c>
      <c r="K3" s="203">
        <f>WATER!I7</f>
        <v>0</v>
      </c>
      <c r="L3" s="324">
        <f>SUM(WATER!J7)</f>
        <v>0</v>
      </c>
      <c r="M3" s="324">
        <f>WATER!Q7</f>
        <v>0</v>
      </c>
      <c r="N3" s="481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10</v>
      </c>
      <c r="D4">
        <v>2021</v>
      </c>
      <c r="E4" s="203">
        <f>ELEC!N6</f>
        <v>6878</v>
      </c>
      <c r="F4" s="323">
        <f>SUM('EDl log'!T6)</f>
        <v>-0.29039260195814459</v>
      </c>
      <c r="G4" s="203">
        <f>-tanks!AW8</f>
        <v>81</v>
      </c>
      <c r="H4" s="323">
        <f>SUM(tanks!AV8)</f>
        <v>0.61499999999999999</v>
      </c>
      <c r="I4" s="10">
        <f>('B5'!AU7)*0.51</f>
        <v>0</v>
      </c>
      <c r="J4" s="303">
        <f>'B5'!AX7/0.51</f>
        <v>1.5686274509803921</v>
      </c>
      <c r="K4" s="203">
        <f>WATER!I8</f>
        <v>0</v>
      </c>
      <c r="L4" s="324">
        <f>SUM(WATER!J8)</f>
        <v>0</v>
      </c>
      <c r="M4" s="324">
        <f>WATER!Q8</f>
        <v>0</v>
      </c>
      <c r="N4" s="481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10</v>
      </c>
      <c r="D5">
        <v>2021</v>
      </c>
      <c r="E5" s="203">
        <f>ELEC!N7</f>
        <v>2392</v>
      </c>
      <c r="F5" s="323">
        <f>SUM('EDl log'!T7)</f>
        <v>0.35489238632152986</v>
      </c>
      <c r="G5" s="203">
        <f>-tanks!AW9</f>
        <v>0</v>
      </c>
      <c r="H5" s="323">
        <f>SUM(tanks!AV9)</f>
        <v>0.61499999999999999</v>
      </c>
      <c r="I5" s="10">
        <f>('B5'!AU8)*0.51</f>
        <v>0</v>
      </c>
      <c r="J5" s="303">
        <f>'B5'!AX8/0.51</f>
        <v>1.5686274509803921</v>
      </c>
      <c r="K5" s="203">
        <f>WATER!I9</f>
        <v>70</v>
      </c>
      <c r="L5" s="324">
        <f>SUM(WATER!J9)</f>
        <v>3.4562211981566819</v>
      </c>
      <c r="M5" s="324">
        <f>WATER!Q9</f>
        <v>0</v>
      </c>
      <c r="N5" s="481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10</v>
      </c>
      <c r="D6">
        <v>2021</v>
      </c>
      <c r="E6" s="203">
        <f>ELEC!N8</f>
        <v>6443</v>
      </c>
      <c r="F6" s="323">
        <f>SUM('EDl log'!T8)</f>
        <v>0.24423953075199459</v>
      </c>
      <c r="G6" s="203">
        <f>-tanks!AW10</f>
        <v>106</v>
      </c>
      <c r="H6" s="323">
        <f>SUM(tanks!AV10)</f>
        <v>0.61499999999999999</v>
      </c>
      <c r="I6" s="10">
        <f>('B5'!AU9)*0.51</f>
        <v>0</v>
      </c>
      <c r="J6" s="303">
        <f>'B5'!AX9/0.51</f>
        <v>1.5686274509803921</v>
      </c>
      <c r="K6" s="203">
        <f>WATER!I10</f>
        <v>0</v>
      </c>
      <c r="L6" s="324">
        <f>SUM(WATER!J10)</f>
        <v>0</v>
      </c>
      <c r="M6" s="324">
        <f>WATER!Q10</f>
        <v>0</v>
      </c>
      <c r="N6" s="481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10</v>
      </c>
      <c r="D7">
        <v>2021</v>
      </c>
      <c r="E7" s="203">
        <f>ELEC!N9</f>
        <v>7683</v>
      </c>
      <c r="F7" s="323">
        <f>SUM('EDl log'!T9)</f>
        <v>0.21082094190226547</v>
      </c>
      <c r="G7" s="203">
        <f>-tanks!AW11</f>
        <v>102</v>
      </c>
      <c r="H7" s="323">
        <f>SUM(tanks!AV11)</f>
        <v>0.61499999999999999</v>
      </c>
      <c r="I7" s="10">
        <f>('B5'!AU10)*0.51</f>
        <v>0</v>
      </c>
      <c r="J7" s="303">
        <f>'B5'!AX10/0.51</f>
        <v>1.5686274509803921</v>
      </c>
      <c r="K7" s="203">
        <f>WATER!I11</f>
        <v>0</v>
      </c>
      <c r="L7" s="324">
        <f>SUM(WATER!J11)</f>
        <v>0</v>
      </c>
      <c r="M7" s="324">
        <f>WATER!Q11</f>
        <v>0</v>
      </c>
      <c r="N7" s="481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10</v>
      </c>
      <c r="D8">
        <v>2021</v>
      </c>
      <c r="E8" s="203">
        <f>ELEC!N10</f>
        <v>5566</v>
      </c>
      <c r="F8" s="323">
        <f>SUM('EDl log'!T10)</f>
        <v>0.27246142011804525</v>
      </c>
      <c r="G8" s="203">
        <f>-tanks!AW12</f>
        <v>31</v>
      </c>
      <c r="H8" s="323">
        <f>SUM(tanks!AV12)</f>
        <v>0.61499999999999999</v>
      </c>
      <c r="I8" s="10">
        <f>('B5'!AU11)*0.51</f>
        <v>0</v>
      </c>
      <c r="J8" s="303">
        <f>'B5'!AX11/0.51</f>
        <v>1.5686274509803921</v>
      </c>
      <c r="K8" s="203">
        <f>WATER!I12</f>
        <v>73</v>
      </c>
      <c r="L8" s="324">
        <f>SUM(WATER!J12)</f>
        <v>3.3141847105612019</v>
      </c>
      <c r="M8" s="324">
        <f>WATER!Q12</f>
        <v>0</v>
      </c>
      <c r="N8" s="481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10</v>
      </c>
      <c r="D9">
        <v>2021</v>
      </c>
      <c r="E9" s="203">
        <f>ELEC!N11</f>
        <v>0</v>
      </c>
      <c r="F9" s="323">
        <f>SUM('EDl log'!T11)</f>
        <v>0</v>
      </c>
      <c r="G9" s="203">
        <f>-tanks!AW13</f>
        <v>0</v>
      </c>
      <c r="H9" s="323">
        <f>SUM(tanks!AV13)</f>
        <v>0.61499999999999999</v>
      </c>
      <c r="I9" s="10">
        <f>('B5'!AU12)*0.51</f>
        <v>0</v>
      </c>
      <c r="J9" s="303">
        <f>'B5'!AX12/0.51</f>
        <v>1.5686274509803921</v>
      </c>
      <c r="K9" s="203">
        <f>WATER!I13</f>
        <v>0</v>
      </c>
      <c r="L9" s="324">
        <f>SUM(WATER!J13)</f>
        <v>0</v>
      </c>
      <c r="M9" s="324">
        <f>WATER!Q13</f>
        <v>0</v>
      </c>
      <c r="N9" s="481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10</v>
      </c>
      <c r="D10">
        <v>2021</v>
      </c>
      <c r="E10" s="203">
        <f>ELEC!N12</f>
        <v>0</v>
      </c>
      <c r="F10" s="323">
        <f>SUM('EDl log'!T12)</f>
        <v>0</v>
      </c>
      <c r="G10" s="203">
        <f>-tanks!AW14</f>
        <v>0</v>
      </c>
      <c r="H10" s="323">
        <f>SUM(tanks!AV14)</f>
        <v>0.61499999999999999</v>
      </c>
      <c r="I10" s="10">
        <f>('B5'!AU13)*0.51</f>
        <v>0</v>
      </c>
      <c r="J10" s="303">
        <f>'B5'!AX13/0.51</f>
        <v>1.5686274509803921</v>
      </c>
      <c r="K10" s="203">
        <f>WATER!I14</f>
        <v>0</v>
      </c>
      <c r="L10" s="324">
        <f>SUM(WATER!J14)</f>
        <v>0</v>
      </c>
      <c r="M10" s="324">
        <f>WATER!Q14</f>
        <v>0</v>
      </c>
      <c r="N10" s="481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10</v>
      </c>
      <c r="D11">
        <v>2021</v>
      </c>
      <c r="E11" s="203">
        <f>ELEC!N13</f>
        <v>6438</v>
      </c>
      <c r="F11" s="323">
        <f>SUM('EDl log'!T13)</f>
        <v>0.19859852517668058</v>
      </c>
      <c r="G11" s="203">
        <f>-tanks!AW15</f>
        <v>106</v>
      </c>
      <c r="H11" s="323">
        <f>SUM(tanks!AV15)</f>
        <v>0.61499999999999999</v>
      </c>
      <c r="I11" s="10">
        <f>('B5'!AU14)*0.51</f>
        <v>0</v>
      </c>
      <c r="J11" s="303">
        <f>'B5'!AX14/0.51</f>
        <v>1.5686274509803921</v>
      </c>
      <c r="K11" s="203">
        <f>WATER!I15</f>
        <v>0</v>
      </c>
      <c r="L11" s="324">
        <f>SUM(WATER!J15)</f>
        <v>0</v>
      </c>
      <c r="M11" s="324">
        <f>WATER!Q15</f>
        <v>0</v>
      </c>
      <c r="N11" s="481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10</v>
      </c>
      <c r="D12">
        <v>2021</v>
      </c>
      <c r="E12" s="203">
        <f>ELEC!N14</f>
        <v>7769</v>
      </c>
      <c r="F12" s="323">
        <f>SUM('EDl log'!T14)</f>
        <v>9.7366478002682166E-2</v>
      </c>
      <c r="G12" s="203">
        <f>-tanks!AW16</f>
        <v>64</v>
      </c>
      <c r="H12" s="323">
        <f>SUM(tanks!AV16)</f>
        <v>0.59399999999999997</v>
      </c>
      <c r="I12" s="10">
        <f>('B5'!AU15)*0.51</f>
        <v>0</v>
      </c>
      <c r="J12" s="303">
        <f>'B5'!AX15/0.51</f>
        <v>1.5686274509803921</v>
      </c>
      <c r="K12" s="203">
        <f>WATER!I16</f>
        <v>0</v>
      </c>
      <c r="L12" s="324">
        <f>SUM(WATER!J16)</f>
        <v>0</v>
      </c>
      <c r="M12" s="324">
        <f>WATER!Q16</f>
        <v>0</v>
      </c>
      <c r="N12" s="481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10</v>
      </c>
      <c r="D13">
        <v>2021</v>
      </c>
      <c r="E13" s="203">
        <f>ELEC!N15</f>
        <v>6157</v>
      </c>
      <c r="F13" s="323">
        <f>SUM('EDl log'!T15)</f>
        <v>0.26843532509909285</v>
      </c>
      <c r="G13" s="203">
        <f>-tanks!AW17</f>
        <v>49</v>
      </c>
      <c r="H13" s="323">
        <f>SUM(tanks!AV17)</f>
        <v>0.59399999999999997</v>
      </c>
      <c r="I13" s="10">
        <f>('B5'!AU16)*0.51</f>
        <v>0</v>
      </c>
      <c r="J13" s="303">
        <f>'B5'!AX16/0.51</f>
        <v>1.5686274509803921</v>
      </c>
      <c r="K13" s="203">
        <f>WATER!I17</f>
        <v>84</v>
      </c>
      <c r="L13" s="324">
        <f>SUM(WATER!J17)</f>
        <v>2.8801843317972349</v>
      </c>
      <c r="M13" s="324">
        <f>WATER!Q17</f>
        <v>0</v>
      </c>
      <c r="N13" s="481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10</v>
      </c>
      <c r="D14">
        <v>2021</v>
      </c>
      <c r="E14" s="203">
        <f>ELEC!N16</f>
        <v>3381</v>
      </c>
      <c r="F14" s="323">
        <f>SUM('EDl log'!T16)</f>
        <v>4.5786169349478829E-2</v>
      </c>
      <c r="G14" s="203">
        <f>-tanks!AW18</f>
        <v>0</v>
      </c>
      <c r="H14" s="323">
        <f>SUM(tanks!AV18)</f>
        <v>0.59399999999999997</v>
      </c>
      <c r="I14" s="10">
        <f>('B5'!AU17)*0.51</f>
        <v>0</v>
      </c>
      <c r="J14" s="303">
        <f>'B5'!AX17/0.51</f>
        <v>1.5686274509803921</v>
      </c>
      <c r="K14" s="203">
        <f>WATER!I18</f>
        <v>0</v>
      </c>
      <c r="L14" s="324">
        <f>SUM(WATER!J18)</f>
        <v>0</v>
      </c>
      <c r="M14" s="324">
        <f>WATER!Q18</f>
        <v>0</v>
      </c>
      <c r="N14" s="481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10</v>
      </c>
      <c r="D15">
        <v>2021</v>
      </c>
      <c r="E15" s="203">
        <f>ELEC!N17</f>
        <v>0</v>
      </c>
      <c r="F15" s="323">
        <f>SUM('EDl log'!T17)</f>
        <v>0</v>
      </c>
      <c r="G15" s="203">
        <f>-tanks!AW19</f>
        <v>0</v>
      </c>
      <c r="H15" s="323">
        <f>SUM(tanks!AV19)</f>
        <v>0.59399999999999997</v>
      </c>
      <c r="I15" s="10">
        <f>('B5'!AU18)*0.51</f>
        <v>0</v>
      </c>
      <c r="J15" s="303">
        <f>'B5'!AX18/0.51</f>
        <v>1.5686274509803921</v>
      </c>
      <c r="K15" s="203">
        <f>WATER!I19</f>
        <v>0</v>
      </c>
      <c r="L15" s="324">
        <f>SUM(WATER!J19)</f>
        <v>0</v>
      </c>
      <c r="M15" s="324">
        <f>WATER!Q19</f>
        <v>0</v>
      </c>
      <c r="N15" s="481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10</v>
      </c>
      <c r="D16">
        <v>2021</v>
      </c>
      <c r="E16" s="203">
        <f>ELEC!N18</f>
        <v>0</v>
      </c>
      <c r="F16" s="323">
        <f>SUM('EDl log'!T18)</f>
        <v>0</v>
      </c>
      <c r="G16" s="203">
        <f>-tanks!AW20</f>
        <v>0</v>
      </c>
      <c r="H16" s="323">
        <f>SUM(tanks!AV20)</f>
        <v>0.59399999999999997</v>
      </c>
      <c r="I16" s="10">
        <f>('B5'!AU19)*0.51</f>
        <v>0</v>
      </c>
      <c r="J16" s="303">
        <f>'B5'!AX19/0.51</f>
        <v>1.5686274509803921</v>
      </c>
      <c r="K16" s="203">
        <f>WATER!I20</f>
        <v>0</v>
      </c>
      <c r="L16" s="324">
        <f>SUM(WATER!J20)</f>
        <v>0</v>
      </c>
      <c r="M16" s="324">
        <f>WATER!Q20</f>
        <v>0</v>
      </c>
      <c r="N16" s="481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10</v>
      </c>
      <c r="D17">
        <v>2021</v>
      </c>
      <c r="E17" s="203">
        <f>ELEC!N19</f>
        <v>0</v>
      </c>
      <c r="F17" s="323">
        <f>SUM('EDl log'!T19)</f>
        <v>0</v>
      </c>
      <c r="G17" s="203">
        <f>-tanks!AW21</f>
        <v>0</v>
      </c>
      <c r="H17" s="323">
        <f>SUM(tanks!AV21)</f>
        <v>0.59399999999999997</v>
      </c>
      <c r="I17" s="10">
        <f>('B5'!AU20)*0.51</f>
        <v>0</v>
      </c>
      <c r="J17" s="303">
        <f>'B5'!AX20/0.51</f>
        <v>1.5686274509803921</v>
      </c>
      <c r="K17" s="203">
        <f>WATER!I21</f>
        <v>0</v>
      </c>
      <c r="L17" s="324">
        <f>SUM(WATER!J21)</f>
        <v>0</v>
      </c>
      <c r="M17" s="324">
        <f>WATER!Q21</f>
        <v>0</v>
      </c>
      <c r="N17" s="481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10</v>
      </c>
      <c r="D18">
        <v>2021</v>
      </c>
      <c r="E18" s="203">
        <f>ELEC!N20</f>
        <v>0</v>
      </c>
      <c r="F18" s="323">
        <f>SUM('EDl log'!T20)</f>
        <v>0</v>
      </c>
      <c r="G18" s="203">
        <f>-tanks!AW22</f>
        <v>0</v>
      </c>
      <c r="H18" s="323">
        <f>SUM(tanks!AV22)</f>
        <v>0.59399999999999997</v>
      </c>
      <c r="I18" s="10">
        <f>('B5'!AU21)*0.51</f>
        <v>0</v>
      </c>
      <c r="J18" s="303">
        <f>'B5'!AX21/0.51</f>
        <v>1.5686274509803921</v>
      </c>
      <c r="K18" s="203">
        <f>WATER!I22</f>
        <v>0</v>
      </c>
      <c r="L18" s="324">
        <f>SUM(WATER!J22)</f>
        <v>0</v>
      </c>
      <c r="M18" s="324">
        <f>WATER!Q22</f>
        <v>0</v>
      </c>
      <c r="N18" s="481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10</v>
      </c>
      <c r="D19">
        <v>2021</v>
      </c>
      <c r="E19" s="203">
        <f>ELEC!N21</f>
        <v>9746</v>
      </c>
      <c r="F19" s="323">
        <f>SUM('EDl log'!T21)</f>
        <v>0.21914923663031025</v>
      </c>
      <c r="G19" s="203">
        <f>-tanks!AW23</f>
        <v>120</v>
      </c>
      <c r="H19" s="323">
        <f>SUM(tanks!AV23)</f>
        <v>0.59399999999999997</v>
      </c>
      <c r="I19" s="10">
        <f>('B5'!AU22)*0.51</f>
        <v>0</v>
      </c>
      <c r="J19" s="303">
        <f>'B5'!AX22/0.51</f>
        <v>1.5686274509803921</v>
      </c>
      <c r="K19" s="203">
        <f>WATER!I23</f>
        <v>29</v>
      </c>
      <c r="L19" s="324">
        <f>SUM(WATER!J23)</f>
        <v>8.3426028921023363</v>
      </c>
      <c r="M19" s="324">
        <f>WATER!Q23</f>
        <v>0</v>
      </c>
      <c r="N19" s="481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10</v>
      </c>
      <c r="D20">
        <v>2021</v>
      </c>
      <c r="E20" s="203">
        <f>ELEC!N22</f>
        <v>6669</v>
      </c>
      <c r="F20" s="323">
        <f>SUM('EDl log'!T22)</f>
        <v>0.22294606095457717</v>
      </c>
      <c r="G20" s="203">
        <f>-tanks!AW24</f>
        <v>127</v>
      </c>
      <c r="H20" s="323">
        <f>SUM(tanks!AV24)</f>
        <v>0.59399999999999997</v>
      </c>
      <c r="I20" s="10">
        <f>('B5'!AU23)*0.51</f>
        <v>0</v>
      </c>
      <c r="J20" s="303">
        <f>'B5'!AX23/0.51</f>
        <v>1.5686274509803921</v>
      </c>
      <c r="K20" s="203">
        <f>WATER!I24</f>
        <v>68</v>
      </c>
      <c r="L20" s="324">
        <f>SUM(WATER!J24)</f>
        <v>3.5578747628083494</v>
      </c>
      <c r="M20" s="324">
        <f>WATER!Q24</f>
        <v>0</v>
      </c>
      <c r="N20" s="481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10</v>
      </c>
      <c r="D21">
        <v>2021</v>
      </c>
      <c r="E21" s="203">
        <f>ELEC!N23</f>
        <v>5877</v>
      </c>
      <c r="F21" s="323">
        <f>SUM('EDl log'!T23)</f>
        <v>0.25636691716375648</v>
      </c>
      <c r="G21" s="203">
        <f>-tanks!AW25</f>
        <v>0</v>
      </c>
      <c r="H21" s="323">
        <f>SUM(tanks!AV25)</f>
        <v>0.59399999999999997</v>
      </c>
      <c r="I21" s="10">
        <f>('B5'!AU24)*0.51</f>
        <v>0</v>
      </c>
      <c r="J21" s="303">
        <f>'B5'!AX24/0.51</f>
        <v>1.5686274509803921</v>
      </c>
      <c r="K21" s="203">
        <f>WATER!I25</f>
        <v>0</v>
      </c>
      <c r="L21" s="324">
        <f>SUM(WATER!J25)</f>
        <v>0</v>
      </c>
      <c r="M21" s="324">
        <f>WATER!Q25</f>
        <v>0</v>
      </c>
      <c r="N21" s="481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10</v>
      </c>
      <c r="D22">
        <v>2021</v>
      </c>
      <c r="E22" s="203">
        <f>ELEC!N24</f>
        <v>6112</v>
      </c>
      <c r="F22" s="323">
        <f>SUM('EDl log'!T24)</f>
        <v>0.23130321733917536</v>
      </c>
      <c r="G22" s="203">
        <f>-tanks!AW26</f>
        <v>126</v>
      </c>
      <c r="H22" s="323">
        <f>SUM(tanks!AV26)</f>
        <v>0.59399999999999997</v>
      </c>
      <c r="I22" s="10">
        <f>('B5'!AU25)*0.51</f>
        <v>0</v>
      </c>
      <c r="J22" s="303">
        <f>'B5'!AX25/0.51</f>
        <v>1.5686274509803921</v>
      </c>
      <c r="K22" s="203">
        <f>WATER!I26</f>
        <v>0</v>
      </c>
      <c r="L22" s="324">
        <f>SUM(WATER!J26)</f>
        <v>0</v>
      </c>
      <c r="M22" s="324">
        <f>WATER!Q26</f>
        <v>0</v>
      </c>
      <c r="N22" s="481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10</v>
      </c>
      <c r="D23">
        <v>2021</v>
      </c>
      <c r="E23" s="203">
        <f>ELEC!N25</f>
        <v>610</v>
      </c>
      <c r="F23" s="323">
        <f>SUM('EDl log'!T25)</f>
        <v>10.829455800935392</v>
      </c>
      <c r="G23" s="203">
        <f>-tanks!AW27</f>
        <v>0</v>
      </c>
      <c r="H23" s="323">
        <f>SUM(tanks!AV27)</f>
        <v>0.66</v>
      </c>
      <c r="I23" s="10">
        <f>('B5'!AU26)*0.51</f>
        <v>0</v>
      </c>
      <c r="J23" s="303">
        <f>'B5'!AX26/0.51</f>
        <v>1.5686274509803921</v>
      </c>
      <c r="K23" s="203">
        <f>WATER!I27</f>
        <v>0</v>
      </c>
      <c r="L23" s="324">
        <f>SUM(WATER!J27)</f>
        <v>0</v>
      </c>
      <c r="M23" s="324">
        <f>WATER!Q27</f>
        <v>0</v>
      </c>
      <c r="N23" s="481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10</v>
      </c>
      <c r="D24">
        <v>2021</v>
      </c>
      <c r="E24" s="203">
        <f>ELEC!N26</f>
        <v>0</v>
      </c>
      <c r="F24" s="323">
        <f>SUM('EDl log'!T26)</f>
        <v>0</v>
      </c>
      <c r="G24" s="203">
        <f>-tanks!AW28</f>
        <v>0</v>
      </c>
      <c r="H24" s="323">
        <f>SUM(tanks!AV28)</f>
        <v>0.66</v>
      </c>
      <c r="I24" s="10">
        <f>('B5'!AU27)*0.51</f>
        <v>0</v>
      </c>
      <c r="J24" s="303">
        <f>'B5'!AX27/0.51</f>
        <v>1.5686274509803921</v>
      </c>
      <c r="K24" s="203">
        <f>WATER!I28</f>
        <v>0</v>
      </c>
      <c r="L24" s="324">
        <f>SUM(WATER!J28)</f>
        <v>0</v>
      </c>
      <c r="M24" s="324">
        <f>WATER!Q28</f>
        <v>0</v>
      </c>
      <c r="N24" s="481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10</v>
      </c>
      <c r="D25">
        <v>2021</v>
      </c>
      <c r="E25" s="203">
        <f>ELEC!N27</f>
        <v>6232</v>
      </c>
      <c r="F25" s="323">
        <f>SUM('EDl log'!T27)</f>
        <v>-0.96351042902558959</v>
      </c>
      <c r="G25" s="203">
        <f>-tanks!AW29</f>
        <v>73</v>
      </c>
      <c r="H25" s="323">
        <f>SUM(tanks!AV29)</f>
        <v>0.66</v>
      </c>
      <c r="I25" s="10">
        <f>('B5'!AU28)*0.51</f>
        <v>0</v>
      </c>
      <c r="J25" s="303">
        <f>'B5'!AX28/0.51</f>
        <v>1.5686274509803921</v>
      </c>
      <c r="K25" s="203">
        <f>WATER!I29</f>
        <v>0</v>
      </c>
      <c r="L25" s="324">
        <f>SUM(WATER!J29)</f>
        <v>0</v>
      </c>
      <c r="M25" s="324">
        <f>WATER!Q29</f>
        <v>0</v>
      </c>
      <c r="N25" s="481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10</v>
      </c>
      <c r="D26">
        <v>2021</v>
      </c>
      <c r="E26" s="203">
        <f>ELEC!N28</f>
        <v>5784</v>
      </c>
      <c r="F26" s="323">
        <f>SUM('EDl log'!T28)</f>
        <v>0.2151573706983004</v>
      </c>
      <c r="G26" s="203">
        <f>-tanks!AW30</f>
        <v>91</v>
      </c>
      <c r="H26" s="323">
        <f>SUM(tanks!AV30)</f>
        <v>0.66</v>
      </c>
      <c r="I26" s="10">
        <f>('B5'!AU29)*0.51</f>
        <v>0</v>
      </c>
      <c r="J26" s="303">
        <f>'B5'!AX29/0.51</f>
        <v>1.5686274509803921</v>
      </c>
      <c r="K26" s="203">
        <f>WATER!I30</f>
        <v>0</v>
      </c>
      <c r="L26" s="324">
        <f>SUM(WATER!J30)</f>
        <v>0</v>
      </c>
      <c r="M26" s="324">
        <f>WATER!Q30</f>
        <v>0</v>
      </c>
      <c r="N26" s="481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10</v>
      </c>
      <c r="D27">
        <v>2021</v>
      </c>
      <c r="E27" s="203">
        <f>ELEC!N29</f>
        <v>7303</v>
      </c>
      <c r="F27" s="323">
        <f>SUM('EDl log'!T29)</f>
        <v>0.26556855308163635</v>
      </c>
      <c r="G27" s="203">
        <f>-tanks!AW31</f>
        <v>0</v>
      </c>
      <c r="H27" s="323">
        <f>SUM(tanks!AV31)</f>
        <v>0.66</v>
      </c>
      <c r="I27" s="10">
        <f>('B5'!AU30)*0.51</f>
        <v>0</v>
      </c>
      <c r="J27" s="303">
        <f>'B5'!AX30/0.51</f>
        <v>1.5686274509803921</v>
      </c>
      <c r="K27" s="203">
        <f>WATER!I31</f>
        <v>0</v>
      </c>
      <c r="L27" s="324">
        <f>SUM(WATER!J31)</f>
        <v>0</v>
      </c>
      <c r="M27" s="324">
        <f>WATER!Q31</f>
        <v>0</v>
      </c>
      <c r="N27" s="481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10</v>
      </c>
      <c r="D28">
        <v>2021</v>
      </c>
      <c r="E28" s="203">
        <f>ELEC!N30</f>
        <v>0</v>
      </c>
      <c r="F28" s="323">
        <f>SUM('EDl log'!T30)</f>
        <v>0</v>
      </c>
      <c r="G28" s="203">
        <f>-tanks!AW32</f>
        <v>0</v>
      </c>
      <c r="H28" s="323">
        <f>SUM(tanks!AV32)</f>
        <v>0.66</v>
      </c>
      <c r="I28" s="10">
        <f>('B5'!AU31)*0.51</f>
        <v>0</v>
      </c>
      <c r="J28" s="303">
        <f>'B5'!AX31/0.51</f>
        <v>1.5686274509803921</v>
      </c>
      <c r="K28" s="203">
        <f>WATER!I32</f>
        <v>0</v>
      </c>
      <c r="L28" s="324">
        <f>SUM(WATER!J32)</f>
        <v>0</v>
      </c>
      <c r="M28" s="324">
        <f>WATER!Q32</f>
        <v>0</v>
      </c>
      <c r="N28" s="481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10</v>
      </c>
      <c r="D29">
        <v>2021</v>
      </c>
      <c r="E29" s="203">
        <f>ELEC!N31</f>
        <v>0</v>
      </c>
      <c r="F29" s="323">
        <f>SUM('EDl log'!T31)</f>
        <v>0</v>
      </c>
      <c r="G29" s="203">
        <f>-tanks!AW33</f>
        <v>0</v>
      </c>
      <c r="H29" s="323">
        <f>SUM(tanks!AV33)</f>
        <v>0.66</v>
      </c>
      <c r="I29" s="10">
        <f>('B5'!AU32)*0.51</f>
        <v>0</v>
      </c>
      <c r="J29" s="303">
        <f>'B5'!AX32/0.51</f>
        <v>1.5686274509803921</v>
      </c>
      <c r="K29" s="203">
        <f>WATER!I33</f>
        <v>0</v>
      </c>
      <c r="L29" s="324">
        <f>SUM(WATER!J33)</f>
        <v>0</v>
      </c>
      <c r="M29" s="324">
        <f>WATER!Q33</f>
        <v>0</v>
      </c>
      <c r="N29" s="481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10</v>
      </c>
      <c r="D30">
        <v>2021</v>
      </c>
      <c r="E30" s="203">
        <f>ELEC!N32</f>
        <v>0</v>
      </c>
      <c r="F30" s="323">
        <f>SUM('EDl log'!T32)</f>
        <v>0</v>
      </c>
      <c r="G30" s="203">
        <f>-tanks!AW34</f>
        <v>0</v>
      </c>
      <c r="H30" s="323">
        <f>SUM(tanks!AV34)</f>
        <v>0.66</v>
      </c>
      <c r="I30" s="10">
        <f>('B5'!AU33)*0.51</f>
        <v>0</v>
      </c>
      <c r="J30" s="303">
        <f>'B5'!AX33/0.51</f>
        <v>1.5686274509803921</v>
      </c>
      <c r="K30" s="203">
        <f>WATER!I34</f>
        <v>0</v>
      </c>
      <c r="L30" s="324">
        <f>SUM(WATER!J34)</f>
        <v>0</v>
      </c>
      <c r="M30" s="324">
        <f>WATER!Q34</f>
        <v>0</v>
      </c>
      <c r="N30" s="481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10</v>
      </c>
      <c r="D31">
        <v>2021</v>
      </c>
      <c r="E31" s="203">
        <f>ELEC!N33</f>
        <v>0</v>
      </c>
      <c r="F31" s="323">
        <f>SUM('EDl log'!T33)</f>
        <v>0</v>
      </c>
      <c r="G31" s="203">
        <f>-tanks!AW35</f>
        <v>0</v>
      </c>
      <c r="H31" s="323">
        <f>SUM(tanks!AV35)</f>
        <v>0.66</v>
      </c>
      <c r="I31" s="10">
        <f>('B5'!AU34)*0.51</f>
        <v>0</v>
      </c>
      <c r="J31" s="303">
        <f>'B5'!AX34/0.51</f>
        <v>1.5686274509803921</v>
      </c>
      <c r="K31" s="203">
        <f>WATER!I35</f>
        <v>0</v>
      </c>
      <c r="L31" s="324">
        <f>SUM(WATER!J35)</f>
        <v>0</v>
      </c>
      <c r="M31" s="324">
        <f>WATER!Q35</f>
        <v>0</v>
      </c>
      <c r="N31" s="481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10</v>
      </c>
      <c r="D32">
        <v>2021</v>
      </c>
      <c r="E32" s="203">
        <f>ELEC!N34</f>
        <v>0</v>
      </c>
      <c r="F32" s="323">
        <f>SUM('EDl log'!T34)</f>
        <v>0</v>
      </c>
      <c r="G32" s="203">
        <f>-tanks!AW36</f>
        <v>0</v>
      </c>
      <c r="H32" s="323">
        <f>SUM(tanks!AV36)</f>
        <v>0.66</v>
      </c>
      <c r="I32" s="10">
        <f>('B5'!AU35)*0.51</f>
        <v>0</v>
      </c>
      <c r="J32" s="303">
        <f>'B5'!AX35/0.51</f>
        <v>1.5686274509803921</v>
      </c>
      <c r="K32" s="203">
        <f>WATER!I36</f>
        <v>0</v>
      </c>
      <c r="L32" s="324">
        <f>SUM(WATER!J36)</f>
        <v>0</v>
      </c>
      <c r="M32" s="324">
        <f>WATER!Q36</f>
        <v>0</v>
      </c>
      <c r="N32" s="481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F30" sqref="F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10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10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10</v>
      </c>
      <c r="D4">
        <v>2021</v>
      </c>
      <c r="E4" s="203">
        <f>ELEC!M6</f>
        <v>1076</v>
      </c>
      <c r="F4" s="203">
        <f>ELEC!K6</f>
        <v>2878</v>
      </c>
      <c r="G4" s="203">
        <f>ELEC!I6</f>
        <v>546</v>
      </c>
      <c r="H4" s="203">
        <f>ELEC!E6</f>
        <v>2378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10</v>
      </c>
      <c r="D5">
        <v>2021</v>
      </c>
      <c r="E5" s="203">
        <f>ELEC!M7</f>
        <v>928</v>
      </c>
      <c r="F5" s="203">
        <f>ELEC!K7</f>
        <v>798</v>
      </c>
      <c r="G5" s="203">
        <f>ELEC!I7</f>
        <v>584</v>
      </c>
      <c r="H5" s="203">
        <f>ELEC!E7</f>
        <v>0</v>
      </c>
      <c r="I5" s="203">
        <f>ELEC!G7</f>
        <v>82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10</v>
      </c>
      <c r="D6">
        <v>2021</v>
      </c>
      <c r="E6" s="203">
        <f>ELEC!M8</f>
        <v>1044</v>
      </c>
      <c r="F6" s="203">
        <f>ELEC!K8</f>
        <v>1182</v>
      </c>
      <c r="G6" s="203">
        <f>ELEC!I8</f>
        <v>550</v>
      </c>
      <c r="H6" s="203">
        <f>ELEC!E8</f>
        <v>3335</v>
      </c>
      <c r="I6" s="203">
        <f>ELEC!G8</f>
        <v>332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10</v>
      </c>
      <c r="D7">
        <v>2021</v>
      </c>
      <c r="E7" s="203">
        <f>ELEC!M9</f>
        <v>1248</v>
      </c>
      <c r="F7" s="203">
        <f>ELEC!K9</f>
        <v>1382</v>
      </c>
      <c r="G7" s="203">
        <f>ELEC!I9</f>
        <v>638</v>
      </c>
      <c r="H7" s="203">
        <f>ELEC!E9</f>
        <v>4015</v>
      </c>
      <c r="I7" s="203">
        <f>ELEC!G9</f>
        <v>400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10</v>
      </c>
      <c r="D8">
        <v>2021</v>
      </c>
      <c r="E8" s="203">
        <f>ELEC!M10</f>
        <v>912</v>
      </c>
      <c r="F8" s="203">
        <f>ELEC!K10</f>
        <v>1786</v>
      </c>
      <c r="G8" s="203">
        <f>ELEC!I10</f>
        <v>436</v>
      </c>
      <c r="H8" s="203">
        <f>ELEC!E10</f>
        <v>2152</v>
      </c>
      <c r="I8" s="203">
        <f>ELEC!G10</f>
        <v>280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10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10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10</v>
      </c>
      <c r="D11">
        <v>2021</v>
      </c>
      <c r="E11" s="203">
        <f>ELEC!M13</f>
        <v>1020</v>
      </c>
      <c r="F11" s="203">
        <f>ELEC!K13</f>
        <v>2612</v>
      </c>
      <c r="G11" s="203">
        <f>ELEC!I13</f>
        <v>412</v>
      </c>
      <c r="H11" s="203">
        <f>ELEC!E13</f>
        <v>2065</v>
      </c>
      <c r="I11" s="203">
        <f>ELEC!G13</f>
        <v>329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10</v>
      </c>
      <c r="D12">
        <v>2021</v>
      </c>
      <c r="E12" s="203">
        <f>ELEC!M14</f>
        <v>1208</v>
      </c>
      <c r="F12" s="203">
        <f>ELEC!K14</f>
        <v>3018</v>
      </c>
      <c r="G12" s="203">
        <f>ELEC!I14</f>
        <v>612</v>
      </c>
      <c r="H12" s="203">
        <f>ELEC!E14</f>
        <v>2546</v>
      </c>
      <c r="I12" s="203">
        <f>ELEC!G14</f>
        <v>385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10</v>
      </c>
      <c r="D13">
        <v>2021</v>
      </c>
      <c r="E13" s="203">
        <f>ELEC!M15</f>
        <v>1084</v>
      </c>
      <c r="F13" s="203">
        <f>ELEC!K15</f>
        <v>2746</v>
      </c>
      <c r="G13" s="203">
        <f>ELEC!I15</f>
        <v>548</v>
      </c>
      <c r="H13" s="203">
        <f>ELEC!E15</f>
        <v>1334</v>
      </c>
      <c r="I13" s="203">
        <f>ELEC!G15</f>
        <v>445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10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3381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10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10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10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10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10</v>
      </c>
      <c r="D19">
        <v>2021</v>
      </c>
      <c r="E19" s="203">
        <f>ELEC!M21</f>
        <v>1568</v>
      </c>
      <c r="F19" s="203">
        <f>ELEC!K21</f>
        <v>4198</v>
      </c>
      <c r="G19" s="203">
        <f>ELEC!I21</f>
        <v>842</v>
      </c>
      <c r="H19" s="203">
        <f>ELEC!E21</f>
        <v>2619</v>
      </c>
      <c r="I19" s="203">
        <f>ELEC!G21</f>
        <v>519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10</v>
      </c>
      <c r="D20">
        <v>2021</v>
      </c>
      <c r="E20" s="203">
        <f>ELEC!M22</f>
        <v>1096</v>
      </c>
      <c r="F20" s="203">
        <f>ELEC!K22</f>
        <v>2648</v>
      </c>
      <c r="G20" s="203">
        <f>ELEC!I22</f>
        <v>554</v>
      </c>
      <c r="H20" s="203">
        <f>ELEC!E22</f>
        <v>2027</v>
      </c>
      <c r="I20" s="203">
        <f>ELEC!G22</f>
        <v>344</v>
      </c>
      <c r="J20" s="203">
        <f>WATER!Y24</f>
        <v>83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10</v>
      </c>
      <c r="D21">
        <v>2021</v>
      </c>
      <c r="E21" s="203">
        <f>ELEC!M23</f>
        <v>1014</v>
      </c>
      <c r="F21" s="203">
        <f>ELEC!K23</f>
        <v>1600</v>
      </c>
      <c r="G21" s="203">
        <f>ELEC!I23</f>
        <v>508</v>
      </c>
      <c r="H21" s="203">
        <f>ELEC!E23</f>
        <v>2451</v>
      </c>
      <c r="I21" s="203">
        <f>ELEC!G23</f>
        <v>304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10</v>
      </c>
      <c r="D22">
        <v>2021</v>
      </c>
      <c r="E22" s="203">
        <f>ELEC!M24</f>
        <v>1082</v>
      </c>
      <c r="F22" s="203">
        <f>ELEC!K24</f>
        <v>1574</v>
      </c>
      <c r="G22" s="203">
        <f>ELEC!I24</f>
        <v>580</v>
      </c>
      <c r="H22" s="203">
        <f>ELEC!E24</f>
        <v>2522</v>
      </c>
      <c r="I22" s="203">
        <f>ELEC!G24</f>
        <v>354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10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610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10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10</v>
      </c>
      <c r="D25">
        <v>2021</v>
      </c>
      <c r="E25" s="203">
        <f>ELEC!M27</f>
        <v>976</v>
      </c>
      <c r="F25" s="203">
        <f>ELEC!K27</f>
        <v>1374</v>
      </c>
      <c r="G25" s="203">
        <f>ELEC!I27</f>
        <v>544</v>
      </c>
      <c r="H25" s="203">
        <f>ELEC!E27</f>
        <v>3012</v>
      </c>
      <c r="I25" s="203">
        <f>ELEC!G27</f>
        <v>326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10</v>
      </c>
      <c r="D26">
        <v>2021</v>
      </c>
      <c r="E26" s="203">
        <f>ELEC!M28</f>
        <v>1034</v>
      </c>
      <c r="F26" s="203">
        <f>ELEC!K28</f>
        <v>2476</v>
      </c>
      <c r="G26" s="203">
        <f>ELEC!I28</f>
        <v>558</v>
      </c>
      <c r="H26" s="203">
        <f>ELEC!E28</f>
        <v>1378</v>
      </c>
      <c r="I26" s="203">
        <f>ELEC!G28</f>
        <v>338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10</v>
      </c>
      <c r="D27">
        <v>2021</v>
      </c>
      <c r="E27" s="203">
        <f>ELEC!M29</f>
        <v>1350</v>
      </c>
      <c r="F27" s="203">
        <f>ELEC!K29</f>
        <v>2782</v>
      </c>
      <c r="G27" s="203">
        <f>ELEC!I29</f>
        <v>724</v>
      </c>
      <c r="H27" s="203">
        <f>ELEC!E29</f>
        <v>2000</v>
      </c>
      <c r="I27" s="203">
        <f>ELEC!G29</f>
        <v>447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10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10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10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10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10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381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abSelected="1" topLeftCell="T1" zoomScale="70" zoomScaleNormal="70" zoomScaleSheetLayoutView="100" workbookViewId="0">
      <pane ySplit="2" topLeftCell="A6" activePane="bottomLeft" state="frozen"/>
      <selection activeCell="C1" sqref="C1"/>
      <selection pane="bottomLeft" activeCell="Y29" sqref="Y29"/>
    </sheetView>
  </sheetViews>
  <sheetFormatPr defaultColWidth="9.28515625" defaultRowHeight="15"/>
  <cols>
    <col min="1" max="1" width="7.7109375" style="455" bestFit="1" customWidth="1"/>
    <col min="2" max="2" width="10.28515625" style="463" bestFit="1" customWidth="1"/>
    <col min="3" max="3" width="11.5703125" style="455" customWidth="1"/>
    <col min="4" max="4" width="18" style="464" bestFit="1" customWidth="1"/>
    <col min="5" max="5" width="14.85546875" style="464" bestFit="1" customWidth="1"/>
    <col min="6" max="6" width="15.28515625" style="464" bestFit="1" customWidth="1"/>
    <col min="7" max="7" width="12.5703125" style="464" bestFit="1" customWidth="1"/>
    <col min="8" max="8" width="18" style="464" bestFit="1" customWidth="1"/>
    <col min="9" max="9" width="13.140625" style="464" bestFit="1" customWidth="1"/>
    <col min="10" max="10" width="18" style="464" bestFit="1" customWidth="1"/>
    <col min="11" max="11" width="11.7109375" style="464" customWidth="1"/>
    <col min="12" max="12" width="18" style="464" bestFit="1" customWidth="1"/>
    <col min="13" max="13" width="13.140625" style="464" bestFit="1" customWidth="1"/>
    <col min="14" max="14" width="15.42578125" style="455" bestFit="1" customWidth="1"/>
    <col min="15" max="15" width="13.28515625" style="465" bestFit="1" customWidth="1"/>
    <col min="16" max="16" width="14.28515625" style="455" bestFit="1" customWidth="1"/>
    <col min="17" max="17" width="13.7109375" style="455" bestFit="1" customWidth="1"/>
    <col min="18" max="18" width="12.42578125" style="455" bestFit="1" customWidth="1"/>
    <col min="19" max="21" width="11.5703125" style="455" bestFit="1" customWidth="1"/>
    <col min="22" max="22" width="13.28515625" style="455" bestFit="1" customWidth="1"/>
    <col min="23" max="25" width="11.5703125" style="455" bestFit="1" customWidth="1"/>
    <col min="26" max="26" width="13.28515625" style="455" bestFit="1" customWidth="1"/>
    <col min="27" max="29" width="11.5703125" style="455" bestFit="1" customWidth="1"/>
    <col min="30" max="30" width="13.28515625" style="455" bestFit="1" customWidth="1"/>
    <col min="31" max="32" width="11.5703125" style="455" bestFit="1" customWidth="1"/>
    <col min="33" max="33" width="15.7109375" style="455" customWidth="1"/>
    <col min="34" max="34" width="9.28515625" style="455"/>
    <col min="35" max="35" width="9.7109375" style="455" bestFit="1" customWidth="1"/>
    <col min="36" max="36" width="11.5703125" style="455" bestFit="1" customWidth="1"/>
    <col min="37" max="37" width="12.42578125" style="455" customWidth="1"/>
    <col min="38" max="38" width="11.42578125" style="455" customWidth="1"/>
    <col min="39" max="39" width="10" style="455" bestFit="1" customWidth="1"/>
    <col min="40" max="40" width="10.7109375" style="455" bestFit="1" customWidth="1"/>
    <col min="41" max="16384" width="9.28515625" style="455"/>
  </cols>
  <sheetData>
    <row r="2" spans="1:40" s="440" customFormat="1" ht="18.75" customHeight="1">
      <c r="A2" s="440" t="s">
        <v>19</v>
      </c>
      <c r="B2" s="441" t="s">
        <v>155</v>
      </c>
      <c r="C2" s="442"/>
      <c r="D2" s="443" t="s">
        <v>20</v>
      </c>
      <c r="E2" s="443" t="s">
        <v>21</v>
      </c>
      <c r="F2" s="443" t="s">
        <v>22</v>
      </c>
      <c r="G2" s="443" t="s">
        <v>23</v>
      </c>
      <c r="H2" s="443" t="s">
        <v>24</v>
      </c>
      <c r="I2" s="443" t="s">
        <v>25</v>
      </c>
      <c r="J2" s="443" t="s">
        <v>26</v>
      </c>
      <c r="K2" s="443" t="s">
        <v>27</v>
      </c>
      <c r="L2" s="443" t="s">
        <v>28</v>
      </c>
      <c r="M2" s="443" t="s">
        <v>29</v>
      </c>
      <c r="N2" s="444" t="s">
        <v>30</v>
      </c>
      <c r="O2" s="445" t="s">
        <v>156</v>
      </c>
      <c r="P2" s="446" t="s">
        <v>325</v>
      </c>
      <c r="Q2" s="444" t="s">
        <v>31</v>
      </c>
      <c r="R2" s="444" t="s">
        <v>32</v>
      </c>
      <c r="S2" s="444" t="s">
        <v>359</v>
      </c>
      <c r="T2" s="444" t="s">
        <v>33</v>
      </c>
      <c r="U2" s="444" t="s">
        <v>34</v>
      </c>
      <c r="V2" s="444" t="s">
        <v>35</v>
      </c>
      <c r="W2" s="444" t="s">
        <v>36</v>
      </c>
      <c r="X2" s="444" t="s">
        <v>33</v>
      </c>
      <c r="Y2" s="444" t="s">
        <v>37</v>
      </c>
      <c r="Z2" s="444" t="s">
        <v>38</v>
      </c>
      <c r="AA2" s="444" t="s">
        <v>39</v>
      </c>
      <c r="AB2" s="444" t="s">
        <v>33</v>
      </c>
      <c r="AC2" s="444" t="s">
        <v>77</v>
      </c>
      <c r="AD2" s="444" t="s">
        <v>40</v>
      </c>
      <c r="AE2" s="444" t="s">
        <v>41</v>
      </c>
      <c r="AF2" s="444" t="s">
        <v>42</v>
      </c>
      <c r="AG2" s="440" t="s">
        <v>132</v>
      </c>
    </row>
    <row r="3" spans="1:40">
      <c r="A3" s="447">
        <f>[1]ELEC!$A$34</f>
        <v>0</v>
      </c>
      <c r="B3" s="441">
        <f>[1]ELEC!$B$34</f>
        <v>0</v>
      </c>
      <c r="C3" s="448">
        <f>[2]ELEC!$C$33</f>
        <v>44469</v>
      </c>
      <c r="D3" s="436">
        <v>32911138</v>
      </c>
      <c r="E3" s="458">
        <v>1729</v>
      </c>
      <c r="F3" s="436">
        <f>[2]ELEC!F33</f>
        <v>4091226</v>
      </c>
      <c r="G3" s="436">
        <f>[2]ELEC!G33</f>
        <v>169.60000000009313</v>
      </c>
      <c r="H3" s="436">
        <f>[2]ELEC!H33</f>
        <v>17967768</v>
      </c>
      <c r="I3" s="436">
        <f>[2]ELEC!I33</f>
        <v>524</v>
      </c>
      <c r="J3" s="436">
        <f>[2]ELEC!J33</f>
        <v>29530270</v>
      </c>
      <c r="K3" s="436">
        <f>[2]ELEC!K33</f>
        <v>2988</v>
      </c>
      <c r="L3" s="436">
        <f>[2]ELEC!L33</f>
        <v>24431942</v>
      </c>
      <c r="M3" s="436">
        <f>[2]ELEC!M33</f>
        <v>1052</v>
      </c>
      <c r="N3" s="436">
        <f>[2]ELEC!N33</f>
        <v>6462.6000000000931</v>
      </c>
      <c r="O3" s="436">
        <f>[2]ELEC!O33</f>
        <v>0</v>
      </c>
      <c r="P3" s="603">
        <f>[2]ELEC!P33</f>
        <v>18411.684000000001</v>
      </c>
      <c r="Q3" s="436">
        <f>[2]ELEC!Q33</f>
        <v>6333.0000000023574</v>
      </c>
      <c r="R3" s="436">
        <f>[2]ELEC!R33</f>
        <v>129.59999999773572</v>
      </c>
      <c r="S3" s="436">
        <f>[2]ELEC!S33</f>
        <v>10175</v>
      </c>
      <c r="T3" s="436">
        <f>[2]ELEC!T33</f>
        <v>0</v>
      </c>
      <c r="U3" s="436">
        <f>[2]ELEC!U33</f>
        <v>429166</v>
      </c>
      <c r="V3" s="436">
        <f>[2]ELEC!V33</f>
        <v>0</v>
      </c>
      <c r="W3" s="436">
        <f>[2]ELEC!W33</f>
        <v>33304</v>
      </c>
      <c r="X3" s="436">
        <f>[2]ELEC!X33</f>
        <v>8</v>
      </c>
      <c r="Y3" s="436">
        <f>[2]ELEC!Y33</f>
        <v>953159</v>
      </c>
      <c r="Z3" s="436">
        <f>[2]ELEC!Z33</f>
        <v>1899</v>
      </c>
      <c r="AA3" s="436">
        <f>[2]ELEC!AA33</f>
        <v>36762</v>
      </c>
      <c r="AB3" s="436">
        <f>[2]ELEC!AB33</f>
        <v>0</v>
      </c>
      <c r="AC3" s="436">
        <f>[2]ELEC!AC33</f>
        <v>1162232</v>
      </c>
      <c r="AD3" s="436">
        <f>[2]ELEC!AD33</f>
        <v>0</v>
      </c>
      <c r="AE3" s="436">
        <f>[2]ELEC!AE33</f>
        <v>8</v>
      </c>
      <c r="AF3" s="436">
        <f>[2]ELEC!AF33</f>
        <v>1899</v>
      </c>
      <c r="AG3" s="436">
        <f>[2]ELEC!AG33</f>
        <v>237.375</v>
      </c>
      <c r="AJ3" s="567"/>
      <c r="AK3" s="568"/>
      <c r="AL3" s="568"/>
      <c r="AM3" s="568"/>
      <c r="AN3" s="568"/>
    </row>
    <row r="4" spans="1:40">
      <c r="A4" s="447">
        <f>'General information '!F5</f>
        <v>0</v>
      </c>
      <c r="B4" s="441">
        <f>SUM(230*A4)</f>
        <v>0</v>
      </c>
      <c r="C4" s="448">
        <v>44470</v>
      </c>
      <c r="D4" s="436">
        <v>32911138</v>
      </c>
      <c r="E4" s="636">
        <f>D4-D3</f>
        <v>0</v>
      </c>
      <c r="F4" s="594">
        <f>F3</f>
        <v>4091226</v>
      </c>
      <c r="G4" s="437">
        <f>F4-F3</f>
        <v>0</v>
      </c>
      <c r="H4" s="436">
        <f>H3</f>
        <v>17967768</v>
      </c>
      <c r="I4" s="437">
        <f>H4-H3</f>
        <v>0</v>
      </c>
      <c r="J4" s="436">
        <f>J3</f>
        <v>29530270</v>
      </c>
      <c r="K4" s="437">
        <f>J4-J3</f>
        <v>0</v>
      </c>
      <c r="L4" s="436">
        <f>L3</f>
        <v>24431942</v>
      </c>
      <c r="M4" s="437">
        <f>L4-L3</f>
        <v>0</v>
      </c>
      <c r="N4" s="438">
        <f>M4+K4+I4+G4+E4</f>
        <v>0</v>
      </c>
      <c r="O4" s="449">
        <f t="shared" ref="O4:O10" si="0">IF(B4&gt;0,N4/B4,0)</f>
        <v>0</v>
      </c>
      <c r="P4" s="585">
        <f>P3</f>
        <v>18411.684000000001</v>
      </c>
      <c r="Q4" s="457">
        <f t="shared" ref="Q4:Q34" si="1">(P4-P3)*1000</f>
        <v>0</v>
      </c>
      <c r="R4" s="569">
        <f>+N4-Q4</f>
        <v>0</v>
      </c>
      <c r="S4" s="436">
        <f>S3</f>
        <v>10175</v>
      </c>
      <c r="T4" s="451">
        <f t="shared" ref="T4:T31" si="2">S4-S3</f>
        <v>0</v>
      </c>
      <c r="U4" s="436">
        <f>U3</f>
        <v>429166</v>
      </c>
      <c r="V4" s="450">
        <f>U4-U3</f>
        <v>0</v>
      </c>
      <c r="W4" s="436">
        <f>W3</f>
        <v>33304</v>
      </c>
      <c r="X4" s="450">
        <f t="shared" ref="X4:X9" si="3">W4-W3</f>
        <v>0</v>
      </c>
      <c r="Y4" s="436">
        <f>Y3</f>
        <v>953159</v>
      </c>
      <c r="Z4" s="450">
        <f>Y4-Y3</f>
        <v>0</v>
      </c>
      <c r="AA4" s="436">
        <f>AA3</f>
        <v>36762</v>
      </c>
      <c r="AB4" s="450">
        <f>AA4-AA3</f>
        <v>0</v>
      </c>
      <c r="AC4" s="436">
        <f>AC3</f>
        <v>1162232</v>
      </c>
      <c r="AD4" s="452">
        <f>AC4-AC3</f>
        <v>0</v>
      </c>
      <c r="AE4" s="453">
        <f>AB4+X4+T4</f>
        <v>0</v>
      </c>
      <c r="AF4" s="462">
        <f t="shared" ref="AF4:AF31" si="4">V4+Z4+AD4</f>
        <v>0</v>
      </c>
      <c r="AG4" s="454">
        <f t="shared" ref="AG4:AG10" si="5">IF(AE4&gt;0,AF4/AE4,0)</f>
        <v>0</v>
      </c>
      <c r="AJ4" s="567"/>
      <c r="AK4" s="568"/>
      <c r="AL4" s="568"/>
      <c r="AM4" s="568"/>
      <c r="AN4" s="568"/>
    </row>
    <row r="5" spans="1:40">
      <c r="A5" s="447">
        <f>'General information '!F6</f>
        <v>0</v>
      </c>
      <c r="B5" s="441">
        <f t="shared" ref="B5:B31" si="6">SUM(230*A5)</f>
        <v>0</v>
      </c>
      <c r="C5" s="448">
        <v>44471</v>
      </c>
      <c r="D5" s="436">
        <v>32911138</v>
      </c>
      <c r="E5" s="636">
        <f t="shared" ref="E5:E14" si="7">D5-D4</f>
        <v>0</v>
      </c>
      <c r="F5" s="594">
        <f t="shared" ref="F5:F34" si="8">F4</f>
        <v>4091226</v>
      </c>
      <c r="G5" s="305">
        <f>F5-F4</f>
        <v>0</v>
      </c>
      <c r="H5" s="436">
        <f t="shared" ref="H5:H34" si="9">H4</f>
        <v>17967768</v>
      </c>
      <c r="I5" s="305">
        <f>H5-H4</f>
        <v>0</v>
      </c>
      <c r="J5" s="436">
        <f t="shared" ref="J5:J34" si="10">J4</f>
        <v>29530270</v>
      </c>
      <c r="K5" s="305">
        <f>J5-J4</f>
        <v>0</v>
      </c>
      <c r="L5" s="436">
        <f t="shared" ref="L5:L34" si="11">L4</f>
        <v>24431942</v>
      </c>
      <c r="M5" s="305">
        <f>L5-L4</f>
        <v>0</v>
      </c>
      <c r="N5" s="304">
        <f>M5+K5+I5+G5+E5</f>
        <v>0</v>
      </c>
      <c r="O5" s="456">
        <f t="shared" si="0"/>
        <v>0</v>
      </c>
      <c r="P5" s="585">
        <f t="shared" ref="P5:P34" si="12">P4</f>
        <v>18411.684000000001</v>
      </c>
      <c r="Q5" s="457">
        <f t="shared" si="1"/>
        <v>0</v>
      </c>
      <c r="R5" s="439">
        <f>N5-Q5</f>
        <v>0</v>
      </c>
      <c r="S5" s="436">
        <f t="shared" ref="S5:S34" si="13">S4</f>
        <v>10175</v>
      </c>
      <c r="T5" s="458">
        <f t="shared" si="2"/>
        <v>0</v>
      </c>
      <c r="U5" s="436">
        <f t="shared" ref="U5:U33" si="14">U4</f>
        <v>429166</v>
      </c>
      <c r="V5" s="439">
        <f>U5-U4</f>
        <v>0</v>
      </c>
      <c r="W5" s="436">
        <f t="shared" ref="W5:W34" si="15">W4</f>
        <v>33304</v>
      </c>
      <c r="X5" s="439">
        <f t="shared" si="3"/>
        <v>0</v>
      </c>
      <c r="Y5" s="436">
        <f t="shared" ref="Y5:Y34" si="16">Y4</f>
        <v>953159</v>
      </c>
      <c r="Z5" s="439">
        <f>Y5-Y4</f>
        <v>0</v>
      </c>
      <c r="AA5" s="436">
        <f t="shared" ref="AA5:AA34" si="17">AA4</f>
        <v>36762</v>
      </c>
      <c r="AB5" s="459">
        <f>AA5-AA4</f>
        <v>0</v>
      </c>
      <c r="AC5" s="436">
        <f t="shared" ref="AC5:AC34" si="18">AC4</f>
        <v>1162232</v>
      </c>
      <c r="AD5" s="460">
        <f>AC5-AC4</f>
        <v>0</v>
      </c>
      <c r="AE5" s="461">
        <f t="shared" ref="AE5:AE31" si="19">AB5+X5+T5</f>
        <v>0</v>
      </c>
      <c r="AF5" s="462">
        <f t="shared" si="4"/>
        <v>0</v>
      </c>
      <c r="AG5" s="454">
        <f t="shared" si="5"/>
        <v>0</v>
      </c>
      <c r="AJ5" s="567"/>
      <c r="AK5" s="568"/>
      <c r="AL5" s="568"/>
      <c r="AM5" s="568"/>
      <c r="AN5" s="568"/>
    </row>
    <row r="6" spans="1:40">
      <c r="A6" s="447">
        <f>'General information '!F7</f>
        <v>0</v>
      </c>
      <c r="B6" s="441">
        <f>SUM(230*A6)</f>
        <v>0</v>
      </c>
      <c r="C6" s="448">
        <v>44472</v>
      </c>
      <c r="D6" s="436">
        <v>32913516</v>
      </c>
      <c r="E6" s="636">
        <f t="shared" si="7"/>
        <v>2378</v>
      </c>
      <c r="F6" s="594">
        <v>4091226</v>
      </c>
      <c r="G6" s="305">
        <f t="shared" ref="G6:G33" si="20">F6-F5</f>
        <v>0</v>
      </c>
      <c r="H6" s="436">
        <v>17968314</v>
      </c>
      <c r="I6" s="305">
        <f t="shared" ref="I6:I33" si="21">H6-H5</f>
        <v>546</v>
      </c>
      <c r="J6" s="436">
        <v>29533148</v>
      </c>
      <c r="K6" s="305">
        <f t="shared" ref="K6:K33" si="22">J6-J5</f>
        <v>2878</v>
      </c>
      <c r="L6" s="436">
        <v>24433018</v>
      </c>
      <c r="M6" s="305">
        <f t="shared" ref="M6:M33" si="23">L6-L5</f>
        <v>1076</v>
      </c>
      <c r="N6" s="304">
        <f t="shared" ref="N6:N33" si="24">M6+K6+I6+G6+E6</f>
        <v>6878</v>
      </c>
      <c r="O6" s="456">
        <f t="shared" si="0"/>
        <v>0</v>
      </c>
      <c r="P6" s="585">
        <v>18418.3</v>
      </c>
      <c r="Q6" s="457">
        <f t="shared" si="1"/>
        <v>6615.9999999981665</v>
      </c>
      <c r="R6" s="439">
        <f>N6-Q6</f>
        <v>262.00000000183354</v>
      </c>
      <c r="S6" s="436">
        <f t="shared" si="13"/>
        <v>10175</v>
      </c>
      <c r="T6" s="458">
        <f t="shared" si="2"/>
        <v>0</v>
      </c>
      <c r="U6" s="436">
        <f t="shared" si="14"/>
        <v>429166</v>
      </c>
      <c r="V6" s="439">
        <f t="shared" ref="V6:V31" si="25">U6-U5</f>
        <v>0</v>
      </c>
      <c r="W6" s="436">
        <v>33311</v>
      </c>
      <c r="X6" s="439">
        <f t="shared" si="3"/>
        <v>7</v>
      </c>
      <c r="Y6" s="436">
        <v>954830</v>
      </c>
      <c r="Z6" s="439">
        <f>Y6-Y5</f>
        <v>1671</v>
      </c>
      <c r="AA6" s="436">
        <v>36763</v>
      </c>
      <c r="AB6" s="439">
        <f t="shared" ref="AB6:AB31" si="26">AA6-AA5</f>
        <v>1</v>
      </c>
      <c r="AC6" s="436">
        <v>1162613</v>
      </c>
      <c r="AD6" s="439">
        <f t="shared" ref="AD6:AD17" si="27">AC6-AC5</f>
        <v>381</v>
      </c>
      <c r="AE6" s="461">
        <f t="shared" si="19"/>
        <v>8</v>
      </c>
      <c r="AF6" s="462">
        <f t="shared" si="4"/>
        <v>2052</v>
      </c>
      <c r="AG6" s="454">
        <f t="shared" si="5"/>
        <v>256.5</v>
      </c>
      <c r="AJ6" s="567"/>
      <c r="AK6" s="568"/>
      <c r="AL6" s="568"/>
      <c r="AM6" s="568"/>
      <c r="AN6" s="568"/>
    </row>
    <row r="7" spans="1:40">
      <c r="A7" s="447">
        <f>'General information '!F8</f>
        <v>0</v>
      </c>
      <c r="B7" s="441">
        <f t="shared" si="6"/>
        <v>0</v>
      </c>
      <c r="C7" s="448">
        <v>44473</v>
      </c>
      <c r="D7" s="436">
        <v>32913516</v>
      </c>
      <c r="E7" s="636">
        <f t="shared" si="7"/>
        <v>0</v>
      </c>
      <c r="F7" s="594">
        <v>4091308</v>
      </c>
      <c r="G7" s="305">
        <f t="shared" si="20"/>
        <v>82</v>
      </c>
      <c r="H7" s="436">
        <v>17968898</v>
      </c>
      <c r="I7" s="305">
        <f t="shared" si="21"/>
        <v>584</v>
      </c>
      <c r="J7" s="436">
        <v>29533946</v>
      </c>
      <c r="K7" s="305">
        <f t="shared" si="22"/>
        <v>798</v>
      </c>
      <c r="L7" s="436">
        <v>24433946</v>
      </c>
      <c r="M7" s="305">
        <f t="shared" si="23"/>
        <v>928</v>
      </c>
      <c r="N7" s="304">
        <f t="shared" si="24"/>
        <v>2392</v>
      </c>
      <c r="O7" s="456">
        <f t="shared" si="0"/>
        <v>0</v>
      </c>
      <c r="P7" s="585">
        <v>18421.797999999999</v>
      </c>
      <c r="Q7" s="457">
        <f t="shared" si="1"/>
        <v>3497.9999999995925</v>
      </c>
      <c r="R7" s="439">
        <f t="shared" ref="R7:R13" si="28">N7-Q7</f>
        <v>-1105.9999999995925</v>
      </c>
      <c r="S7" s="436">
        <f t="shared" si="13"/>
        <v>10175</v>
      </c>
      <c r="T7" s="458">
        <f t="shared" si="2"/>
        <v>0</v>
      </c>
      <c r="U7" s="436">
        <f t="shared" si="14"/>
        <v>429166</v>
      </c>
      <c r="V7" s="439">
        <f t="shared" si="25"/>
        <v>0</v>
      </c>
      <c r="W7" s="436">
        <v>33311</v>
      </c>
      <c r="X7" s="439">
        <f t="shared" si="3"/>
        <v>0</v>
      </c>
      <c r="Y7" s="436">
        <f t="shared" si="16"/>
        <v>954830</v>
      </c>
      <c r="Z7" s="439">
        <f t="shared" ref="Z7:Z31" si="29">Y7-Y6</f>
        <v>0</v>
      </c>
      <c r="AA7" s="436">
        <v>36766</v>
      </c>
      <c r="AB7" s="439">
        <f t="shared" si="26"/>
        <v>3</v>
      </c>
      <c r="AC7" s="436">
        <v>1163394</v>
      </c>
      <c r="AD7" s="439">
        <f t="shared" si="27"/>
        <v>781</v>
      </c>
      <c r="AE7" s="461">
        <f t="shared" si="19"/>
        <v>3</v>
      </c>
      <c r="AF7" s="462">
        <f t="shared" si="4"/>
        <v>781</v>
      </c>
      <c r="AG7" s="454">
        <f t="shared" si="5"/>
        <v>260.33333333333331</v>
      </c>
      <c r="AJ7" s="567"/>
      <c r="AK7" s="568"/>
      <c r="AL7" s="568"/>
      <c r="AM7" s="568"/>
      <c r="AN7" s="568"/>
    </row>
    <row r="8" spans="1:40">
      <c r="A8" s="447">
        <f>'General information '!F9</f>
        <v>0</v>
      </c>
      <c r="B8" s="441">
        <f t="shared" si="6"/>
        <v>0</v>
      </c>
      <c r="C8" s="448">
        <v>44474</v>
      </c>
      <c r="D8" s="436">
        <v>32916851</v>
      </c>
      <c r="E8" s="636">
        <f t="shared" si="7"/>
        <v>3335</v>
      </c>
      <c r="F8" s="594">
        <v>4091640</v>
      </c>
      <c r="G8" s="305">
        <f t="shared" si="20"/>
        <v>332</v>
      </c>
      <c r="H8" s="436">
        <v>17969448</v>
      </c>
      <c r="I8" s="305">
        <f t="shared" si="21"/>
        <v>550</v>
      </c>
      <c r="J8" s="436">
        <v>29535128</v>
      </c>
      <c r="K8" s="305">
        <f t="shared" si="22"/>
        <v>1182</v>
      </c>
      <c r="L8" s="436">
        <v>24434990</v>
      </c>
      <c r="M8" s="305">
        <f t="shared" si="23"/>
        <v>1044</v>
      </c>
      <c r="N8" s="304">
        <f t="shared" si="24"/>
        <v>6443</v>
      </c>
      <c r="O8" s="456">
        <f t="shared" si="0"/>
        <v>0</v>
      </c>
      <c r="P8" s="585">
        <v>18427.921999999999</v>
      </c>
      <c r="Q8" s="457">
        <f t="shared" si="1"/>
        <v>6123.9999999997963</v>
      </c>
      <c r="R8" s="439">
        <f t="shared" si="28"/>
        <v>319.00000000020373</v>
      </c>
      <c r="S8" s="436">
        <f t="shared" si="13"/>
        <v>10175</v>
      </c>
      <c r="T8" s="458">
        <f t="shared" si="2"/>
        <v>0</v>
      </c>
      <c r="U8" s="436">
        <f t="shared" si="14"/>
        <v>429166</v>
      </c>
      <c r="V8" s="439">
        <f t="shared" si="25"/>
        <v>0</v>
      </c>
      <c r="W8" s="436">
        <f t="shared" si="15"/>
        <v>33311</v>
      </c>
      <c r="X8" s="439">
        <f t="shared" si="3"/>
        <v>0</v>
      </c>
      <c r="Y8" s="436">
        <f t="shared" si="16"/>
        <v>954830</v>
      </c>
      <c r="Z8" s="439">
        <f t="shared" si="29"/>
        <v>0</v>
      </c>
      <c r="AA8" s="436">
        <v>36773</v>
      </c>
      <c r="AB8" s="439">
        <f t="shared" si="26"/>
        <v>7</v>
      </c>
      <c r="AC8" s="436">
        <v>1164884</v>
      </c>
      <c r="AD8" s="439">
        <f t="shared" si="27"/>
        <v>1490</v>
      </c>
      <c r="AE8" s="461">
        <f t="shared" si="19"/>
        <v>7</v>
      </c>
      <c r="AF8" s="462">
        <f t="shared" si="4"/>
        <v>1490</v>
      </c>
      <c r="AG8" s="454">
        <f t="shared" si="5"/>
        <v>212.85714285714286</v>
      </c>
      <c r="AJ8" s="567"/>
      <c r="AK8" s="568"/>
      <c r="AL8" s="568"/>
      <c r="AM8" s="568"/>
      <c r="AN8" s="568"/>
    </row>
    <row r="9" spans="1:40">
      <c r="A9" s="447">
        <f>'General information '!F10</f>
        <v>0</v>
      </c>
      <c r="B9" s="441">
        <f t="shared" si="6"/>
        <v>0</v>
      </c>
      <c r="C9" s="448">
        <v>44475</v>
      </c>
      <c r="D9" s="436">
        <v>32920866</v>
      </c>
      <c r="E9" s="636">
        <f t="shared" si="7"/>
        <v>4015</v>
      </c>
      <c r="F9" s="594">
        <v>4092040</v>
      </c>
      <c r="G9" s="305">
        <f t="shared" si="20"/>
        <v>400</v>
      </c>
      <c r="H9" s="436">
        <v>17970086</v>
      </c>
      <c r="I9" s="305">
        <f t="shared" si="21"/>
        <v>638</v>
      </c>
      <c r="J9" s="436">
        <v>29536510</v>
      </c>
      <c r="K9" s="305">
        <f t="shared" si="22"/>
        <v>1382</v>
      </c>
      <c r="L9" s="436">
        <v>24436238</v>
      </c>
      <c r="M9" s="305">
        <f t="shared" si="23"/>
        <v>1248</v>
      </c>
      <c r="N9" s="304">
        <f t="shared" si="24"/>
        <v>7683</v>
      </c>
      <c r="O9" s="456">
        <f t="shared" si="0"/>
        <v>0</v>
      </c>
      <c r="P9" s="585">
        <v>18435.55</v>
      </c>
      <c r="Q9" s="457">
        <f t="shared" si="1"/>
        <v>7628.0000000006112</v>
      </c>
      <c r="R9" s="439">
        <f t="shared" si="28"/>
        <v>54.99999999938882</v>
      </c>
      <c r="S9" s="436">
        <f t="shared" si="13"/>
        <v>10175</v>
      </c>
      <c r="T9" s="458">
        <f t="shared" si="2"/>
        <v>0</v>
      </c>
      <c r="U9" s="436">
        <f t="shared" si="14"/>
        <v>429166</v>
      </c>
      <c r="V9" s="439">
        <f t="shared" si="25"/>
        <v>0</v>
      </c>
      <c r="W9" s="436">
        <f t="shared" si="15"/>
        <v>33311</v>
      </c>
      <c r="X9" s="439">
        <f t="shared" si="3"/>
        <v>0</v>
      </c>
      <c r="Y9" s="436">
        <f t="shared" si="16"/>
        <v>954830</v>
      </c>
      <c r="Z9" s="439">
        <f t="shared" si="29"/>
        <v>0</v>
      </c>
      <c r="AA9" s="436">
        <v>36780</v>
      </c>
      <c r="AB9" s="439">
        <f t="shared" si="26"/>
        <v>7</v>
      </c>
      <c r="AC9" s="436">
        <v>1166654</v>
      </c>
      <c r="AD9" s="439">
        <f t="shared" si="27"/>
        <v>1770</v>
      </c>
      <c r="AE9" s="461">
        <f t="shared" si="19"/>
        <v>7</v>
      </c>
      <c r="AF9" s="462">
        <f t="shared" si="4"/>
        <v>1770</v>
      </c>
      <c r="AG9" s="454">
        <f t="shared" si="5"/>
        <v>252.85714285714286</v>
      </c>
      <c r="AJ9" s="567"/>
      <c r="AK9" s="568"/>
      <c r="AL9" s="568"/>
      <c r="AM9" s="568"/>
      <c r="AN9" s="568"/>
    </row>
    <row r="10" spans="1:40">
      <c r="A10" s="447">
        <f>'General information '!F11</f>
        <v>0</v>
      </c>
      <c r="B10" s="441">
        <f t="shared" si="6"/>
        <v>0</v>
      </c>
      <c r="C10" s="448">
        <v>44476</v>
      </c>
      <c r="D10" s="436">
        <v>32923018</v>
      </c>
      <c r="E10" s="636">
        <f t="shared" si="7"/>
        <v>2152</v>
      </c>
      <c r="F10" s="594">
        <v>4092320</v>
      </c>
      <c r="G10" s="305">
        <f t="shared" si="20"/>
        <v>280</v>
      </c>
      <c r="H10" s="436">
        <v>17970522</v>
      </c>
      <c r="I10" s="305">
        <f t="shared" si="21"/>
        <v>436</v>
      </c>
      <c r="J10" s="436">
        <v>29538296</v>
      </c>
      <c r="K10" s="305">
        <f t="shared" si="22"/>
        <v>1786</v>
      </c>
      <c r="L10" s="436">
        <v>24437150</v>
      </c>
      <c r="M10" s="305">
        <f t="shared" si="23"/>
        <v>912</v>
      </c>
      <c r="N10" s="304">
        <f t="shared" si="24"/>
        <v>5566</v>
      </c>
      <c r="O10" s="456">
        <f t="shared" si="0"/>
        <v>0</v>
      </c>
      <c r="P10" s="585">
        <v>18441.003000000001</v>
      </c>
      <c r="Q10" s="457">
        <f t="shared" si="1"/>
        <v>5453.0000000013388</v>
      </c>
      <c r="R10" s="439">
        <f t="shared" si="28"/>
        <v>112.99999999866122</v>
      </c>
      <c r="S10" s="436">
        <f t="shared" si="13"/>
        <v>10175</v>
      </c>
      <c r="T10" s="458">
        <f t="shared" si="2"/>
        <v>0</v>
      </c>
      <c r="U10" s="436">
        <f t="shared" si="14"/>
        <v>429166</v>
      </c>
      <c r="V10" s="439">
        <f t="shared" si="25"/>
        <v>0</v>
      </c>
      <c r="W10" s="436">
        <v>33314</v>
      </c>
      <c r="X10" s="439">
        <f t="shared" ref="X10:X31" si="30">W10-W9</f>
        <v>3</v>
      </c>
      <c r="Y10" s="436">
        <v>955693</v>
      </c>
      <c r="Z10" s="439">
        <f t="shared" si="29"/>
        <v>863</v>
      </c>
      <c r="AA10" s="436">
        <v>36782</v>
      </c>
      <c r="AB10" s="439">
        <f t="shared" si="26"/>
        <v>2</v>
      </c>
      <c r="AC10" s="436">
        <v>1167141</v>
      </c>
      <c r="AD10" s="439">
        <f t="shared" si="27"/>
        <v>487</v>
      </c>
      <c r="AE10" s="461">
        <f t="shared" si="19"/>
        <v>5</v>
      </c>
      <c r="AF10" s="462">
        <f t="shared" si="4"/>
        <v>1350</v>
      </c>
      <c r="AG10" s="454">
        <f t="shared" si="5"/>
        <v>270</v>
      </c>
      <c r="AJ10" s="567"/>
      <c r="AK10" s="568"/>
      <c r="AL10" s="568"/>
      <c r="AM10" s="568"/>
      <c r="AN10" s="568"/>
    </row>
    <row r="11" spans="1:40">
      <c r="A11" s="447">
        <f>'General information '!F12</f>
        <v>0</v>
      </c>
      <c r="B11" s="441">
        <f t="shared" si="6"/>
        <v>0</v>
      </c>
      <c r="C11" s="448">
        <v>44477</v>
      </c>
      <c r="D11" s="436">
        <v>32923018</v>
      </c>
      <c r="E11" s="636">
        <f t="shared" si="7"/>
        <v>0</v>
      </c>
      <c r="F11" s="594">
        <f t="shared" si="8"/>
        <v>4092320</v>
      </c>
      <c r="G11" s="305">
        <f t="shared" si="20"/>
        <v>0</v>
      </c>
      <c r="H11" s="436">
        <f t="shared" si="9"/>
        <v>17970522</v>
      </c>
      <c r="I11" s="305">
        <f t="shared" si="21"/>
        <v>0</v>
      </c>
      <c r="J11" s="436">
        <f t="shared" si="10"/>
        <v>29538296</v>
      </c>
      <c r="K11" s="305">
        <f t="shared" si="22"/>
        <v>0</v>
      </c>
      <c r="L11" s="436">
        <f t="shared" si="11"/>
        <v>24437150</v>
      </c>
      <c r="M11" s="305">
        <f t="shared" si="23"/>
        <v>0</v>
      </c>
      <c r="N11" s="304">
        <f t="shared" si="24"/>
        <v>0</v>
      </c>
      <c r="O11" s="456">
        <f t="shared" ref="O11:O31" si="31">IF(B11&gt;0,N11/B11,0)</f>
        <v>0</v>
      </c>
      <c r="P11" s="585">
        <f t="shared" si="12"/>
        <v>18441.003000000001</v>
      </c>
      <c r="Q11" s="457">
        <f t="shared" si="1"/>
        <v>0</v>
      </c>
      <c r="R11" s="619">
        <f>N11-Q11</f>
        <v>0</v>
      </c>
      <c r="S11" s="436">
        <f t="shared" si="13"/>
        <v>10175</v>
      </c>
      <c r="T11" s="458">
        <f t="shared" si="2"/>
        <v>0</v>
      </c>
      <c r="U11" s="436">
        <f t="shared" si="14"/>
        <v>429166</v>
      </c>
      <c r="V11" s="439">
        <f t="shared" si="25"/>
        <v>0</v>
      </c>
      <c r="W11" s="436">
        <f t="shared" si="15"/>
        <v>33314</v>
      </c>
      <c r="X11" s="439">
        <f t="shared" si="30"/>
        <v>0</v>
      </c>
      <c r="Y11" s="436">
        <f t="shared" si="16"/>
        <v>955693</v>
      </c>
      <c r="Z11" s="439">
        <f t="shared" si="29"/>
        <v>0</v>
      </c>
      <c r="AA11" s="436">
        <f t="shared" si="17"/>
        <v>36782</v>
      </c>
      <c r="AB11" s="439">
        <f t="shared" si="26"/>
        <v>0</v>
      </c>
      <c r="AC11" s="436">
        <f t="shared" si="18"/>
        <v>1167141</v>
      </c>
      <c r="AD11" s="439">
        <f t="shared" si="27"/>
        <v>0</v>
      </c>
      <c r="AE11" s="461">
        <f t="shared" si="19"/>
        <v>0</v>
      </c>
      <c r="AF11" s="462">
        <f t="shared" si="4"/>
        <v>0</v>
      </c>
      <c r="AG11" s="454">
        <f t="shared" ref="AG11:AG31" si="32">IF(AE11&gt;0,AF11/AE11,0)</f>
        <v>0</v>
      </c>
      <c r="AJ11" s="567"/>
      <c r="AK11" s="568"/>
      <c r="AL11" s="568"/>
      <c r="AM11" s="568"/>
      <c r="AN11" s="568"/>
    </row>
    <row r="12" spans="1:40">
      <c r="A12" s="447">
        <f>'General information '!F13</f>
        <v>0</v>
      </c>
      <c r="B12" s="441">
        <f>SUM(230*A12)</f>
        <v>0</v>
      </c>
      <c r="C12" s="448">
        <v>44478</v>
      </c>
      <c r="D12" s="436">
        <v>32923018</v>
      </c>
      <c r="E12" s="636">
        <f t="shared" si="7"/>
        <v>0</v>
      </c>
      <c r="F12" s="594">
        <f t="shared" si="8"/>
        <v>4092320</v>
      </c>
      <c r="G12" s="305">
        <f t="shared" si="20"/>
        <v>0</v>
      </c>
      <c r="H12" s="436">
        <f t="shared" si="9"/>
        <v>17970522</v>
      </c>
      <c r="I12" s="305">
        <f t="shared" si="21"/>
        <v>0</v>
      </c>
      <c r="J12" s="436">
        <f t="shared" si="10"/>
        <v>29538296</v>
      </c>
      <c r="K12" s="305">
        <f t="shared" si="22"/>
        <v>0</v>
      </c>
      <c r="L12" s="436">
        <f t="shared" si="11"/>
        <v>24437150</v>
      </c>
      <c r="M12" s="305">
        <f t="shared" si="23"/>
        <v>0</v>
      </c>
      <c r="N12" s="304">
        <f>M12+K12+I12+G12+E12</f>
        <v>0</v>
      </c>
      <c r="O12" s="456">
        <f t="shared" si="31"/>
        <v>0</v>
      </c>
      <c r="P12" s="585">
        <f t="shared" si="12"/>
        <v>18441.003000000001</v>
      </c>
      <c r="Q12" s="457">
        <f t="shared" si="1"/>
        <v>0</v>
      </c>
      <c r="R12" s="439">
        <f t="shared" si="28"/>
        <v>0</v>
      </c>
      <c r="S12" s="436">
        <f t="shared" si="13"/>
        <v>10175</v>
      </c>
      <c r="T12" s="458">
        <f t="shared" si="2"/>
        <v>0</v>
      </c>
      <c r="U12" s="436">
        <f t="shared" si="14"/>
        <v>429166</v>
      </c>
      <c r="V12" s="439">
        <f t="shared" si="25"/>
        <v>0</v>
      </c>
      <c r="W12" s="436">
        <f t="shared" si="15"/>
        <v>33314</v>
      </c>
      <c r="X12" s="439">
        <f t="shared" si="30"/>
        <v>0</v>
      </c>
      <c r="Y12" s="436">
        <f t="shared" si="16"/>
        <v>955693</v>
      </c>
      <c r="Z12" s="439">
        <f t="shared" si="29"/>
        <v>0</v>
      </c>
      <c r="AA12" s="436">
        <f t="shared" si="17"/>
        <v>36782</v>
      </c>
      <c r="AB12" s="439">
        <f t="shared" si="26"/>
        <v>0</v>
      </c>
      <c r="AC12" s="436">
        <f t="shared" si="18"/>
        <v>1167141</v>
      </c>
      <c r="AD12" s="439">
        <f t="shared" si="27"/>
        <v>0</v>
      </c>
      <c r="AE12" s="461">
        <f t="shared" si="19"/>
        <v>0</v>
      </c>
      <c r="AF12" s="462">
        <f t="shared" si="4"/>
        <v>0</v>
      </c>
      <c r="AG12" s="454">
        <f t="shared" si="32"/>
        <v>0</v>
      </c>
      <c r="AJ12" s="567"/>
      <c r="AK12" s="568"/>
      <c r="AL12" s="568"/>
      <c r="AM12" s="568"/>
      <c r="AN12" s="568"/>
    </row>
    <row r="13" spans="1:40">
      <c r="A13" s="447">
        <f>'General information '!F14</f>
        <v>0</v>
      </c>
      <c r="B13" s="441">
        <f t="shared" si="6"/>
        <v>0</v>
      </c>
      <c r="C13" s="448">
        <v>44479</v>
      </c>
      <c r="D13" s="436">
        <v>32925083</v>
      </c>
      <c r="E13" s="636">
        <f t="shared" si="7"/>
        <v>2065</v>
      </c>
      <c r="F13" s="594">
        <v>4092649</v>
      </c>
      <c r="G13" s="305">
        <f t="shared" si="20"/>
        <v>329</v>
      </c>
      <c r="H13" s="436">
        <v>17970934</v>
      </c>
      <c r="I13" s="305">
        <f t="shared" si="21"/>
        <v>412</v>
      </c>
      <c r="J13" s="436">
        <v>29540908</v>
      </c>
      <c r="K13" s="305">
        <f t="shared" si="22"/>
        <v>2612</v>
      </c>
      <c r="L13" s="436">
        <v>24438170</v>
      </c>
      <c r="M13" s="305">
        <f t="shared" si="23"/>
        <v>1020</v>
      </c>
      <c r="N13" s="304">
        <f>M13+K13+I13+G13+E13</f>
        <v>6438</v>
      </c>
      <c r="O13" s="456">
        <f t="shared" si="31"/>
        <v>0</v>
      </c>
      <c r="P13" s="585">
        <v>18447.457999999999</v>
      </c>
      <c r="Q13" s="457">
        <f t="shared" si="1"/>
        <v>6454.9999999981083</v>
      </c>
      <c r="R13" s="439">
        <f t="shared" si="28"/>
        <v>-16.999999998108251</v>
      </c>
      <c r="S13" s="436">
        <f t="shared" si="13"/>
        <v>10175</v>
      </c>
      <c r="T13" s="458">
        <f t="shared" si="2"/>
        <v>0</v>
      </c>
      <c r="U13" s="436">
        <f t="shared" si="14"/>
        <v>429166</v>
      </c>
      <c r="V13" s="439">
        <f t="shared" si="25"/>
        <v>0</v>
      </c>
      <c r="W13" s="436">
        <v>33320</v>
      </c>
      <c r="X13" s="439">
        <f t="shared" si="30"/>
        <v>6</v>
      </c>
      <c r="Y13" s="436">
        <v>957211</v>
      </c>
      <c r="Z13" s="439">
        <f t="shared" si="29"/>
        <v>1518</v>
      </c>
      <c r="AA13" s="436">
        <v>36783</v>
      </c>
      <c r="AB13" s="439">
        <f t="shared" si="26"/>
        <v>1</v>
      </c>
      <c r="AC13" s="436">
        <v>1167241</v>
      </c>
      <c r="AD13" s="439">
        <f t="shared" si="27"/>
        <v>100</v>
      </c>
      <c r="AE13" s="461">
        <f t="shared" si="19"/>
        <v>7</v>
      </c>
      <c r="AF13" s="462">
        <f t="shared" si="4"/>
        <v>1618</v>
      </c>
      <c r="AG13" s="454">
        <f t="shared" si="32"/>
        <v>231.14285714285714</v>
      </c>
      <c r="AJ13" s="567"/>
      <c r="AK13" s="568"/>
      <c r="AL13" s="568"/>
      <c r="AM13" s="568"/>
      <c r="AN13" s="568"/>
    </row>
    <row r="14" spans="1:40">
      <c r="A14" s="447">
        <f>'General information '!F15</f>
        <v>0</v>
      </c>
      <c r="B14" s="441">
        <f t="shared" si="6"/>
        <v>0</v>
      </c>
      <c r="C14" s="448">
        <v>44480</v>
      </c>
      <c r="D14" s="436">
        <v>32927629</v>
      </c>
      <c r="E14" s="636">
        <f t="shared" si="7"/>
        <v>2546</v>
      </c>
      <c r="F14" s="594">
        <v>4093034</v>
      </c>
      <c r="G14" s="305">
        <f t="shared" si="20"/>
        <v>385</v>
      </c>
      <c r="H14" s="436">
        <v>17971546</v>
      </c>
      <c r="I14" s="305">
        <f t="shared" si="21"/>
        <v>612</v>
      </c>
      <c r="J14" s="436">
        <v>29543926</v>
      </c>
      <c r="K14" s="305">
        <f t="shared" si="22"/>
        <v>3018</v>
      </c>
      <c r="L14" s="436">
        <v>24439378</v>
      </c>
      <c r="M14" s="305">
        <f t="shared" si="23"/>
        <v>1208</v>
      </c>
      <c r="N14" s="304">
        <f t="shared" si="24"/>
        <v>7769</v>
      </c>
      <c r="O14" s="456">
        <f t="shared" si="31"/>
        <v>0</v>
      </c>
      <c r="P14" s="585">
        <v>18455.308000000001</v>
      </c>
      <c r="Q14" s="457">
        <f t="shared" si="1"/>
        <v>7850.0000000021828</v>
      </c>
      <c r="R14" s="439">
        <f>N14-Q14</f>
        <v>-81.000000002182787</v>
      </c>
      <c r="S14" s="436">
        <f t="shared" si="13"/>
        <v>10175</v>
      </c>
      <c r="T14" s="458">
        <f t="shared" si="2"/>
        <v>0</v>
      </c>
      <c r="U14" s="436">
        <f t="shared" si="14"/>
        <v>429166</v>
      </c>
      <c r="V14" s="439">
        <f t="shared" si="25"/>
        <v>0</v>
      </c>
      <c r="W14" s="436">
        <v>33326</v>
      </c>
      <c r="X14" s="439">
        <f t="shared" si="30"/>
        <v>6</v>
      </c>
      <c r="Y14" s="436">
        <v>958783</v>
      </c>
      <c r="Z14" s="439">
        <f t="shared" si="29"/>
        <v>1572</v>
      </c>
      <c r="AA14" s="436">
        <v>36784</v>
      </c>
      <c r="AB14" s="439">
        <f t="shared" si="26"/>
        <v>1</v>
      </c>
      <c r="AC14" s="436">
        <v>1167677</v>
      </c>
      <c r="AD14" s="439">
        <f t="shared" si="27"/>
        <v>436</v>
      </c>
      <c r="AE14" s="461">
        <f t="shared" si="19"/>
        <v>7</v>
      </c>
      <c r="AF14" s="462">
        <f t="shared" si="4"/>
        <v>2008</v>
      </c>
      <c r="AG14" s="454">
        <f t="shared" si="32"/>
        <v>286.85714285714283</v>
      </c>
      <c r="AJ14" s="567"/>
      <c r="AK14" s="568"/>
      <c r="AL14" s="568"/>
      <c r="AM14" s="568"/>
      <c r="AN14" s="568"/>
    </row>
    <row r="15" spans="1:40">
      <c r="A15" s="447">
        <f>'General information '!F16</f>
        <v>0</v>
      </c>
      <c r="B15" s="441">
        <f t="shared" si="6"/>
        <v>0</v>
      </c>
      <c r="C15" s="448">
        <v>44481</v>
      </c>
      <c r="D15" s="436">
        <v>1334</v>
      </c>
      <c r="E15" s="637">
        <f>D15</f>
        <v>1334</v>
      </c>
      <c r="F15" s="594">
        <v>4093479</v>
      </c>
      <c r="G15" s="305">
        <f t="shared" si="20"/>
        <v>445</v>
      </c>
      <c r="H15" s="436">
        <v>17972094</v>
      </c>
      <c r="I15" s="305">
        <f t="shared" si="21"/>
        <v>548</v>
      </c>
      <c r="J15" s="436">
        <v>29546672</v>
      </c>
      <c r="K15" s="305">
        <f t="shared" si="22"/>
        <v>2746</v>
      </c>
      <c r="L15" s="436">
        <v>24440462</v>
      </c>
      <c r="M15" s="305">
        <f t="shared" si="23"/>
        <v>1084</v>
      </c>
      <c r="N15" s="304">
        <f t="shared" si="24"/>
        <v>6157</v>
      </c>
      <c r="O15" s="456">
        <f t="shared" si="31"/>
        <v>0</v>
      </c>
      <c r="P15" s="585">
        <v>18462.165000000001</v>
      </c>
      <c r="Q15" s="457">
        <f t="shared" si="1"/>
        <v>6856.9999999999709</v>
      </c>
      <c r="R15" s="439">
        <f t="shared" ref="R15:R31" si="33">N15-Q15</f>
        <v>-699.9999999999709</v>
      </c>
      <c r="S15" s="436">
        <f t="shared" si="13"/>
        <v>10175</v>
      </c>
      <c r="T15" s="458">
        <f t="shared" si="2"/>
        <v>0</v>
      </c>
      <c r="U15" s="436">
        <f t="shared" si="14"/>
        <v>429166</v>
      </c>
      <c r="V15" s="439">
        <f t="shared" si="25"/>
        <v>0</v>
      </c>
      <c r="W15" s="436">
        <v>33332</v>
      </c>
      <c r="X15" s="439">
        <f t="shared" si="30"/>
        <v>6</v>
      </c>
      <c r="Y15" s="436">
        <v>960332</v>
      </c>
      <c r="Z15" s="439">
        <f t="shared" si="29"/>
        <v>1549</v>
      </c>
      <c r="AA15" s="436">
        <v>36785</v>
      </c>
      <c r="AB15" s="439">
        <f t="shared" si="26"/>
        <v>1</v>
      </c>
      <c r="AC15" s="436">
        <v>1167920</v>
      </c>
      <c r="AD15" s="439">
        <f t="shared" si="27"/>
        <v>243</v>
      </c>
      <c r="AE15" s="461">
        <f t="shared" si="19"/>
        <v>7</v>
      </c>
      <c r="AF15" s="462">
        <f t="shared" si="4"/>
        <v>1792</v>
      </c>
      <c r="AG15" s="454">
        <f t="shared" si="32"/>
        <v>256</v>
      </c>
      <c r="AJ15" s="567"/>
      <c r="AK15" s="568"/>
      <c r="AL15" s="568"/>
      <c r="AM15" s="568"/>
      <c r="AN15" s="568"/>
    </row>
    <row r="16" spans="1:40">
      <c r="A16" s="447">
        <f>'General information '!F17</f>
        <v>0</v>
      </c>
      <c r="B16" s="441">
        <f t="shared" si="6"/>
        <v>0</v>
      </c>
      <c r="C16" s="448">
        <v>44482</v>
      </c>
      <c r="D16" s="436">
        <v>1381</v>
      </c>
      <c r="E16" s="637">
        <v>3381</v>
      </c>
      <c r="F16" s="594">
        <f t="shared" si="8"/>
        <v>4093479</v>
      </c>
      <c r="G16" s="305">
        <f t="shared" si="20"/>
        <v>0</v>
      </c>
      <c r="H16" s="436">
        <f t="shared" si="9"/>
        <v>17972094</v>
      </c>
      <c r="I16" s="305">
        <f t="shared" si="21"/>
        <v>0</v>
      </c>
      <c r="J16" s="436">
        <f t="shared" si="10"/>
        <v>29546672</v>
      </c>
      <c r="K16" s="305">
        <f t="shared" si="22"/>
        <v>0</v>
      </c>
      <c r="L16" s="436">
        <f t="shared" si="11"/>
        <v>24440462</v>
      </c>
      <c r="M16" s="305">
        <f t="shared" si="23"/>
        <v>0</v>
      </c>
      <c r="N16" s="304">
        <f t="shared" si="24"/>
        <v>3381</v>
      </c>
      <c r="O16" s="456">
        <f t="shared" si="31"/>
        <v>0</v>
      </c>
      <c r="P16" s="585">
        <f t="shared" si="12"/>
        <v>18462.165000000001</v>
      </c>
      <c r="Q16" s="457">
        <f t="shared" si="1"/>
        <v>0</v>
      </c>
      <c r="R16" s="439">
        <f t="shared" si="33"/>
        <v>3381</v>
      </c>
      <c r="S16" s="436">
        <f t="shared" si="13"/>
        <v>10175</v>
      </c>
      <c r="T16" s="458">
        <f t="shared" si="2"/>
        <v>0</v>
      </c>
      <c r="U16" s="436">
        <f t="shared" si="14"/>
        <v>429166</v>
      </c>
      <c r="V16" s="439">
        <f t="shared" si="25"/>
        <v>0</v>
      </c>
      <c r="W16" s="436">
        <f t="shared" si="15"/>
        <v>33332</v>
      </c>
      <c r="X16" s="439">
        <f t="shared" si="30"/>
        <v>0</v>
      </c>
      <c r="Y16" s="436">
        <f t="shared" si="16"/>
        <v>960332</v>
      </c>
      <c r="Z16" s="439">
        <f t="shared" si="29"/>
        <v>0</v>
      </c>
      <c r="AA16" s="436">
        <f t="shared" si="17"/>
        <v>36785</v>
      </c>
      <c r="AB16" s="439">
        <f t="shared" si="26"/>
        <v>0</v>
      </c>
      <c r="AC16" s="436">
        <f t="shared" si="18"/>
        <v>1167920</v>
      </c>
      <c r="AD16" s="439">
        <f t="shared" si="27"/>
        <v>0</v>
      </c>
      <c r="AE16" s="461">
        <f t="shared" si="19"/>
        <v>0</v>
      </c>
      <c r="AF16" s="462">
        <f t="shared" si="4"/>
        <v>0</v>
      </c>
      <c r="AG16" s="454">
        <f t="shared" si="32"/>
        <v>0</v>
      </c>
      <c r="AJ16" s="567"/>
      <c r="AK16" s="568"/>
      <c r="AL16" s="568"/>
      <c r="AM16" s="568"/>
      <c r="AN16" s="568"/>
    </row>
    <row r="17" spans="1:40">
      <c r="A17" s="447">
        <f>'General information '!F18</f>
        <v>0</v>
      </c>
      <c r="B17" s="441">
        <f t="shared" si="6"/>
        <v>0</v>
      </c>
      <c r="C17" s="448">
        <v>44483</v>
      </c>
      <c r="D17" s="436">
        <f>D16</f>
        <v>1381</v>
      </c>
      <c r="E17" s="637">
        <f t="shared" ref="E17:E34" si="34">D17-D16</f>
        <v>0</v>
      </c>
      <c r="F17" s="594">
        <f t="shared" si="8"/>
        <v>4093479</v>
      </c>
      <c r="G17" s="305">
        <f t="shared" si="20"/>
        <v>0</v>
      </c>
      <c r="H17" s="436">
        <f t="shared" si="9"/>
        <v>17972094</v>
      </c>
      <c r="I17" s="305">
        <f t="shared" si="21"/>
        <v>0</v>
      </c>
      <c r="J17" s="436">
        <f t="shared" si="10"/>
        <v>29546672</v>
      </c>
      <c r="K17" s="305">
        <f t="shared" si="22"/>
        <v>0</v>
      </c>
      <c r="L17" s="436">
        <f t="shared" si="11"/>
        <v>24440462</v>
      </c>
      <c r="M17" s="305">
        <f t="shared" si="23"/>
        <v>0</v>
      </c>
      <c r="N17" s="304">
        <f t="shared" si="24"/>
        <v>0</v>
      </c>
      <c r="O17" s="456">
        <f t="shared" si="31"/>
        <v>0</v>
      </c>
      <c r="P17" s="585">
        <f t="shared" si="12"/>
        <v>18462.165000000001</v>
      </c>
      <c r="Q17" s="457">
        <f t="shared" si="1"/>
        <v>0</v>
      </c>
      <c r="R17" s="439">
        <f t="shared" si="33"/>
        <v>0</v>
      </c>
      <c r="S17" s="436">
        <f t="shared" si="13"/>
        <v>10175</v>
      </c>
      <c r="T17" s="458">
        <f t="shared" si="2"/>
        <v>0</v>
      </c>
      <c r="U17" s="436">
        <f t="shared" si="14"/>
        <v>429166</v>
      </c>
      <c r="V17" s="439">
        <f t="shared" si="25"/>
        <v>0</v>
      </c>
      <c r="W17" s="436">
        <f t="shared" si="15"/>
        <v>33332</v>
      </c>
      <c r="X17" s="439">
        <f>W17-W16</f>
        <v>0</v>
      </c>
      <c r="Y17" s="436">
        <f t="shared" si="16"/>
        <v>960332</v>
      </c>
      <c r="Z17" s="439">
        <f>Y17-Y16</f>
        <v>0</v>
      </c>
      <c r="AA17" s="436">
        <f t="shared" si="17"/>
        <v>36785</v>
      </c>
      <c r="AB17" s="439">
        <f>AA17-AA16</f>
        <v>0</v>
      </c>
      <c r="AC17" s="436">
        <f t="shared" si="18"/>
        <v>1167920</v>
      </c>
      <c r="AD17" s="439">
        <f t="shared" si="27"/>
        <v>0</v>
      </c>
      <c r="AE17" s="461">
        <f t="shared" si="19"/>
        <v>0</v>
      </c>
      <c r="AF17" s="462">
        <f t="shared" si="4"/>
        <v>0</v>
      </c>
      <c r="AG17" s="454">
        <f t="shared" si="32"/>
        <v>0</v>
      </c>
      <c r="AJ17" s="567"/>
      <c r="AK17" s="568"/>
      <c r="AL17" s="568"/>
      <c r="AM17" s="568"/>
      <c r="AN17" s="568"/>
    </row>
    <row r="18" spans="1:40">
      <c r="A18" s="447">
        <f>'General information '!F19</f>
        <v>0</v>
      </c>
      <c r="B18" s="441">
        <f t="shared" si="6"/>
        <v>0</v>
      </c>
      <c r="C18" s="448">
        <v>44484</v>
      </c>
      <c r="D18" s="436">
        <f t="shared" ref="D18:D34" si="35">D17</f>
        <v>1381</v>
      </c>
      <c r="E18" s="637">
        <f t="shared" si="34"/>
        <v>0</v>
      </c>
      <c r="F18" s="594">
        <f t="shared" si="8"/>
        <v>4093479</v>
      </c>
      <c r="G18" s="305">
        <f t="shared" si="20"/>
        <v>0</v>
      </c>
      <c r="H18" s="436">
        <f t="shared" si="9"/>
        <v>17972094</v>
      </c>
      <c r="I18" s="305">
        <f t="shared" si="21"/>
        <v>0</v>
      </c>
      <c r="J18" s="436">
        <f t="shared" si="10"/>
        <v>29546672</v>
      </c>
      <c r="K18" s="305">
        <f t="shared" si="22"/>
        <v>0</v>
      </c>
      <c r="L18" s="436">
        <f t="shared" si="11"/>
        <v>24440462</v>
      </c>
      <c r="M18" s="305">
        <f t="shared" si="23"/>
        <v>0</v>
      </c>
      <c r="N18" s="304">
        <f>M18+K18+I18+G18+E18</f>
        <v>0</v>
      </c>
      <c r="O18" s="456">
        <f t="shared" si="31"/>
        <v>0</v>
      </c>
      <c r="P18" s="585">
        <f t="shared" si="12"/>
        <v>18462.165000000001</v>
      </c>
      <c r="Q18" s="457">
        <f t="shared" si="1"/>
        <v>0</v>
      </c>
      <c r="R18" s="439">
        <f t="shared" si="33"/>
        <v>0</v>
      </c>
      <c r="S18" s="436">
        <f t="shared" si="13"/>
        <v>10175</v>
      </c>
      <c r="T18" s="458">
        <f t="shared" si="2"/>
        <v>0</v>
      </c>
      <c r="U18" s="436">
        <f t="shared" si="14"/>
        <v>429166</v>
      </c>
      <c r="V18" s="439">
        <f t="shared" si="25"/>
        <v>0</v>
      </c>
      <c r="W18" s="436">
        <f t="shared" si="15"/>
        <v>33332</v>
      </c>
      <c r="X18" s="439">
        <f t="shared" si="30"/>
        <v>0</v>
      </c>
      <c r="Y18" s="436">
        <f t="shared" si="16"/>
        <v>960332</v>
      </c>
      <c r="Z18" s="439">
        <f t="shared" si="29"/>
        <v>0</v>
      </c>
      <c r="AA18" s="436">
        <f t="shared" si="17"/>
        <v>36785</v>
      </c>
      <c r="AB18" s="439">
        <f t="shared" si="26"/>
        <v>0</v>
      </c>
      <c r="AC18" s="436">
        <f t="shared" si="18"/>
        <v>1167920</v>
      </c>
      <c r="AD18" s="439">
        <f t="shared" ref="AD18:AD31" si="36">AC18-AC17</f>
        <v>0</v>
      </c>
      <c r="AE18" s="461">
        <f t="shared" si="19"/>
        <v>0</v>
      </c>
      <c r="AF18" s="462">
        <f t="shared" si="4"/>
        <v>0</v>
      </c>
      <c r="AG18" s="454">
        <f t="shared" si="32"/>
        <v>0</v>
      </c>
      <c r="AJ18" s="567"/>
      <c r="AK18" s="568"/>
      <c r="AL18" s="568"/>
      <c r="AM18" s="568"/>
      <c r="AN18" s="568"/>
    </row>
    <row r="19" spans="1:40">
      <c r="A19" s="447">
        <f>'General information '!F20</f>
        <v>0</v>
      </c>
      <c r="B19" s="441">
        <f t="shared" si="6"/>
        <v>0</v>
      </c>
      <c r="C19" s="448">
        <v>44485</v>
      </c>
      <c r="D19" s="436">
        <f t="shared" si="35"/>
        <v>1381</v>
      </c>
      <c r="E19" s="637">
        <f t="shared" si="34"/>
        <v>0</v>
      </c>
      <c r="F19" s="594">
        <f t="shared" si="8"/>
        <v>4093479</v>
      </c>
      <c r="G19" s="305">
        <f t="shared" si="20"/>
        <v>0</v>
      </c>
      <c r="H19" s="436">
        <f t="shared" si="9"/>
        <v>17972094</v>
      </c>
      <c r="I19" s="305">
        <f t="shared" si="21"/>
        <v>0</v>
      </c>
      <c r="J19" s="436">
        <f t="shared" si="10"/>
        <v>29546672</v>
      </c>
      <c r="K19" s="305">
        <f t="shared" si="22"/>
        <v>0</v>
      </c>
      <c r="L19" s="436">
        <f t="shared" si="11"/>
        <v>24440462</v>
      </c>
      <c r="M19" s="305">
        <f t="shared" si="23"/>
        <v>0</v>
      </c>
      <c r="N19" s="304">
        <f t="shared" si="24"/>
        <v>0</v>
      </c>
      <c r="O19" s="456">
        <f t="shared" si="31"/>
        <v>0</v>
      </c>
      <c r="P19" s="585">
        <f t="shared" si="12"/>
        <v>18462.165000000001</v>
      </c>
      <c r="Q19" s="457">
        <f t="shared" si="1"/>
        <v>0</v>
      </c>
      <c r="R19" s="439">
        <f t="shared" si="33"/>
        <v>0</v>
      </c>
      <c r="S19" s="436">
        <f t="shared" si="13"/>
        <v>10175</v>
      </c>
      <c r="T19" s="458">
        <f t="shared" si="2"/>
        <v>0</v>
      </c>
      <c r="U19" s="436">
        <f t="shared" si="14"/>
        <v>429166</v>
      </c>
      <c r="V19" s="439">
        <f t="shared" si="25"/>
        <v>0</v>
      </c>
      <c r="W19" s="436">
        <f t="shared" si="15"/>
        <v>33332</v>
      </c>
      <c r="X19" s="439">
        <f t="shared" si="30"/>
        <v>0</v>
      </c>
      <c r="Y19" s="436">
        <f t="shared" si="16"/>
        <v>960332</v>
      </c>
      <c r="Z19" s="439">
        <f t="shared" si="29"/>
        <v>0</v>
      </c>
      <c r="AA19" s="436">
        <f t="shared" si="17"/>
        <v>36785</v>
      </c>
      <c r="AB19" s="439">
        <f t="shared" si="26"/>
        <v>0</v>
      </c>
      <c r="AC19" s="436">
        <f t="shared" si="18"/>
        <v>1167920</v>
      </c>
      <c r="AD19" s="439">
        <f t="shared" si="36"/>
        <v>0</v>
      </c>
      <c r="AE19" s="461">
        <f t="shared" si="19"/>
        <v>0</v>
      </c>
      <c r="AF19" s="462">
        <f t="shared" si="4"/>
        <v>0</v>
      </c>
      <c r="AG19" s="454">
        <f t="shared" si="32"/>
        <v>0</v>
      </c>
      <c r="AJ19" s="567"/>
      <c r="AK19" s="568"/>
      <c r="AL19" s="568"/>
      <c r="AM19" s="568"/>
      <c r="AN19" s="568"/>
    </row>
    <row r="20" spans="1:40">
      <c r="A20" s="447">
        <f>'General information '!F21</f>
        <v>0</v>
      </c>
      <c r="B20" s="441">
        <f t="shared" si="6"/>
        <v>0</v>
      </c>
      <c r="C20" s="448">
        <v>44486</v>
      </c>
      <c r="D20" s="436">
        <f t="shared" si="35"/>
        <v>1381</v>
      </c>
      <c r="E20" s="637">
        <f t="shared" si="34"/>
        <v>0</v>
      </c>
      <c r="F20" s="594">
        <f t="shared" si="8"/>
        <v>4093479</v>
      </c>
      <c r="G20" s="305">
        <f t="shared" si="20"/>
        <v>0</v>
      </c>
      <c r="H20" s="436">
        <f t="shared" si="9"/>
        <v>17972094</v>
      </c>
      <c r="I20" s="305">
        <f t="shared" si="21"/>
        <v>0</v>
      </c>
      <c r="J20" s="436">
        <f t="shared" si="10"/>
        <v>29546672</v>
      </c>
      <c r="K20" s="305">
        <f t="shared" si="22"/>
        <v>0</v>
      </c>
      <c r="L20" s="436">
        <f t="shared" si="11"/>
        <v>24440462</v>
      </c>
      <c r="M20" s="305">
        <f t="shared" si="23"/>
        <v>0</v>
      </c>
      <c r="N20" s="304">
        <f t="shared" si="24"/>
        <v>0</v>
      </c>
      <c r="O20" s="456">
        <f t="shared" si="31"/>
        <v>0</v>
      </c>
      <c r="P20" s="585">
        <f t="shared" si="12"/>
        <v>18462.165000000001</v>
      </c>
      <c r="Q20" s="457">
        <f t="shared" si="1"/>
        <v>0</v>
      </c>
      <c r="R20" s="439">
        <f t="shared" si="33"/>
        <v>0</v>
      </c>
      <c r="S20" s="436">
        <f t="shared" si="13"/>
        <v>10175</v>
      </c>
      <c r="T20" s="458">
        <f t="shared" si="2"/>
        <v>0</v>
      </c>
      <c r="U20" s="436">
        <f t="shared" si="14"/>
        <v>429166</v>
      </c>
      <c r="V20" s="439">
        <f t="shared" si="25"/>
        <v>0</v>
      </c>
      <c r="W20" s="436">
        <f t="shared" si="15"/>
        <v>33332</v>
      </c>
      <c r="X20" s="439">
        <f t="shared" si="30"/>
        <v>0</v>
      </c>
      <c r="Y20" s="436">
        <f t="shared" si="16"/>
        <v>960332</v>
      </c>
      <c r="Z20" s="439">
        <f t="shared" si="29"/>
        <v>0</v>
      </c>
      <c r="AA20" s="436">
        <f t="shared" si="17"/>
        <v>36785</v>
      </c>
      <c r="AB20" s="439">
        <f t="shared" si="26"/>
        <v>0</v>
      </c>
      <c r="AC20" s="436">
        <f t="shared" si="18"/>
        <v>1167920</v>
      </c>
      <c r="AD20" s="439">
        <f t="shared" si="36"/>
        <v>0</v>
      </c>
      <c r="AE20" s="461">
        <f t="shared" si="19"/>
        <v>0</v>
      </c>
      <c r="AF20" s="462">
        <f t="shared" si="4"/>
        <v>0</v>
      </c>
      <c r="AG20" s="454">
        <f t="shared" si="32"/>
        <v>0</v>
      </c>
      <c r="AJ20" s="567"/>
      <c r="AK20" s="568"/>
      <c r="AL20" s="568"/>
      <c r="AM20" s="568"/>
      <c r="AN20" s="568"/>
    </row>
    <row r="21" spans="1:40">
      <c r="A21" s="447">
        <f>'General information '!F22</f>
        <v>0</v>
      </c>
      <c r="B21" s="441">
        <f t="shared" si="6"/>
        <v>0</v>
      </c>
      <c r="C21" s="448">
        <v>44487</v>
      </c>
      <c r="D21" s="436">
        <v>4000</v>
      </c>
      <c r="E21" s="637">
        <f>D21-D20</f>
        <v>2619</v>
      </c>
      <c r="F21" s="594">
        <v>4093998</v>
      </c>
      <c r="G21" s="305">
        <f t="shared" si="20"/>
        <v>519</v>
      </c>
      <c r="H21" s="436">
        <v>17972936</v>
      </c>
      <c r="I21" s="305">
        <f t="shared" si="21"/>
        <v>842</v>
      </c>
      <c r="J21" s="436">
        <v>29550870</v>
      </c>
      <c r="K21" s="305">
        <f t="shared" si="22"/>
        <v>4198</v>
      </c>
      <c r="L21" s="436">
        <v>24442030</v>
      </c>
      <c r="M21" s="305">
        <f t="shared" si="23"/>
        <v>1568</v>
      </c>
      <c r="N21" s="304">
        <f t="shared" si="24"/>
        <v>9746</v>
      </c>
      <c r="O21" s="456">
        <f t="shared" si="31"/>
        <v>0</v>
      </c>
      <c r="P21" s="585">
        <v>18471.467000000001</v>
      </c>
      <c r="Q21" s="457">
        <f t="shared" si="1"/>
        <v>9301.9999999996799</v>
      </c>
      <c r="R21" s="439">
        <f t="shared" si="33"/>
        <v>444.00000000032014</v>
      </c>
      <c r="S21" s="436">
        <f t="shared" si="13"/>
        <v>10175</v>
      </c>
      <c r="T21" s="458">
        <f t="shared" si="2"/>
        <v>0</v>
      </c>
      <c r="U21" s="436">
        <f t="shared" si="14"/>
        <v>429166</v>
      </c>
      <c r="V21" s="439">
        <f t="shared" si="25"/>
        <v>0</v>
      </c>
      <c r="W21" s="436">
        <v>33341</v>
      </c>
      <c r="X21" s="439">
        <f t="shared" si="30"/>
        <v>9</v>
      </c>
      <c r="Y21" s="436">
        <v>962683</v>
      </c>
      <c r="Z21" s="439">
        <f t="shared" si="29"/>
        <v>2351</v>
      </c>
      <c r="AA21" s="436">
        <f t="shared" si="17"/>
        <v>36785</v>
      </c>
      <c r="AB21" s="439">
        <f t="shared" si="26"/>
        <v>0</v>
      </c>
      <c r="AC21" s="436">
        <f t="shared" si="18"/>
        <v>1167920</v>
      </c>
      <c r="AD21" s="439">
        <f t="shared" si="36"/>
        <v>0</v>
      </c>
      <c r="AE21" s="461">
        <f t="shared" si="19"/>
        <v>9</v>
      </c>
      <c r="AF21" s="462">
        <f t="shared" si="4"/>
        <v>2351</v>
      </c>
      <c r="AG21" s="454">
        <f t="shared" si="32"/>
        <v>261.22222222222223</v>
      </c>
      <c r="AJ21" s="567"/>
      <c r="AK21" s="568"/>
      <c r="AL21" s="568"/>
      <c r="AM21" s="568"/>
      <c r="AN21" s="568"/>
    </row>
    <row r="22" spans="1:40">
      <c r="A22" s="447">
        <f>'General information '!F23</f>
        <v>0</v>
      </c>
      <c r="B22" s="441">
        <f t="shared" si="6"/>
        <v>0</v>
      </c>
      <c r="C22" s="448">
        <v>44488</v>
      </c>
      <c r="D22" s="436">
        <v>6027</v>
      </c>
      <c r="E22" s="637">
        <f t="shared" si="34"/>
        <v>2027</v>
      </c>
      <c r="F22" s="594">
        <v>4094342</v>
      </c>
      <c r="G22" s="305">
        <f t="shared" si="20"/>
        <v>344</v>
      </c>
      <c r="H22" s="436">
        <v>17973490</v>
      </c>
      <c r="I22" s="305">
        <f t="shared" si="21"/>
        <v>554</v>
      </c>
      <c r="J22" s="436">
        <v>29553518</v>
      </c>
      <c r="K22" s="305">
        <f t="shared" si="22"/>
        <v>2648</v>
      </c>
      <c r="L22" s="436">
        <v>24443126</v>
      </c>
      <c r="M22" s="305">
        <f t="shared" si="23"/>
        <v>1096</v>
      </c>
      <c r="N22" s="304">
        <f t="shared" si="24"/>
        <v>6669</v>
      </c>
      <c r="O22" s="456">
        <f t="shared" si="31"/>
        <v>0</v>
      </c>
      <c r="P22" s="585">
        <v>18478.12</v>
      </c>
      <c r="Q22" s="457">
        <f t="shared" si="1"/>
        <v>6652.9999999984284</v>
      </c>
      <c r="R22" s="439">
        <f t="shared" si="33"/>
        <v>16.000000001571607</v>
      </c>
      <c r="S22" s="436">
        <f t="shared" si="13"/>
        <v>10175</v>
      </c>
      <c r="T22" s="458">
        <f t="shared" si="2"/>
        <v>0</v>
      </c>
      <c r="U22" s="436">
        <f t="shared" si="14"/>
        <v>429166</v>
      </c>
      <c r="V22" s="439">
        <f t="shared" si="25"/>
        <v>0</v>
      </c>
      <c r="W22" s="436">
        <v>33348</v>
      </c>
      <c r="X22" s="439">
        <f t="shared" si="30"/>
        <v>7</v>
      </c>
      <c r="Y22" s="436">
        <v>964220</v>
      </c>
      <c r="Z22" s="439">
        <f t="shared" si="29"/>
        <v>1537</v>
      </c>
      <c r="AA22" s="436">
        <f t="shared" si="17"/>
        <v>36785</v>
      </c>
      <c r="AB22" s="439">
        <f t="shared" si="26"/>
        <v>0</v>
      </c>
      <c r="AC22" s="436">
        <f t="shared" si="18"/>
        <v>1167920</v>
      </c>
      <c r="AD22" s="460">
        <f>AC22-AC21</f>
        <v>0</v>
      </c>
      <c r="AE22" s="461">
        <f t="shared" si="19"/>
        <v>7</v>
      </c>
      <c r="AF22" s="462">
        <f t="shared" si="4"/>
        <v>1537</v>
      </c>
      <c r="AG22" s="454">
        <f t="shared" si="32"/>
        <v>219.57142857142858</v>
      </c>
      <c r="AJ22" s="567"/>
      <c r="AK22" s="568"/>
      <c r="AL22" s="568"/>
      <c r="AM22" s="568"/>
      <c r="AN22" s="568"/>
    </row>
    <row r="23" spans="1:40">
      <c r="A23" s="447">
        <f>'General information '!F24</f>
        <v>0</v>
      </c>
      <c r="B23" s="441">
        <f t="shared" si="6"/>
        <v>0</v>
      </c>
      <c r="C23" s="448">
        <v>44489</v>
      </c>
      <c r="D23" s="436">
        <v>8478</v>
      </c>
      <c r="E23" s="637">
        <f t="shared" si="34"/>
        <v>2451</v>
      </c>
      <c r="F23" s="594">
        <v>4094646</v>
      </c>
      <c r="G23" s="305">
        <f t="shared" si="20"/>
        <v>304</v>
      </c>
      <c r="H23" s="436">
        <v>17973998</v>
      </c>
      <c r="I23" s="305">
        <f t="shared" si="21"/>
        <v>508</v>
      </c>
      <c r="J23" s="436">
        <v>29555118</v>
      </c>
      <c r="K23" s="305">
        <f t="shared" si="22"/>
        <v>1600</v>
      </c>
      <c r="L23" s="436">
        <v>24444140</v>
      </c>
      <c r="M23" s="305">
        <f t="shared" si="23"/>
        <v>1014</v>
      </c>
      <c r="N23" s="304">
        <f t="shared" si="24"/>
        <v>5877</v>
      </c>
      <c r="O23" s="456">
        <f t="shared" si="31"/>
        <v>0</v>
      </c>
      <c r="P23" s="585">
        <v>18484.083999999999</v>
      </c>
      <c r="Q23" s="457">
        <f t="shared" si="1"/>
        <v>5963.9999999999418</v>
      </c>
      <c r="R23" s="439">
        <f>AP23-Q23</f>
        <v>-5963.9999999999418</v>
      </c>
      <c r="S23" s="436">
        <f t="shared" si="13"/>
        <v>10175</v>
      </c>
      <c r="T23" s="458">
        <f t="shared" si="2"/>
        <v>0</v>
      </c>
      <c r="U23" s="436">
        <f t="shared" si="14"/>
        <v>429166</v>
      </c>
      <c r="V23" s="439">
        <f t="shared" si="25"/>
        <v>0</v>
      </c>
      <c r="W23" s="436">
        <v>33350</v>
      </c>
      <c r="X23" s="439">
        <f t="shared" si="30"/>
        <v>2</v>
      </c>
      <c r="Y23" s="436">
        <v>964722</v>
      </c>
      <c r="Z23" s="439">
        <f t="shared" si="29"/>
        <v>502</v>
      </c>
      <c r="AA23" s="436">
        <v>36785</v>
      </c>
      <c r="AB23" s="439">
        <f t="shared" si="26"/>
        <v>0</v>
      </c>
      <c r="AC23" s="436">
        <v>1167920</v>
      </c>
      <c r="AD23" s="439">
        <f t="shared" si="36"/>
        <v>0</v>
      </c>
      <c r="AE23" s="461">
        <f t="shared" si="19"/>
        <v>2</v>
      </c>
      <c r="AF23" s="462">
        <f t="shared" si="4"/>
        <v>502</v>
      </c>
      <c r="AG23" s="454">
        <f t="shared" si="32"/>
        <v>251</v>
      </c>
      <c r="AJ23" s="567"/>
      <c r="AK23" s="568"/>
      <c r="AL23" s="568"/>
      <c r="AM23" s="568"/>
      <c r="AN23" s="568"/>
    </row>
    <row r="24" spans="1:40">
      <c r="A24" s="447">
        <f>'General information '!F25</f>
        <v>0</v>
      </c>
      <c r="B24" s="441">
        <f t="shared" si="6"/>
        <v>0</v>
      </c>
      <c r="C24" s="448">
        <v>44490</v>
      </c>
      <c r="D24" s="436">
        <v>11000</v>
      </c>
      <c r="E24" s="637">
        <f t="shared" si="34"/>
        <v>2522</v>
      </c>
      <c r="F24" s="594">
        <v>4095000</v>
      </c>
      <c r="G24" s="305">
        <f t="shared" si="20"/>
        <v>354</v>
      </c>
      <c r="H24" s="436">
        <v>17974578</v>
      </c>
      <c r="I24" s="429">
        <f t="shared" si="21"/>
        <v>580</v>
      </c>
      <c r="J24" s="436">
        <v>29556692</v>
      </c>
      <c r="K24" s="305">
        <f t="shared" si="22"/>
        <v>1574</v>
      </c>
      <c r="L24" s="436">
        <v>24445222</v>
      </c>
      <c r="M24" s="305">
        <f t="shared" si="23"/>
        <v>1082</v>
      </c>
      <c r="N24" s="304">
        <f t="shared" si="24"/>
        <v>6112</v>
      </c>
      <c r="O24" s="456">
        <f t="shared" si="31"/>
        <v>0</v>
      </c>
      <c r="P24" s="585">
        <v>18490.486000000001</v>
      </c>
      <c r="Q24" s="457">
        <f t="shared" si="1"/>
        <v>6402.0000000018626</v>
      </c>
      <c r="R24" s="439">
        <f t="shared" si="33"/>
        <v>-290.00000000186265</v>
      </c>
      <c r="S24" s="436">
        <f t="shared" si="13"/>
        <v>10175</v>
      </c>
      <c r="T24" s="458">
        <f t="shared" si="2"/>
        <v>0</v>
      </c>
      <c r="U24" s="436">
        <f t="shared" si="14"/>
        <v>429166</v>
      </c>
      <c r="V24" s="439">
        <f t="shared" si="25"/>
        <v>0</v>
      </c>
      <c r="W24" s="436">
        <v>33351</v>
      </c>
      <c r="X24" s="439">
        <f t="shared" si="30"/>
        <v>1</v>
      </c>
      <c r="Y24" s="436">
        <v>965086</v>
      </c>
      <c r="Z24" s="439">
        <f t="shared" si="29"/>
        <v>364</v>
      </c>
      <c r="AA24" s="436">
        <v>36792</v>
      </c>
      <c r="AB24" s="439">
        <f t="shared" si="26"/>
        <v>7</v>
      </c>
      <c r="AC24" s="436">
        <v>1169481</v>
      </c>
      <c r="AD24" s="439">
        <f t="shared" si="36"/>
        <v>1561</v>
      </c>
      <c r="AE24" s="461">
        <f t="shared" si="19"/>
        <v>8</v>
      </c>
      <c r="AF24" s="462">
        <f t="shared" si="4"/>
        <v>1925</v>
      </c>
      <c r="AG24" s="454">
        <f t="shared" si="32"/>
        <v>240.625</v>
      </c>
      <c r="AJ24" s="567"/>
      <c r="AK24" s="568"/>
      <c r="AL24" s="568"/>
      <c r="AM24" s="568"/>
      <c r="AN24" s="568"/>
    </row>
    <row r="25" spans="1:40">
      <c r="A25" s="447">
        <f>'General information '!F26</f>
        <v>0</v>
      </c>
      <c r="B25" s="441">
        <f t="shared" si="6"/>
        <v>0</v>
      </c>
      <c r="C25" s="448">
        <v>44491</v>
      </c>
      <c r="D25" s="436">
        <v>11610</v>
      </c>
      <c r="E25" s="637">
        <f t="shared" si="34"/>
        <v>610</v>
      </c>
      <c r="F25" s="594">
        <v>4095000</v>
      </c>
      <c r="G25" s="305">
        <f t="shared" si="20"/>
        <v>0</v>
      </c>
      <c r="H25" s="436">
        <f t="shared" si="9"/>
        <v>17974578</v>
      </c>
      <c r="I25" s="305">
        <f t="shared" si="21"/>
        <v>0</v>
      </c>
      <c r="J25" s="436">
        <f t="shared" si="10"/>
        <v>29556692</v>
      </c>
      <c r="K25" s="305">
        <f t="shared" si="22"/>
        <v>0</v>
      </c>
      <c r="L25" s="436">
        <f t="shared" si="11"/>
        <v>24445222</v>
      </c>
      <c r="M25" s="305">
        <f t="shared" si="23"/>
        <v>0</v>
      </c>
      <c r="N25" s="304">
        <f t="shared" si="24"/>
        <v>610</v>
      </c>
      <c r="O25" s="456">
        <f t="shared" si="31"/>
        <v>0</v>
      </c>
      <c r="P25" s="585">
        <f t="shared" si="12"/>
        <v>18490.486000000001</v>
      </c>
      <c r="Q25" s="457">
        <f t="shared" si="1"/>
        <v>0</v>
      </c>
      <c r="R25" s="439">
        <f t="shared" si="33"/>
        <v>610</v>
      </c>
      <c r="S25" s="436">
        <f t="shared" si="13"/>
        <v>10175</v>
      </c>
      <c r="T25" s="458">
        <f t="shared" si="2"/>
        <v>0</v>
      </c>
      <c r="U25" s="436">
        <f t="shared" si="14"/>
        <v>429166</v>
      </c>
      <c r="V25" s="439">
        <f t="shared" si="25"/>
        <v>0</v>
      </c>
      <c r="W25" s="436">
        <f t="shared" si="15"/>
        <v>33351</v>
      </c>
      <c r="X25" s="439">
        <f t="shared" si="30"/>
        <v>0</v>
      </c>
      <c r="Y25" s="436">
        <f t="shared" si="16"/>
        <v>965086</v>
      </c>
      <c r="Z25" s="439">
        <f t="shared" si="29"/>
        <v>0</v>
      </c>
      <c r="AA25" s="436">
        <f t="shared" si="17"/>
        <v>36792</v>
      </c>
      <c r="AB25" s="439">
        <f t="shared" si="26"/>
        <v>0</v>
      </c>
      <c r="AC25" s="436">
        <f t="shared" si="18"/>
        <v>1169481</v>
      </c>
      <c r="AD25" s="439">
        <f t="shared" si="36"/>
        <v>0</v>
      </c>
      <c r="AE25" s="461">
        <f t="shared" si="19"/>
        <v>0</v>
      </c>
      <c r="AF25" s="462">
        <f t="shared" si="4"/>
        <v>0</v>
      </c>
      <c r="AG25" s="454">
        <f t="shared" si="32"/>
        <v>0</v>
      </c>
      <c r="AJ25" s="567"/>
      <c r="AK25" s="568"/>
      <c r="AL25" s="568"/>
      <c r="AM25" s="568"/>
      <c r="AN25" s="568"/>
    </row>
    <row r="26" spans="1:40">
      <c r="A26" s="447">
        <f>'General information '!F27</f>
        <v>0</v>
      </c>
      <c r="B26" s="441">
        <f t="shared" si="6"/>
        <v>0</v>
      </c>
      <c r="C26" s="448">
        <v>44492</v>
      </c>
      <c r="D26" s="436">
        <f t="shared" si="35"/>
        <v>11610</v>
      </c>
      <c r="E26" s="637">
        <f t="shared" si="34"/>
        <v>0</v>
      </c>
      <c r="F26" s="594">
        <f t="shared" si="8"/>
        <v>4095000</v>
      </c>
      <c r="G26" s="305">
        <f t="shared" si="20"/>
        <v>0</v>
      </c>
      <c r="H26" s="436">
        <f t="shared" si="9"/>
        <v>17974578</v>
      </c>
      <c r="I26" s="305">
        <f t="shared" si="21"/>
        <v>0</v>
      </c>
      <c r="J26" s="436">
        <f t="shared" si="10"/>
        <v>29556692</v>
      </c>
      <c r="K26" s="305">
        <f t="shared" si="22"/>
        <v>0</v>
      </c>
      <c r="L26" s="436">
        <f t="shared" si="11"/>
        <v>24445222</v>
      </c>
      <c r="M26" s="305">
        <f t="shared" si="23"/>
        <v>0</v>
      </c>
      <c r="N26" s="304">
        <f t="shared" si="24"/>
        <v>0</v>
      </c>
      <c r="O26" s="456">
        <f t="shared" si="31"/>
        <v>0</v>
      </c>
      <c r="P26" s="585">
        <f t="shared" si="12"/>
        <v>18490.486000000001</v>
      </c>
      <c r="Q26" s="457">
        <f t="shared" si="1"/>
        <v>0</v>
      </c>
      <c r="R26" s="439">
        <f t="shared" si="33"/>
        <v>0</v>
      </c>
      <c r="S26" s="436">
        <f t="shared" si="13"/>
        <v>10175</v>
      </c>
      <c r="T26" s="458">
        <f t="shared" si="2"/>
        <v>0</v>
      </c>
      <c r="U26" s="436">
        <f t="shared" si="14"/>
        <v>429166</v>
      </c>
      <c r="V26" s="439">
        <f t="shared" si="25"/>
        <v>0</v>
      </c>
      <c r="W26" s="436">
        <f t="shared" si="15"/>
        <v>33351</v>
      </c>
      <c r="X26" s="439">
        <f t="shared" si="30"/>
        <v>0</v>
      </c>
      <c r="Y26" s="436">
        <f t="shared" si="16"/>
        <v>965086</v>
      </c>
      <c r="Z26" s="439">
        <f t="shared" si="29"/>
        <v>0</v>
      </c>
      <c r="AA26" s="436">
        <f t="shared" si="17"/>
        <v>36792</v>
      </c>
      <c r="AB26" s="439">
        <f t="shared" si="26"/>
        <v>0</v>
      </c>
      <c r="AC26" s="436">
        <f t="shared" si="18"/>
        <v>1169481</v>
      </c>
      <c r="AD26" s="439">
        <f t="shared" si="36"/>
        <v>0</v>
      </c>
      <c r="AE26" s="461">
        <f t="shared" si="19"/>
        <v>0</v>
      </c>
      <c r="AF26" s="462">
        <f t="shared" si="4"/>
        <v>0</v>
      </c>
      <c r="AG26" s="454">
        <f t="shared" si="32"/>
        <v>0</v>
      </c>
      <c r="AJ26" s="567"/>
      <c r="AK26" s="568"/>
      <c r="AL26" s="568"/>
      <c r="AM26" s="568"/>
      <c r="AN26" s="568"/>
    </row>
    <row r="27" spans="1:40">
      <c r="A27" s="447">
        <f>'General information '!F28</f>
        <v>0</v>
      </c>
      <c r="B27" s="441">
        <f t="shared" si="6"/>
        <v>0</v>
      </c>
      <c r="C27" s="448">
        <v>44493</v>
      </c>
      <c r="D27" s="436">
        <v>14622</v>
      </c>
      <c r="E27" s="637">
        <f t="shared" si="34"/>
        <v>3012</v>
      </c>
      <c r="F27" s="594">
        <v>4095326</v>
      </c>
      <c r="G27" s="305">
        <f t="shared" si="20"/>
        <v>326</v>
      </c>
      <c r="H27" s="436">
        <v>17975122</v>
      </c>
      <c r="I27" s="305">
        <f t="shared" si="21"/>
        <v>544</v>
      </c>
      <c r="J27" s="436">
        <v>29558066</v>
      </c>
      <c r="K27" s="305">
        <f t="shared" si="22"/>
        <v>1374</v>
      </c>
      <c r="L27" s="436">
        <v>24446198</v>
      </c>
      <c r="M27" s="305">
        <f t="shared" si="23"/>
        <v>976</v>
      </c>
      <c r="N27" s="304">
        <f t="shared" si="24"/>
        <v>6232</v>
      </c>
      <c r="O27" s="456">
        <f t="shared" si="31"/>
        <v>0</v>
      </c>
      <c r="P27" s="585">
        <v>18495.884999999998</v>
      </c>
      <c r="Q27" s="457">
        <f t="shared" si="1"/>
        <v>5398.9999999976135</v>
      </c>
      <c r="R27" s="439">
        <f t="shared" si="33"/>
        <v>833.00000000238651</v>
      </c>
      <c r="S27" s="436">
        <f t="shared" si="13"/>
        <v>10175</v>
      </c>
      <c r="T27" s="458">
        <f t="shared" si="2"/>
        <v>0</v>
      </c>
      <c r="U27" s="436">
        <f t="shared" si="14"/>
        <v>429166</v>
      </c>
      <c r="V27" s="439">
        <f t="shared" si="25"/>
        <v>0</v>
      </c>
      <c r="W27" s="436">
        <v>33352</v>
      </c>
      <c r="X27" s="439">
        <f t="shared" si="30"/>
        <v>1</v>
      </c>
      <c r="Y27" s="436">
        <v>965372</v>
      </c>
      <c r="Z27" s="439">
        <f t="shared" si="29"/>
        <v>286</v>
      </c>
      <c r="AA27" s="436">
        <v>36796</v>
      </c>
      <c r="AB27" s="439">
        <f t="shared" si="26"/>
        <v>4</v>
      </c>
      <c r="AC27" s="436">
        <v>1170505</v>
      </c>
      <c r="AD27" s="439">
        <f t="shared" si="36"/>
        <v>1024</v>
      </c>
      <c r="AE27" s="461">
        <f t="shared" si="19"/>
        <v>5</v>
      </c>
      <c r="AF27" s="462">
        <f t="shared" si="4"/>
        <v>1310</v>
      </c>
      <c r="AG27" s="454">
        <f t="shared" si="32"/>
        <v>262</v>
      </c>
      <c r="AJ27" s="567"/>
      <c r="AK27" s="568"/>
      <c r="AL27" s="568"/>
      <c r="AM27" s="568"/>
      <c r="AN27" s="568"/>
    </row>
    <row r="28" spans="1:40">
      <c r="A28" s="447">
        <f>'General information '!F29</f>
        <v>0</v>
      </c>
      <c r="B28" s="441">
        <f t="shared" si="6"/>
        <v>0</v>
      </c>
      <c r="C28" s="448">
        <v>44494</v>
      </c>
      <c r="D28" s="436">
        <v>16000</v>
      </c>
      <c r="E28" s="637">
        <f t="shared" si="34"/>
        <v>1378</v>
      </c>
      <c r="F28" s="594">
        <v>4095664</v>
      </c>
      <c r="G28" s="305">
        <f>F28-F27</f>
        <v>338</v>
      </c>
      <c r="H28" s="436">
        <v>17975680</v>
      </c>
      <c r="I28" s="305">
        <f t="shared" si="21"/>
        <v>558</v>
      </c>
      <c r="J28" s="436">
        <v>29560542</v>
      </c>
      <c r="K28" s="305">
        <f t="shared" si="22"/>
        <v>2476</v>
      </c>
      <c r="L28" s="436">
        <v>24447232</v>
      </c>
      <c r="M28" s="305">
        <f t="shared" si="23"/>
        <v>1034</v>
      </c>
      <c r="N28" s="304">
        <f t="shared" si="24"/>
        <v>5784</v>
      </c>
      <c r="O28" s="456">
        <f t="shared" si="31"/>
        <v>0</v>
      </c>
      <c r="P28" s="585">
        <v>18501.984</v>
      </c>
      <c r="Q28" s="457">
        <f t="shared" si="1"/>
        <v>6099.0000000019791</v>
      </c>
      <c r="R28" s="439">
        <f t="shared" si="33"/>
        <v>-315.00000000197906</v>
      </c>
      <c r="S28" s="436">
        <f t="shared" si="13"/>
        <v>10175</v>
      </c>
      <c r="T28" s="458">
        <f t="shared" si="2"/>
        <v>0</v>
      </c>
      <c r="U28" s="436">
        <f t="shared" si="14"/>
        <v>429166</v>
      </c>
      <c r="V28" s="439">
        <f t="shared" si="25"/>
        <v>0</v>
      </c>
      <c r="W28" s="436">
        <v>33358</v>
      </c>
      <c r="X28" s="439">
        <f t="shared" si="30"/>
        <v>6</v>
      </c>
      <c r="Y28" s="436">
        <v>966595</v>
      </c>
      <c r="Z28" s="439">
        <f t="shared" si="29"/>
        <v>1223</v>
      </c>
      <c r="AA28" s="436">
        <f t="shared" si="17"/>
        <v>36796</v>
      </c>
      <c r="AB28" s="439">
        <f t="shared" si="26"/>
        <v>0</v>
      </c>
      <c r="AC28" s="436">
        <f t="shared" si="18"/>
        <v>1170505</v>
      </c>
      <c r="AD28" s="439">
        <f t="shared" si="36"/>
        <v>0</v>
      </c>
      <c r="AE28" s="461">
        <f t="shared" si="19"/>
        <v>6</v>
      </c>
      <c r="AF28" s="462">
        <f t="shared" si="4"/>
        <v>1223</v>
      </c>
      <c r="AG28" s="454">
        <f t="shared" si="32"/>
        <v>203.83333333333334</v>
      </c>
      <c r="AJ28" s="567"/>
      <c r="AK28" s="568"/>
      <c r="AL28" s="568"/>
      <c r="AM28" s="568"/>
      <c r="AN28" s="568"/>
    </row>
    <row r="29" spans="1:40">
      <c r="A29" s="447">
        <f>'General information '!F30</f>
        <v>0</v>
      </c>
      <c r="B29" s="441">
        <f t="shared" si="6"/>
        <v>0</v>
      </c>
      <c r="C29" s="448">
        <v>44495</v>
      </c>
      <c r="D29" s="436">
        <v>18000</v>
      </c>
      <c r="E29" s="637">
        <f t="shared" si="34"/>
        <v>2000</v>
      </c>
      <c r="F29" s="594">
        <v>4096111</v>
      </c>
      <c r="G29" s="305">
        <f t="shared" ref="G29" si="37">F29-F28</f>
        <v>447</v>
      </c>
      <c r="H29" s="436">
        <v>17976404</v>
      </c>
      <c r="I29" s="305">
        <f t="shared" ref="I29" si="38">H29-H28</f>
        <v>724</v>
      </c>
      <c r="J29" s="436">
        <v>29563324</v>
      </c>
      <c r="K29" s="305">
        <f t="shared" ref="K29" si="39">J29-J28</f>
        <v>2782</v>
      </c>
      <c r="L29" s="436">
        <v>24448582</v>
      </c>
      <c r="M29" s="305">
        <f t="shared" ref="M29" si="40">L29-L28</f>
        <v>1350</v>
      </c>
      <c r="N29" s="304">
        <f t="shared" ref="N29" si="41">M29+K29+I29+G29+E29</f>
        <v>7303</v>
      </c>
      <c r="O29" s="456">
        <f t="shared" ref="O29" si="42">IF(B29&gt;0,N29/B29,0)</f>
        <v>0</v>
      </c>
      <c r="P29" s="585">
        <v>18509.258000000002</v>
      </c>
      <c r="Q29" s="457">
        <f t="shared" ref="Q29" si="43">(P29-P28)*1000</f>
        <v>7274.0000000012515</v>
      </c>
      <c r="R29" s="439">
        <f t="shared" ref="R29" si="44">N29-Q29</f>
        <v>28.999999998748535</v>
      </c>
      <c r="S29" s="436">
        <f t="shared" si="13"/>
        <v>10175</v>
      </c>
      <c r="T29" s="458">
        <f t="shared" ref="T29" si="45">S29-S28</f>
        <v>0</v>
      </c>
      <c r="U29" s="436">
        <f t="shared" si="14"/>
        <v>429166</v>
      </c>
      <c r="V29" s="439">
        <f t="shared" ref="V29" si="46">U29-U28</f>
        <v>0</v>
      </c>
      <c r="W29" s="436">
        <v>33363</v>
      </c>
      <c r="X29" s="439">
        <f t="shared" ref="X29" si="47">W29-W28</f>
        <v>5</v>
      </c>
      <c r="Y29" s="436">
        <v>967832</v>
      </c>
      <c r="Z29" s="439">
        <f t="shared" ref="Z29" si="48">Y29-Y28</f>
        <v>1237</v>
      </c>
      <c r="AA29" s="436">
        <f t="shared" si="17"/>
        <v>36796</v>
      </c>
      <c r="AB29" s="439">
        <f t="shared" ref="AB29" si="49">AA29-AA28</f>
        <v>0</v>
      </c>
      <c r="AC29" s="436">
        <f t="shared" si="18"/>
        <v>1170505</v>
      </c>
      <c r="AD29" s="439">
        <f t="shared" ref="AD29" si="50">AC29-AC28</f>
        <v>0</v>
      </c>
      <c r="AE29" s="461">
        <f t="shared" ref="AE29" si="51">AB29+X29+T29</f>
        <v>5</v>
      </c>
      <c r="AF29" s="462">
        <f t="shared" ref="AF29" si="52">V29+Z29+AD29</f>
        <v>1237</v>
      </c>
      <c r="AG29" s="454">
        <f t="shared" si="32"/>
        <v>247.4</v>
      </c>
      <c r="AJ29" s="567"/>
      <c r="AK29" s="568"/>
      <c r="AL29" s="568"/>
      <c r="AM29" s="568"/>
      <c r="AN29" s="568"/>
    </row>
    <row r="30" spans="1:40">
      <c r="A30" s="447">
        <f>'General information '!F31</f>
        <v>0</v>
      </c>
      <c r="B30" s="441">
        <f>SUM(230*A30)</f>
        <v>0</v>
      </c>
      <c r="C30" s="448">
        <v>44496</v>
      </c>
      <c r="D30" s="436">
        <f t="shared" si="35"/>
        <v>18000</v>
      </c>
      <c r="E30" s="637">
        <f t="shared" si="34"/>
        <v>0</v>
      </c>
      <c r="F30" s="594">
        <f t="shared" si="8"/>
        <v>4096111</v>
      </c>
      <c r="G30" s="305">
        <f t="shared" si="20"/>
        <v>0</v>
      </c>
      <c r="H30" s="436">
        <f t="shared" si="9"/>
        <v>17976404</v>
      </c>
      <c r="I30" s="305">
        <f t="shared" si="21"/>
        <v>0</v>
      </c>
      <c r="J30" s="436">
        <f t="shared" si="10"/>
        <v>29563324</v>
      </c>
      <c r="K30" s="305">
        <f t="shared" si="22"/>
        <v>0</v>
      </c>
      <c r="L30" s="436">
        <f t="shared" si="11"/>
        <v>24448582</v>
      </c>
      <c r="M30" s="305">
        <f t="shared" si="23"/>
        <v>0</v>
      </c>
      <c r="N30" s="304">
        <f t="shared" si="24"/>
        <v>0</v>
      </c>
      <c r="O30" s="456">
        <f t="shared" si="31"/>
        <v>0</v>
      </c>
      <c r="P30" s="585">
        <f t="shared" si="12"/>
        <v>18509.258000000002</v>
      </c>
      <c r="Q30" s="457">
        <f t="shared" si="1"/>
        <v>0</v>
      </c>
      <c r="R30" s="439">
        <f t="shared" si="33"/>
        <v>0</v>
      </c>
      <c r="S30" s="436">
        <f t="shared" si="13"/>
        <v>10175</v>
      </c>
      <c r="T30" s="458">
        <f t="shared" si="2"/>
        <v>0</v>
      </c>
      <c r="U30" s="436">
        <f t="shared" si="14"/>
        <v>429166</v>
      </c>
      <c r="V30" s="439">
        <f t="shared" si="25"/>
        <v>0</v>
      </c>
      <c r="W30" s="436">
        <f t="shared" si="15"/>
        <v>33363</v>
      </c>
      <c r="X30" s="439">
        <f t="shared" si="30"/>
        <v>0</v>
      </c>
      <c r="Y30" s="436">
        <f t="shared" si="16"/>
        <v>967832</v>
      </c>
      <c r="Z30" s="439">
        <f t="shared" si="29"/>
        <v>0</v>
      </c>
      <c r="AA30" s="436">
        <f t="shared" si="17"/>
        <v>36796</v>
      </c>
      <c r="AB30" s="439">
        <f t="shared" si="26"/>
        <v>0</v>
      </c>
      <c r="AC30" s="436">
        <f t="shared" si="18"/>
        <v>1170505</v>
      </c>
      <c r="AD30" s="439">
        <f t="shared" si="36"/>
        <v>0</v>
      </c>
      <c r="AE30" s="461">
        <f t="shared" si="19"/>
        <v>0</v>
      </c>
      <c r="AF30" s="462">
        <f t="shared" si="4"/>
        <v>0</v>
      </c>
      <c r="AG30" s="454">
        <f t="shared" si="32"/>
        <v>0</v>
      </c>
      <c r="AJ30" s="567"/>
      <c r="AK30" s="568"/>
      <c r="AL30" s="568"/>
      <c r="AM30" s="568"/>
      <c r="AN30" s="568"/>
    </row>
    <row r="31" spans="1:40">
      <c r="A31" s="447">
        <f>'General information '!F32</f>
        <v>0</v>
      </c>
      <c r="B31" s="441">
        <f t="shared" si="6"/>
        <v>0</v>
      </c>
      <c r="C31" s="448">
        <v>44497</v>
      </c>
      <c r="D31" s="436">
        <f t="shared" si="35"/>
        <v>18000</v>
      </c>
      <c r="E31" s="637">
        <f t="shared" si="34"/>
        <v>0</v>
      </c>
      <c r="F31" s="594">
        <f t="shared" si="8"/>
        <v>4096111</v>
      </c>
      <c r="G31" s="305">
        <f t="shared" si="20"/>
        <v>0</v>
      </c>
      <c r="H31" s="436">
        <f t="shared" si="9"/>
        <v>17976404</v>
      </c>
      <c r="I31" s="305">
        <f t="shared" si="21"/>
        <v>0</v>
      </c>
      <c r="J31" s="436">
        <f t="shared" si="10"/>
        <v>29563324</v>
      </c>
      <c r="K31" s="305">
        <f t="shared" si="22"/>
        <v>0</v>
      </c>
      <c r="L31" s="436">
        <f t="shared" si="11"/>
        <v>24448582</v>
      </c>
      <c r="M31" s="305">
        <f t="shared" si="23"/>
        <v>0</v>
      </c>
      <c r="N31" s="304">
        <f t="shared" si="24"/>
        <v>0</v>
      </c>
      <c r="O31" s="456">
        <f t="shared" si="31"/>
        <v>0</v>
      </c>
      <c r="P31" s="585">
        <f t="shared" si="12"/>
        <v>18509.258000000002</v>
      </c>
      <c r="Q31" s="457">
        <f t="shared" si="1"/>
        <v>0</v>
      </c>
      <c r="R31" s="439">
        <f t="shared" si="33"/>
        <v>0</v>
      </c>
      <c r="S31" s="436">
        <f t="shared" si="13"/>
        <v>10175</v>
      </c>
      <c r="T31" s="458">
        <f t="shared" si="2"/>
        <v>0</v>
      </c>
      <c r="U31" s="436">
        <f t="shared" si="14"/>
        <v>429166</v>
      </c>
      <c r="V31" s="439">
        <f t="shared" si="25"/>
        <v>0</v>
      </c>
      <c r="W31" s="436">
        <f t="shared" si="15"/>
        <v>33363</v>
      </c>
      <c r="X31" s="459">
        <f t="shared" si="30"/>
        <v>0</v>
      </c>
      <c r="Y31" s="436">
        <f t="shared" si="16"/>
        <v>967832</v>
      </c>
      <c r="Z31" s="439">
        <f t="shared" si="29"/>
        <v>0</v>
      </c>
      <c r="AA31" s="436">
        <f t="shared" si="17"/>
        <v>36796</v>
      </c>
      <c r="AB31" s="439">
        <f t="shared" si="26"/>
        <v>0</v>
      </c>
      <c r="AC31" s="436">
        <f t="shared" si="18"/>
        <v>1170505</v>
      </c>
      <c r="AD31" s="439">
        <f t="shared" si="36"/>
        <v>0</v>
      </c>
      <c r="AE31" s="461">
        <f t="shared" si="19"/>
        <v>0</v>
      </c>
      <c r="AF31" s="462">
        <f t="shared" si="4"/>
        <v>0</v>
      </c>
      <c r="AG31" s="454">
        <f t="shared" si="32"/>
        <v>0</v>
      </c>
      <c r="AJ31" s="567"/>
      <c r="AK31" s="568"/>
      <c r="AL31" s="568"/>
      <c r="AM31" s="568"/>
      <c r="AN31" s="568"/>
    </row>
    <row r="32" spans="1:40">
      <c r="A32" s="447">
        <f>'General information '!F33</f>
        <v>0</v>
      </c>
      <c r="B32" s="441">
        <f>SUM(230*A32)</f>
        <v>0</v>
      </c>
      <c r="C32" s="448">
        <v>44498</v>
      </c>
      <c r="D32" s="436">
        <f t="shared" si="35"/>
        <v>18000</v>
      </c>
      <c r="E32" s="637">
        <f t="shared" si="34"/>
        <v>0</v>
      </c>
      <c r="F32" s="594">
        <f t="shared" si="8"/>
        <v>4096111</v>
      </c>
      <c r="G32" s="305">
        <f t="shared" si="20"/>
        <v>0</v>
      </c>
      <c r="H32" s="436">
        <f t="shared" si="9"/>
        <v>17976404</v>
      </c>
      <c r="I32" s="305">
        <f t="shared" si="21"/>
        <v>0</v>
      </c>
      <c r="J32" s="436">
        <f t="shared" si="10"/>
        <v>29563324</v>
      </c>
      <c r="K32" s="305">
        <f t="shared" si="22"/>
        <v>0</v>
      </c>
      <c r="L32" s="436">
        <f t="shared" si="11"/>
        <v>24448582</v>
      </c>
      <c r="M32" s="305">
        <f t="shared" si="23"/>
        <v>0</v>
      </c>
      <c r="N32" s="304">
        <f t="shared" si="24"/>
        <v>0</v>
      </c>
      <c r="O32" s="456">
        <f>IF(B32&gt;0,N32/B32,0)</f>
        <v>0</v>
      </c>
      <c r="P32" s="585">
        <f t="shared" si="12"/>
        <v>18509.258000000002</v>
      </c>
      <c r="Q32" s="457">
        <f t="shared" si="1"/>
        <v>0</v>
      </c>
      <c r="R32" s="439">
        <f>N32-Q32</f>
        <v>0</v>
      </c>
      <c r="S32" s="436">
        <f t="shared" si="13"/>
        <v>10175</v>
      </c>
      <c r="T32" s="458">
        <f>S32-S31</f>
        <v>0</v>
      </c>
      <c r="U32" s="436">
        <f t="shared" si="14"/>
        <v>429166</v>
      </c>
      <c r="V32" s="439">
        <f>U32-U31</f>
        <v>0</v>
      </c>
      <c r="W32" s="436">
        <f t="shared" si="15"/>
        <v>33363</v>
      </c>
      <c r="X32" s="459">
        <f>W32-W31</f>
        <v>0</v>
      </c>
      <c r="Y32" s="436">
        <f t="shared" si="16"/>
        <v>967832</v>
      </c>
      <c r="Z32" s="439">
        <f>Y32-Y31</f>
        <v>0</v>
      </c>
      <c r="AA32" s="436">
        <f t="shared" si="17"/>
        <v>36796</v>
      </c>
      <c r="AB32" s="439">
        <f>AA32-AA31</f>
        <v>0</v>
      </c>
      <c r="AC32" s="436">
        <f t="shared" si="18"/>
        <v>1170505</v>
      </c>
      <c r="AD32" s="439">
        <f>AC32-AC31</f>
        <v>0</v>
      </c>
      <c r="AE32" s="461">
        <f>AB32+X32+T32</f>
        <v>0</v>
      </c>
      <c r="AF32" s="462">
        <f>V32+Z32+AD32</f>
        <v>0</v>
      </c>
      <c r="AG32" s="454">
        <f>IF(AE32&gt;0,AF32/AE32,0)</f>
        <v>0</v>
      </c>
      <c r="AJ32" s="567"/>
      <c r="AK32" s="568"/>
      <c r="AL32" s="568"/>
      <c r="AM32" s="568"/>
      <c r="AN32" s="568"/>
    </row>
    <row r="33" spans="1:40">
      <c r="A33" s="447">
        <f>'General information '!F34</f>
        <v>0</v>
      </c>
      <c r="B33" s="441">
        <f>SUM(230*A33)</f>
        <v>0</v>
      </c>
      <c r="C33" s="448">
        <v>44499</v>
      </c>
      <c r="D33" s="436">
        <f t="shared" si="35"/>
        <v>18000</v>
      </c>
      <c r="E33" s="637">
        <f t="shared" si="34"/>
        <v>0</v>
      </c>
      <c r="F33" s="594">
        <f t="shared" si="8"/>
        <v>4096111</v>
      </c>
      <c r="G33" s="305">
        <f t="shared" si="20"/>
        <v>0</v>
      </c>
      <c r="H33" s="436">
        <f t="shared" si="9"/>
        <v>17976404</v>
      </c>
      <c r="I33" s="305">
        <f t="shared" si="21"/>
        <v>0</v>
      </c>
      <c r="J33" s="436">
        <f t="shared" si="10"/>
        <v>29563324</v>
      </c>
      <c r="K33" s="305">
        <f t="shared" si="22"/>
        <v>0</v>
      </c>
      <c r="L33" s="436">
        <f t="shared" si="11"/>
        <v>24448582</v>
      </c>
      <c r="M33" s="305">
        <f t="shared" si="23"/>
        <v>0</v>
      </c>
      <c r="N33" s="304">
        <f t="shared" si="24"/>
        <v>0</v>
      </c>
      <c r="O33" s="456">
        <f>IF(B33&gt;0,N33/B33,0)</f>
        <v>0</v>
      </c>
      <c r="P33" s="585">
        <f t="shared" si="12"/>
        <v>18509.258000000002</v>
      </c>
      <c r="Q33" s="457">
        <f t="shared" si="1"/>
        <v>0</v>
      </c>
      <c r="R33" s="439">
        <f>N33-Q33</f>
        <v>0</v>
      </c>
      <c r="S33" s="436">
        <f t="shared" si="13"/>
        <v>10175</v>
      </c>
      <c r="T33" s="458">
        <f>S33-S32</f>
        <v>0</v>
      </c>
      <c r="U33" s="436">
        <f t="shared" si="14"/>
        <v>429166</v>
      </c>
      <c r="V33" s="439">
        <f>U33-U32</f>
        <v>0</v>
      </c>
      <c r="W33" s="436">
        <f t="shared" si="15"/>
        <v>33363</v>
      </c>
      <c r="X33" s="459">
        <f>W33-W32</f>
        <v>0</v>
      </c>
      <c r="Y33" s="436">
        <f t="shared" si="16"/>
        <v>967832</v>
      </c>
      <c r="Z33" s="439">
        <f>Y33-Y32</f>
        <v>0</v>
      </c>
      <c r="AA33" s="436">
        <f t="shared" si="17"/>
        <v>36796</v>
      </c>
      <c r="AB33" s="439">
        <f>AA33-AA32</f>
        <v>0</v>
      </c>
      <c r="AC33" s="436">
        <f t="shared" si="18"/>
        <v>1170505</v>
      </c>
      <c r="AD33" s="439">
        <f>AC33-AC32</f>
        <v>0</v>
      </c>
      <c r="AE33" s="461">
        <f>AB33+X33+T33</f>
        <v>0</v>
      </c>
      <c r="AF33" s="462">
        <f>V33+Z33+AD33</f>
        <v>0</v>
      </c>
      <c r="AG33" s="454">
        <f>IF(AE33&gt;0,AF33/AE33,0)</f>
        <v>0</v>
      </c>
      <c r="AJ33" s="567"/>
      <c r="AK33" s="568"/>
      <c r="AL33" s="568"/>
      <c r="AM33" s="568"/>
      <c r="AN33" s="568"/>
    </row>
    <row r="34" spans="1:40">
      <c r="A34" s="447">
        <f>'General information '!F35</f>
        <v>0</v>
      </c>
      <c r="B34" s="441">
        <f>SUM(230*A34)</f>
        <v>0</v>
      </c>
      <c r="C34" s="448">
        <v>44500</v>
      </c>
      <c r="D34" s="436">
        <f t="shared" si="35"/>
        <v>18000</v>
      </c>
      <c r="E34" s="637">
        <f t="shared" si="34"/>
        <v>0</v>
      </c>
      <c r="F34" s="594">
        <f t="shared" si="8"/>
        <v>4096111</v>
      </c>
      <c r="G34" s="305">
        <f t="shared" ref="G34" si="53">F34-F33</f>
        <v>0</v>
      </c>
      <c r="H34" s="436">
        <f t="shared" si="9"/>
        <v>17976404</v>
      </c>
      <c r="I34" s="305">
        <f t="shared" ref="I34" si="54">H34-H33</f>
        <v>0</v>
      </c>
      <c r="J34" s="436">
        <f t="shared" si="10"/>
        <v>29563324</v>
      </c>
      <c r="K34" s="305">
        <f t="shared" ref="K34" si="55">J34-J33</f>
        <v>0</v>
      </c>
      <c r="L34" s="436">
        <f t="shared" si="11"/>
        <v>24448582</v>
      </c>
      <c r="M34" s="305">
        <f t="shared" ref="M34" si="56">L34-L33</f>
        <v>0</v>
      </c>
      <c r="N34" s="304">
        <f t="shared" ref="N34" si="57">M34+K34+I34+G34+E34</f>
        <v>0</v>
      </c>
      <c r="O34" s="456">
        <f>IF(B34&gt;0,N34/B34,0)</f>
        <v>0</v>
      </c>
      <c r="P34" s="585">
        <f t="shared" si="12"/>
        <v>18509.258000000002</v>
      </c>
      <c r="Q34" s="457">
        <f t="shared" si="1"/>
        <v>0</v>
      </c>
      <c r="R34" s="439">
        <f>N34-Q34</f>
        <v>0</v>
      </c>
      <c r="S34" s="436">
        <f t="shared" si="13"/>
        <v>10175</v>
      </c>
      <c r="T34" s="458">
        <f>S34-S33</f>
        <v>0</v>
      </c>
      <c r="U34" s="436">
        <f t="shared" ref="U34" si="58">U33</f>
        <v>429166</v>
      </c>
      <c r="V34" s="439">
        <f>U34-U33</f>
        <v>0</v>
      </c>
      <c r="W34" s="436">
        <f t="shared" si="15"/>
        <v>33363</v>
      </c>
      <c r="X34" s="459">
        <f>W34-W33</f>
        <v>0</v>
      </c>
      <c r="Y34" s="436">
        <f t="shared" si="16"/>
        <v>967832</v>
      </c>
      <c r="Z34" s="439">
        <f>Y34-Y33</f>
        <v>0</v>
      </c>
      <c r="AA34" s="436">
        <f t="shared" si="17"/>
        <v>36796</v>
      </c>
      <c r="AB34" s="439">
        <f>AA34-AA33</f>
        <v>0</v>
      </c>
      <c r="AC34" s="436">
        <f t="shared" si="18"/>
        <v>1170505</v>
      </c>
      <c r="AD34" s="439">
        <f>AC34-AC33</f>
        <v>0</v>
      </c>
      <c r="AE34" s="461">
        <f>AB34+X34+T34</f>
        <v>0</v>
      </c>
      <c r="AF34" s="462">
        <f>V34+Z34+AD34</f>
        <v>0</v>
      </c>
      <c r="AG34" s="454">
        <f>IF(AE34&gt;0,AF34/AE34,0)</f>
        <v>0</v>
      </c>
      <c r="AJ34" s="567"/>
      <c r="AK34" s="568"/>
      <c r="AL34" s="568"/>
      <c r="AM34" s="568"/>
      <c r="AN34" s="568"/>
    </row>
    <row r="35" spans="1:40" s="584" customFormat="1">
      <c r="A35" s="574"/>
      <c r="B35" s="575"/>
      <c r="C35" s="576"/>
      <c r="D35" s="577"/>
      <c r="E35" s="577"/>
      <c r="F35" s="577"/>
      <c r="G35" s="578"/>
      <c r="H35" s="577"/>
      <c r="I35" s="578"/>
      <c r="J35" s="577"/>
      <c r="K35" s="578"/>
      <c r="L35" s="577"/>
      <c r="M35" s="578"/>
      <c r="N35" s="579"/>
      <c r="O35" s="580"/>
      <c r="P35" s="581"/>
      <c r="Q35" s="573"/>
      <c r="R35" s="573"/>
      <c r="S35" s="577"/>
      <c r="T35" s="582"/>
      <c r="U35" s="577"/>
      <c r="V35" s="573"/>
      <c r="W35" s="577"/>
      <c r="X35" s="573"/>
      <c r="Y35" s="577"/>
      <c r="Z35" s="573"/>
      <c r="AA35" s="577"/>
      <c r="AB35" s="573"/>
      <c r="AC35" s="577"/>
      <c r="AD35" s="573"/>
      <c r="AE35" s="573"/>
      <c r="AF35" s="573"/>
      <c r="AG35" s="583"/>
      <c r="AK35" s="573"/>
      <c r="AL35" s="573"/>
      <c r="AM35" s="573"/>
      <c r="AN35" s="573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5" activePane="bottomLeft" state="frozen"/>
      <selection activeCell="K1" sqref="K1"/>
      <selection pane="bottomLeft" activeCell="D30" sqref="D3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4" customWidth="1"/>
    <col min="38" max="38" width="11.28515625" style="314" bestFit="1" customWidth="1"/>
    <col min="39" max="39" width="11.42578125" style="314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6"/>
    <col min="51" max="16384" width="9.28515625" style="42"/>
  </cols>
  <sheetData>
    <row r="1" spans="1:52" ht="30.75" thickBot="1">
      <c r="F1" s="646" t="s">
        <v>2</v>
      </c>
      <c r="G1" s="647"/>
      <c r="H1" s="647"/>
      <c r="I1" s="648"/>
      <c r="J1" s="277">
        <f>J36</f>
        <v>67.13636363636364</v>
      </c>
      <c r="K1" s="649" t="s">
        <v>4</v>
      </c>
      <c r="L1" s="650"/>
      <c r="M1" s="650"/>
      <c r="N1" s="650"/>
      <c r="O1" s="651"/>
      <c r="P1" s="640" t="s">
        <v>6</v>
      </c>
      <c r="Q1" s="641"/>
      <c r="R1" s="641"/>
      <c r="S1" s="641"/>
      <c r="T1" s="642"/>
      <c r="U1" s="389"/>
      <c r="V1" s="27" t="s">
        <v>104</v>
      </c>
      <c r="W1" s="390"/>
      <c r="X1" s="640" t="s">
        <v>8</v>
      </c>
      <c r="Y1" s="641"/>
      <c r="Z1" s="641"/>
      <c r="AA1" s="641"/>
      <c r="AB1" s="641"/>
      <c r="AC1" s="643" t="s">
        <v>10</v>
      </c>
      <c r="AD1" s="644"/>
      <c r="AE1" s="644"/>
      <c r="AF1" s="645"/>
      <c r="AG1" s="207"/>
      <c r="AH1" s="85" t="s">
        <v>105</v>
      </c>
      <c r="AI1" s="307" t="s">
        <v>128</v>
      </c>
      <c r="AJ1" s="307"/>
      <c r="AK1" s="307"/>
      <c r="AL1" s="307" t="s">
        <v>133</v>
      </c>
      <c r="AM1" s="307" t="s">
        <v>134</v>
      </c>
      <c r="AN1" s="309" t="s">
        <v>12</v>
      </c>
      <c r="AO1" s="309" t="s">
        <v>13</v>
      </c>
      <c r="AP1" s="309" t="s">
        <v>14</v>
      </c>
      <c r="AQ1" s="309" t="s">
        <v>15</v>
      </c>
      <c r="AR1" s="309" t="s">
        <v>16</v>
      </c>
      <c r="AS1" s="309" t="s">
        <v>17</v>
      </c>
      <c r="AT1" s="309"/>
      <c r="AU1" s="310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374</v>
      </c>
      <c r="N2" s="47"/>
      <c r="O2" s="50" t="s">
        <v>79</v>
      </c>
      <c r="P2" s="51" t="s">
        <v>6</v>
      </c>
      <c r="Q2" s="638"/>
      <c r="R2" s="639"/>
      <c r="S2" s="52" t="s">
        <v>7</v>
      </c>
      <c r="T2" s="53"/>
      <c r="U2" s="393" t="s">
        <v>379</v>
      </c>
      <c r="V2" s="54" t="s">
        <v>103</v>
      </c>
      <c r="W2" s="391"/>
      <c r="X2" s="55" t="s">
        <v>8</v>
      </c>
      <c r="Y2" s="46" t="s">
        <v>9</v>
      </c>
      <c r="Z2" s="382" t="s">
        <v>375</v>
      </c>
      <c r="AA2" s="383" t="s">
        <v>376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8" t="s">
        <v>103</v>
      </c>
      <c r="AJ2" s="385"/>
      <c r="AK2" s="385"/>
      <c r="AL2" s="385"/>
      <c r="AM2" s="385"/>
      <c r="AN2" s="384"/>
      <c r="AO2" s="384"/>
      <c r="AP2" s="384"/>
      <c r="AQ2" s="384"/>
      <c r="AR2" s="384"/>
      <c r="AS2" s="384"/>
      <c r="AT2" s="384"/>
      <c r="AU2" s="384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3"/>
      <c r="V3" s="59"/>
      <c r="W3" s="39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1"/>
      <c r="AJ3" s="312"/>
      <c r="AK3" s="312"/>
      <c r="AL3" s="312"/>
      <c r="AM3" s="312"/>
    </row>
    <row r="4" spans="1:52" s="332" customFormat="1">
      <c r="A4" s="63">
        <f>ELEC!C3</f>
        <v>44469</v>
      </c>
      <c r="B4" s="387">
        <f>[2]B5!B34</f>
        <v>146</v>
      </c>
      <c r="C4" s="387">
        <f>[2]B5!C34</f>
        <v>153</v>
      </c>
      <c r="D4" s="387">
        <f>[2]B5!D34</f>
        <v>7</v>
      </c>
      <c r="E4" s="387">
        <f>[2]B5!E34</f>
        <v>58.660000000000004</v>
      </c>
      <c r="F4" s="387">
        <f>[2]B5!F34</f>
        <v>1890</v>
      </c>
      <c r="G4" s="387">
        <f>[2]B5!G34</f>
        <v>1</v>
      </c>
      <c r="H4" s="387">
        <f>[2]B5!H34</f>
        <v>17095</v>
      </c>
      <c r="I4" s="387">
        <f>[2]B5!I34</f>
        <v>57</v>
      </c>
      <c r="J4" s="387">
        <f>[2]B5!J34</f>
        <v>57</v>
      </c>
      <c r="K4" s="387">
        <f>[2]B5!K34</f>
        <v>2356</v>
      </c>
      <c r="L4" s="387">
        <f>[2]B5!L34</f>
        <v>0</v>
      </c>
      <c r="M4" s="387">
        <f>[2]B5!M34</f>
        <v>173915</v>
      </c>
      <c r="N4" s="387">
        <f>[2]B5!N34</f>
        <v>0</v>
      </c>
      <c r="O4" s="387">
        <f>[2]B5!O34</f>
        <v>1869</v>
      </c>
      <c r="P4" s="387">
        <f>[2]B5!P34</f>
        <v>2129</v>
      </c>
      <c r="Q4" s="387">
        <f>[2]B5!Q34</f>
        <v>178720</v>
      </c>
      <c r="R4" s="387">
        <f>[2]B5!R34</f>
        <v>0</v>
      </c>
      <c r="S4" s="387">
        <f>[2]B5!S34</f>
        <v>0</v>
      </c>
      <c r="T4" s="387">
        <f>[2]B5!T34</f>
        <v>0</v>
      </c>
      <c r="U4" s="387">
        <f>[2]B5!U34</f>
        <v>1</v>
      </c>
      <c r="V4" s="387">
        <f>[2]B5!V34</f>
        <v>57</v>
      </c>
      <c r="W4" s="387">
        <f>[2]B5!W34</f>
        <v>0</v>
      </c>
      <c r="X4" s="387">
        <f>[2]B5!X34</f>
        <v>2470</v>
      </c>
      <c r="Y4" s="387">
        <f>[2]B5!Y34</f>
        <v>0</v>
      </c>
      <c r="Z4" s="387">
        <f>[2]B5!Z34</f>
        <v>139138.1</v>
      </c>
      <c r="AA4" s="387">
        <f>[2]B5!AA34</f>
        <v>0</v>
      </c>
      <c r="AB4" s="387">
        <f>[2]B5!AB34</f>
        <v>0</v>
      </c>
      <c r="AC4" s="387">
        <f>[2]B5!AC34</f>
        <v>1942</v>
      </c>
      <c r="AD4" s="387">
        <f>[2]B5!AD34</f>
        <v>0</v>
      </c>
      <c r="AE4" s="387">
        <f>[2]B5!AE34</f>
        <v>366072</v>
      </c>
      <c r="AF4" s="387">
        <f>[2]B5!AF34</f>
        <v>0</v>
      </c>
      <c r="AG4" s="387">
        <f>[2]B5!AG34</f>
        <v>0</v>
      </c>
      <c r="AH4" s="387">
        <f>[2]B5!AH34</f>
        <v>0</v>
      </c>
      <c r="AI4" s="387">
        <f>[2]B5!AI34</f>
        <v>57</v>
      </c>
      <c r="AJ4" s="387">
        <f>[2]B5!AJ34</f>
        <v>57</v>
      </c>
      <c r="AK4" s="387">
        <f>[2]B5!AK34</f>
        <v>0</v>
      </c>
      <c r="AL4" s="387">
        <f>[2]B5!AL34</f>
        <v>1</v>
      </c>
      <c r="AM4" s="387">
        <f>[2]B5!AM34</f>
        <v>0</v>
      </c>
      <c r="AN4" s="387">
        <f>[2]B5!AN34</f>
        <v>65</v>
      </c>
      <c r="AO4" s="387">
        <f>[2]B5!AO34</f>
        <v>1950</v>
      </c>
      <c r="AP4" s="387">
        <f>[2]B5!AP34</f>
        <v>55</v>
      </c>
      <c r="AQ4" s="387">
        <f>[2]B5!AQ34</f>
        <v>1650.0000000000002</v>
      </c>
      <c r="AR4" s="387">
        <f>[2]B5!AR34</f>
        <v>61</v>
      </c>
      <c r="AS4" s="387">
        <f>[2]B5!AS34</f>
        <v>1830</v>
      </c>
      <c r="AT4" s="387">
        <f>[2]B5!AT34</f>
        <v>5430</v>
      </c>
      <c r="AU4" s="387">
        <f>[2]B5!AU34</f>
        <v>0</v>
      </c>
      <c r="AV4" s="387">
        <f>[2]B5!AV34</f>
        <v>0</v>
      </c>
      <c r="AW4" s="387">
        <f>[2]B5!AW34</f>
        <v>0</v>
      </c>
      <c r="AX4" s="387">
        <f>[2]B5!AX34</f>
        <v>0.8</v>
      </c>
    </row>
    <row r="5" spans="1:52">
      <c r="A5" s="63">
        <f>ELEC!C4</f>
        <v>44470</v>
      </c>
      <c r="B5" s="557">
        <f>B4</f>
        <v>146</v>
      </c>
      <c r="C5" s="557">
        <f>C4</f>
        <v>153</v>
      </c>
      <c r="D5" s="45">
        <f>C4-C5</f>
        <v>0</v>
      </c>
      <c r="E5" s="45">
        <f>D5*8.38</f>
        <v>0</v>
      </c>
      <c r="F5" s="557">
        <f>F4</f>
        <v>1890</v>
      </c>
      <c r="G5" s="52">
        <f t="shared" ref="G5:G32" si="0">F5-F4</f>
        <v>0</v>
      </c>
      <c r="H5" s="557">
        <f>H4</f>
        <v>17095</v>
      </c>
      <c r="I5" s="388">
        <f t="shared" ref="I5:I32" si="1">SUM(H5-H4)</f>
        <v>0</v>
      </c>
      <c r="J5" s="66">
        <v>1</v>
      </c>
      <c r="K5" s="557">
        <f>K4</f>
        <v>2356</v>
      </c>
      <c r="L5" s="52">
        <f>K5-K4</f>
        <v>0</v>
      </c>
      <c r="M5" s="557">
        <f>M4</f>
        <v>173915</v>
      </c>
      <c r="N5" s="388">
        <f t="shared" ref="N5:N32" si="2">M5-M4</f>
        <v>0</v>
      </c>
      <c r="O5" s="64">
        <f t="shared" ref="O5:Q17" si="3">O4</f>
        <v>1869</v>
      </c>
      <c r="P5" s="557">
        <f>P4</f>
        <v>2129</v>
      </c>
      <c r="Q5" s="557">
        <f>Q4</f>
        <v>178720</v>
      </c>
      <c r="R5" s="38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4">
        <f>SUM(G5+L5+S5)</f>
        <v>0</v>
      </c>
      <c r="V5" s="62">
        <f>R5+N5+I5:I5</f>
        <v>0</v>
      </c>
      <c r="W5" s="392" t="e">
        <f>SUM(V5/U5)</f>
        <v>#DIV/0!</v>
      </c>
      <c r="X5" s="557">
        <f>X4</f>
        <v>2470</v>
      </c>
      <c r="Y5" s="52">
        <f>X5-X4</f>
        <v>0</v>
      </c>
      <c r="Z5" s="557">
        <f>Z4</f>
        <v>139138.1</v>
      </c>
      <c r="AA5" s="65">
        <f t="shared" ref="AA5:AA32" si="6">Z5-Z4</f>
        <v>0</v>
      </c>
      <c r="AB5" s="279">
        <f>SUM(Y5*$AB$2)</f>
        <v>0</v>
      </c>
      <c r="AC5" s="557">
        <f>AC4</f>
        <v>1942</v>
      </c>
      <c r="AD5" s="45">
        <f t="shared" ref="AD5:AD32" si="7">AC5-AC4</f>
        <v>0</v>
      </c>
      <c r="AE5" s="557">
        <f>AE4</f>
        <v>366072</v>
      </c>
      <c r="AF5" s="300">
        <f>AE5-AE4</f>
        <v>0</v>
      </c>
      <c r="AG5" s="209">
        <f>IF(AD5&gt;0,AF5/AD5,0)</f>
        <v>0</v>
      </c>
      <c r="AH5" s="62">
        <f>AF5+AA5</f>
        <v>0</v>
      </c>
      <c r="AI5" s="311">
        <f>SUM(AH5+V5)</f>
        <v>0</v>
      </c>
      <c r="AJ5" s="311">
        <f>-tanks!AW6</f>
        <v>0</v>
      </c>
      <c r="AK5" s="311">
        <f>SUM(AJ5-AI5)</f>
        <v>0</v>
      </c>
      <c r="AL5" s="311">
        <f t="shared" ref="AL5:AL32" si="8">S5+L5+G5</f>
        <v>0</v>
      </c>
      <c r="AM5" s="311">
        <f>Y5+AD5</f>
        <v>0</v>
      </c>
      <c r="AN5" s="557">
        <f t="shared" ref="AN5:AN33" si="9">AN4</f>
        <v>65</v>
      </c>
      <c r="AO5" s="313">
        <f>(AN5/100)*3000</f>
        <v>1950</v>
      </c>
      <c r="AP5" s="557">
        <f t="shared" ref="AP5:AP33" si="10">AP4</f>
        <v>55</v>
      </c>
      <c r="AQ5" s="313">
        <f>(AP5/100)*3000</f>
        <v>1650.0000000000002</v>
      </c>
      <c r="AR5" s="557">
        <f t="shared" ref="AR5:AR35" si="11">AR4</f>
        <v>61</v>
      </c>
      <c r="AS5" s="313">
        <f>(AR5/100)*3000</f>
        <v>1830</v>
      </c>
      <c r="AT5" s="313">
        <f>SUM(AO5+AQ5+AS5)</f>
        <v>5430</v>
      </c>
      <c r="AU5" s="313">
        <f>AT4-AT5+AV5</f>
        <v>0</v>
      </c>
      <c r="AV5" s="265"/>
      <c r="AW5" s="265"/>
      <c r="AX5" s="306">
        <f>IF(AV5&gt;0,AW5,AX4)</f>
        <v>0.8</v>
      </c>
    </row>
    <row r="6" spans="1:52">
      <c r="A6" s="63">
        <f>ELEC!C5</f>
        <v>44471</v>
      </c>
      <c r="B6" s="557">
        <f t="shared" ref="B6:B35" si="12">B5</f>
        <v>146</v>
      </c>
      <c r="C6" s="557">
        <f t="shared" ref="C6:C35" si="13">C5</f>
        <v>153</v>
      </c>
      <c r="D6" s="45">
        <f>C5-C6</f>
        <v>0</v>
      </c>
      <c r="E6" s="45">
        <f t="shared" ref="E6:E32" si="14">D6*8.38</f>
        <v>0</v>
      </c>
      <c r="F6" s="557">
        <f t="shared" ref="F6:F35" si="15">F5</f>
        <v>1890</v>
      </c>
      <c r="G6" s="52">
        <f t="shared" si="0"/>
        <v>0</v>
      </c>
      <c r="H6" s="557">
        <f t="shared" ref="H6:H35" si="16">H5</f>
        <v>17095</v>
      </c>
      <c r="I6" s="388">
        <f t="shared" si="1"/>
        <v>0</v>
      </c>
      <c r="J6" s="66">
        <f t="shared" ref="J6:J32" si="17">IF(G6&gt;0,I6/G6,0)</f>
        <v>0</v>
      </c>
      <c r="K6" s="557">
        <f t="shared" ref="K6:K35" si="18">K5</f>
        <v>2356</v>
      </c>
      <c r="L6" s="52">
        <f t="shared" ref="L6:L32" si="19">K6-K5</f>
        <v>0</v>
      </c>
      <c r="M6" s="557">
        <f t="shared" ref="M6:M35" si="20">M5</f>
        <v>173915</v>
      </c>
      <c r="N6" s="388">
        <f t="shared" si="2"/>
        <v>0</v>
      </c>
      <c r="O6" s="64">
        <f t="shared" si="3"/>
        <v>1869</v>
      </c>
      <c r="P6" s="557">
        <f t="shared" si="3"/>
        <v>2129</v>
      </c>
      <c r="Q6" s="557">
        <f t="shared" si="3"/>
        <v>178720</v>
      </c>
      <c r="R6" s="387">
        <f t="shared" si="4"/>
        <v>0</v>
      </c>
      <c r="S6" s="52">
        <f t="shared" si="5"/>
        <v>0</v>
      </c>
      <c r="T6" s="67">
        <f>SUM(S6*$T$2)</f>
        <v>0</v>
      </c>
      <c r="U6" s="394">
        <f t="shared" ref="U6:U32" si="21">SUM(G6+L6+S6)</f>
        <v>0</v>
      </c>
      <c r="V6" s="62">
        <f t="shared" ref="V6:V32" si="22">R6+N6+I6:I6</f>
        <v>0</v>
      </c>
      <c r="W6" s="392" t="e">
        <f t="shared" ref="W6:W16" si="23">SUM(V6/U6)</f>
        <v>#DIV/0!</v>
      </c>
      <c r="X6" s="557">
        <f t="shared" ref="X6:X35" si="24">X5</f>
        <v>2470</v>
      </c>
      <c r="Y6" s="52">
        <f t="shared" ref="Y6:Y32" si="25">X6-X5</f>
        <v>0</v>
      </c>
      <c r="Z6" s="557">
        <f t="shared" ref="Z6:Z35" si="26">Z5</f>
        <v>139138.1</v>
      </c>
      <c r="AA6" s="65">
        <f t="shared" si="6"/>
        <v>0</v>
      </c>
      <c r="AB6" s="279">
        <f>SUM(Y6*$AB$2)</f>
        <v>0</v>
      </c>
      <c r="AC6" s="557">
        <f t="shared" ref="AC6:AC35" si="27">AC5</f>
        <v>1942</v>
      </c>
      <c r="AD6" s="45">
        <f t="shared" si="7"/>
        <v>0</v>
      </c>
      <c r="AE6" s="557">
        <f t="shared" ref="AE6:AE35" si="28">AE5</f>
        <v>366072</v>
      </c>
      <c r="AF6" s="300">
        <f t="shared" ref="AF6:AF32" si="29">AE6-AE5</f>
        <v>0</v>
      </c>
      <c r="AG6" s="209">
        <f>IF(AD6&gt;0,AF6/AD6,0)</f>
        <v>0</v>
      </c>
      <c r="AH6" s="62">
        <f>AF6+AA6</f>
        <v>0</v>
      </c>
      <c r="AI6" s="311">
        <f t="shared" ref="AI6:AI32" si="30">SUM(AH6+V6)</f>
        <v>0</v>
      </c>
      <c r="AJ6" s="311">
        <f>-tanks!AW7</f>
        <v>0</v>
      </c>
      <c r="AK6" s="311">
        <f t="shared" ref="AK6:AK32" si="31">SUM(AJ6-AI6)</f>
        <v>0</v>
      </c>
      <c r="AL6" s="311">
        <f t="shared" si="8"/>
        <v>0</v>
      </c>
      <c r="AM6" s="311">
        <f t="shared" ref="AM6:AM32" si="32">Y6+AD6</f>
        <v>0</v>
      </c>
      <c r="AN6" s="557">
        <f t="shared" si="9"/>
        <v>65</v>
      </c>
      <c r="AO6" s="313">
        <f t="shared" ref="AO6:AO26" si="33">(AN6/100)*3000</f>
        <v>1950</v>
      </c>
      <c r="AP6" s="557">
        <f t="shared" si="10"/>
        <v>55</v>
      </c>
      <c r="AQ6" s="313">
        <f t="shared" ref="AQ6:AQ24" si="34">(AP6/100)*3000</f>
        <v>1650.0000000000002</v>
      </c>
      <c r="AR6" s="557">
        <f t="shared" si="11"/>
        <v>61</v>
      </c>
      <c r="AS6" s="313">
        <f>(AR6/100)*3000</f>
        <v>1830</v>
      </c>
      <c r="AT6" s="313">
        <f>SUM(AO6+AQ6+AS6)</f>
        <v>5430</v>
      </c>
      <c r="AU6" s="313">
        <f>AT5-AT6+AV6</f>
        <v>0</v>
      </c>
      <c r="AV6" s="265"/>
      <c r="AW6" s="265"/>
      <c r="AX6" s="306">
        <f t="shared" ref="AX6:AX34" si="35">IF(AV6&gt;0,AW6,AX5)</f>
        <v>0.8</v>
      </c>
    </row>
    <row r="7" spans="1:52">
      <c r="A7" s="63">
        <f>ELEC!C6</f>
        <v>44472</v>
      </c>
      <c r="B7" s="557">
        <v>157</v>
      </c>
      <c r="C7" s="557">
        <v>164</v>
      </c>
      <c r="D7" s="45">
        <f t="shared" ref="D7:D19" si="36">C6-C7</f>
        <v>-11</v>
      </c>
      <c r="E7" s="45">
        <f t="shared" si="14"/>
        <v>-92.18</v>
      </c>
      <c r="F7" s="557">
        <v>1891</v>
      </c>
      <c r="G7" s="52">
        <f t="shared" si="0"/>
        <v>1</v>
      </c>
      <c r="H7" s="557">
        <v>17176</v>
      </c>
      <c r="I7" s="388">
        <f t="shared" si="1"/>
        <v>81</v>
      </c>
      <c r="J7" s="66">
        <f t="shared" si="17"/>
        <v>81</v>
      </c>
      <c r="K7" s="557">
        <f t="shared" si="18"/>
        <v>2356</v>
      </c>
      <c r="L7" s="52">
        <f t="shared" si="19"/>
        <v>0</v>
      </c>
      <c r="M7" s="557">
        <f t="shared" si="20"/>
        <v>173915</v>
      </c>
      <c r="N7" s="388">
        <f t="shared" si="2"/>
        <v>0</v>
      </c>
      <c r="O7" s="64">
        <f t="shared" si="3"/>
        <v>1869</v>
      </c>
      <c r="P7" s="557">
        <f t="shared" si="3"/>
        <v>2129</v>
      </c>
      <c r="Q7" s="557">
        <f t="shared" si="3"/>
        <v>178720</v>
      </c>
      <c r="R7" s="387">
        <f t="shared" si="4"/>
        <v>0</v>
      </c>
      <c r="S7" s="52">
        <f t="shared" si="5"/>
        <v>0</v>
      </c>
      <c r="T7" s="67">
        <f t="shared" ref="T7:T32" si="37">SUM(S7*$T$2)</f>
        <v>0</v>
      </c>
      <c r="U7" s="394">
        <f t="shared" si="21"/>
        <v>1</v>
      </c>
      <c r="V7" s="62">
        <f t="shared" si="22"/>
        <v>81</v>
      </c>
      <c r="W7" s="392">
        <f t="shared" si="23"/>
        <v>81</v>
      </c>
      <c r="X7" s="557">
        <f t="shared" si="24"/>
        <v>2470</v>
      </c>
      <c r="Y7" s="52">
        <f t="shared" si="25"/>
        <v>0</v>
      </c>
      <c r="Z7" s="557">
        <f t="shared" si="26"/>
        <v>139138.1</v>
      </c>
      <c r="AA7" s="65">
        <f t="shared" si="6"/>
        <v>0</v>
      </c>
      <c r="AB7" s="279">
        <f t="shared" ref="AB7:AB17" si="38">SUM(Y7*$AB$2)</f>
        <v>0</v>
      </c>
      <c r="AC7" s="557">
        <f t="shared" si="27"/>
        <v>1942</v>
      </c>
      <c r="AD7" s="45">
        <f t="shared" si="7"/>
        <v>0</v>
      </c>
      <c r="AE7" s="557">
        <f t="shared" si="28"/>
        <v>366072</v>
      </c>
      <c r="AF7" s="300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1">
        <f t="shared" si="30"/>
        <v>81</v>
      </c>
      <c r="AJ7" s="311">
        <f>-tanks!AW8</f>
        <v>81</v>
      </c>
      <c r="AK7" s="311">
        <f t="shared" si="31"/>
        <v>0</v>
      </c>
      <c r="AL7" s="311">
        <f t="shared" si="8"/>
        <v>1</v>
      </c>
      <c r="AM7" s="311">
        <f t="shared" si="32"/>
        <v>0</v>
      </c>
      <c r="AN7" s="557">
        <f t="shared" si="9"/>
        <v>65</v>
      </c>
      <c r="AO7" s="313">
        <f t="shared" si="33"/>
        <v>1950</v>
      </c>
      <c r="AP7" s="557">
        <f t="shared" si="10"/>
        <v>55</v>
      </c>
      <c r="AQ7" s="313">
        <f t="shared" si="34"/>
        <v>1650.0000000000002</v>
      </c>
      <c r="AR7" s="557">
        <f t="shared" si="11"/>
        <v>61</v>
      </c>
      <c r="AS7" s="313">
        <f t="shared" ref="AS7:AS32" si="41">(AR7/100)*3000</f>
        <v>1830</v>
      </c>
      <c r="AT7" s="313">
        <f t="shared" ref="AT7:AT23" si="42">SUM(AO7+AQ7+AS7)</f>
        <v>5430</v>
      </c>
      <c r="AU7" s="313">
        <f t="shared" ref="AU7:AU32" si="43">AT6-AT7+AV7</f>
        <v>0</v>
      </c>
      <c r="AV7" s="265"/>
      <c r="AW7" s="265"/>
      <c r="AX7" s="306">
        <f t="shared" si="35"/>
        <v>0.8</v>
      </c>
      <c r="AZ7" s="42" t="s">
        <v>410</v>
      </c>
    </row>
    <row r="8" spans="1:52">
      <c r="A8" s="63">
        <f>ELEC!C7</f>
        <v>44473</v>
      </c>
      <c r="B8" s="557">
        <v>154</v>
      </c>
      <c r="C8" s="557">
        <v>160</v>
      </c>
      <c r="D8" s="45">
        <f t="shared" si="36"/>
        <v>4</v>
      </c>
      <c r="E8" s="45">
        <f t="shared" si="14"/>
        <v>33.520000000000003</v>
      </c>
      <c r="F8" s="557">
        <f t="shared" si="15"/>
        <v>1891</v>
      </c>
      <c r="G8" s="52">
        <f t="shared" si="0"/>
        <v>0</v>
      </c>
      <c r="H8" s="557">
        <f t="shared" si="16"/>
        <v>17176</v>
      </c>
      <c r="I8" s="388">
        <f t="shared" si="1"/>
        <v>0</v>
      </c>
      <c r="J8" s="66">
        <f t="shared" si="17"/>
        <v>0</v>
      </c>
      <c r="K8" s="557">
        <f t="shared" si="18"/>
        <v>2356</v>
      </c>
      <c r="L8" s="52">
        <f t="shared" si="19"/>
        <v>0</v>
      </c>
      <c r="M8" s="557">
        <f t="shared" si="20"/>
        <v>173915</v>
      </c>
      <c r="N8" s="388">
        <f t="shared" si="2"/>
        <v>0</v>
      </c>
      <c r="O8" s="64">
        <f t="shared" si="3"/>
        <v>1869</v>
      </c>
      <c r="P8" s="557">
        <f t="shared" si="3"/>
        <v>2129</v>
      </c>
      <c r="Q8" s="557">
        <f t="shared" si="3"/>
        <v>178720</v>
      </c>
      <c r="R8" s="387">
        <f t="shared" si="4"/>
        <v>0</v>
      </c>
      <c r="S8" s="52">
        <f t="shared" si="5"/>
        <v>0</v>
      </c>
      <c r="T8" s="67">
        <f t="shared" si="37"/>
        <v>0</v>
      </c>
      <c r="U8" s="394">
        <f t="shared" si="21"/>
        <v>0</v>
      </c>
      <c r="V8" s="62">
        <f t="shared" si="22"/>
        <v>0</v>
      </c>
      <c r="W8" s="392" t="e">
        <f t="shared" si="23"/>
        <v>#DIV/0!</v>
      </c>
      <c r="X8" s="557">
        <f t="shared" si="24"/>
        <v>2470</v>
      </c>
      <c r="Y8" s="52">
        <f t="shared" si="25"/>
        <v>0</v>
      </c>
      <c r="Z8" s="557">
        <f t="shared" si="26"/>
        <v>139138.1</v>
      </c>
      <c r="AA8" s="65">
        <f t="shared" si="6"/>
        <v>0</v>
      </c>
      <c r="AB8" s="279">
        <f t="shared" si="38"/>
        <v>0</v>
      </c>
      <c r="AC8" s="557">
        <f t="shared" si="27"/>
        <v>1942</v>
      </c>
      <c r="AD8" s="45">
        <f t="shared" si="7"/>
        <v>0</v>
      </c>
      <c r="AE8" s="557">
        <f t="shared" si="28"/>
        <v>366072</v>
      </c>
      <c r="AF8" s="300">
        <f t="shared" si="29"/>
        <v>0</v>
      </c>
      <c r="AG8" s="209">
        <f t="shared" si="39"/>
        <v>0</v>
      </c>
      <c r="AH8" s="62">
        <f t="shared" si="40"/>
        <v>0</v>
      </c>
      <c r="AI8" s="311">
        <f t="shared" si="30"/>
        <v>0</v>
      </c>
      <c r="AJ8" s="311">
        <f>-tanks!AW9</f>
        <v>0</v>
      </c>
      <c r="AK8" s="311">
        <f t="shared" si="31"/>
        <v>0</v>
      </c>
      <c r="AL8" s="311">
        <f t="shared" si="8"/>
        <v>0</v>
      </c>
      <c r="AM8" s="311">
        <f t="shared" si="32"/>
        <v>0</v>
      </c>
      <c r="AN8" s="557">
        <f t="shared" si="9"/>
        <v>65</v>
      </c>
      <c r="AO8" s="313">
        <f t="shared" si="33"/>
        <v>1950</v>
      </c>
      <c r="AP8" s="557">
        <f t="shared" si="10"/>
        <v>55</v>
      </c>
      <c r="AQ8" s="313">
        <f t="shared" si="34"/>
        <v>1650.0000000000002</v>
      </c>
      <c r="AR8" s="557">
        <f t="shared" si="11"/>
        <v>61</v>
      </c>
      <c r="AS8" s="313">
        <f t="shared" si="41"/>
        <v>1830</v>
      </c>
      <c r="AT8" s="313">
        <f t="shared" si="42"/>
        <v>5430</v>
      </c>
      <c r="AU8" s="313">
        <f t="shared" si="43"/>
        <v>0</v>
      </c>
      <c r="AV8" s="265"/>
      <c r="AW8" s="265"/>
      <c r="AX8" s="306">
        <f t="shared" si="35"/>
        <v>0.8</v>
      </c>
    </row>
    <row r="9" spans="1:52" ht="15.75" customHeight="1">
      <c r="A9" s="63">
        <f>ELEC!C8</f>
        <v>44474</v>
      </c>
      <c r="B9" s="557">
        <v>146</v>
      </c>
      <c r="C9" s="557">
        <v>153</v>
      </c>
      <c r="D9" s="45">
        <f t="shared" si="36"/>
        <v>7</v>
      </c>
      <c r="E9" s="45">
        <f t="shared" si="14"/>
        <v>58.660000000000004</v>
      </c>
      <c r="F9" s="557">
        <v>1892</v>
      </c>
      <c r="G9" s="52">
        <f t="shared" si="0"/>
        <v>1</v>
      </c>
      <c r="H9" s="557">
        <v>17282</v>
      </c>
      <c r="I9" s="388">
        <f t="shared" si="1"/>
        <v>106</v>
      </c>
      <c r="J9" s="66">
        <f t="shared" si="17"/>
        <v>106</v>
      </c>
      <c r="K9" s="557">
        <f t="shared" si="18"/>
        <v>2356</v>
      </c>
      <c r="L9" s="52">
        <f t="shared" si="19"/>
        <v>0</v>
      </c>
      <c r="M9" s="557">
        <f t="shared" si="20"/>
        <v>173915</v>
      </c>
      <c r="N9" s="388">
        <f t="shared" si="2"/>
        <v>0</v>
      </c>
      <c r="O9" s="64">
        <f t="shared" si="3"/>
        <v>1869</v>
      </c>
      <c r="P9" s="557">
        <f t="shared" si="3"/>
        <v>2129</v>
      </c>
      <c r="Q9" s="557">
        <f t="shared" si="3"/>
        <v>178720</v>
      </c>
      <c r="R9" s="387">
        <f t="shared" si="4"/>
        <v>0</v>
      </c>
      <c r="S9" s="52">
        <f t="shared" si="5"/>
        <v>0</v>
      </c>
      <c r="T9" s="67">
        <f t="shared" si="37"/>
        <v>0</v>
      </c>
      <c r="U9" s="394">
        <f t="shared" si="21"/>
        <v>1</v>
      </c>
      <c r="V9" s="62">
        <f t="shared" si="22"/>
        <v>106</v>
      </c>
      <c r="W9" s="392">
        <f t="shared" si="23"/>
        <v>106</v>
      </c>
      <c r="X9" s="557">
        <f t="shared" si="24"/>
        <v>2470</v>
      </c>
      <c r="Y9" s="52">
        <f t="shared" si="25"/>
        <v>0</v>
      </c>
      <c r="Z9" s="557">
        <f t="shared" si="26"/>
        <v>139138.1</v>
      </c>
      <c r="AA9" s="65">
        <f t="shared" si="6"/>
        <v>0</v>
      </c>
      <c r="AB9" s="279">
        <f t="shared" si="38"/>
        <v>0</v>
      </c>
      <c r="AC9" s="557">
        <f t="shared" si="27"/>
        <v>1942</v>
      </c>
      <c r="AD9" s="45">
        <f t="shared" si="7"/>
        <v>0</v>
      </c>
      <c r="AE9" s="557">
        <f t="shared" si="28"/>
        <v>366072</v>
      </c>
      <c r="AF9" s="300">
        <f t="shared" si="29"/>
        <v>0</v>
      </c>
      <c r="AG9" s="209">
        <f t="shared" si="39"/>
        <v>0</v>
      </c>
      <c r="AH9" s="62">
        <f t="shared" si="40"/>
        <v>0</v>
      </c>
      <c r="AI9" s="311">
        <f t="shared" si="30"/>
        <v>106</v>
      </c>
      <c r="AJ9" s="311">
        <f>-tanks!AW10</f>
        <v>106</v>
      </c>
      <c r="AK9" s="311">
        <f t="shared" si="31"/>
        <v>0</v>
      </c>
      <c r="AL9" s="311">
        <f t="shared" si="8"/>
        <v>1</v>
      </c>
      <c r="AM9" s="311">
        <f t="shared" si="32"/>
        <v>0</v>
      </c>
      <c r="AN9" s="557">
        <f t="shared" si="9"/>
        <v>65</v>
      </c>
      <c r="AO9" s="313">
        <f t="shared" si="33"/>
        <v>1950</v>
      </c>
      <c r="AP9" s="557">
        <f t="shared" si="10"/>
        <v>55</v>
      </c>
      <c r="AQ9" s="313">
        <f t="shared" si="34"/>
        <v>1650.0000000000002</v>
      </c>
      <c r="AR9" s="557">
        <f t="shared" si="11"/>
        <v>61</v>
      </c>
      <c r="AS9" s="313">
        <f>(AR9/100)*3000</f>
        <v>1830</v>
      </c>
      <c r="AT9" s="313">
        <f t="shared" si="42"/>
        <v>5430</v>
      </c>
      <c r="AU9" s="313">
        <f t="shared" si="43"/>
        <v>0</v>
      </c>
      <c r="AV9" s="265"/>
      <c r="AW9" s="265"/>
      <c r="AX9" s="306">
        <f t="shared" si="35"/>
        <v>0.8</v>
      </c>
    </row>
    <row r="10" spans="1:52">
      <c r="A10" s="63">
        <f>ELEC!C9</f>
        <v>44475</v>
      </c>
      <c r="B10" s="557">
        <v>138</v>
      </c>
      <c r="C10" s="557">
        <v>145</v>
      </c>
      <c r="D10" s="45">
        <f t="shared" si="36"/>
        <v>8</v>
      </c>
      <c r="E10" s="45">
        <f t="shared" si="14"/>
        <v>67.040000000000006</v>
      </c>
      <c r="F10" s="557">
        <v>1893</v>
      </c>
      <c r="G10" s="52">
        <f t="shared" si="0"/>
        <v>1</v>
      </c>
      <c r="H10" s="557">
        <v>17313</v>
      </c>
      <c r="I10" s="388">
        <f t="shared" si="1"/>
        <v>31</v>
      </c>
      <c r="J10" s="66">
        <f t="shared" si="17"/>
        <v>31</v>
      </c>
      <c r="K10" s="557">
        <f t="shared" si="18"/>
        <v>2356</v>
      </c>
      <c r="L10" s="52">
        <f t="shared" si="19"/>
        <v>0</v>
      </c>
      <c r="M10" s="557">
        <f t="shared" si="20"/>
        <v>173915</v>
      </c>
      <c r="N10" s="388">
        <f t="shared" si="2"/>
        <v>0</v>
      </c>
      <c r="O10" s="64">
        <f t="shared" si="3"/>
        <v>1869</v>
      </c>
      <c r="P10" s="557">
        <v>2130</v>
      </c>
      <c r="Q10" s="557">
        <v>178791</v>
      </c>
      <c r="R10" s="387">
        <f t="shared" si="4"/>
        <v>71</v>
      </c>
      <c r="S10" s="52">
        <f t="shared" si="5"/>
        <v>1</v>
      </c>
      <c r="T10" s="67">
        <f t="shared" si="37"/>
        <v>0</v>
      </c>
      <c r="U10" s="394">
        <f t="shared" si="21"/>
        <v>2</v>
      </c>
      <c r="V10" s="62">
        <f t="shared" si="22"/>
        <v>102</v>
      </c>
      <c r="W10" s="392">
        <f t="shared" si="23"/>
        <v>51</v>
      </c>
      <c r="X10" s="557">
        <f t="shared" si="24"/>
        <v>2470</v>
      </c>
      <c r="Y10" s="52">
        <f t="shared" si="25"/>
        <v>0</v>
      </c>
      <c r="Z10" s="557">
        <f t="shared" si="26"/>
        <v>139138.1</v>
      </c>
      <c r="AA10" s="65">
        <f t="shared" si="6"/>
        <v>0</v>
      </c>
      <c r="AB10" s="279">
        <f t="shared" si="38"/>
        <v>0</v>
      </c>
      <c r="AC10" s="557">
        <f t="shared" si="27"/>
        <v>1942</v>
      </c>
      <c r="AD10" s="45">
        <f t="shared" si="7"/>
        <v>0</v>
      </c>
      <c r="AE10" s="557">
        <f t="shared" si="28"/>
        <v>366072</v>
      </c>
      <c r="AF10" s="300">
        <f t="shared" si="29"/>
        <v>0</v>
      </c>
      <c r="AG10" s="209">
        <f t="shared" si="39"/>
        <v>0</v>
      </c>
      <c r="AH10" s="62">
        <f t="shared" si="40"/>
        <v>0</v>
      </c>
      <c r="AI10" s="311">
        <f>SUM(AH10+V10)</f>
        <v>102</v>
      </c>
      <c r="AJ10" s="311">
        <f>-tanks!AW11</f>
        <v>102</v>
      </c>
      <c r="AK10" s="311">
        <f t="shared" si="31"/>
        <v>0</v>
      </c>
      <c r="AL10" s="311">
        <f t="shared" si="8"/>
        <v>2</v>
      </c>
      <c r="AM10" s="311">
        <f t="shared" si="32"/>
        <v>0</v>
      </c>
      <c r="AN10" s="557">
        <f t="shared" si="9"/>
        <v>65</v>
      </c>
      <c r="AO10" s="313">
        <f t="shared" si="33"/>
        <v>1950</v>
      </c>
      <c r="AP10" s="557">
        <f t="shared" si="10"/>
        <v>55</v>
      </c>
      <c r="AQ10" s="313">
        <f t="shared" si="34"/>
        <v>1650.0000000000002</v>
      </c>
      <c r="AR10" s="557">
        <f t="shared" si="11"/>
        <v>61</v>
      </c>
      <c r="AS10" s="313">
        <f t="shared" si="41"/>
        <v>1830</v>
      </c>
      <c r="AT10" s="313">
        <f t="shared" si="42"/>
        <v>5430</v>
      </c>
      <c r="AU10" s="313">
        <f t="shared" si="43"/>
        <v>0</v>
      </c>
      <c r="AV10" s="265"/>
      <c r="AW10" s="265"/>
      <c r="AX10" s="306">
        <f t="shared" si="35"/>
        <v>0.8</v>
      </c>
    </row>
    <row r="11" spans="1:52">
      <c r="A11" s="63">
        <f>ELEC!C10</f>
        <v>44476</v>
      </c>
      <c r="B11" s="557">
        <v>131</v>
      </c>
      <c r="C11" s="557">
        <v>137</v>
      </c>
      <c r="D11" s="45">
        <f t="shared" si="36"/>
        <v>8</v>
      </c>
      <c r="E11" s="45">
        <f t="shared" si="14"/>
        <v>67.040000000000006</v>
      </c>
      <c r="F11" s="557">
        <f t="shared" si="15"/>
        <v>1893</v>
      </c>
      <c r="G11" s="52">
        <f t="shared" si="0"/>
        <v>0</v>
      </c>
      <c r="H11" s="557">
        <v>17344</v>
      </c>
      <c r="I11" s="388">
        <f t="shared" si="1"/>
        <v>31</v>
      </c>
      <c r="J11" s="66">
        <f t="shared" si="17"/>
        <v>0</v>
      </c>
      <c r="K11" s="557">
        <f t="shared" si="18"/>
        <v>2356</v>
      </c>
      <c r="L11" s="52">
        <f t="shared" si="19"/>
        <v>0</v>
      </c>
      <c r="M11" s="557">
        <f t="shared" si="20"/>
        <v>173915</v>
      </c>
      <c r="N11" s="388">
        <f t="shared" si="2"/>
        <v>0</v>
      </c>
      <c r="O11" s="64">
        <f t="shared" si="3"/>
        <v>1869</v>
      </c>
      <c r="P11" s="557">
        <f t="shared" si="3"/>
        <v>2130</v>
      </c>
      <c r="Q11" s="557">
        <f t="shared" si="3"/>
        <v>178791</v>
      </c>
      <c r="R11" s="387">
        <f t="shared" ref="R11:R32" si="44">Q11-Q10</f>
        <v>0</v>
      </c>
      <c r="S11" s="52">
        <f t="shared" si="5"/>
        <v>0</v>
      </c>
      <c r="T11" s="67">
        <f t="shared" si="37"/>
        <v>0</v>
      </c>
      <c r="U11" s="394">
        <f t="shared" si="21"/>
        <v>0</v>
      </c>
      <c r="V11" s="62">
        <f t="shared" si="22"/>
        <v>31</v>
      </c>
      <c r="W11" s="392" t="e">
        <f t="shared" si="23"/>
        <v>#DIV/0!</v>
      </c>
      <c r="X11" s="557">
        <f t="shared" si="24"/>
        <v>2470</v>
      </c>
      <c r="Y11" s="52">
        <f t="shared" si="25"/>
        <v>0</v>
      </c>
      <c r="Z11" s="557">
        <f t="shared" si="26"/>
        <v>139138.1</v>
      </c>
      <c r="AA11" s="65">
        <f t="shared" si="6"/>
        <v>0</v>
      </c>
      <c r="AB11" s="279">
        <f t="shared" si="38"/>
        <v>0</v>
      </c>
      <c r="AC11" s="557">
        <f t="shared" si="27"/>
        <v>1942</v>
      </c>
      <c r="AD11" s="45">
        <f t="shared" si="7"/>
        <v>0</v>
      </c>
      <c r="AE11" s="557">
        <f t="shared" si="28"/>
        <v>366072</v>
      </c>
      <c r="AF11" s="300">
        <f t="shared" si="29"/>
        <v>0</v>
      </c>
      <c r="AG11" s="209">
        <f t="shared" si="39"/>
        <v>0</v>
      </c>
      <c r="AH11" s="62">
        <f>AF11+AA11</f>
        <v>0</v>
      </c>
      <c r="AI11" s="311">
        <f>SUM(AH11+V11)</f>
        <v>31</v>
      </c>
      <c r="AJ11" s="311">
        <f>-tanks!AW12</f>
        <v>31</v>
      </c>
      <c r="AK11" s="311">
        <f t="shared" si="31"/>
        <v>0</v>
      </c>
      <c r="AL11" s="311">
        <f t="shared" si="8"/>
        <v>0</v>
      </c>
      <c r="AM11" s="311">
        <f t="shared" si="32"/>
        <v>0</v>
      </c>
      <c r="AN11" s="557">
        <f t="shared" si="9"/>
        <v>65</v>
      </c>
      <c r="AO11" s="313">
        <f t="shared" si="33"/>
        <v>1950</v>
      </c>
      <c r="AP11" s="557">
        <f t="shared" si="10"/>
        <v>55</v>
      </c>
      <c r="AQ11" s="313">
        <f t="shared" si="34"/>
        <v>1650.0000000000002</v>
      </c>
      <c r="AR11" s="557">
        <f t="shared" si="11"/>
        <v>61</v>
      </c>
      <c r="AS11" s="313">
        <f t="shared" si="41"/>
        <v>1830</v>
      </c>
      <c r="AT11" s="313">
        <f t="shared" si="42"/>
        <v>5430</v>
      </c>
      <c r="AU11" s="313">
        <f t="shared" si="43"/>
        <v>0</v>
      </c>
      <c r="AV11" s="265"/>
      <c r="AW11" s="265"/>
      <c r="AX11" s="306">
        <f t="shared" si="35"/>
        <v>0.8</v>
      </c>
    </row>
    <row r="12" spans="1:52">
      <c r="A12" s="63">
        <f>ELEC!C11</f>
        <v>44477</v>
      </c>
      <c r="B12" s="557">
        <f t="shared" si="12"/>
        <v>131</v>
      </c>
      <c r="C12" s="557">
        <f t="shared" si="13"/>
        <v>137</v>
      </c>
      <c r="D12" s="45">
        <f t="shared" si="36"/>
        <v>0</v>
      </c>
      <c r="E12" s="45">
        <f t="shared" si="14"/>
        <v>0</v>
      </c>
      <c r="F12" s="557">
        <f t="shared" si="15"/>
        <v>1893</v>
      </c>
      <c r="G12" s="52">
        <f t="shared" si="0"/>
        <v>0</v>
      </c>
      <c r="H12" s="557">
        <f t="shared" si="16"/>
        <v>17344</v>
      </c>
      <c r="I12" s="388">
        <f t="shared" si="1"/>
        <v>0</v>
      </c>
      <c r="J12" s="66">
        <f t="shared" si="17"/>
        <v>0</v>
      </c>
      <c r="K12" s="557">
        <f t="shared" si="18"/>
        <v>2356</v>
      </c>
      <c r="L12" s="52">
        <f t="shared" si="19"/>
        <v>0</v>
      </c>
      <c r="M12" s="557">
        <f t="shared" si="20"/>
        <v>173915</v>
      </c>
      <c r="N12" s="388">
        <f t="shared" si="2"/>
        <v>0</v>
      </c>
      <c r="O12" s="64">
        <f t="shared" si="3"/>
        <v>1869</v>
      </c>
      <c r="P12" s="557">
        <f t="shared" si="3"/>
        <v>2130</v>
      </c>
      <c r="Q12" s="557">
        <f t="shared" si="3"/>
        <v>178791</v>
      </c>
      <c r="R12" s="387">
        <f t="shared" si="44"/>
        <v>0</v>
      </c>
      <c r="S12" s="52">
        <f t="shared" si="5"/>
        <v>0</v>
      </c>
      <c r="T12" s="67">
        <f t="shared" si="37"/>
        <v>0</v>
      </c>
      <c r="U12" s="394">
        <f t="shared" si="21"/>
        <v>0</v>
      </c>
      <c r="V12" s="62">
        <f t="shared" si="22"/>
        <v>0</v>
      </c>
      <c r="W12" s="392" t="e">
        <f t="shared" si="23"/>
        <v>#DIV/0!</v>
      </c>
      <c r="X12" s="557">
        <f t="shared" si="24"/>
        <v>2470</v>
      </c>
      <c r="Y12" s="52">
        <f t="shared" si="25"/>
        <v>0</v>
      </c>
      <c r="Z12" s="557">
        <f t="shared" si="26"/>
        <v>139138.1</v>
      </c>
      <c r="AA12" s="65">
        <f t="shared" si="6"/>
        <v>0</v>
      </c>
      <c r="AB12" s="279">
        <f t="shared" si="38"/>
        <v>0</v>
      </c>
      <c r="AC12" s="557">
        <f t="shared" si="27"/>
        <v>1942</v>
      </c>
      <c r="AD12" s="45">
        <f t="shared" si="7"/>
        <v>0</v>
      </c>
      <c r="AE12" s="557">
        <f t="shared" si="28"/>
        <v>366072</v>
      </c>
      <c r="AF12" s="300">
        <f t="shared" si="29"/>
        <v>0</v>
      </c>
      <c r="AG12" s="209">
        <f t="shared" si="39"/>
        <v>0</v>
      </c>
      <c r="AH12" s="62">
        <f t="shared" si="40"/>
        <v>0</v>
      </c>
      <c r="AI12" s="311">
        <f t="shared" si="30"/>
        <v>0</v>
      </c>
      <c r="AJ12" s="311">
        <f>-tanks!AW13</f>
        <v>0</v>
      </c>
      <c r="AK12" s="311">
        <f t="shared" si="31"/>
        <v>0</v>
      </c>
      <c r="AL12" s="311">
        <f t="shared" si="8"/>
        <v>0</v>
      </c>
      <c r="AM12" s="311">
        <f t="shared" si="32"/>
        <v>0</v>
      </c>
      <c r="AN12" s="557">
        <f t="shared" si="9"/>
        <v>65</v>
      </c>
      <c r="AO12" s="313">
        <f t="shared" si="33"/>
        <v>1950</v>
      </c>
      <c r="AP12" s="557">
        <f t="shared" si="10"/>
        <v>55</v>
      </c>
      <c r="AQ12" s="313">
        <f t="shared" si="34"/>
        <v>1650.0000000000002</v>
      </c>
      <c r="AR12" s="557">
        <f t="shared" si="11"/>
        <v>61</v>
      </c>
      <c r="AS12" s="313">
        <f t="shared" si="41"/>
        <v>1830</v>
      </c>
      <c r="AT12" s="313">
        <f t="shared" si="42"/>
        <v>5430</v>
      </c>
      <c r="AU12" s="313">
        <f t="shared" si="43"/>
        <v>0</v>
      </c>
      <c r="AV12" s="265"/>
      <c r="AW12" s="265"/>
      <c r="AX12" s="306">
        <f t="shared" si="35"/>
        <v>0.8</v>
      </c>
    </row>
    <row r="13" spans="1:52">
      <c r="A13" s="63">
        <f>ELEC!C12</f>
        <v>44478</v>
      </c>
      <c r="B13" s="557">
        <f t="shared" si="12"/>
        <v>131</v>
      </c>
      <c r="C13" s="557">
        <f t="shared" si="13"/>
        <v>137</v>
      </c>
      <c r="D13" s="45">
        <f t="shared" si="36"/>
        <v>0</v>
      </c>
      <c r="E13" s="45">
        <f t="shared" si="14"/>
        <v>0</v>
      </c>
      <c r="F13" s="557">
        <f t="shared" si="15"/>
        <v>1893</v>
      </c>
      <c r="G13" s="52">
        <f t="shared" si="0"/>
        <v>0</v>
      </c>
      <c r="H13" s="557">
        <f t="shared" si="16"/>
        <v>17344</v>
      </c>
      <c r="I13" s="388">
        <f t="shared" si="1"/>
        <v>0</v>
      </c>
      <c r="J13" s="66">
        <f t="shared" si="17"/>
        <v>0</v>
      </c>
      <c r="K13" s="557">
        <f t="shared" si="18"/>
        <v>2356</v>
      </c>
      <c r="L13" s="52">
        <f t="shared" si="19"/>
        <v>0</v>
      </c>
      <c r="M13" s="557">
        <f t="shared" si="20"/>
        <v>173915</v>
      </c>
      <c r="N13" s="388">
        <f t="shared" si="2"/>
        <v>0</v>
      </c>
      <c r="O13" s="64">
        <f t="shared" si="3"/>
        <v>1869</v>
      </c>
      <c r="P13" s="557">
        <f t="shared" si="3"/>
        <v>2130</v>
      </c>
      <c r="Q13" s="557">
        <f t="shared" si="3"/>
        <v>178791</v>
      </c>
      <c r="R13" s="387">
        <f t="shared" si="44"/>
        <v>0</v>
      </c>
      <c r="S13" s="52">
        <f t="shared" si="5"/>
        <v>0</v>
      </c>
      <c r="T13" s="67">
        <f t="shared" si="37"/>
        <v>0</v>
      </c>
      <c r="U13" s="394">
        <f t="shared" si="21"/>
        <v>0</v>
      </c>
      <c r="V13" s="62">
        <f>R13+N13+I13:I13</f>
        <v>0</v>
      </c>
      <c r="W13" s="392" t="e">
        <f t="shared" si="23"/>
        <v>#DIV/0!</v>
      </c>
      <c r="X13" s="557">
        <f t="shared" si="24"/>
        <v>2470</v>
      </c>
      <c r="Y13" s="52">
        <f t="shared" si="25"/>
        <v>0</v>
      </c>
      <c r="Z13" s="557">
        <f t="shared" si="26"/>
        <v>139138.1</v>
      </c>
      <c r="AA13" s="279">
        <f t="shared" si="6"/>
        <v>0</v>
      </c>
      <c r="AB13" s="279">
        <f t="shared" si="38"/>
        <v>0</v>
      </c>
      <c r="AC13" s="557">
        <f t="shared" si="27"/>
        <v>1942</v>
      </c>
      <c r="AD13" s="45">
        <f t="shared" si="7"/>
        <v>0</v>
      </c>
      <c r="AE13" s="557">
        <f t="shared" si="28"/>
        <v>366072</v>
      </c>
      <c r="AF13" s="300">
        <f t="shared" si="29"/>
        <v>0</v>
      </c>
      <c r="AG13" s="209">
        <f t="shared" si="39"/>
        <v>0</v>
      </c>
      <c r="AH13" s="62">
        <f t="shared" si="40"/>
        <v>0</v>
      </c>
      <c r="AI13" s="311">
        <f t="shared" si="30"/>
        <v>0</v>
      </c>
      <c r="AJ13" s="311">
        <f>-tanks!AW14</f>
        <v>0</v>
      </c>
      <c r="AK13" s="311">
        <f t="shared" si="31"/>
        <v>0</v>
      </c>
      <c r="AL13" s="311">
        <f t="shared" si="8"/>
        <v>0</v>
      </c>
      <c r="AM13" s="311">
        <f t="shared" si="32"/>
        <v>0</v>
      </c>
      <c r="AN13" s="557">
        <f t="shared" si="9"/>
        <v>65</v>
      </c>
      <c r="AO13" s="313">
        <f t="shared" si="33"/>
        <v>1950</v>
      </c>
      <c r="AP13" s="557">
        <f t="shared" si="10"/>
        <v>55</v>
      </c>
      <c r="AQ13" s="313">
        <f t="shared" si="34"/>
        <v>1650.0000000000002</v>
      </c>
      <c r="AR13" s="557">
        <f t="shared" si="11"/>
        <v>61</v>
      </c>
      <c r="AS13" s="313">
        <f t="shared" si="41"/>
        <v>1830</v>
      </c>
      <c r="AT13" s="313">
        <f t="shared" si="42"/>
        <v>5430</v>
      </c>
      <c r="AU13" s="313">
        <f t="shared" si="43"/>
        <v>0</v>
      </c>
      <c r="AV13" s="265"/>
      <c r="AW13" s="265"/>
      <c r="AX13" s="306">
        <f t="shared" si="35"/>
        <v>0.8</v>
      </c>
    </row>
    <row r="14" spans="1:52">
      <c r="A14" s="63">
        <f>ELEC!C13</f>
        <v>44479</v>
      </c>
      <c r="B14" s="557">
        <v>125</v>
      </c>
      <c r="C14" s="557">
        <v>131</v>
      </c>
      <c r="D14" s="45">
        <f t="shared" si="36"/>
        <v>6</v>
      </c>
      <c r="E14" s="45">
        <f t="shared" si="14"/>
        <v>50.28</v>
      </c>
      <c r="F14" s="557">
        <v>1894</v>
      </c>
      <c r="G14" s="52">
        <f t="shared" si="0"/>
        <v>1</v>
      </c>
      <c r="H14" s="557">
        <v>17450</v>
      </c>
      <c r="I14" s="388">
        <f t="shared" si="1"/>
        <v>106</v>
      </c>
      <c r="J14" s="66">
        <f t="shared" si="17"/>
        <v>106</v>
      </c>
      <c r="K14" s="557">
        <f t="shared" si="18"/>
        <v>2356</v>
      </c>
      <c r="L14" s="52">
        <f t="shared" si="19"/>
        <v>0</v>
      </c>
      <c r="M14" s="557">
        <f t="shared" si="20"/>
        <v>173915</v>
      </c>
      <c r="N14" s="388">
        <f t="shared" si="2"/>
        <v>0</v>
      </c>
      <c r="O14" s="64">
        <f t="shared" si="3"/>
        <v>1869</v>
      </c>
      <c r="P14" s="557">
        <f t="shared" si="3"/>
        <v>2130</v>
      </c>
      <c r="Q14" s="557">
        <f t="shared" si="3"/>
        <v>178791</v>
      </c>
      <c r="R14" s="387">
        <f t="shared" si="44"/>
        <v>0</v>
      </c>
      <c r="S14" s="52">
        <f t="shared" si="5"/>
        <v>0</v>
      </c>
      <c r="T14" s="67">
        <f t="shared" si="37"/>
        <v>0</v>
      </c>
      <c r="U14" s="394">
        <f t="shared" si="21"/>
        <v>1</v>
      </c>
      <c r="V14" s="62">
        <f t="shared" si="22"/>
        <v>106</v>
      </c>
      <c r="W14" s="392">
        <f t="shared" si="23"/>
        <v>106</v>
      </c>
      <c r="X14" s="557">
        <f t="shared" si="24"/>
        <v>2470</v>
      </c>
      <c r="Y14" s="52">
        <f t="shared" si="25"/>
        <v>0</v>
      </c>
      <c r="Z14" s="557">
        <f t="shared" si="26"/>
        <v>139138.1</v>
      </c>
      <c r="AA14" s="65">
        <f t="shared" si="6"/>
        <v>0</v>
      </c>
      <c r="AB14" s="279">
        <f t="shared" si="38"/>
        <v>0</v>
      </c>
      <c r="AC14" s="557">
        <f t="shared" si="27"/>
        <v>1942</v>
      </c>
      <c r="AD14" s="45">
        <f t="shared" si="7"/>
        <v>0</v>
      </c>
      <c r="AE14" s="557">
        <f t="shared" si="28"/>
        <v>366072</v>
      </c>
      <c r="AF14" s="300">
        <f>AE14-AE13</f>
        <v>0</v>
      </c>
      <c r="AG14" s="209">
        <f t="shared" si="39"/>
        <v>0</v>
      </c>
      <c r="AH14" s="62">
        <f>AF14+AA14</f>
        <v>0</v>
      </c>
      <c r="AI14" s="311">
        <f>SUM(AH14+V14)</f>
        <v>106</v>
      </c>
      <c r="AJ14" s="311">
        <f>-tanks!AW15</f>
        <v>106</v>
      </c>
      <c r="AK14" s="311">
        <f t="shared" si="31"/>
        <v>0</v>
      </c>
      <c r="AL14" s="311">
        <f t="shared" si="8"/>
        <v>1</v>
      </c>
      <c r="AM14" s="311">
        <f t="shared" si="32"/>
        <v>0</v>
      </c>
      <c r="AN14" s="557">
        <f t="shared" si="9"/>
        <v>65</v>
      </c>
      <c r="AO14" s="313">
        <f t="shared" si="33"/>
        <v>1950</v>
      </c>
      <c r="AP14" s="557">
        <f t="shared" si="10"/>
        <v>55</v>
      </c>
      <c r="AQ14" s="313">
        <f t="shared" si="34"/>
        <v>1650.0000000000002</v>
      </c>
      <c r="AR14" s="557">
        <f t="shared" si="11"/>
        <v>61</v>
      </c>
      <c r="AS14" s="313">
        <f t="shared" si="41"/>
        <v>1830</v>
      </c>
      <c r="AT14" s="313">
        <f t="shared" si="42"/>
        <v>5430</v>
      </c>
      <c r="AU14" s="313">
        <f t="shared" si="43"/>
        <v>0</v>
      </c>
      <c r="AV14" s="265"/>
      <c r="AW14" s="265"/>
      <c r="AX14" s="306">
        <f t="shared" si="35"/>
        <v>0.8</v>
      </c>
    </row>
    <row r="15" spans="1:52" ht="15" customHeight="1">
      <c r="A15" s="63">
        <f>ELEC!C14</f>
        <v>44480</v>
      </c>
      <c r="B15" s="557">
        <v>152</v>
      </c>
      <c r="C15" s="557">
        <v>159</v>
      </c>
      <c r="D15" s="45">
        <f t="shared" si="36"/>
        <v>-28</v>
      </c>
      <c r="E15" s="45">
        <f t="shared" si="14"/>
        <v>-234.64000000000001</v>
      </c>
      <c r="F15" s="557">
        <v>1895</v>
      </c>
      <c r="G15" s="52">
        <f t="shared" si="0"/>
        <v>1</v>
      </c>
      <c r="H15" s="557">
        <v>17514</v>
      </c>
      <c r="I15" s="388">
        <f t="shared" si="1"/>
        <v>64</v>
      </c>
      <c r="J15" s="66">
        <f t="shared" si="17"/>
        <v>64</v>
      </c>
      <c r="K15" s="557">
        <f t="shared" si="18"/>
        <v>2356</v>
      </c>
      <c r="L15" s="52">
        <f t="shared" si="19"/>
        <v>0</v>
      </c>
      <c r="M15" s="557">
        <f t="shared" si="20"/>
        <v>173915</v>
      </c>
      <c r="N15" s="388">
        <f t="shared" si="2"/>
        <v>0</v>
      </c>
      <c r="O15" s="64">
        <f t="shared" si="3"/>
        <v>1869</v>
      </c>
      <c r="P15" s="557">
        <f t="shared" si="3"/>
        <v>2130</v>
      </c>
      <c r="Q15" s="557">
        <f t="shared" si="3"/>
        <v>178791</v>
      </c>
      <c r="R15" s="387">
        <f t="shared" si="44"/>
        <v>0</v>
      </c>
      <c r="S15" s="52">
        <f t="shared" si="5"/>
        <v>0</v>
      </c>
      <c r="T15" s="67">
        <f t="shared" si="37"/>
        <v>0</v>
      </c>
      <c r="U15" s="394">
        <f t="shared" si="21"/>
        <v>1</v>
      </c>
      <c r="V15" s="62">
        <f t="shared" si="22"/>
        <v>64</v>
      </c>
      <c r="W15" s="392">
        <f t="shared" si="23"/>
        <v>64</v>
      </c>
      <c r="X15" s="557">
        <f t="shared" si="24"/>
        <v>2470</v>
      </c>
      <c r="Y15" s="52">
        <f t="shared" si="25"/>
        <v>0</v>
      </c>
      <c r="Z15" s="557">
        <f t="shared" si="26"/>
        <v>139138.1</v>
      </c>
      <c r="AA15" s="65">
        <f t="shared" si="6"/>
        <v>0</v>
      </c>
      <c r="AB15" s="279">
        <f t="shared" si="38"/>
        <v>0</v>
      </c>
      <c r="AC15" s="557">
        <f t="shared" si="27"/>
        <v>1942</v>
      </c>
      <c r="AD15" s="45">
        <f t="shared" si="7"/>
        <v>0</v>
      </c>
      <c r="AE15" s="557">
        <f t="shared" si="28"/>
        <v>366072</v>
      </c>
      <c r="AF15" s="300">
        <f t="shared" si="29"/>
        <v>0</v>
      </c>
      <c r="AG15" s="209">
        <f t="shared" si="39"/>
        <v>0</v>
      </c>
      <c r="AH15" s="62">
        <f t="shared" si="40"/>
        <v>0</v>
      </c>
      <c r="AI15" s="311">
        <f t="shared" si="30"/>
        <v>64</v>
      </c>
      <c r="AJ15" s="311">
        <f>-tanks!AW16</f>
        <v>64</v>
      </c>
      <c r="AK15" s="311">
        <f t="shared" si="31"/>
        <v>0</v>
      </c>
      <c r="AL15" s="311">
        <f t="shared" si="8"/>
        <v>1</v>
      </c>
      <c r="AM15" s="311">
        <f t="shared" si="32"/>
        <v>0</v>
      </c>
      <c r="AN15" s="557">
        <f t="shared" si="9"/>
        <v>65</v>
      </c>
      <c r="AO15" s="313">
        <f t="shared" si="33"/>
        <v>1950</v>
      </c>
      <c r="AP15" s="557">
        <f t="shared" si="10"/>
        <v>55</v>
      </c>
      <c r="AQ15" s="313">
        <f t="shared" si="34"/>
        <v>1650.0000000000002</v>
      </c>
      <c r="AR15" s="557">
        <f t="shared" si="11"/>
        <v>61</v>
      </c>
      <c r="AS15" s="313">
        <f t="shared" si="41"/>
        <v>1830</v>
      </c>
      <c r="AT15" s="313">
        <f t="shared" si="42"/>
        <v>5430</v>
      </c>
      <c r="AU15" s="313">
        <f t="shared" si="43"/>
        <v>0</v>
      </c>
      <c r="AV15" s="265"/>
      <c r="AW15" s="265"/>
      <c r="AX15" s="306">
        <f t="shared" si="35"/>
        <v>0.8</v>
      </c>
    </row>
    <row r="16" spans="1:52">
      <c r="A16" s="63">
        <f>ELEC!C15</f>
        <v>44481</v>
      </c>
      <c r="B16" s="557">
        <v>144</v>
      </c>
      <c r="C16" s="557">
        <v>151</v>
      </c>
      <c r="D16" s="45">
        <f t="shared" si="36"/>
        <v>8</v>
      </c>
      <c r="E16" s="45">
        <f t="shared" si="14"/>
        <v>67.040000000000006</v>
      </c>
      <c r="F16" s="557">
        <v>1896</v>
      </c>
      <c r="G16" s="52">
        <f t="shared" si="0"/>
        <v>1</v>
      </c>
      <c r="H16" s="557">
        <v>17563</v>
      </c>
      <c r="I16" s="388">
        <f t="shared" si="1"/>
        <v>49</v>
      </c>
      <c r="J16" s="66">
        <f t="shared" si="17"/>
        <v>49</v>
      </c>
      <c r="K16" s="557">
        <f t="shared" si="18"/>
        <v>2356</v>
      </c>
      <c r="L16" s="52">
        <f t="shared" si="19"/>
        <v>0</v>
      </c>
      <c r="M16" s="557">
        <f t="shared" si="20"/>
        <v>173915</v>
      </c>
      <c r="N16" s="388">
        <f t="shared" si="2"/>
        <v>0</v>
      </c>
      <c r="O16" s="64">
        <f t="shared" si="3"/>
        <v>1869</v>
      </c>
      <c r="P16" s="557">
        <f t="shared" si="3"/>
        <v>2130</v>
      </c>
      <c r="Q16" s="557">
        <f t="shared" si="3"/>
        <v>178791</v>
      </c>
      <c r="R16" s="387">
        <f t="shared" si="44"/>
        <v>0</v>
      </c>
      <c r="S16" s="52">
        <f t="shared" si="5"/>
        <v>0</v>
      </c>
      <c r="T16" s="67">
        <f t="shared" si="37"/>
        <v>0</v>
      </c>
      <c r="U16" s="394">
        <f t="shared" si="21"/>
        <v>1</v>
      </c>
      <c r="V16" s="62">
        <f t="shared" si="22"/>
        <v>49</v>
      </c>
      <c r="W16" s="392">
        <f t="shared" si="23"/>
        <v>49</v>
      </c>
      <c r="X16" s="557">
        <f t="shared" si="24"/>
        <v>2470</v>
      </c>
      <c r="Y16" s="52">
        <f t="shared" si="25"/>
        <v>0</v>
      </c>
      <c r="Z16" s="557">
        <f t="shared" si="26"/>
        <v>139138.1</v>
      </c>
      <c r="AA16" s="65">
        <f t="shared" si="6"/>
        <v>0</v>
      </c>
      <c r="AB16" s="279">
        <f t="shared" si="38"/>
        <v>0</v>
      </c>
      <c r="AC16" s="557">
        <f t="shared" si="27"/>
        <v>1942</v>
      </c>
      <c r="AD16" s="45">
        <f t="shared" si="7"/>
        <v>0</v>
      </c>
      <c r="AE16" s="557">
        <f t="shared" si="28"/>
        <v>366072</v>
      </c>
      <c r="AF16" s="300">
        <f t="shared" si="29"/>
        <v>0</v>
      </c>
      <c r="AG16" s="209">
        <f t="shared" si="39"/>
        <v>0</v>
      </c>
      <c r="AH16" s="62">
        <f t="shared" si="40"/>
        <v>0</v>
      </c>
      <c r="AI16" s="311">
        <f t="shared" si="30"/>
        <v>49</v>
      </c>
      <c r="AJ16" s="311">
        <f>-tanks!AW17</f>
        <v>49</v>
      </c>
      <c r="AK16" s="311">
        <f t="shared" si="31"/>
        <v>0</v>
      </c>
      <c r="AL16" s="311">
        <f t="shared" si="8"/>
        <v>1</v>
      </c>
      <c r="AM16" s="311">
        <f t="shared" si="32"/>
        <v>0</v>
      </c>
      <c r="AN16" s="557">
        <f t="shared" si="9"/>
        <v>65</v>
      </c>
      <c r="AO16" s="313">
        <f t="shared" si="33"/>
        <v>1950</v>
      </c>
      <c r="AP16" s="557">
        <f t="shared" si="10"/>
        <v>55</v>
      </c>
      <c r="AQ16" s="313">
        <f t="shared" si="34"/>
        <v>1650.0000000000002</v>
      </c>
      <c r="AR16" s="557">
        <f t="shared" si="11"/>
        <v>61</v>
      </c>
      <c r="AS16" s="313">
        <f t="shared" si="41"/>
        <v>1830</v>
      </c>
      <c r="AT16" s="313">
        <f t="shared" si="42"/>
        <v>5430</v>
      </c>
      <c r="AU16" s="313">
        <f t="shared" si="43"/>
        <v>0</v>
      </c>
      <c r="AV16" s="265"/>
      <c r="AW16" s="265"/>
      <c r="AX16" s="306">
        <f t="shared" si="35"/>
        <v>0.8</v>
      </c>
    </row>
    <row r="17" spans="1:50">
      <c r="A17" s="63">
        <f>ELEC!C16</f>
        <v>44482</v>
      </c>
      <c r="B17" s="557">
        <f t="shared" si="12"/>
        <v>144</v>
      </c>
      <c r="C17" s="557">
        <f t="shared" si="13"/>
        <v>151</v>
      </c>
      <c r="D17" s="45">
        <f t="shared" si="36"/>
        <v>0</v>
      </c>
      <c r="E17" s="45">
        <f t="shared" si="14"/>
        <v>0</v>
      </c>
      <c r="F17" s="557">
        <f t="shared" si="15"/>
        <v>1896</v>
      </c>
      <c r="G17" s="52">
        <f t="shared" si="0"/>
        <v>0</v>
      </c>
      <c r="H17" s="557">
        <f t="shared" si="16"/>
        <v>17563</v>
      </c>
      <c r="I17" s="388">
        <f t="shared" si="1"/>
        <v>0</v>
      </c>
      <c r="J17" s="66">
        <f t="shared" si="17"/>
        <v>0</v>
      </c>
      <c r="K17" s="557">
        <f t="shared" si="18"/>
        <v>2356</v>
      </c>
      <c r="L17" s="52">
        <f t="shared" si="19"/>
        <v>0</v>
      </c>
      <c r="M17" s="557">
        <f t="shared" si="20"/>
        <v>173915</v>
      </c>
      <c r="N17" s="388">
        <f t="shared" si="2"/>
        <v>0</v>
      </c>
      <c r="O17" s="64">
        <f t="shared" si="3"/>
        <v>1869</v>
      </c>
      <c r="P17" s="557">
        <f t="shared" si="3"/>
        <v>2130</v>
      </c>
      <c r="Q17" s="557">
        <f t="shared" si="3"/>
        <v>178791</v>
      </c>
      <c r="R17" s="387">
        <f t="shared" si="44"/>
        <v>0</v>
      </c>
      <c r="S17" s="52">
        <f t="shared" si="5"/>
        <v>0</v>
      </c>
      <c r="T17" s="67">
        <f t="shared" si="37"/>
        <v>0</v>
      </c>
      <c r="U17" s="394">
        <f t="shared" si="21"/>
        <v>0</v>
      </c>
      <c r="V17" s="62">
        <f t="shared" si="22"/>
        <v>0</v>
      </c>
      <c r="W17" s="392"/>
      <c r="X17" s="557">
        <f t="shared" si="24"/>
        <v>2470</v>
      </c>
      <c r="Y17" s="52">
        <f t="shared" si="25"/>
        <v>0</v>
      </c>
      <c r="Z17" s="557">
        <f t="shared" si="26"/>
        <v>139138.1</v>
      </c>
      <c r="AA17" s="65">
        <f t="shared" si="6"/>
        <v>0</v>
      </c>
      <c r="AB17" s="279">
        <f t="shared" si="38"/>
        <v>0</v>
      </c>
      <c r="AC17" s="557">
        <f t="shared" si="27"/>
        <v>1942</v>
      </c>
      <c r="AD17" s="45">
        <f t="shared" si="7"/>
        <v>0</v>
      </c>
      <c r="AE17" s="557">
        <f t="shared" si="28"/>
        <v>366072</v>
      </c>
      <c r="AF17" s="300">
        <f t="shared" si="29"/>
        <v>0</v>
      </c>
      <c r="AG17" s="209">
        <f t="shared" si="39"/>
        <v>0</v>
      </c>
      <c r="AH17" s="62">
        <f t="shared" si="40"/>
        <v>0</v>
      </c>
      <c r="AI17" s="311">
        <f t="shared" si="30"/>
        <v>0</v>
      </c>
      <c r="AJ17" s="311">
        <f>-tanks!AW18</f>
        <v>0</v>
      </c>
      <c r="AK17" s="311">
        <f t="shared" si="31"/>
        <v>0</v>
      </c>
      <c r="AL17" s="311">
        <f t="shared" si="8"/>
        <v>0</v>
      </c>
      <c r="AM17" s="311">
        <f t="shared" si="32"/>
        <v>0</v>
      </c>
      <c r="AN17" s="557">
        <f t="shared" si="9"/>
        <v>65</v>
      </c>
      <c r="AO17" s="313">
        <f t="shared" si="33"/>
        <v>1950</v>
      </c>
      <c r="AP17" s="557">
        <f t="shared" si="10"/>
        <v>55</v>
      </c>
      <c r="AQ17" s="313">
        <f t="shared" si="34"/>
        <v>1650.0000000000002</v>
      </c>
      <c r="AR17" s="557">
        <f t="shared" si="11"/>
        <v>61</v>
      </c>
      <c r="AS17" s="313">
        <f t="shared" si="41"/>
        <v>1830</v>
      </c>
      <c r="AT17" s="313">
        <f t="shared" si="42"/>
        <v>5430</v>
      </c>
      <c r="AU17" s="313">
        <f t="shared" si="43"/>
        <v>0</v>
      </c>
      <c r="AV17" s="265"/>
      <c r="AW17" s="265"/>
      <c r="AX17" s="306">
        <f t="shared" si="35"/>
        <v>0.8</v>
      </c>
    </row>
    <row r="18" spans="1:50">
      <c r="A18" s="63">
        <f>ELEC!C17</f>
        <v>44483</v>
      </c>
      <c r="B18" s="557">
        <f t="shared" si="12"/>
        <v>144</v>
      </c>
      <c r="C18" s="557">
        <f t="shared" si="13"/>
        <v>151</v>
      </c>
      <c r="D18" s="45">
        <f t="shared" si="36"/>
        <v>0</v>
      </c>
      <c r="E18" s="45">
        <f t="shared" si="14"/>
        <v>0</v>
      </c>
      <c r="F18" s="557">
        <f t="shared" si="15"/>
        <v>1896</v>
      </c>
      <c r="G18" s="52">
        <f t="shared" si="0"/>
        <v>0</v>
      </c>
      <c r="H18" s="557">
        <f t="shared" si="16"/>
        <v>17563</v>
      </c>
      <c r="I18" s="388">
        <f t="shared" si="1"/>
        <v>0</v>
      </c>
      <c r="J18" s="66">
        <f t="shared" si="17"/>
        <v>0</v>
      </c>
      <c r="K18" s="557">
        <f t="shared" si="18"/>
        <v>2356</v>
      </c>
      <c r="L18" s="52">
        <f t="shared" si="19"/>
        <v>0</v>
      </c>
      <c r="M18" s="557">
        <f t="shared" si="20"/>
        <v>173915</v>
      </c>
      <c r="N18" s="388">
        <f t="shared" si="2"/>
        <v>0</v>
      </c>
      <c r="O18" s="64">
        <v>1869</v>
      </c>
      <c r="P18" s="557">
        <f t="shared" ref="P18:P35" si="45">P17</f>
        <v>2130</v>
      </c>
      <c r="Q18" s="557">
        <f t="shared" ref="Q18:Q35" si="46">Q17</f>
        <v>178791</v>
      </c>
      <c r="R18" s="387">
        <f t="shared" si="44"/>
        <v>0</v>
      </c>
      <c r="S18" s="52">
        <f t="shared" si="5"/>
        <v>0</v>
      </c>
      <c r="T18" s="67">
        <f t="shared" si="37"/>
        <v>0</v>
      </c>
      <c r="U18" s="394">
        <f t="shared" si="21"/>
        <v>0</v>
      </c>
      <c r="V18" s="62">
        <f t="shared" si="22"/>
        <v>0</v>
      </c>
      <c r="W18" s="392"/>
      <c r="X18" s="557">
        <f t="shared" si="24"/>
        <v>2470</v>
      </c>
      <c r="Y18" s="52">
        <f t="shared" si="25"/>
        <v>0</v>
      </c>
      <c r="Z18" s="557">
        <f t="shared" si="26"/>
        <v>139138.1</v>
      </c>
      <c r="AA18" s="65">
        <f t="shared" si="6"/>
        <v>0</v>
      </c>
      <c r="AB18" s="279">
        <f t="shared" ref="AB18:AB23" si="47">SUM(Y18*$AB$2)</f>
        <v>0</v>
      </c>
      <c r="AC18" s="557">
        <f t="shared" si="27"/>
        <v>1942</v>
      </c>
      <c r="AD18" s="45">
        <f t="shared" si="7"/>
        <v>0</v>
      </c>
      <c r="AE18" s="557">
        <f t="shared" si="28"/>
        <v>366072</v>
      </c>
      <c r="AF18" s="300">
        <f t="shared" si="29"/>
        <v>0</v>
      </c>
      <c r="AG18" s="209">
        <f t="shared" si="39"/>
        <v>0</v>
      </c>
      <c r="AH18" s="62">
        <f t="shared" si="40"/>
        <v>0</v>
      </c>
      <c r="AI18" s="311">
        <f t="shared" si="30"/>
        <v>0</v>
      </c>
      <c r="AJ18" s="311">
        <f>-tanks!AW19</f>
        <v>0</v>
      </c>
      <c r="AK18" s="311">
        <f t="shared" si="31"/>
        <v>0</v>
      </c>
      <c r="AL18" s="311">
        <f t="shared" si="8"/>
        <v>0</v>
      </c>
      <c r="AM18" s="311">
        <f t="shared" si="32"/>
        <v>0</v>
      </c>
      <c r="AN18" s="557">
        <f t="shared" si="9"/>
        <v>65</v>
      </c>
      <c r="AO18" s="313">
        <f t="shared" si="33"/>
        <v>1950</v>
      </c>
      <c r="AP18" s="557">
        <f t="shared" si="10"/>
        <v>55</v>
      </c>
      <c r="AQ18" s="313">
        <f t="shared" si="34"/>
        <v>1650.0000000000002</v>
      </c>
      <c r="AR18" s="557">
        <f t="shared" si="11"/>
        <v>61</v>
      </c>
      <c r="AS18" s="313">
        <f t="shared" si="41"/>
        <v>1830</v>
      </c>
      <c r="AT18" s="313">
        <f t="shared" si="42"/>
        <v>5430</v>
      </c>
      <c r="AU18" s="313">
        <f t="shared" si="43"/>
        <v>0</v>
      </c>
      <c r="AV18" s="265"/>
      <c r="AW18" s="265"/>
      <c r="AX18" s="306">
        <f t="shared" si="35"/>
        <v>0.8</v>
      </c>
    </row>
    <row r="19" spans="1:50">
      <c r="A19" s="63">
        <f>ELEC!C18</f>
        <v>44484</v>
      </c>
      <c r="B19" s="557">
        <f t="shared" si="12"/>
        <v>144</v>
      </c>
      <c r="C19" s="557">
        <f t="shared" si="13"/>
        <v>151</v>
      </c>
      <c r="D19" s="45">
        <f t="shared" si="36"/>
        <v>0</v>
      </c>
      <c r="E19" s="45">
        <f t="shared" si="14"/>
        <v>0</v>
      </c>
      <c r="F19" s="557">
        <f t="shared" si="15"/>
        <v>1896</v>
      </c>
      <c r="G19" s="52">
        <f t="shared" si="0"/>
        <v>0</v>
      </c>
      <c r="H19" s="557">
        <f t="shared" si="16"/>
        <v>17563</v>
      </c>
      <c r="I19" s="388">
        <f t="shared" si="1"/>
        <v>0</v>
      </c>
      <c r="J19" s="66">
        <f t="shared" si="17"/>
        <v>0</v>
      </c>
      <c r="K19" s="557">
        <f t="shared" si="18"/>
        <v>2356</v>
      </c>
      <c r="L19" s="52">
        <f t="shared" si="19"/>
        <v>0</v>
      </c>
      <c r="M19" s="557">
        <f t="shared" si="20"/>
        <v>173915</v>
      </c>
      <c r="N19" s="388">
        <f t="shared" si="2"/>
        <v>0</v>
      </c>
      <c r="O19" s="64">
        <f t="shared" ref="O19:O35" si="48">O18</f>
        <v>1869</v>
      </c>
      <c r="P19" s="557">
        <f t="shared" si="45"/>
        <v>2130</v>
      </c>
      <c r="Q19" s="557">
        <f t="shared" si="46"/>
        <v>178791</v>
      </c>
      <c r="R19" s="387">
        <f t="shared" si="44"/>
        <v>0</v>
      </c>
      <c r="S19" s="52">
        <f t="shared" si="5"/>
        <v>0</v>
      </c>
      <c r="T19" s="67">
        <f t="shared" si="37"/>
        <v>0</v>
      </c>
      <c r="U19" s="394">
        <f t="shared" si="21"/>
        <v>0</v>
      </c>
      <c r="V19" s="62">
        <f t="shared" si="22"/>
        <v>0</v>
      </c>
      <c r="W19" s="392"/>
      <c r="X19" s="557">
        <f t="shared" si="24"/>
        <v>2470</v>
      </c>
      <c r="Y19" s="52">
        <f t="shared" si="25"/>
        <v>0</v>
      </c>
      <c r="Z19" s="557">
        <f t="shared" si="26"/>
        <v>139138.1</v>
      </c>
      <c r="AA19" s="65">
        <f t="shared" si="6"/>
        <v>0</v>
      </c>
      <c r="AB19" s="279">
        <f t="shared" si="47"/>
        <v>0</v>
      </c>
      <c r="AC19" s="557">
        <f t="shared" si="27"/>
        <v>1942</v>
      </c>
      <c r="AD19" s="45">
        <f t="shared" si="7"/>
        <v>0</v>
      </c>
      <c r="AE19" s="557">
        <f t="shared" si="28"/>
        <v>366072</v>
      </c>
      <c r="AF19" s="300">
        <f t="shared" si="29"/>
        <v>0</v>
      </c>
      <c r="AG19" s="209">
        <f t="shared" si="39"/>
        <v>0</v>
      </c>
      <c r="AH19" s="62">
        <f t="shared" si="40"/>
        <v>0</v>
      </c>
      <c r="AI19" s="311">
        <f t="shared" si="30"/>
        <v>0</v>
      </c>
      <c r="AJ19" s="311">
        <f>-tanks!AW20</f>
        <v>0</v>
      </c>
      <c r="AK19" s="311">
        <f t="shared" si="31"/>
        <v>0</v>
      </c>
      <c r="AL19" s="311">
        <f t="shared" si="8"/>
        <v>0</v>
      </c>
      <c r="AM19" s="311">
        <f t="shared" si="32"/>
        <v>0</v>
      </c>
      <c r="AN19" s="557">
        <f t="shared" si="9"/>
        <v>65</v>
      </c>
      <c r="AO19" s="313">
        <f t="shared" si="33"/>
        <v>1950</v>
      </c>
      <c r="AP19" s="557">
        <f t="shared" si="10"/>
        <v>55</v>
      </c>
      <c r="AQ19" s="313">
        <f t="shared" si="34"/>
        <v>1650.0000000000002</v>
      </c>
      <c r="AR19" s="557">
        <f t="shared" si="11"/>
        <v>61</v>
      </c>
      <c r="AS19" s="313">
        <f t="shared" si="41"/>
        <v>1830</v>
      </c>
      <c r="AT19" s="313">
        <f t="shared" si="42"/>
        <v>5430</v>
      </c>
      <c r="AU19" s="313">
        <f t="shared" si="43"/>
        <v>0</v>
      </c>
      <c r="AV19" s="265"/>
      <c r="AW19" s="265"/>
      <c r="AX19" s="306">
        <f t="shared" si="35"/>
        <v>0.8</v>
      </c>
    </row>
    <row r="20" spans="1:50">
      <c r="A20" s="63">
        <f>ELEC!C19</f>
        <v>44485</v>
      </c>
      <c r="B20" s="557">
        <f t="shared" si="12"/>
        <v>144</v>
      </c>
      <c r="C20" s="557">
        <f t="shared" si="13"/>
        <v>151</v>
      </c>
      <c r="D20" s="45">
        <f>C19-C20</f>
        <v>0</v>
      </c>
      <c r="E20" s="45">
        <f t="shared" si="14"/>
        <v>0</v>
      </c>
      <c r="F20" s="557">
        <f t="shared" si="15"/>
        <v>1896</v>
      </c>
      <c r="G20" s="52">
        <f t="shared" si="0"/>
        <v>0</v>
      </c>
      <c r="H20" s="557">
        <f t="shared" si="16"/>
        <v>17563</v>
      </c>
      <c r="I20" s="388">
        <f t="shared" si="1"/>
        <v>0</v>
      </c>
      <c r="J20" s="66">
        <f t="shared" si="17"/>
        <v>0</v>
      </c>
      <c r="K20" s="557">
        <f t="shared" si="18"/>
        <v>2356</v>
      </c>
      <c r="L20" s="52">
        <f t="shared" si="19"/>
        <v>0</v>
      </c>
      <c r="M20" s="557">
        <f t="shared" si="20"/>
        <v>173915</v>
      </c>
      <c r="N20" s="388">
        <f t="shared" si="2"/>
        <v>0</v>
      </c>
      <c r="O20" s="64">
        <f t="shared" si="48"/>
        <v>1869</v>
      </c>
      <c r="P20" s="557">
        <f t="shared" si="45"/>
        <v>2130</v>
      </c>
      <c r="Q20" s="557">
        <f t="shared" si="46"/>
        <v>178791</v>
      </c>
      <c r="R20" s="387">
        <f t="shared" si="44"/>
        <v>0</v>
      </c>
      <c r="S20" s="52">
        <f t="shared" si="5"/>
        <v>0</v>
      </c>
      <c r="T20" s="67">
        <f t="shared" si="37"/>
        <v>0</v>
      </c>
      <c r="U20" s="394">
        <f t="shared" si="21"/>
        <v>0</v>
      </c>
      <c r="V20" s="62">
        <f t="shared" si="22"/>
        <v>0</v>
      </c>
      <c r="W20" s="392"/>
      <c r="X20" s="557">
        <f t="shared" si="24"/>
        <v>2470</v>
      </c>
      <c r="Y20" s="52">
        <f t="shared" si="25"/>
        <v>0</v>
      </c>
      <c r="Z20" s="557">
        <f t="shared" si="26"/>
        <v>139138.1</v>
      </c>
      <c r="AA20" s="65">
        <f t="shared" si="6"/>
        <v>0</v>
      </c>
      <c r="AB20" s="279">
        <f t="shared" si="47"/>
        <v>0</v>
      </c>
      <c r="AC20" s="557">
        <f t="shared" si="27"/>
        <v>1942</v>
      </c>
      <c r="AD20" s="45">
        <f t="shared" si="7"/>
        <v>0</v>
      </c>
      <c r="AE20" s="557">
        <f t="shared" si="28"/>
        <v>366072</v>
      </c>
      <c r="AF20" s="300">
        <f t="shared" si="29"/>
        <v>0</v>
      </c>
      <c r="AG20" s="209">
        <f t="shared" si="39"/>
        <v>0</v>
      </c>
      <c r="AH20" s="62">
        <f t="shared" si="40"/>
        <v>0</v>
      </c>
      <c r="AI20" s="311">
        <f t="shared" si="30"/>
        <v>0</v>
      </c>
      <c r="AJ20" s="311">
        <f>-tanks!AW21</f>
        <v>0</v>
      </c>
      <c r="AK20" s="311">
        <f t="shared" si="31"/>
        <v>0</v>
      </c>
      <c r="AL20" s="311">
        <f t="shared" si="8"/>
        <v>0</v>
      </c>
      <c r="AM20" s="311">
        <f t="shared" si="32"/>
        <v>0</v>
      </c>
      <c r="AN20" s="557">
        <f t="shared" si="9"/>
        <v>65</v>
      </c>
      <c r="AO20" s="313">
        <f t="shared" si="33"/>
        <v>1950</v>
      </c>
      <c r="AP20" s="557">
        <f t="shared" si="10"/>
        <v>55</v>
      </c>
      <c r="AQ20" s="313">
        <f t="shared" si="34"/>
        <v>1650.0000000000002</v>
      </c>
      <c r="AR20" s="557">
        <f t="shared" si="11"/>
        <v>61</v>
      </c>
      <c r="AS20" s="313">
        <f t="shared" si="41"/>
        <v>1830</v>
      </c>
      <c r="AT20" s="313">
        <f t="shared" si="42"/>
        <v>5430</v>
      </c>
      <c r="AU20" s="313">
        <f t="shared" si="43"/>
        <v>0</v>
      </c>
      <c r="AV20" s="265"/>
      <c r="AW20" s="265"/>
      <c r="AX20" s="306">
        <f t="shared" si="35"/>
        <v>0.8</v>
      </c>
    </row>
    <row r="21" spans="1:50">
      <c r="A21" s="63">
        <f>ELEC!C20</f>
        <v>44486</v>
      </c>
      <c r="B21" s="557">
        <f t="shared" si="12"/>
        <v>144</v>
      </c>
      <c r="C21" s="557">
        <f t="shared" si="13"/>
        <v>151</v>
      </c>
      <c r="D21" s="45">
        <f t="shared" ref="D21:D32" si="49">C20-C21</f>
        <v>0</v>
      </c>
      <c r="E21" s="45">
        <f t="shared" si="14"/>
        <v>0</v>
      </c>
      <c r="F21" s="557">
        <f t="shared" si="15"/>
        <v>1896</v>
      </c>
      <c r="G21" s="52">
        <f t="shared" si="0"/>
        <v>0</v>
      </c>
      <c r="H21" s="557">
        <f t="shared" si="16"/>
        <v>17563</v>
      </c>
      <c r="I21" s="388">
        <f t="shared" si="1"/>
        <v>0</v>
      </c>
      <c r="J21" s="66">
        <f t="shared" si="17"/>
        <v>0</v>
      </c>
      <c r="K21" s="557">
        <f t="shared" si="18"/>
        <v>2356</v>
      </c>
      <c r="L21" s="52">
        <f t="shared" si="19"/>
        <v>0</v>
      </c>
      <c r="M21" s="557">
        <f t="shared" si="20"/>
        <v>173915</v>
      </c>
      <c r="N21" s="388">
        <f t="shared" si="2"/>
        <v>0</v>
      </c>
      <c r="O21" s="64">
        <f t="shared" si="48"/>
        <v>1869</v>
      </c>
      <c r="P21" s="557">
        <f t="shared" si="45"/>
        <v>2130</v>
      </c>
      <c r="Q21" s="557">
        <f t="shared" si="46"/>
        <v>178791</v>
      </c>
      <c r="R21" s="387">
        <f t="shared" si="44"/>
        <v>0</v>
      </c>
      <c r="S21" s="52">
        <f t="shared" si="5"/>
        <v>0</v>
      </c>
      <c r="T21" s="67">
        <f t="shared" si="37"/>
        <v>0</v>
      </c>
      <c r="U21" s="394">
        <f t="shared" si="21"/>
        <v>0</v>
      </c>
      <c r="V21" s="62">
        <f t="shared" si="22"/>
        <v>0</v>
      </c>
      <c r="W21" s="392"/>
      <c r="X21" s="557">
        <f t="shared" si="24"/>
        <v>2470</v>
      </c>
      <c r="Y21" s="52">
        <f t="shared" si="25"/>
        <v>0</v>
      </c>
      <c r="Z21" s="557">
        <f t="shared" si="26"/>
        <v>139138.1</v>
      </c>
      <c r="AA21" s="65">
        <f t="shared" si="6"/>
        <v>0</v>
      </c>
      <c r="AB21" s="279">
        <f t="shared" si="47"/>
        <v>0</v>
      </c>
      <c r="AC21" s="557">
        <f t="shared" si="27"/>
        <v>1942</v>
      </c>
      <c r="AD21" s="45">
        <f t="shared" si="7"/>
        <v>0</v>
      </c>
      <c r="AE21" s="557">
        <f t="shared" si="28"/>
        <v>366072</v>
      </c>
      <c r="AF21" s="300">
        <f t="shared" si="29"/>
        <v>0</v>
      </c>
      <c r="AG21" s="209">
        <f t="shared" si="39"/>
        <v>0</v>
      </c>
      <c r="AH21" s="62">
        <f t="shared" si="40"/>
        <v>0</v>
      </c>
      <c r="AI21" s="311">
        <f t="shared" si="30"/>
        <v>0</v>
      </c>
      <c r="AJ21" s="311">
        <f>-tanks!AW22</f>
        <v>0</v>
      </c>
      <c r="AK21" s="311">
        <f t="shared" si="31"/>
        <v>0</v>
      </c>
      <c r="AL21" s="311">
        <f t="shared" si="8"/>
        <v>0</v>
      </c>
      <c r="AM21" s="311">
        <f t="shared" si="32"/>
        <v>0</v>
      </c>
      <c r="AN21" s="557">
        <f t="shared" si="9"/>
        <v>65</v>
      </c>
      <c r="AO21" s="313">
        <f t="shared" si="33"/>
        <v>1950</v>
      </c>
      <c r="AP21" s="557">
        <f t="shared" si="10"/>
        <v>55</v>
      </c>
      <c r="AQ21" s="313">
        <f t="shared" si="34"/>
        <v>1650.0000000000002</v>
      </c>
      <c r="AR21" s="557">
        <f t="shared" si="11"/>
        <v>61</v>
      </c>
      <c r="AS21" s="313">
        <f t="shared" si="41"/>
        <v>1830</v>
      </c>
      <c r="AT21" s="313">
        <f t="shared" si="42"/>
        <v>5430</v>
      </c>
      <c r="AU21" s="313">
        <f t="shared" si="43"/>
        <v>0</v>
      </c>
      <c r="AV21" s="265"/>
      <c r="AW21" s="265"/>
      <c r="AX21" s="306">
        <f t="shared" si="35"/>
        <v>0.8</v>
      </c>
    </row>
    <row r="22" spans="1:50" ht="16.5" customHeight="1">
      <c r="A22" s="63">
        <f>ELEC!C21</f>
        <v>44487</v>
      </c>
      <c r="B22" s="557">
        <v>133.5</v>
      </c>
      <c r="C22" s="557">
        <v>140</v>
      </c>
      <c r="D22" s="45">
        <f t="shared" si="49"/>
        <v>11</v>
      </c>
      <c r="E22" s="45">
        <f t="shared" si="14"/>
        <v>92.18</v>
      </c>
      <c r="F22" s="557">
        <v>1897</v>
      </c>
      <c r="G22" s="52">
        <f t="shared" si="0"/>
        <v>1</v>
      </c>
      <c r="H22" s="557">
        <v>17619</v>
      </c>
      <c r="I22" s="388">
        <f t="shared" si="1"/>
        <v>56</v>
      </c>
      <c r="J22" s="66">
        <f t="shared" si="17"/>
        <v>56</v>
      </c>
      <c r="K22" s="557">
        <f t="shared" si="18"/>
        <v>2356</v>
      </c>
      <c r="L22" s="52">
        <f t="shared" si="19"/>
        <v>0</v>
      </c>
      <c r="M22" s="557">
        <f t="shared" si="20"/>
        <v>173915</v>
      </c>
      <c r="N22" s="388">
        <f t="shared" si="2"/>
        <v>0</v>
      </c>
      <c r="O22" s="64">
        <f t="shared" si="48"/>
        <v>1869</v>
      </c>
      <c r="P22" s="557">
        <v>2131</v>
      </c>
      <c r="Q22" s="557">
        <v>178855</v>
      </c>
      <c r="R22" s="387">
        <f t="shared" si="44"/>
        <v>64</v>
      </c>
      <c r="S22" s="52">
        <f t="shared" si="5"/>
        <v>1</v>
      </c>
      <c r="T22" s="67">
        <f t="shared" si="37"/>
        <v>0</v>
      </c>
      <c r="U22" s="394">
        <f t="shared" si="21"/>
        <v>2</v>
      </c>
      <c r="V22" s="62">
        <f t="shared" si="22"/>
        <v>120</v>
      </c>
      <c r="W22" s="392"/>
      <c r="X22" s="557">
        <f t="shared" si="24"/>
        <v>2470</v>
      </c>
      <c r="Y22" s="52">
        <f t="shared" si="25"/>
        <v>0</v>
      </c>
      <c r="Z22" s="557">
        <f t="shared" si="26"/>
        <v>139138.1</v>
      </c>
      <c r="AA22" s="65">
        <f t="shared" si="6"/>
        <v>0</v>
      </c>
      <c r="AB22" s="279">
        <f t="shared" si="47"/>
        <v>0</v>
      </c>
      <c r="AC22" s="557">
        <f t="shared" si="27"/>
        <v>1942</v>
      </c>
      <c r="AD22" s="45">
        <f t="shared" si="7"/>
        <v>0</v>
      </c>
      <c r="AE22" s="557">
        <f t="shared" si="28"/>
        <v>366072</v>
      </c>
      <c r="AF22" s="300">
        <f t="shared" si="29"/>
        <v>0</v>
      </c>
      <c r="AG22" s="209">
        <f t="shared" si="39"/>
        <v>0</v>
      </c>
      <c r="AH22" s="62">
        <f t="shared" si="40"/>
        <v>0</v>
      </c>
      <c r="AI22" s="311">
        <f t="shared" si="30"/>
        <v>120</v>
      </c>
      <c r="AJ22" s="311">
        <f>-tanks!AW23</f>
        <v>120</v>
      </c>
      <c r="AK22" s="311">
        <f t="shared" si="31"/>
        <v>0</v>
      </c>
      <c r="AL22" s="311">
        <f t="shared" si="8"/>
        <v>2</v>
      </c>
      <c r="AM22" s="311">
        <f t="shared" si="32"/>
        <v>0</v>
      </c>
      <c r="AN22" s="557">
        <f t="shared" si="9"/>
        <v>65</v>
      </c>
      <c r="AO22" s="313">
        <f t="shared" si="33"/>
        <v>1950</v>
      </c>
      <c r="AP22" s="557">
        <f t="shared" si="10"/>
        <v>55</v>
      </c>
      <c r="AQ22" s="313">
        <f t="shared" si="34"/>
        <v>1650.0000000000002</v>
      </c>
      <c r="AR22" s="557">
        <f t="shared" si="11"/>
        <v>61</v>
      </c>
      <c r="AS22" s="313">
        <f t="shared" si="41"/>
        <v>1830</v>
      </c>
      <c r="AT22" s="313">
        <f t="shared" si="42"/>
        <v>5430</v>
      </c>
      <c r="AU22" s="313">
        <f t="shared" si="43"/>
        <v>0</v>
      </c>
      <c r="AV22" s="265"/>
      <c r="AW22" s="265"/>
      <c r="AX22" s="306">
        <f t="shared" si="35"/>
        <v>0.8</v>
      </c>
    </row>
    <row r="23" spans="1:50">
      <c r="A23" s="63">
        <f>ELEC!C22</f>
        <v>44488</v>
      </c>
      <c r="B23" s="557">
        <v>126</v>
      </c>
      <c r="C23" s="557">
        <v>133</v>
      </c>
      <c r="D23" s="45">
        <f t="shared" si="49"/>
        <v>7</v>
      </c>
      <c r="E23" s="45">
        <f t="shared" si="14"/>
        <v>58.660000000000004</v>
      </c>
      <c r="F23" s="557">
        <f t="shared" si="15"/>
        <v>1897</v>
      </c>
      <c r="G23" s="52">
        <f t="shared" si="0"/>
        <v>0</v>
      </c>
      <c r="H23" s="557">
        <f t="shared" si="16"/>
        <v>17619</v>
      </c>
      <c r="I23" s="388">
        <f t="shared" si="1"/>
        <v>0</v>
      </c>
      <c r="J23" s="66">
        <f t="shared" si="17"/>
        <v>0</v>
      </c>
      <c r="K23" s="557">
        <v>2357</v>
      </c>
      <c r="L23" s="52">
        <f t="shared" si="19"/>
        <v>1</v>
      </c>
      <c r="M23" s="557">
        <v>173988</v>
      </c>
      <c r="N23" s="388">
        <f t="shared" si="2"/>
        <v>73</v>
      </c>
      <c r="O23" s="64">
        <f t="shared" si="48"/>
        <v>1869</v>
      </c>
      <c r="P23" s="557">
        <v>2132</v>
      </c>
      <c r="Q23" s="557">
        <v>178909</v>
      </c>
      <c r="R23" s="387">
        <f t="shared" si="44"/>
        <v>54</v>
      </c>
      <c r="S23" s="52">
        <f t="shared" si="5"/>
        <v>1</v>
      </c>
      <c r="T23" s="67">
        <f t="shared" si="37"/>
        <v>0</v>
      </c>
      <c r="U23" s="394">
        <f t="shared" si="21"/>
        <v>2</v>
      </c>
      <c r="V23" s="62">
        <f t="shared" si="22"/>
        <v>127</v>
      </c>
      <c r="W23" s="392"/>
      <c r="X23" s="557">
        <f t="shared" si="24"/>
        <v>2470</v>
      </c>
      <c r="Y23" s="52">
        <f t="shared" si="25"/>
        <v>0</v>
      </c>
      <c r="Z23" s="557">
        <f t="shared" si="26"/>
        <v>139138.1</v>
      </c>
      <c r="AA23" s="65">
        <f t="shared" si="6"/>
        <v>0</v>
      </c>
      <c r="AB23" s="279">
        <f t="shared" si="47"/>
        <v>0</v>
      </c>
      <c r="AC23" s="557">
        <f t="shared" si="27"/>
        <v>1942</v>
      </c>
      <c r="AD23" s="45">
        <f t="shared" si="7"/>
        <v>0</v>
      </c>
      <c r="AE23" s="557">
        <f t="shared" si="28"/>
        <v>366072</v>
      </c>
      <c r="AF23" s="300">
        <f t="shared" si="29"/>
        <v>0</v>
      </c>
      <c r="AG23" s="209">
        <f t="shared" si="39"/>
        <v>0</v>
      </c>
      <c r="AH23" s="62">
        <f t="shared" si="40"/>
        <v>0</v>
      </c>
      <c r="AI23" s="311">
        <f>SUM(AH23+V23)</f>
        <v>127</v>
      </c>
      <c r="AJ23" s="311">
        <f>-tanks!AW24</f>
        <v>127</v>
      </c>
      <c r="AK23" s="311">
        <f>SUM(AJ23-AI23)</f>
        <v>0</v>
      </c>
      <c r="AL23" s="311">
        <f>S23+L23+G23</f>
        <v>2</v>
      </c>
      <c r="AM23" s="311">
        <f>Y23+AD23</f>
        <v>0</v>
      </c>
      <c r="AN23" s="557">
        <f t="shared" si="9"/>
        <v>65</v>
      </c>
      <c r="AO23" s="313">
        <f t="shared" si="33"/>
        <v>1950</v>
      </c>
      <c r="AP23" s="557">
        <f t="shared" si="10"/>
        <v>55</v>
      </c>
      <c r="AQ23" s="313">
        <f t="shared" si="34"/>
        <v>1650.0000000000002</v>
      </c>
      <c r="AR23" s="557">
        <f t="shared" si="11"/>
        <v>61</v>
      </c>
      <c r="AS23" s="313">
        <f t="shared" si="41"/>
        <v>1830</v>
      </c>
      <c r="AT23" s="313">
        <f t="shared" si="42"/>
        <v>5430</v>
      </c>
      <c r="AU23" s="313">
        <f t="shared" si="43"/>
        <v>0</v>
      </c>
      <c r="AV23" s="265"/>
      <c r="AW23" s="265"/>
      <c r="AX23" s="306">
        <f t="shared" si="35"/>
        <v>0.8</v>
      </c>
    </row>
    <row r="24" spans="1:50">
      <c r="A24" s="63">
        <f>ELEC!C23</f>
        <v>44489</v>
      </c>
      <c r="B24" s="557">
        <v>119</v>
      </c>
      <c r="C24" s="557">
        <v>126</v>
      </c>
      <c r="D24" s="45">
        <f t="shared" si="49"/>
        <v>7</v>
      </c>
      <c r="E24" s="45">
        <f t="shared" si="14"/>
        <v>58.660000000000004</v>
      </c>
      <c r="F24" s="557">
        <v>1897</v>
      </c>
      <c r="G24" s="52">
        <f t="shared" si="0"/>
        <v>0</v>
      </c>
      <c r="H24" s="557">
        <f t="shared" si="16"/>
        <v>17619</v>
      </c>
      <c r="I24" s="388">
        <f t="shared" si="1"/>
        <v>0</v>
      </c>
      <c r="J24" s="66">
        <f t="shared" si="17"/>
        <v>0</v>
      </c>
      <c r="K24" s="557">
        <f t="shared" si="18"/>
        <v>2357</v>
      </c>
      <c r="L24" s="52">
        <f t="shared" si="19"/>
        <v>0</v>
      </c>
      <c r="M24" s="557">
        <f t="shared" si="20"/>
        <v>173988</v>
      </c>
      <c r="N24" s="388">
        <f t="shared" si="2"/>
        <v>0</v>
      </c>
      <c r="O24" s="64">
        <f t="shared" si="48"/>
        <v>1869</v>
      </c>
      <c r="P24" s="557">
        <f t="shared" si="45"/>
        <v>2132</v>
      </c>
      <c r="Q24" s="557">
        <f t="shared" si="46"/>
        <v>178909</v>
      </c>
      <c r="R24" s="387">
        <f t="shared" si="44"/>
        <v>0</v>
      </c>
      <c r="S24" s="52">
        <f t="shared" si="5"/>
        <v>0</v>
      </c>
      <c r="T24" s="67">
        <f t="shared" si="37"/>
        <v>0</v>
      </c>
      <c r="U24" s="394">
        <f t="shared" si="21"/>
        <v>0</v>
      </c>
      <c r="V24" s="62">
        <f t="shared" si="22"/>
        <v>0</v>
      </c>
      <c r="W24" s="392"/>
      <c r="X24" s="557">
        <f t="shared" si="24"/>
        <v>2470</v>
      </c>
      <c r="Y24" s="52">
        <f t="shared" si="25"/>
        <v>0</v>
      </c>
      <c r="Z24" s="557">
        <f t="shared" si="26"/>
        <v>139138.1</v>
      </c>
      <c r="AA24" s="65">
        <f t="shared" si="6"/>
        <v>0</v>
      </c>
      <c r="AB24" s="279">
        <f t="shared" ref="AB24:AB32" si="50">SUM(Y24*$AB$2)</f>
        <v>0</v>
      </c>
      <c r="AC24" s="557">
        <f t="shared" si="27"/>
        <v>1942</v>
      </c>
      <c r="AD24" s="45">
        <f t="shared" si="7"/>
        <v>0</v>
      </c>
      <c r="AE24" s="557">
        <f t="shared" si="28"/>
        <v>366072</v>
      </c>
      <c r="AF24" s="300">
        <f t="shared" si="29"/>
        <v>0</v>
      </c>
      <c r="AG24" s="209">
        <f t="shared" si="39"/>
        <v>0</v>
      </c>
      <c r="AH24" s="62">
        <f t="shared" si="40"/>
        <v>0</v>
      </c>
      <c r="AI24" s="311">
        <f t="shared" si="30"/>
        <v>0</v>
      </c>
      <c r="AJ24" s="311">
        <f>-tanks!AW25</f>
        <v>0</v>
      </c>
      <c r="AK24" s="311">
        <f t="shared" si="31"/>
        <v>0</v>
      </c>
      <c r="AL24" s="311">
        <f t="shared" si="8"/>
        <v>0</v>
      </c>
      <c r="AM24" s="311">
        <f t="shared" si="32"/>
        <v>0</v>
      </c>
      <c r="AN24" s="557">
        <f t="shared" si="9"/>
        <v>65</v>
      </c>
      <c r="AO24" s="313">
        <f t="shared" si="33"/>
        <v>1950</v>
      </c>
      <c r="AP24" s="557">
        <f t="shared" si="10"/>
        <v>55</v>
      </c>
      <c r="AQ24" s="313">
        <f t="shared" si="34"/>
        <v>1650.0000000000002</v>
      </c>
      <c r="AR24" s="557">
        <f t="shared" si="11"/>
        <v>61</v>
      </c>
      <c r="AS24" s="313">
        <f t="shared" si="41"/>
        <v>1830</v>
      </c>
      <c r="AT24" s="313">
        <f t="shared" ref="AT24:AT32" si="51">SUM(AO24+AQ24+AS24)</f>
        <v>5430</v>
      </c>
      <c r="AU24" s="313">
        <f t="shared" si="43"/>
        <v>0</v>
      </c>
      <c r="AV24" s="265"/>
      <c r="AW24" s="265"/>
      <c r="AX24" s="306">
        <f t="shared" si="35"/>
        <v>0.8</v>
      </c>
    </row>
    <row r="25" spans="1:50" ht="13.5" customHeight="1">
      <c r="A25" s="63">
        <f>ELEC!C24</f>
        <v>44490</v>
      </c>
      <c r="B25" s="557">
        <v>112</v>
      </c>
      <c r="C25" s="557">
        <v>119</v>
      </c>
      <c r="D25" s="45">
        <f t="shared" si="49"/>
        <v>7</v>
      </c>
      <c r="E25" s="45">
        <f t="shared" si="14"/>
        <v>58.660000000000004</v>
      </c>
      <c r="F25" s="557">
        <v>1898</v>
      </c>
      <c r="G25" s="52">
        <f t="shared" si="0"/>
        <v>1</v>
      </c>
      <c r="H25" s="557">
        <v>17745</v>
      </c>
      <c r="I25" s="388">
        <f t="shared" si="1"/>
        <v>126</v>
      </c>
      <c r="J25" s="66">
        <f t="shared" si="17"/>
        <v>126</v>
      </c>
      <c r="K25" s="557">
        <f t="shared" si="18"/>
        <v>2357</v>
      </c>
      <c r="L25" s="52">
        <f t="shared" si="19"/>
        <v>0</v>
      </c>
      <c r="M25" s="557">
        <f t="shared" si="20"/>
        <v>173988</v>
      </c>
      <c r="N25" s="388">
        <f t="shared" si="2"/>
        <v>0</v>
      </c>
      <c r="O25" s="64">
        <f t="shared" si="48"/>
        <v>1869</v>
      </c>
      <c r="P25" s="557">
        <f t="shared" si="45"/>
        <v>2132</v>
      </c>
      <c r="Q25" s="557">
        <f t="shared" si="46"/>
        <v>178909</v>
      </c>
      <c r="R25" s="387">
        <f t="shared" si="44"/>
        <v>0</v>
      </c>
      <c r="S25" s="52">
        <f t="shared" si="5"/>
        <v>0</v>
      </c>
      <c r="T25" s="67">
        <f t="shared" si="37"/>
        <v>0</v>
      </c>
      <c r="U25" s="394">
        <f t="shared" si="21"/>
        <v>1</v>
      </c>
      <c r="V25" s="62">
        <f t="shared" si="22"/>
        <v>126</v>
      </c>
      <c r="W25" s="392"/>
      <c r="X25" s="557">
        <f t="shared" si="24"/>
        <v>2470</v>
      </c>
      <c r="Y25" s="52">
        <f t="shared" si="25"/>
        <v>0</v>
      </c>
      <c r="Z25" s="557">
        <f t="shared" si="26"/>
        <v>139138.1</v>
      </c>
      <c r="AA25" s="65">
        <f t="shared" si="6"/>
        <v>0</v>
      </c>
      <c r="AB25" s="279">
        <f t="shared" si="50"/>
        <v>0</v>
      </c>
      <c r="AC25" s="557">
        <f t="shared" si="27"/>
        <v>1942</v>
      </c>
      <c r="AD25" s="45">
        <f t="shared" si="7"/>
        <v>0</v>
      </c>
      <c r="AE25" s="557">
        <f t="shared" si="28"/>
        <v>366072</v>
      </c>
      <c r="AF25" s="300">
        <f t="shared" si="29"/>
        <v>0</v>
      </c>
      <c r="AG25" s="209">
        <f t="shared" si="39"/>
        <v>0</v>
      </c>
      <c r="AH25" s="62">
        <f t="shared" si="40"/>
        <v>0</v>
      </c>
      <c r="AI25" s="311">
        <f t="shared" si="30"/>
        <v>126</v>
      </c>
      <c r="AJ25" s="311">
        <f>-tanks!AW26</f>
        <v>126</v>
      </c>
      <c r="AK25" s="311">
        <f t="shared" si="31"/>
        <v>0</v>
      </c>
      <c r="AL25" s="311">
        <f t="shared" si="8"/>
        <v>1</v>
      </c>
      <c r="AM25" s="311">
        <f t="shared" si="32"/>
        <v>0</v>
      </c>
      <c r="AN25" s="557">
        <f t="shared" si="9"/>
        <v>65</v>
      </c>
      <c r="AO25" s="313">
        <f t="shared" si="33"/>
        <v>1950</v>
      </c>
      <c r="AP25" s="557">
        <f t="shared" si="10"/>
        <v>55</v>
      </c>
      <c r="AQ25" s="313">
        <f t="shared" ref="AQ25:AQ32" si="52">(AP25/100)*3000</f>
        <v>1650.0000000000002</v>
      </c>
      <c r="AR25" s="557">
        <f t="shared" si="11"/>
        <v>61</v>
      </c>
      <c r="AS25" s="313">
        <f t="shared" si="41"/>
        <v>1830</v>
      </c>
      <c r="AT25" s="313">
        <f t="shared" si="51"/>
        <v>5430</v>
      </c>
      <c r="AU25" s="313">
        <f t="shared" si="43"/>
        <v>0</v>
      </c>
      <c r="AV25" s="265"/>
      <c r="AW25" s="265"/>
      <c r="AX25" s="306">
        <f t="shared" si="35"/>
        <v>0.8</v>
      </c>
    </row>
    <row r="26" spans="1:50" ht="14.25" customHeight="1">
      <c r="A26" s="63">
        <f>ELEC!C25</f>
        <v>44491</v>
      </c>
      <c r="B26" s="557">
        <f t="shared" si="12"/>
        <v>112</v>
      </c>
      <c r="C26" s="557">
        <f t="shared" si="13"/>
        <v>119</v>
      </c>
      <c r="D26" s="45">
        <f t="shared" si="49"/>
        <v>0</v>
      </c>
      <c r="E26" s="45">
        <f t="shared" si="14"/>
        <v>0</v>
      </c>
      <c r="F26" s="557">
        <f t="shared" si="15"/>
        <v>1898</v>
      </c>
      <c r="G26" s="52">
        <f t="shared" si="0"/>
        <v>0</v>
      </c>
      <c r="H26" s="557">
        <f t="shared" si="16"/>
        <v>17745</v>
      </c>
      <c r="I26" s="388">
        <f t="shared" si="1"/>
        <v>0</v>
      </c>
      <c r="J26" s="66">
        <f t="shared" si="17"/>
        <v>0</v>
      </c>
      <c r="K26" s="557">
        <f t="shared" si="18"/>
        <v>2357</v>
      </c>
      <c r="L26" s="52">
        <f t="shared" si="19"/>
        <v>0</v>
      </c>
      <c r="M26" s="557">
        <f t="shared" si="20"/>
        <v>173988</v>
      </c>
      <c r="N26" s="388">
        <f t="shared" si="2"/>
        <v>0</v>
      </c>
      <c r="O26" s="64">
        <f t="shared" si="48"/>
        <v>1869</v>
      </c>
      <c r="P26" s="557">
        <f t="shared" si="45"/>
        <v>2132</v>
      </c>
      <c r="Q26" s="557">
        <f t="shared" si="46"/>
        <v>178909</v>
      </c>
      <c r="R26" s="387">
        <f t="shared" si="44"/>
        <v>0</v>
      </c>
      <c r="S26" s="52">
        <f t="shared" si="5"/>
        <v>0</v>
      </c>
      <c r="T26" s="67">
        <f t="shared" si="37"/>
        <v>0</v>
      </c>
      <c r="U26" s="394">
        <f t="shared" si="21"/>
        <v>0</v>
      </c>
      <c r="V26" s="62">
        <f t="shared" si="22"/>
        <v>0</v>
      </c>
      <c r="W26" s="392"/>
      <c r="X26" s="557">
        <f t="shared" si="24"/>
        <v>2470</v>
      </c>
      <c r="Y26" s="52">
        <f t="shared" si="25"/>
        <v>0</v>
      </c>
      <c r="Z26" s="557">
        <v>139138.1</v>
      </c>
      <c r="AA26" s="65">
        <f t="shared" si="6"/>
        <v>0</v>
      </c>
      <c r="AB26" s="279">
        <f t="shared" si="50"/>
        <v>0</v>
      </c>
      <c r="AC26" s="557">
        <f t="shared" si="27"/>
        <v>1942</v>
      </c>
      <c r="AD26" s="45">
        <f t="shared" si="7"/>
        <v>0</v>
      </c>
      <c r="AE26" s="557">
        <f t="shared" si="28"/>
        <v>366072</v>
      </c>
      <c r="AF26" s="300">
        <f t="shared" si="29"/>
        <v>0</v>
      </c>
      <c r="AG26" s="209">
        <f t="shared" si="39"/>
        <v>0</v>
      </c>
      <c r="AH26" s="62">
        <f t="shared" si="40"/>
        <v>0</v>
      </c>
      <c r="AI26" s="311">
        <f t="shared" si="30"/>
        <v>0</v>
      </c>
      <c r="AJ26" s="311">
        <f>-tanks!AW27</f>
        <v>0</v>
      </c>
      <c r="AK26" s="311">
        <f t="shared" si="31"/>
        <v>0</v>
      </c>
      <c r="AL26" s="311">
        <f t="shared" si="8"/>
        <v>0</v>
      </c>
      <c r="AM26" s="311">
        <f t="shared" si="32"/>
        <v>0</v>
      </c>
      <c r="AN26" s="557">
        <f t="shared" si="9"/>
        <v>65</v>
      </c>
      <c r="AO26" s="313">
        <f t="shared" si="33"/>
        <v>1950</v>
      </c>
      <c r="AP26" s="557">
        <f t="shared" si="10"/>
        <v>55</v>
      </c>
      <c r="AQ26" s="313">
        <f t="shared" si="52"/>
        <v>1650.0000000000002</v>
      </c>
      <c r="AR26" s="557">
        <f t="shared" si="11"/>
        <v>61</v>
      </c>
      <c r="AS26" s="313">
        <f t="shared" si="41"/>
        <v>1830</v>
      </c>
      <c r="AT26" s="313">
        <f t="shared" si="51"/>
        <v>5430</v>
      </c>
      <c r="AU26" s="313">
        <f t="shared" si="43"/>
        <v>0</v>
      </c>
      <c r="AV26" s="265"/>
      <c r="AW26" s="265"/>
      <c r="AX26" s="306">
        <f t="shared" si="35"/>
        <v>0.8</v>
      </c>
    </row>
    <row r="27" spans="1:50">
      <c r="A27" s="63">
        <f>ELEC!C26</f>
        <v>44492</v>
      </c>
      <c r="B27" s="557">
        <f t="shared" si="12"/>
        <v>112</v>
      </c>
      <c r="C27" s="557">
        <f t="shared" si="13"/>
        <v>119</v>
      </c>
      <c r="D27" s="45">
        <f t="shared" si="49"/>
        <v>0</v>
      </c>
      <c r="E27" s="45">
        <f t="shared" si="14"/>
        <v>0</v>
      </c>
      <c r="F27" s="557">
        <f t="shared" si="15"/>
        <v>1898</v>
      </c>
      <c r="G27" s="52">
        <f t="shared" si="0"/>
        <v>0</v>
      </c>
      <c r="H27" s="557">
        <f t="shared" si="16"/>
        <v>17745</v>
      </c>
      <c r="I27" s="388">
        <f t="shared" si="1"/>
        <v>0</v>
      </c>
      <c r="J27" s="66">
        <f t="shared" si="17"/>
        <v>0</v>
      </c>
      <c r="K27" s="557">
        <f t="shared" si="18"/>
        <v>2357</v>
      </c>
      <c r="L27" s="52">
        <f t="shared" si="19"/>
        <v>0</v>
      </c>
      <c r="M27" s="557">
        <f t="shared" si="20"/>
        <v>173988</v>
      </c>
      <c r="N27" s="388">
        <f t="shared" si="2"/>
        <v>0</v>
      </c>
      <c r="O27" s="64">
        <f t="shared" si="48"/>
        <v>1869</v>
      </c>
      <c r="P27" s="557">
        <f t="shared" si="45"/>
        <v>2132</v>
      </c>
      <c r="Q27" s="557">
        <f t="shared" si="46"/>
        <v>178909</v>
      </c>
      <c r="R27" s="387">
        <f t="shared" si="44"/>
        <v>0</v>
      </c>
      <c r="S27" s="52">
        <f t="shared" si="5"/>
        <v>0</v>
      </c>
      <c r="T27" s="67">
        <f t="shared" si="37"/>
        <v>0</v>
      </c>
      <c r="U27" s="394">
        <f t="shared" si="21"/>
        <v>0</v>
      </c>
      <c r="V27" s="62">
        <f t="shared" si="22"/>
        <v>0</v>
      </c>
      <c r="W27" s="392"/>
      <c r="X27" s="557">
        <f t="shared" si="24"/>
        <v>2470</v>
      </c>
      <c r="Y27" s="52">
        <f t="shared" si="25"/>
        <v>0</v>
      </c>
      <c r="Z27" s="557">
        <f t="shared" si="26"/>
        <v>139138.1</v>
      </c>
      <c r="AA27" s="65">
        <f t="shared" si="6"/>
        <v>0</v>
      </c>
      <c r="AB27" s="279">
        <f t="shared" si="50"/>
        <v>0</v>
      </c>
      <c r="AC27" s="557">
        <f t="shared" si="27"/>
        <v>1942</v>
      </c>
      <c r="AD27" s="45">
        <f t="shared" si="7"/>
        <v>0</v>
      </c>
      <c r="AE27" s="557">
        <f t="shared" si="28"/>
        <v>366072</v>
      </c>
      <c r="AF27" s="300">
        <f t="shared" si="29"/>
        <v>0</v>
      </c>
      <c r="AG27" s="209">
        <f t="shared" si="39"/>
        <v>0</v>
      </c>
      <c r="AH27" s="62">
        <f t="shared" si="40"/>
        <v>0</v>
      </c>
      <c r="AI27" s="311">
        <f t="shared" si="30"/>
        <v>0</v>
      </c>
      <c r="AJ27" s="311">
        <f>-tanks!AW28</f>
        <v>0</v>
      </c>
      <c r="AK27" s="311">
        <f t="shared" si="31"/>
        <v>0</v>
      </c>
      <c r="AL27" s="311">
        <f t="shared" si="8"/>
        <v>0</v>
      </c>
      <c r="AM27" s="311">
        <f t="shared" si="32"/>
        <v>0</v>
      </c>
      <c r="AN27" s="557">
        <f t="shared" si="9"/>
        <v>65</v>
      </c>
      <c r="AO27" s="313">
        <f t="shared" ref="AO27:AO34" si="53">(AN27/100)*3000</f>
        <v>1950</v>
      </c>
      <c r="AP27" s="557">
        <f t="shared" si="10"/>
        <v>55</v>
      </c>
      <c r="AQ27" s="313">
        <f t="shared" si="52"/>
        <v>1650.0000000000002</v>
      </c>
      <c r="AR27" s="557">
        <f t="shared" si="11"/>
        <v>61</v>
      </c>
      <c r="AS27" s="313">
        <f t="shared" si="41"/>
        <v>1830</v>
      </c>
      <c r="AT27" s="313">
        <f t="shared" si="51"/>
        <v>5430</v>
      </c>
      <c r="AU27" s="313">
        <f t="shared" si="43"/>
        <v>0</v>
      </c>
      <c r="AV27" s="265"/>
      <c r="AW27" s="485"/>
      <c r="AX27" s="306">
        <f t="shared" si="35"/>
        <v>0.8</v>
      </c>
    </row>
    <row r="28" spans="1:50">
      <c r="A28" s="63">
        <f>ELEC!C27</f>
        <v>44493</v>
      </c>
      <c r="B28" s="557">
        <v>144</v>
      </c>
      <c r="C28" s="557">
        <v>151</v>
      </c>
      <c r="D28" s="45">
        <f t="shared" si="49"/>
        <v>-32</v>
      </c>
      <c r="E28" s="45">
        <f t="shared" si="14"/>
        <v>-268.16000000000003</v>
      </c>
      <c r="F28" s="557">
        <v>1899</v>
      </c>
      <c r="G28" s="52">
        <f t="shared" si="0"/>
        <v>1</v>
      </c>
      <c r="H28" s="557">
        <v>17818</v>
      </c>
      <c r="I28" s="388">
        <f t="shared" si="1"/>
        <v>73</v>
      </c>
      <c r="J28" s="66">
        <f t="shared" si="17"/>
        <v>73</v>
      </c>
      <c r="K28" s="557">
        <f t="shared" si="18"/>
        <v>2357</v>
      </c>
      <c r="L28" s="52">
        <f t="shared" si="19"/>
        <v>0</v>
      </c>
      <c r="M28" s="557">
        <f t="shared" si="20"/>
        <v>173988</v>
      </c>
      <c r="N28" s="388">
        <f t="shared" si="2"/>
        <v>0</v>
      </c>
      <c r="O28" s="64">
        <f t="shared" si="48"/>
        <v>1869</v>
      </c>
      <c r="P28" s="557">
        <f t="shared" si="45"/>
        <v>2132</v>
      </c>
      <c r="Q28" s="557">
        <f t="shared" si="46"/>
        <v>178909</v>
      </c>
      <c r="R28" s="387">
        <f t="shared" si="44"/>
        <v>0</v>
      </c>
      <c r="S28" s="52">
        <f t="shared" si="5"/>
        <v>0</v>
      </c>
      <c r="T28" s="67">
        <f t="shared" si="37"/>
        <v>0</v>
      </c>
      <c r="U28" s="394">
        <f t="shared" si="21"/>
        <v>1</v>
      </c>
      <c r="V28" s="62">
        <f t="shared" si="22"/>
        <v>73</v>
      </c>
      <c r="W28" s="392"/>
      <c r="X28" s="557">
        <f t="shared" si="24"/>
        <v>2470</v>
      </c>
      <c r="Y28" s="52">
        <f t="shared" si="25"/>
        <v>0</v>
      </c>
      <c r="Z28" s="557">
        <f t="shared" si="26"/>
        <v>139138.1</v>
      </c>
      <c r="AA28" s="65">
        <f t="shared" si="6"/>
        <v>0</v>
      </c>
      <c r="AB28" s="279">
        <f t="shared" si="50"/>
        <v>0</v>
      </c>
      <c r="AC28" s="557">
        <f t="shared" si="27"/>
        <v>1942</v>
      </c>
      <c r="AD28" s="45">
        <f t="shared" si="7"/>
        <v>0</v>
      </c>
      <c r="AE28" s="557">
        <f t="shared" si="28"/>
        <v>366072</v>
      </c>
      <c r="AF28" s="300">
        <f t="shared" si="29"/>
        <v>0</v>
      </c>
      <c r="AG28" s="209">
        <f t="shared" si="39"/>
        <v>0</v>
      </c>
      <c r="AH28" s="62">
        <f t="shared" si="40"/>
        <v>0</v>
      </c>
      <c r="AI28" s="311">
        <f t="shared" si="30"/>
        <v>73</v>
      </c>
      <c r="AJ28" s="311">
        <f>-tanks!AW29</f>
        <v>73</v>
      </c>
      <c r="AK28" s="311">
        <f t="shared" si="31"/>
        <v>0</v>
      </c>
      <c r="AL28" s="311">
        <f t="shared" si="8"/>
        <v>1</v>
      </c>
      <c r="AM28" s="311">
        <f t="shared" si="32"/>
        <v>0</v>
      </c>
      <c r="AN28" s="557">
        <f t="shared" si="9"/>
        <v>65</v>
      </c>
      <c r="AO28" s="313">
        <f t="shared" si="53"/>
        <v>1950</v>
      </c>
      <c r="AP28" s="557">
        <f t="shared" si="10"/>
        <v>55</v>
      </c>
      <c r="AQ28" s="313">
        <f t="shared" si="52"/>
        <v>1650.0000000000002</v>
      </c>
      <c r="AR28" s="557">
        <f t="shared" si="11"/>
        <v>61</v>
      </c>
      <c r="AS28" s="313">
        <f t="shared" si="41"/>
        <v>1830</v>
      </c>
      <c r="AT28" s="313">
        <f t="shared" si="51"/>
        <v>5430</v>
      </c>
      <c r="AU28" s="313">
        <f t="shared" si="43"/>
        <v>0</v>
      </c>
      <c r="AV28" s="265"/>
      <c r="AW28" s="265"/>
      <c r="AX28" s="306">
        <f t="shared" si="35"/>
        <v>0.8</v>
      </c>
    </row>
    <row r="29" spans="1:50">
      <c r="A29" s="63">
        <f>ELEC!C28</f>
        <v>44494</v>
      </c>
      <c r="B29" s="557">
        <v>138</v>
      </c>
      <c r="C29" s="557">
        <v>145</v>
      </c>
      <c r="D29" s="45">
        <f t="shared" si="49"/>
        <v>6</v>
      </c>
      <c r="E29" s="45">
        <f t="shared" si="14"/>
        <v>50.28</v>
      </c>
      <c r="F29" s="557">
        <v>1901</v>
      </c>
      <c r="G29" s="52">
        <f t="shared" si="0"/>
        <v>2</v>
      </c>
      <c r="H29" s="557">
        <v>17909</v>
      </c>
      <c r="I29" s="388">
        <f t="shared" si="1"/>
        <v>91</v>
      </c>
      <c r="J29" s="66">
        <f t="shared" si="17"/>
        <v>45.5</v>
      </c>
      <c r="K29" s="557">
        <f t="shared" si="18"/>
        <v>2357</v>
      </c>
      <c r="L29" s="52">
        <f t="shared" si="19"/>
        <v>0</v>
      </c>
      <c r="M29" s="557">
        <f t="shared" si="20"/>
        <v>173988</v>
      </c>
      <c r="N29" s="388">
        <f t="shared" si="2"/>
        <v>0</v>
      </c>
      <c r="O29" s="64">
        <f t="shared" si="48"/>
        <v>1869</v>
      </c>
      <c r="P29" s="557">
        <f t="shared" si="45"/>
        <v>2132</v>
      </c>
      <c r="Q29" s="557">
        <f t="shared" si="46"/>
        <v>178909</v>
      </c>
      <c r="R29" s="387">
        <f t="shared" si="44"/>
        <v>0</v>
      </c>
      <c r="S29" s="52">
        <f t="shared" si="5"/>
        <v>0</v>
      </c>
      <c r="T29" s="67">
        <f t="shared" si="37"/>
        <v>0</v>
      </c>
      <c r="U29" s="394">
        <f t="shared" si="21"/>
        <v>2</v>
      </c>
      <c r="V29" s="62">
        <f t="shared" si="22"/>
        <v>91</v>
      </c>
      <c r="W29" s="392"/>
      <c r="X29" s="557">
        <f t="shared" si="24"/>
        <v>2470</v>
      </c>
      <c r="Y29" s="52">
        <f t="shared" si="25"/>
        <v>0</v>
      </c>
      <c r="Z29" s="557">
        <f t="shared" si="26"/>
        <v>139138.1</v>
      </c>
      <c r="AA29" s="65">
        <f t="shared" si="6"/>
        <v>0</v>
      </c>
      <c r="AB29" s="279">
        <f t="shared" si="50"/>
        <v>0</v>
      </c>
      <c r="AC29" s="557">
        <f t="shared" si="27"/>
        <v>1942</v>
      </c>
      <c r="AD29" s="45">
        <f t="shared" si="7"/>
        <v>0</v>
      </c>
      <c r="AE29" s="557">
        <f t="shared" si="28"/>
        <v>366072</v>
      </c>
      <c r="AF29" s="300">
        <f t="shared" si="29"/>
        <v>0</v>
      </c>
      <c r="AG29" s="209">
        <f t="shared" si="39"/>
        <v>0</v>
      </c>
      <c r="AH29" s="62">
        <f t="shared" si="40"/>
        <v>0</v>
      </c>
      <c r="AI29" s="311">
        <f t="shared" si="30"/>
        <v>91</v>
      </c>
      <c r="AJ29" s="311">
        <f>-tanks!AW30</f>
        <v>91</v>
      </c>
      <c r="AK29" s="311">
        <f t="shared" si="31"/>
        <v>0</v>
      </c>
      <c r="AL29" s="311">
        <f t="shared" si="8"/>
        <v>2</v>
      </c>
      <c r="AM29" s="311">
        <f t="shared" si="32"/>
        <v>0</v>
      </c>
      <c r="AN29" s="557">
        <f t="shared" si="9"/>
        <v>65</v>
      </c>
      <c r="AO29" s="313">
        <f t="shared" si="53"/>
        <v>1950</v>
      </c>
      <c r="AP29" s="557">
        <f t="shared" si="10"/>
        <v>55</v>
      </c>
      <c r="AQ29" s="313">
        <f t="shared" si="52"/>
        <v>1650.0000000000002</v>
      </c>
      <c r="AR29" s="557">
        <f t="shared" si="11"/>
        <v>61</v>
      </c>
      <c r="AS29" s="313">
        <f t="shared" si="41"/>
        <v>1830</v>
      </c>
      <c r="AT29" s="313">
        <f>SUM(AO29+AQ29+AS29)</f>
        <v>5430</v>
      </c>
      <c r="AU29" s="313">
        <f>AT28-AT29+AV29</f>
        <v>0</v>
      </c>
      <c r="AV29" s="265"/>
      <c r="AW29" s="265"/>
      <c r="AX29" s="306">
        <f t="shared" si="35"/>
        <v>0.8</v>
      </c>
    </row>
    <row r="30" spans="1:50">
      <c r="A30" s="63">
        <f>ELEC!C29</f>
        <v>44495</v>
      </c>
      <c r="B30" s="557">
        <v>129</v>
      </c>
      <c r="C30" s="557">
        <v>136</v>
      </c>
      <c r="D30" s="45">
        <f t="shared" ref="D30" si="54">C29-C30</f>
        <v>9</v>
      </c>
      <c r="E30" s="45">
        <f t="shared" ref="E30" si="55">D30*8.38</f>
        <v>75.42</v>
      </c>
      <c r="F30" s="557">
        <f t="shared" si="15"/>
        <v>1901</v>
      </c>
      <c r="G30" s="52">
        <f t="shared" ref="G30" si="56">F30-F29</f>
        <v>0</v>
      </c>
      <c r="H30" s="557">
        <f t="shared" si="16"/>
        <v>17909</v>
      </c>
      <c r="I30" s="388">
        <f t="shared" ref="I30" si="57">SUM(H30-H29)</f>
        <v>0</v>
      </c>
      <c r="J30" s="66">
        <f t="shared" ref="J30" si="58">IF(G30&gt;0,I30/G30,0)</f>
        <v>0</v>
      </c>
      <c r="K30" s="557">
        <f t="shared" si="18"/>
        <v>2357</v>
      </c>
      <c r="L30" s="52">
        <f t="shared" ref="L30" si="59">K30-K29</f>
        <v>0</v>
      </c>
      <c r="M30" s="557">
        <f t="shared" si="20"/>
        <v>173988</v>
      </c>
      <c r="N30" s="388">
        <f t="shared" ref="N30" si="60">M30-M29</f>
        <v>0</v>
      </c>
      <c r="O30" s="64">
        <f t="shared" si="48"/>
        <v>1869</v>
      </c>
      <c r="P30" s="557">
        <f t="shared" si="45"/>
        <v>2132</v>
      </c>
      <c r="Q30" s="557">
        <f t="shared" si="46"/>
        <v>178909</v>
      </c>
      <c r="R30" s="387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94">
        <f t="shared" ref="U30" si="64">SUM(G30+L30+S30)</f>
        <v>0</v>
      </c>
      <c r="V30" s="62">
        <f t="shared" ref="V30" si="65">R30+N30+I30:I30</f>
        <v>0</v>
      </c>
      <c r="W30" s="392"/>
      <c r="X30" s="557">
        <f t="shared" si="24"/>
        <v>2470</v>
      </c>
      <c r="Y30" s="52">
        <f t="shared" ref="Y30" si="66">X30-X29</f>
        <v>0</v>
      </c>
      <c r="Z30" s="557">
        <f t="shared" si="26"/>
        <v>139138.1</v>
      </c>
      <c r="AA30" s="65">
        <f t="shared" ref="AA30" si="67">Z30-Z29</f>
        <v>0</v>
      </c>
      <c r="AB30" s="279">
        <f t="shared" ref="AB30" si="68">SUM(Y30*$AB$2)</f>
        <v>0</v>
      </c>
      <c r="AC30" s="557">
        <f t="shared" si="27"/>
        <v>1942</v>
      </c>
      <c r="AD30" s="265">
        <f t="shared" ref="AD30" si="69">AC30-AC29</f>
        <v>0</v>
      </c>
      <c r="AE30" s="557">
        <f t="shared" si="28"/>
        <v>366072</v>
      </c>
      <c r="AF30" s="300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1">
        <f t="shared" si="30"/>
        <v>0</v>
      </c>
      <c r="AJ30" s="311">
        <f>-tanks!AW31</f>
        <v>0</v>
      </c>
      <c r="AK30" s="311">
        <f t="shared" si="31"/>
        <v>0</v>
      </c>
      <c r="AL30" s="311">
        <f t="shared" si="8"/>
        <v>0</v>
      </c>
      <c r="AM30" s="311">
        <f t="shared" si="32"/>
        <v>0</v>
      </c>
      <c r="AN30" s="557">
        <f t="shared" si="9"/>
        <v>65</v>
      </c>
      <c r="AO30" s="313">
        <f t="shared" si="53"/>
        <v>1950</v>
      </c>
      <c r="AP30" s="557">
        <f t="shared" si="10"/>
        <v>55</v>
      </c>
      <c r="AQ30" s="313">
        <f t="shared" si="52"/>
        <v>1650.0000000000002</v>
      </c>
      <c r="AR30" s="557">
        <f t="shared" si="11"/>
        <v>61</v>
      </c>
      <c r="AS30" s="313">
        <f t="shared" si="41"/>
        <v>1830</v>
      </c>
      <c r="AT30" s="313">
        <f t="shared" si="51"/>
        <v>5430</v>
      </c>
      <c r="AU30" s="313">
        <f t="shared" si="43"/>
        <v>0</v>
      </c>
      <c r="AV30" s="265"/>
      <c r="AW30" s="265"/>
      <c r="AX30" s="306">
        <f t="shared" si="35"/>
        <v>0.8</v>
      </c>
    </row>
    <row r="31" spans="1:50">
      <c r="A31" s="63">
        <f>ELEC!C30</f>
        <v>44496</v>
      </c>
      <c r="B31" s="557">
        <f t="shared" si="12"/>
        <v>129</v>
      </c>
      <c r="C31" s="557">
        <f t="shared" si="13"/>
        <v>136</v>
      </c>
      <c r="D31" s="45">
        <f t="shared" si="49"/>
        <v>0</v>
      </c>
      <c r="E31" s="45">
        <f t="shared" si="14"/>
        <v>0</v>
      </c>
      <c r="F31" s="557">
        <f t="shared" si="15"/>
        <v>1901</v>
      </c>
      <c r="G31" s="52">
        <f t="shared" si="0"/>
        <v>0</v>
      </c>
      <c r="H31" s="557">
        <f t="shared" si="16"/>
        <v>17909</v>
      </c>
      <c r="I31" s="388">
        <f t="shared" si="1"/>
        <v>0</v>
      </c>
      <c r="J31" s="66">
        <f t="shared" si="17"/>
        <v>0</v>
      </c>
      <c r="K31" s="557">
        <f t="shared" si="18"/>
        <v>2357</v>
      </c>
      <c r="L31" s="52">
        <f t="shared" si="19"/>
        <v>0</v>
      </c>
      <c r="M31" s="557">
        <f t="shared" si="20"/>
        <v>173988</v>
      </c>
      <c r="N31" s="388">
        <f t="shared" si="2"/>
        <v>0</v>
      </c>
      <c r="O31" s="64">
        <f t="shared" si="48"/>
        <v>1869</v>
      </c>
      <c r="P31" s="557">
        <f t="shared" si="45"/>
        <v>2132</v>
      </c>
      <c r="Q31" s="557">
        <f t="shared" si="46"/>
        <v>178909</v>
      </c>
      <c r="R31" s="387">
        <f t="shared" si="44"/>
        <v>0</v>
      </c>
      <c r="S31" s="52">
        <f t="shared" si="5"/>
        <v>0</v>
      </c>
      <c r="T31" s="67">
        <f t="shared" si="37"/>
        <v>0</v>
      </c>
      <c r="U31" s="394">
        <f t="shared" si="21"/>
        <v>0</v>
      </c>
      <c r="V31" s="62">
        <f t="shared" si="22"/>
        <v>0</v>
      </c>
      <c r="W31" s="392"/>
      <c r="X31" s="557">
        <f t="shared" si="24"/>
        <v>2470</v>
      </c>
      <c r="Y31" s="52">
        <f t="shared" si="25"/>
        <v>0</v>
      </c>
      <c r="Z31" s="557">
        <f t="shared" si="26"/>
        <v>139138.1</v>
      </c>
      <c r="AA31" s="65">
        <f t="shared" si="6"/>
        <v>0</v>
      </c>
      <c r="AB31" s="279">
        <f t="shared" si="50"/>
        <v>0</v>
      </c>
      <c r="AC31" s="557">
        <f t="shared" si="27"/>
        <v>1942</v>
      </c>
      <c r="AD31" s="265">
        <f t="shared" si="7"/>
        <v>0</v>
      </c>
      <c r="AE31" s="557">
        <f t="shared" si="28"/>
        <v>366072</v>
      </c>
      <c r="AF31" s="300">
        <f t="shared" si="29"/>
        <v>0</v>
      </c>
      <c r="AG31" s="209">
        <f t="shared" si="39"/>
        <v>0</v>
      </c>
      <c r="AH31" s="62">
        <f t="shared" si="40"/>
        <v>0</v>
      </c>
      <c r="AI31" s="311">
        <f t="shared" si="30"/>
        <v>0</v>
      </c>
      <c r="AJ31" s="311">
        <f>-tanks!AW32</f>
        <v>0</v>
      </c>
      <c r="AK31" s="311">
        <f t="shared" si="31"/>
        <v>0</v>
      </c>
      <c r="AL31" s="311">
        <f t="shared" si="8"/>
        <v>0</v>
      </c>
      <c r="AM31" s="311">
        <f t="shared" si="32"/>
        <v>0</v>
      </c>
      <c r="AN31" s="557">
        <f t="shared" si="9"/>
        <v>65</v>
      </c>
      <c r="AO31" s="313">
        <f t="shared" si="53"/>
        <v>1950</v>
      </c>
      <c r="AP31" s="557">
        <f t="shared" si="10"/>
        <v>55</v>
      </c>
      <c r="AQ31" s="313">
        <f t="shared" si="52"/>
        <v>1650.0000000000002</v>
      </c>
      <c r="AR31" s="557">
        <f t="shared" si="11"/>
        <v>61</v>
      </c>
      <c r="AS31" s="313">
        <f t="shared" si="41"/>
        <v>1830</v>
      </c>
      <c r="AT31" s="313">
        <f t="shared" si="51"/>
        <v>5430</v>
      </c>
      <c r="AU31" s="313">
        <f t="shared" si="43"/>
        <v>0</v>
      </c>
      <c r="AV31" s="265"/>
      <c r="AW31" s="265"/>
      <c r="AX31" s="306">
        <f t="shared" si="35"/>
        <v>0.8</v>
      </c>
    </row>
    <row r="32" spans="1:50">
      <c r="A32" s="63">
        <f>ELEC!C31</f>
        <v>44497</v>
      </c>
      <c r="B32" s="557">
        <f t="shared" si="12"/>
        <v>129</v>
      </c>
      <c r="C32" s="557">
        <f t="shared" si="13"/>
        <v>136</v>
      </c>
      <c r="D32" s="45">
        <f t="shared" si="49"/>
        <v>0</v>
      </c>
      <c r="E32" s="45">
        <f t="shared" si="14"/>
        <v>0</v>
      </c>
      <c r="F32" s="557">
        <f t="shared" si="15"/>
        <v>1901</v>
      </c>
      <c r="G32" s="52">
        <f t="shared" si="0"/>
        <v>0</v>
      </c>
      <c r="H32" s="557">
        <f t="shared" si="16"/>
        <v>17909</v>
      </c>
      <c r="I32" s="388">
        <f t="shared" si="1"/>
        <v>0</v>
      </c>
      <c r="J32" s="66">
        <f t="shared" si="17"/>
        <v>0</v>
      </c>
      <c r="K32" s="557">
        <f t="shared" si="18"/>
        <v>2357</v>
      </c>
      <c r="L32" s="52">
        <f t="shared" si="19"/>
        <v>0</v>
      </c>
      <c r="M32" s="557">
        <f t="shared" si="20"/>
        <v>173988</v>
      </c>
      <c r="N32" s="388">
        <f t="shared" si="2"/>
        <v>0</v>
      </c>
      <c r="O32" s="64">
        <f t="shared" si="48"/>
        <v>1869</v>
      </c>
      <c r="P32" s="557">
        <f t="shared" si="45"/>
        <v>2132</v>
      </c>
      <c r="Q32" s="557">
        <f t="shared" si="46"/>
        <v>178909</v>
      </c>
      <c r="R32" s="387">
        <f t="shared" si="44"/>
        <v>0</v>
      </c>
      <c r="S32" s="52">
        <f t="shared" si="5"/>
        <v>0</v>
      </c>
      <c r="T32" s="67">
        <f t="shared" si="37"/>
        <v>0</v>
      </c>
      <c r="U32" s="394">
        <f t="shared" si="21"/>
        <v>0</v>
      </c>
      <c r="V32" s="62">
        <f t="shared" si="22"/>
        <v>0</v>
      </c>
      <c r="W32" s="392"/>
      <c r="X32" s="557">
        <f t="shared" si="24"/>
        <v>2470</v>
      </c>
      <c r="Y32" s="52">
        <f t="shared" si="25"/>
        <v>0</v>
      </c>
      <c r="Z32" s="557">
        <f t="shared" si="26"/>
        <v>139138.1</v>
      </c>
      <c r="AA32" s="65">
        <f t="shared" si="6"/>
        <v>0</v>
      </c>
      <c r="AB32" s="279">
        <f t="shared" si="50"/>
        <v>0</v>
      </c>
      <c r="AC32" s="557">
        <f t="shared" si="27"/>
        <v>1942</v>
      </c>
      <c r="AD32" s="265">
        <f t="shared" si="7"/>
        <v>0</v>
      </c>
      <c r="AE32" s="557">
        <f t="shared" si="28"/>
        <v>366072</v>
      </c>
      <c r="AF32" s="300">
        <f t="shared" si="29"/>
        <v>0</v>
      </c>
      <c r="AG32" s="209">
        <f t="shared" si="39"/>
        <v>0</v>
      </c>
      <c r="AH32" s="62">
        <f t="shared" si="40"/>
        <v>0</v>
      </c>
      <c r="AI32" s="311">
        <f t="shared" si="30"/>
        <v>0</v>
      </c>
      <c r="AJ32" s="311">
        <f>-tanks!AW33</f>
        <v>0</v>
      </c>
      <c r="AK32" s="311">
        <f t="shared" si="31"/>
        <v>0</v>
      </c>
      <c r="AL32" s="311">
        <f t="shared" si="8"/>
        <v>0</v>
      </c>
      <c r="AM32" s="311">
        <f t="shared" si="32"/>
        <v>0</v>
      </c>
      <c r="AN32" s="557">
        <f t="shared" si="9"/>
        <v>65</v>
      </c>
      <c r="AO32" s="313">
        <f t="shared" si="53"/>
        <v>1950</v>
      </c>
      <c r="AP32" s="557">
        <f t="shared" si="10"/>
        <v>55</v>
      </c>
      <c r="AQ32" s="313">
        <f t="shared" si="52"/>
        <v>1650.0000000000002</v>
      </c>
      <c r="AR32" s="557">
        <f t="shared" si="11"/>
        <v>61</v>
      </c>
      <c r="AS32" s="313">
        <f t="shared" si="41"/>
        <v>1830</v>
      </c>
      <c r="AT32" s="313">
        <f t="shared" si="51"/>
        <v>5430</v>
      </c>
      <c r="AU32" s="313">
        <f t="shared" si="43"/>
        <v>0</v>
      </c>
      <c r="AV32" s="265"/>
      <c r="AW32" s="265"/>
      <c r="AX32" s="306">
        <f t="shared" si="35"/>
        <v>0.8</v>
      </c>
    </row>
    <row r="33" spans="1:50">
      <c r="A33" s="63">
        <f>ELEC!C32</f>
        <v>44498</v>
      </c>
      <c r="B33" s="557">
        <f t="shared" si="12"/>
        <v>129</v>
      </c>
      <c r="C33" s="557">
        <f t="shared" si="13"/>
        <v>136</v>
      </c>
      <c r="D33" s="45">
        <f>C32-C33</f>
        <v>0</v>
      </c>
      <c r="E33" s="45">
        <f>D33*8.38</f>
        <v>0</v>
      </c>
      <c r="F33" s="557">
        <f t="shared" si="15"/>
        <v>1901</v>
      </c>
      <c r="G33" s="52">
        <f>F33-F32</f>
        <v>0</v>
      </c>
      <c r="H33" s="557">
        <f t="shared" si="16"/>
        <v>17909</v>
      </c>
      <c r="I33" s="388">
        <f>SUM(H33-H32)</f>
        <v>0</v>
      </c>
      <c r="J33" s="66">
        <f>IF(G33&gt;0,I33/G33,0)</f>
        <v>0</v>
      </c>
      <c r="K33" s="557">
        <f t="shared" si="18"/>
        <v>2357</v>
      </c>
      <c r="L33" s="52">
        <f>K33-K32</f>
        <v>0</v>
      </c>
      <c r="M33" s="557">
        <f t="shared" si="20"/>
        <v>173988</v>
      </c>
      <c r="N33" s="388">
        <f>M33-M32</f>
        <v>0</v>
      </c>
      <c r="O33" s="64">
        <f t="shared" si="48"/>
        <v>1869</v>
      </c>
      <c r="P33" s="557">
        <f t="shared" si="45"/>
        <v>2132</v>
      </c>
      <c r="Q33" s="557">
        <f t="shared" si="46"/>
        <v>178909</v>
      </c>
      <c r="R33" s="387">
        <f>Q33-Q32</f>
        <v>0</v>
      </c>
      <c r="S33" s="52">
        <f>SUM(P33-P32)</f>
        <v>0</v>
      </c>
      <c r="T33" s="67">
        <f>SUM(S33*$T$2)</f>
        <v>0</v>
      </c>
      <c r="U33" s="394">
        <f>SUM(G33+L33+S33)</f>
        <v>0</v>
      </c>
      <c r="V33" s="62">
        <f>R33+N33+I33:I33</f>
        <v>0</v>
      </c>
      <c r="W33" s="392"/>
      <c r="X33" s="557">
        <f t="shared" si="24"/>
        <v>2470</v>
      </c>
      <c r="Y33" s="52">
        <f>X33-X32</f>
        <v>0</v>
      </c>
      <c r="Z33" s="557">
        <f t="shared" si="26"/>
        <v>139138.1</v>
      </c>
      <c r="AA33" s="65">
        <f>Z33-Z32</f>
        <v>0</v>
      </c>
      <c r="AB33" s="279">
        <f>SUM(Y33*$AB$2)</f>
        <v>0</v>
      </c>
      <c r="AC33" s="557">
        <f t="shared" si="27"/>
        <v>1942</v>
      </c>
      <c r="AD33" s="265">
        <f>AC33-AC32</f>
        <v>0</v>
      </c>
      <c r="AE33" s="557">
        <f t="shared" si="28"/>
        <v>366072</v>
      </c>
      <c r="AF33" s="300">
        <f>AE33-AE32</f>
        <v>0</v>
      </c>
      <c r="AG33" s="209">
        <f>IF(AD33&gt;0,AF33/AD33,0)</f>
        <v>0</v>
      </c>
      <c r="AH33" s="62">
        <f>AF33+AA33</f>
        <v>0</v>
      </c>
      <c r="AI33" s="311">
        <f>SUM(AH33+V33)</f>
        <v>0</v>
      </c>
      <c r="AJ33" s="311">
        <f>-tanks!AW34</f>
        <v>0</v>
      </c>
      <c r="AK33" s="311">
        <f>SUM(AJ33-AI33)</f>
        <v>0</v>
      </c>
      <c r="AL33" s="311">
        <f>S33+L33+G33</f>
        <v>0</v>
      </c>
      <c r="AM33" s="311">
        <f>Y33+AD33</f>
        <v>0</v>
      </c>
      <c r="AN33" s="557">
        <f t="shared" si="9"/>
        <v>65</v>
      </c>
      <c r="AO33" s="313">
        <f t="shared" si="53"/>
        <v>1950</v>
      </c>
      <c r="AP33" s="557">
        <f t="shared" si="10"/>
        <v>55</v>
      </c>
      <c r="AQ33" s="313">
        <f>(AP33/100)*3000</f>
        <v>1650.0000000000002</v>
      </c>
      <c r="AR33" s="557">
        <f t="shared" si="11"/>
        <v>61</v>
      </c>
      <c r="AS33" s="313">
        <f>(AR33/100)*3000</f>
        <v>1830</v>
      </c>
      <c r="AT33" s="313">
        <f>SUM(AO33+AQ33+AS33)</f>
        <v>5430</v>
      </c>
      <c r="AU33" s="313">
        <f>AT32-AT33+AV33</f>
        <v>0</v>
      </c>
      <c r="AV33" s="265"/>
      <c r="AW33" s="265"/>
      <c r="AX33" s="306">
        <f t="shared" si="35"/>
        <v>0.8</v>
      </c>
    </row>
    <row r="34" spans="1:50">
      <c r="A34" s="63">
        <f>ELEC!C33</f>
        <v>44499</v>
      </c>
      <c r="B34" s="557">
        <f t="shared" si="12"/>
        <v>129</v>
      </c>
      <c r="C34" s="557">
        <f t="shared" si="13"/>
        <v>136</v>
      </c>
      <c r="D34" s="45">
        <f>C33-C34</f>
        <v>0</v>
      </c>
      <c r="E34" s="45">
        <f>D34*8.38</f>
        <v>0</v>
      </c>
      <c r="F34" s="557">
        <f t="shared" si="15"/>
        <v>1901</v>
      </c>
      <c r="G34" s="52">
        <f>F34-F33</f>
        <v>0</v>
      </c>
      <c r="H34" s="557">
        <f t="shared" si="16"/>
        <v>17909</v>
      </c>
      <c r="I34" s="388">
        <f>SUM(H34-H33)</f>
        <v>0</v>
      </c>
      <c r="J34" s="66">
        <f>IF(G34&gt;0,I34/G34,0)</f>
        <v>0</v>
      </c>
      <c r="K34" s="557">
        <f t="shared" si="18"/>
        <v>2357</v>
      </c>
      <c r="L34" s="52">
        <f>K34-K33</f>
        <v>0</v>
      </c>
      <c r="M34" s="557">
        <f t="shared" si="20"/>
        <v>173988</v>
      </c>
      <c r="N34" s="388">
        <f>M34-M33</f>
        <v>0</v>
      </c>
      <c r="O34" s="64">
        <f t="shared" si="48"/>
        <v>1869</v>
      </c>
      <c r="P34" s="557">
        <f t="shared" si="45"/>
        <v>2132</v>
      </c>
      <c r="Q34" s="557">
        <f t="shared" si="46"/>
        <v>178909</v>
      </c>
      <c r="R34" s="387">
        <f>Q34-Q33</f>
        <v>0</v>
      </c>
      <c r="S34" s="52">
        <f>SUM(P34-P33)</f>
        <v>0</v>
      </c>
      <c r="T34" s="67">
        <f>SUM(S34*$T$2)</f>
        <v>0</v>
      </c>
      <c r="U34" s="394">
        <f>SUM(G34+L34+S34)</f>
        <v>0</v>
      </c>
      <c r="V34" s="62">
        <f>R34+N34+I34:I34</f>
        <v>0</v>
      </c>
      <c r="W34" s="392"/>
      <c r="X34" s="557">
        <f t="shared" si="24"/>
        <v>2470</v>
      </c>
      <c r="Y34" s="52">
        <f>X34-X33</f>
        <v>0</v>
      </c>
      <c r="Z34" s="557">
        <f t="shared" si="26"/>
        <v>139138.1</v>
      </c>
      <c r="AA34" s="65">
        <f>Z34-Z33</f>
        <v>0</v>
      </c>
      <c r="AB34" s="279">
        <f>SUM(Y34*$AB$2)</f>
        <v>0</v>
      </c>
      <c r="AC34" s="557">
        <f t="shared" si="27"/>
        <v>1942</v>
      </c>
      <c r="AD34" s="265">
        <f>AC34-AC33</f>
        <v>0</v>
      </c>
      <c r="AE34" s="557">
        <f t="shared" si="28"/>
        <v>366072</v>
      </c>
      <c r="AF34" s="300">
        <f>AE34-AE33</f>
        <v>0</v>
      </c>
      <c r="AG34" s="209">
        <f>IF(AD34&gt;0,AF34/AD34,0)</f>
        <v>0</v>
      </c>
      <c r="AH34" s="62">
        <f>AF34+AA34</f>
        <v>0</v>
      </c>
      <c r="AI34" s="311">
        <f>SUM(AH34+V34)</f>
        <v>0</v>
      </c>
      <c r="AJ34" s="311">
        <f>-tanks!AW35</f>
        <v>0</v>
      </c>
      <c r="AK34" s="311">
        <f>SUM(AJ34-AI34)</f>
        <v>0</v>
      </c>
      <c r="AL34" s="311">
        <f>S34+L34+G34</f>
        <v>0</v>
      </c>
      <c r="AM34" s="311">
        <f>Y34+AD34</f>
        <v>0</v>
      </c>
      <c r="AN34" s="557">
        <f t="shared" ref="AN34:AP35" si="71">AN33</f>
        <v>65</v>
      </c>
      <c r="AO34" s="313">
        <f t="shared" si="53"/>
        <v>1950</v>
      </c>
      <c r="AP34" s="557">
        <f t="shared" si="71"/>
        <v>55</v>
      </c>
      <c r="AQ34" s="313">
        <f>(AP34/100)*3000</f>
        <v>1650.0000000000002</v>
      </c>
      <c r="AR34" s="557">
        <f t="shared" si="11"/>
        <v>61</v>
      </c>
      <c r="AS34" s="313">
        <f>(AR34/100)*3000</f>
        <v>1830</v>
      </c>
      <c r="AT34" s="313">
        <f>SUM(AO34+AQ34+AS34)</f>
        <v>5430</v>
      </c>
      <c r="AU34" s="313">
        <f>AT33-AT34+AV34</f>
        <v>0</v>
      </c>
      <c r="AV34" s="265"/>
      <c r="AW34" s="265"/>
      <c r="AX34" s="306">
        <f t="shared" si="35"/>
        <v>0.8</v>
      </c>
    </row>
    <row r="35" spans="1:50">
      <c r="A35" s="63">
        <f>ELEC!C34</f>
        <v>44500</v>
      </c>
      <c r="B35" s="557">
        <f t="shared" si="12"/>
        <v>129</v>
      </c>
      <c r="C35" s="557">
        <f t="shared" si="13"/>
        <v>136</v>
      </c>
      <c r="D35" s="45">
        <f>C34-C35</f>
        <v>0</v>
      </c>
      <c r="E35" s="45">
        <f>D35*8.38</f>
        <v>0</v>
      </c>
      <c r="F35" s="557">
        <f t="shared" si="15"/>
        <v>1901</v>
      </c>
      <c r="G35" s="52">
        <f>F35-F34</f>
        <v>0</v>
      </c>
      <c r="H35" s="557">
        <f t="shared" si="16"/>
        <v>17909</v>
      </c>
      <c r="I35" s="388">
        <f>SUM(H35-H34)</f>
        <v>0</v>
      </c>
      <c r="J35" s="66">
        <f>IF(G35&gt;0,I35/G35,0)</f>
        <v>0</v>
      </c>
      <c r="K35" s="557">
        <f t="shared" si="18"/>
        <v>2357</v>
      </c>
      <c r="L35" s="52">
        <f>K35-K34</f>
        <v>0</v>
      </c>
      <c r="M35" s="557">
        <f t="shared" si="20"/>
        <v>173988</v>
      </c>
      <c r="N35" s="388">
        <f>M35-M34</f>
        <v>0</v>
      </c>
      <c r="O35" s="64">
        <f t="shared" si="48"/>
        <v>1869</v>
      </c>
      <c r="P35" s="557">
        <f t="shared" si="45"/>
        <v>2132</v>
      </c>
      <c r="Q35" s="557">
        <f t="shared" si="46"/>
        <v>178909</v>
      </c>
      <c r="R35" s="387">
        <f>Q35-Q34</f>
        <v>0</v>
      </c>
      <c r="S35" s="52">
        <f>SUM(P35-P34)</f>
        <v>0</v>
      </c>
      <c r="T35" s="67">
        <f>SUM(S35*$T$2)</f>
        <v>0</v>
      </c>
      <c r="U35" s="394">
        <f>SUM(G35+L35+S35)</f>
        <v>0</v>
      </c>
      <c r="V35" s="62">
        <f>R35+N35+I35:I35</f>
        <v>0</v>
      </c>
      <c r="W35" s="392"/>
      <c r="X35" s="557">
        <f t="shared" si="24"/>
        <v>2470</v>
      </c>
      <c r="Y35" s="52">
        <f>X35-X34</f>
        <v>0</v>
      </c>
      <c r="Z35" s="557">
        <f t="shared" si="26"/>
        <v>139138.1</v>
      </c>
      <c r="AA35" s="65">
        <f>Z35-Z34</f>
        <v>0</v>
      </c>
      <c r="AB35" s="279">
        <f>SUM(Y35*$AB$2)</f>
        <v>0</v>
      </c>
      <c r="AC35" s="557">
        <f t="shared" si="27"/>
        <v>1942</v>
      </c>
      <c r="AD35" s="265">
        <f>AC35-AC34</f>
        <v>0</v>
      </c>
      <c r="AE35" s="557">
        <f t="shared" si="28"/>
        <v>366072</v>
      </c>
      <c r="AF35" s="300">
        <f>AE35-AE34</f>
        <v>0</v>
      </c>
      <c r="AG35" s="209">
        <f>IF(AD35&gt;0,AF35/AD35,0)</f>
        <v>0</v>
      </c>
      <c r="AH35" s="62">
        <f>AF35+AA35</f>
        <v>0</v>
      </c>
      <c r="AI35" s="311">
        <f>SUM(AH35+V35)</f>
        <v>0</v>
      </c>
      <c r="AJ35" s="311">
        <f>-tanks!AW36</f>
        <v>0</v>
      </c>
      <c r="AK35" s="311">
        <f>SUM(AJ35-AI35)</f>
        <v>0</v>
      </c>
      <c r="AL35" s="311">
        <f>S35+L35+G35</f>
        <v>0</v>
      </c>
      <c r="AM35" s="311">
        <f>Y35+AD35</f>
        <v>0</v>
      </c>
      <c r="AN35" s="557">
        <f t="shared" si="71"/>
        <v>65</v>
      </c>
      <c r="AO35" s="313">
        <f t="shared" ref="AO35" si="72">(AN35/100)*3000</f>
        <v>1950</v>
      </c>
      <c r="AP35" s="557">
        <f t="shared" si="71"/>
        <v>55</v>
      </c>
      <c r="AQ35" s="313">
        <f>(AP35/100)*3000</f>
        <v>1650.0000000000002</v>
      </c>
      <c r="AR35" s="557">
        <f t="shared" si="11"/>
        <v>61</v>
      </c>
      <c r="AS35" s="313">
        <f>(AR35/100)*3000</f>
        <v>1830</v>
      </c>
      <c r="AT35" s="313">
        <f>SUM(AO35+AQ35+AS35)</f>
        <v>5430</v>
      </c>
      <c r="AU35" s="313">
        <f>AT34-AT35+AV35</f>
        <v>0</v>
      </c>
      <c r="AV35" s="265"/>
      <c r="AW35" s="265"/>
      <c r="AX35" s="306">
        <f t="shared" ref="AX35" si="73">IF(AV35&gt;0,AW35,AX34)</f>
        <v>0.8</v>
      </c>
    </row>
    <row r="36" spans="1:50">
      <c r="J36" s="278">
        <f>SUM(J5:J32)/(COUNT(J5:J32)-COUNTIF(J5:J32,0))</f>
        <v>67.13636363636364</v>
      </c>
      <c r="V36" s="62" t="e">
        <f>SUM(V5:W35)</f>
        <v>#DIV/0!</v>
      </c>
      <c r="AE36" s="71" t="s">
        <v>381</v>
      </c>
      <c r="AG36" s="337"/>
      <c r="AH36" s="62">
        <f>SUM(AH5:AH35)</f>
        <v>0</v>
      </c>
      <c r="AL36" s="62">
        <f>SUM(AL5:AL35)</f>
        <v>15</v>
      </c>
      <c r="AM36" s="62">
        <f>SUM(AM5:AM35)</f>
        <v>0</v>
      </c>
      <c r="AP36" s="306"/>
      <c r="AQ36" s="306"/>
      <c r="AR36" s="306" t="s">
        <v>223</v>
      </c>
      <c r="AS36" s="306">
        <f>COUNT(AW5:AW35)</f>
        <v>0</v>
      </c>
      <c r="AT36" s="306"/>
      <c r="AU36" s="306">
        <f>SUM(AU5:AU35)</f>
        <v>0</v>
      </c>
      <c r="AV36" s="71">
        <f>SUM(AV5:AV35)</f>
        <v>0</v>
      </c>
      <c r="AW36" s="306" t="e">
        <f>SUM(AW5:AW35)/AS36</f>
        <v>#DIV/0!</v>
      </c>
    </row>
    <row r="37" spans="1:50">
      <c r="AH37" s="62">
        <f>AF37+AA37</f>
        <v>0</v>
      </c>
      <c r="AI37" s="314">
        <f>SUM(AI5:AI35)</f>
        <v>1076</v>
      </c>
      <c r="AP37" s="306"/>
      <c r="AQ37" s="306"/>
      <c r="AR37" s="306"/>
      <c r="AS37" s="306"/>
      <c r="AT37" s="306"/>
      <c r="AU37" s="306"/>
      <c r="AV37" s="306"/>
      <c r="AW37" s="306"/>
    </row>
    <row r="38" spans="1:50">
      <c r="AH38" s="62">
        <f>AF38+AA38</f>
        <v>0</v>
      </c>
      <c r="AP38" s="306"/>
      <c r="AQ38" s="306"/>
      <c r="AR38" s="306"/>
      <c r="AS38" s="306"/>
      <c r="AT38" s="306"/>
      <c r="AU38" s="306">
        <f>AU36*0.51</f>
        <v>0</v>
      </c>
      <c r="AV38" s="306">
        <f>AV36/0.51</f>
        <v>0</v>
      </c>
      <c r="AW38" s="306" t="e">
        <f>SUM(AW5:AW32)/AS36</f>
        <v>#DIV/0!</v>
      </c>
    </row>
    <row r="39" spans="1:50">
      <c r="AP39" s="306"/>
      <c r="AQ39" s="306"/>
      <c r="AR39" s="306"/>
      <c r="AS39" s="306"/>
      <c r="AT39" s="306"/>
      <c r="AU39" s="306"/>
      <c r="AV39" s="306">
        <f>AV36*0.51</f>
        <v>0</v>
      </c>
      <c r="AW39" s="306"/>
    </row>
    <row r="40" spans="1:50">
      <c r="AP40" s="306"/>
      <c r="AQ40" s="306"/>
      <c r="AR40" s="306"/>
      <c r="AS40" s="306"/>
      <c r="AT40" s="306"/>
      <c r="AU40" s="306"/>
      <c r="AV40" s="306"/>
      <c r="AW40" s="306"/>
    </row>
    <row r="41" spans="1:50">
      <c r="P41" s="69"/>
      <c r="Q41" s="69"/>
      <c r="R41" s="69"/>
      <c r="AP41" s="306"/>
      <c r="AQ41" s="306"/>
      <c r="AR41" s="306"/>
      <c r="AS41" s="306"/>
      <c r="AT41" s="306"/>
      <c r="AU41" s="306"/>
      <c r="AV41" s="306"/>
      <c r="AW41" s="306"/>
    </row>
    <row r="43" spans="1:50">
      <c r="AG43" s="349" t="s">
        <v>373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="90" zoomScaleNormal="90" workbookViewId="0">
      <pane ySplit="3" topLeftCell="A32" activePane="bottomLeft" state="frozen"/>
      <selection pane="bottomLeft" activeCell="AT59" sqref="AT59:AT6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5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5" customWidth="1"/>
    <col min="11" max="11" width="13.5703125" style="1" customWidth="1"/>
    <col min="12" max="12" width="13.28515625" style="1" customWidth="1"/>
    <col min="13" max="13" width="10.7109375" style="477" customWidth="1"/>
    <col min="14" max="14" width="10.7109375" style="479" customWidth="1"/>
    <col min="15" max="15" width="11.28515625" style="477" customWidth="1"/>
    <col min="16" max="16" width="11.28515625" style="479" customWidth="1"/>
    <col min="17" max="17" width="17.28515625" style="477" customWidth="1"/>
    <col min="18" max="19" width="10.7109375" style="477" customWidth="1"/>
    <col min="20" max="20" width="13.28515625" style="398" customWidth="1"/>
    <col min="21" max="21" width="8.7109375" style="401" customWidth="1"/>
    <col min="22" max="22" width="13.28515625" style="315" customWidth="1"/>
    <col min="23" max="23" width="9.7109375" style="315" bestFit="1" customWidth="1"/>
    <col min="24" max="27" width="9.7109375" style="315" customWidth="1"/>
    <col min="28" max="28" width="14.42578125" style="315" customWidth="1"/>
    <col min="29" max="32" width="9.7109375" style="315" customWidth="1"/>
    <col min="33" max="33" width="11.28515625" style="315" customWidth="1"/>
    <col min="34" max="36" width="9.7109375" style="315" customWidth="1"/>
    <col min="37" max="37" width="7.42578125" style="315" customWidth="1"/>
    <col min="38" max="39" width="8.7109375" style="31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1" customFormat="1" ht="15.75" thickBot="1">
      <c r="B1" s="352"/>
      <c r="C1" s="352"/>
      <c r="D1" s="408">
        <f>SUM(G21:G33)</f>
        <v>8125349</v>
      </c>
      <c r="E1" s="353"/>
      <c r="F1" s="353"/>
      <c r="G1" s="352"/>
      <c r="H1" s="352"/>
      <c r="I1" s="352"/>
      <c r="J1" s="353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2"/>
      <c r="AR1" s="355" t="s">
        <v>92</v>
      </c>
      <c r="AS1" s="356"/>
      <c r="AT1" s="356" t="s">
        <v>60</v>
      </c>
      <c r="AU1" s="356"/>
      <c r="AV1" s="357" t="s">
        <v>61</v>
      </c>
    </row>
    <row r="2" spans="1:65" s="351" customFormat="1" ht="15.75" customHeight="1" thickBot="1">
      <c r="B2" s="352"/>
      <c r="C2" s="352"/>
      <c r="D2" s="352"/>
      <c r="E2" s="353"/>
      <c r="F2" s="353"/>
      <c r="G2" s="352"/>
      <c r="H2" s="352"/>
      <c r="I2" s="352"/>
      <c r="J2" s="353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4"/>
      <c r="W2" s="354"/>
      <c r="X2" s="354"/>
      <c r="Y2" s="354"/>
      <c r="Z2" s="354"/>
      <c r="AA2" s="354"/>
      <c r="AB2" s="354"/>
      <c r="AC2" s="354"/>
      <c r="AD2" s="354"/>
      <c r="AE2" s="354"/>
      <c r="AF2" s="354"/>
      <c r="AG2" s="354"/>
      <c r="AH2" s="354"/>
      <c r="AI2" s="354"/>
      <c r="AJ2" s="354"/>
      <c r="AK2" s="354"/>
      <c r="AL2" s="354"/>
      <c r="AM2" s="354"/>
      <c r="AN2" s="352"/>
      <c r="AR2" s="655" t="s">
        <v>95</v>
      </c>
      <c r="AS2" s="656"/>
      <c r="AT2" s="656"/>
      <c r="AU2" s="656"/>
      <c r="AV2" s="657"/>
      <c r="AW2" s="655" t="s">
        <v>96</v>
      </c>
      <c r="AX2" s="656"/>
      <c r="AY2" s="657"/>
      <c r="AZ2" s="655" t="s">
        <v>98</v>
      </c>
      <c r="BA2" s="656"/>
      <c r="BB2" s="657"/>
      <c r="BC2" s="358"/>
      <c r="BE2" s="359"/>
    </row>
    <row r="3" spans="1:65" s="351" customFormat="1" ht="48" customHeight="1" thickBot="1">
      <c r="A3" s="360" t="s">
        <v>51</v>
      </c>
      <c r="B3" s="361" t="s">
        <v>52</v>
      </c>
      <c r="C3" s="361" t="s">
        <v>53</v>
      </c>
      <c r="D3" s="361" t="s">
        <v>54</v>
      </c>
      <c r="E3" s="362"/>
      <c r="F3" s="363" t="s">
        <v>80</v>
      </c>
      <c r="G3" s="361" t="s">
        <v>55</v>
      </c>
      <c r="H3" s="361" t="s">
        <v>56</v>
      </c>
      <c r="I3" s="361" t="s">
        <v>100</v>
      </c>
      <c r="J3" s="362"/>
      <c r="K3" s="361" t="s">
        <v>390</v>
      </c>
      <c r="L3" s="364" t="s">
        <v>326</v>
      </c>
      <c r="M3" s="494" t="s">
        <v>397</v>
      </c>
      <c r="N3" s="495"/>
      <c r="O3" s="496" t="s">
        <v>398</v>
      </c>
      <c r="P3" s="496"/>
      <c r="Q3" s="496" t="s">
        <v>394</v>
      </c>
      <c r="R3" s="496" t="s">
        <v>396</v>
      </c>
      <c r="S3" s="496" t="s">
        <v>395</v>
      </c>
      <c r="T3" s="361" t="s">
        <v>378</v>
      </c>
      <c r="U3" s="361" t="s">
        <v>380</v>
      </c>
      <c r="V3" s="365" t="s">
        <v>330</v>
      </c>
      <c r="W3" s="366" t="s">
        <v>331</v>
      </c>
      <c r="X3" s="365" t="s">
        <v>334</v>
      </c>
      <c r="Y3" s="366" t="s">
        <v>335</v>
      </c>
      <c r="Z3" s="367" t="s">
        <v>336</v>
      </c>
      <c r="AA3" s="368" t="s">
        <v>393</v>
      </c>
      <c r="AB3" s="432" t="s">
        <v>392</v>
      </c>
      <c r="AC3" s="430" t="s">
        <v>391</v>
      </c>
      <c r="AD3" s="430"/>
      <c r="AE3" s="369" t="s">
        <v>401</v>
      </c>
      <c r="AF3" s="369" t="s">
        <v>402</v>
      </c>
      <c r="AG3" s="369" t="s">
        <v>403</v>
      </c>
      <c r="AH3" s="369" t="s">
        <v>404</v>
      </c>
      <c r="AI3" s="368" t="s">
        <v>405</v>
      </c>
      <c r="AJ3" s="368" t="s">
        <v>337</v>
      </c>
      <c r="AK3" s="369" t="s">
        <v>339</v>
      </c>
      <c r="AL3" s="369" t="s">
        <v>338</v>
      </c>
      <c r="AM3" s="370" t="s">
        <v>125</v>
      </c>
      <c r="AN3" s="652" t="s">
        <v>126</v>
      </c>
      <c r="AO3" s="653"/>
      <c r="AP3" s="654"/>
      <c r="AR3" s="371" t="s">
        <v>51</v>
      </c>
      <c r="AS3" s="372"/>
      <c r="AT3" s="371" t="s">
        <v>94</v>
      </c>
      <c r="AU3" s="372"/>
      <c r="AV3" s="373" t="s">
        <v>57</v>
      </c>
      <c r="AW3" s="374"/>
      <c r="AX3" s="372" t="s">
        <v>59</v>
      </c>
      <c r="AY3" s="375" t="s">
        <v>93</v>
      </c>
      <c r="AZ3" s="373" t="s">
        <v>57</v>
      </c>
      <c r="BA3" s="376" t="s">
        <v>59</v>
      </c>
      <c r="BB3" s="377" t="s">
        <v>57</v>
      </c>
      <c r="BC3" s="377" t="s">
        <v>58</v>
      </c>
      <c r="BD3" s="378" t="s">
        <v>59</v>
      </c>
      <c r="BE3" s="379" t="s">
        <v>99</v>
      </c>
      <c r="BF3" s="378" t="s">
        <v>97</v>
      </c>
      <c r="BG3" s="380"/>
      <c r="BI3" s="381"/>
      <c r="BJ3" s="381"/>
      <c r="BK3" s="381"/>
      <c r="BL3" s="381"/>
      <c r="BM3" s="381"/>
    </row>
    <row r="4" spans="1:65" ht="16.5" thickBot="1">
      <c r="A4" s="87"/>
      <c r="B4" s="5"/>
      <c r="C4" s="5"/>
      <c r="D4" s="262"/>
      <c r="E4" s="326">
        <v>1.66</v>
      </c>
      <c r="F4" s="326"/>
      <c r="G4" s="5"/>
      <c r="H4" s="5"/>
      <c r="I4" s="5"/>
      <c r="J4" s="327"/>
      <c r="K4" s="5"/>
      <c r="L4" s="83"/>
      <c r="M4" s="497"/>
      <c r="N4" s="497"/>
      <c r="O4" s="497"/>
      <c r="P4" s="497"/>
      <c r="Q4" s="497"/>
      <c r="R4" s="497"/>
      <c r="S4" s="497"/>
      <c r="T4" s="83"/>
      <c r="U4" s="83"/>
      <c r="V4" s="316"/>
      <c r="W4" s="317"/>
      <c r="X4" s="316"/>
      <c r="Y4" s="317"/>
      <c r="Z4" s="318"/>
      <c r="AA4" s="431"/>
      <c r="AB4" s="433"/>
      <c r="AC4" s="431"/>
      <c r="AD4" s="431"/>
      <c r="AE4" s="431"/>
      <c r="AF4" s="431"/>
      <c r="AG4" s="431"/>
      <c r="AH4" s="431"/>
      <c r="AI4" s="431"/>
      <c r="AJ4" s="319"/>
      <c r="AK4" s="320"/>
      <c r="AL4" s="320"/>
      <c r="AM4" s="321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44469</v>
      </c>
      <c r="B5" s="402">
        <f>[2]WATER!B35</f>
        <v>109443</v>
      </c>
      <c r="C5" s="402">
        <f>[2]WATER!C35</f>
        <v>0</v>
      </c>
      <c r="D5" s="402">
        <f>[2]WATER!D35</f>
        <v>0</v>
      </c>
      <c r="E5" s="402">
        <f>[2]WATER!E35</f>
        <v>250</v>
      </c>
      <c r="F5" s="402">
        <f>[2]WATER!F35</f>
        <v>0</v>
      </c>
      <c r="G5" s="402">
        <f>[2]WATER!G35</f>
        <v>624723</v>
      </c>
      <c r="H5" s="402">
        <f>[2]WATER!H35</f>
        <v>0</v>
      </c>
      <c r="I5" s="402">
        <f>[2]WATER!I35</f>
        <v>0</v>
      </c>
      <c r="J5" s="402">
        <f>[2]WATER!J35</f>
        <v>0</v>
      </c>
      <c r="K5" s="402">
        <f>[2]WATER!K35</f>
        <v>6884</v>
      </c>
      <c r="L5" s="402">
        <f>[2]WATER!L35</f>
        <v>2</v>
      </c>
      <c r="M5" s="402">
        <f>[2]WATER!M35</f>
        <v>457.44</v>
      </c>
      <c r="N5" s="402">
        <f>[2]WATER!N35</f>
        <v>0</v>
      </c>
      <c r="O5" s="402">
        <f>[2]WATER!O35</f>
        <v>529.52</v>
      </c>
      <c r="P5" s="402">
        <f>[2]WATER!P35</f>
        <v>0</v>
      </c>
      <c r="Q5" s="402">
        <f>[2]WATER!Q35</f>
        <v>0</v>
      </c>
      <c r="R5" s="402">
        <f>[2]WATER!R35</f>
        <v>0</v>
      </c>
      <c r="S5" s="402">
        <f>[2]WATER!S35</f>
        <v>0</v>
      </c>
      <c r="T5" s="402">
        <f>[2]WATER!T35</f>
        <v>5180</v>
      </c>
      <c r="U5" s="402">
        <f>[2]WATER!U35</f>
        <v>4</v>
      </c>
      <c r="V5" s="402">
        <f>[2]WATER!V35</f>
        <v>477</v>
      </c>
      <c r="W5" s="402">
        <f>[2]WATER!W35</f>
        <v>1</v>
      </c>
      <c r="X5" s="402">
        <f>[2]WATER!X35</f>
        <v>153815</v>
      </c>
      <c r="Y5" s="402">
        <f>[2]WATER!Y35</f>
        <v>85</v>
      </c>
      <c r="Z5" s="402">
        <f>[2]WATER!Z35</f>
        <v>99258</v>
      </c>
      <c r="AA5" s="402">
        <f>[2]WATER!AA35</f>
        <v>0</v>
      </c>
      <c r="AB5" s="402">
        <f>[2]WATER!AB35</f>
        <v>238</v>
      </c>
      <c r="AC5" s="402">
        <f>[2]WATER!AC35</f>
        <v>779</v>
      </c>
      <c r="AD5" s="402">
        <f>[2]WATER!AD35</f>
        <v>0</v>
      </c>
      <c r="AE5" s="402">
        <f>[2]WATER!AE35</f>
        <v>238.2</v>
      </c>
      <c r="AF5" s="402">
        <f>[2]WATER!AF35</f>
        <v>0</v>
      </c>
      <c r="AG5" s="402">
        <f>[2]WATER!AG35</f>
        <v>2215.8000000000002</v>
      </c>
      <c r="AH5" s="402">
        <f>[2]WATER!AH35</f>
        <v>0</v>
      </c>
      <c r="AI5" s="402">
        <f>[2]WATER!AI35</f>
        <v>0</v>
      </c>
      <c r="AJ5" s="402">
        <f>[2]WATER!AJ35</f>
        <v>0</v>
      </c>
      <c r="AK5" s="402">
        <f>[2]WATER!AK35</f>
        <v>83</v>
      </c>
      <c r="AL5" s="402">
        <f>[2]WATER!AL35</f>
        <v>-1</v>
      </c>
      <c r="AM5" s="402">
        <f>[2]WATER!AM35</f>
        <v>26</v>
      </c>
      <c r="AN5" s="402">
        <f>[2]WATER!AN35</f>
        <v>0</v>
      </c>
      <c r="AO5" s="402">
        <f>[2]WATER!AO35</f>
        <v>0</v>
      </c>
      <c r="AP5" s="402">
        <f>[2]WATER!AP35</f>
        <v>0</v>
      </c>
      <c r="AR5" s="565">
        <f>[2]WATER!$AR$35</f>
        <v>44469</v>
      </c>
      <c r="AS5" s="402">
        <f>[2]WATER!AS35</f>
        <v>0.9</v>
      </c>
      <c r="AT5" s="402">
        <f>[2]WATER!AT35</f>
        <v>107</v>
      </c>
      <c r="AU5" s="402">
        <f>[2]WATER!AU35</f>
        <v>1.1000000000000001</v>
      </c>
      <c r="AV5" s="402">
        <f>[2]WATER!AV35</f>
        <v>155</v>
      </c>
      <c r="AW5" s="402">
        <f>[2]WATER!AW35</f>
        <v>2.9</v>
      </c>
      <c r="AX5" s="402">
        <f>[2]WATER!AX35</f>
        <v>131</v>
      </c>
      <c r="AY5" s="402">
        <f>[2]WATER!AY35</f>
        <v>96.3</v>
      </c>
      <c r="AZ5" s="402">
        <f>[2]WATER!AZ35</f>
        <v>170.5</v>
      </c>
      <c r="BA5" s="402">
        <f>[2]WATER!BA35</f>
        <v>379.9</v>
      </c>
      <c r="BB5" s="402">
        <f>[2]WATER!BB35</f>
        <v>-60.3</v>
      </c>
      <c r="BC5" s="402">
        <f>[2]WATER!BC35</f>
        <v>-2.2000000000000171</v>
      </c>
      <c r="BD5" s="402">
        <f>[2]WATER!BD35</f>
        <v>43.5</v>
      </c>
      <c r="BE5" s="402">
        <f>[2]WATER!BE35</f>
        <v>-19.000000000000014</v>
      </c>
      <c r="BF5" s="402">
        <f>[2]WATER!BF35</f>
        <v>19.000000000000014</v>
      </c>
      <c r="BG5" s="402">
        <f>[2]WATER!BG35</f>
        <v>-19.000000000000014</v>
      </c>
    </row>
    <row r="6" spans="1:65" ht="15.75" thickBot="1">
      <c r="A6" s="6">
        <f>ELEC!C4</f>
        <v>44470</v>
      </c>
      <c r="B6" s="5">
        <f>B5</f>
        <v>109443</v>
      </c>
      <c r="C6" s="5">
        <f>B6-B5</f>
        <v>0</v>
      </c>
      <c r="D6" s="411">
        <f>C6/27</f>
        <v>0</v>
      </c>
      <c r="E6" s="326">
        <f>SUM((C6*$E$4)+(7500/'EDl log'!$A$37))</f>
        <v>241.93548387096774</v>
      </c>
      <c r="F6" s="410"/>
      <c r="G6" s="5">
        <f>G5</f>
        <v>624723</v>
      </c>
      <c r="H6" s="5">
        <f>G6-G5</f>
        <v>0</v>
      </c>
      <c r="I6" s="5">
        <f>C6+H6</f>
        <v>0</v>
      </c>
      <c r="J6" s="327">
        <f t="shared" ref="J6:J33" si="0">IF(I6&gt;0,E6/I6,0)</f>
        <v>0</v>
      </c>
      <c r="K6" s="5">
        <f>'Swimming Pool quality check '!H6</f>
        <v>6884</v>
      </c>
      <c r="L6" s="83">
        <v>0</v>
      </c>
      <c r="M6" s="402">
        <f>M5</f>
        <v>457.44</v>
      </c>
      <c r="N6" s="497">
        <f t="shared" ref="N6:N13" si="1">SUM(M6-M5)</f>
        <v>0</v>
      </c>
      <c r="O6" s="402">
        <f>O5</f>
        <v>529.52</v>
      </c>
      <c r="P6" s="497">
        <f t="shared" ref="P6:P13" si="2">SUM(O6-O5)</f>
        <v>0</v>
      </c>
      <c r="Q6" s="498">
        <f>P6+N6</f>
        <v>0</v>
      </c>
      <c r="R6" s="497"/>
      <c r="S6" s="497"/>
      <c r="T6" s="5">
        <v>5176</v>
      </c>
      <c r="U6" s="5">
        <f t="shared" ref="U6:U33" si="3">SUM(T6-T5)</f>
        <v>-4</v>
      </c>
      <c r="V6" s="5">
        <f>V5</f>
        <v>477</v>
      </c>
      <c r="W6" s="317">
        <f>+V6-V5</f>
        <v>0</v>
      </c>
      <c r="X6" s="5">
        <f>X5</f>
        <v>153815</v>
      </c>
      <c r="Y6" s="317">
        <f>SUM(X6-X5)</f>
        <v>0</v>
      </c>
      <c r="Z6" s="5">
        <v>99258</v>
      </c>
      <c r="AA6" s="83">
        <f>Z6-Z5</f>
        <v>0</v>
      </c>
      <c r="AB6" s="5">
        <f>AB5</f>
        <v>238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19">
        <f>+Z6-Z5</f>
        <v>0</v>
      </c>
      <c r="AK6" s="320">
        <f>SUM(Y6-L6)</f>
        <v>0</v>
      </c>
      <c r="AL6" s="320">
        <f>SUM(AJ6-W6)</f>
        <v>0</v>
      </c>
      <c r="AM6" s="320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72">
        <f>A6</f>
        <v>44470</v>
      </c>
      <c r="AS6" s="416">
        <f>AS5</f>
        <v>0.9</v>
      </c>
      <c r="AT6" s="201">
        <f>AT5</f>
        <v>107</v>
      </c>
      <c r="AU6" s="417">
        <f>AU5</f>
        <v>1.1000000000000001</v>
      </c>
      <c r="AV6" s="201">
        <f>AV5</f>
        <v>155</v>
      </c>
      <c r="AW6" s="5">
        <v>2.9</v>
      </c>
      <c r="AX6" s="201">
        <f>AX5</f>
        <v>131</v>
      </c>
      <c r="AY6" s="418">
        <f>AY5</f>
        <v>96.3</v>
      </c>
      <c r="AZ6" s="418">
        <f>AU6*AV6</f>
        <v>170.5</v>
      </c>
      <c r="BA6" s="418">
        <f>AW6*AX6</f>
        <v>379.9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44471</v>
      </c>
      <c r="B7" s="5">
        <f t="shared" ref="B7:B36" si="6">B6</f>
        <v>109443</v>
      </c>
      <c r="C7" s="5">
        <f t="shared" ref="C7:C33" si="7">B7-B6</f>
        <v>0</v>
      </c>
      <c r="D7" s="411">
        <f t="shared" ref="D7:D33" si="8">C7/27</f>
        <v>0</v>
      </c>
      <c r="E7" s="326">
        <f>SUM((C7*$E$4)+(7500/'EDl log'!$A$37))</f>
        <v>241.93548387096774</v>
      </c>
      <c r="F7" s="410"/>
      <c r="G7" s="5">
        <f t="shared" ref="G7:G36" si="9">G6</f>
        <v>624723</v>
      </c>
      <c r="H7" s="5">
        <f t="shared" ref="H7:H33" si="10">G7-G6</f>
        <v>0</v>
      </c>
      <c r="I7" s="5">
        <f t="shared" ref="I7:I33" si="11">C7+H7</f>
        <v>0</v>
      </c>
      <c r="J7" s="327">
        <f t="shared" si="0"/>
        <v>0</v>
      </c>
      <c r="K7" s="5">
        <f>'Swimming Pool quality check '!H7</f>
        <v>6884</v>
      </c>
      <c r="L7" s="83">
        <f>K7-K6</f>
        <v>0</v>
      </c>
      <c r="M7" s="402">
        <f t="shared" ref="M7:M36" si="12">M6</f>
        <v>457.44</v>
      </c>
      <c r="N7" s="497">
        <f t="shared" si="1"/>
        <v>0</v>
      </c>
      <c r="O7" s="402">
        <f t="shared" ref="O7:O36" si="13">O6</f>
        <v>529.52</v>
      </c>
      <c r="P7" s="497">
        <f t="shared" si="2"/>
        <v>0</v>
      </c>
      <c r="Q7" s="498">
        <f>P7+N7</f>
        <v>0</v>
      </c>
      <c r="R7" s="497"/>
      <c r="S7" s="497"/>
      <c r="T7" s="5">
        <f t="shared" ref="T7:T36" si="14">T6</f>
        <v>5176</v>
      </c>
      <c r="U7" s="5">
        <f t="shared" si="3"/>
        <v>0</v>
      </c>
      <c r="V7" s="5">
        <f t="shared" ref="V7:V36" si="15">V6</f>
        <v>477</v>
      </c>
      <c r="W7" s="317">
        <f t="shared" ref="W7:W33" si="16">+V7-V6</f>
        <v>0</v>
      </c>
      <c r="X7" s="5">
        <f t="shared" ref="X7:X36" si="17">X6</f>
        <v>153815</v>
      </c>
      <c r="Y7" s="317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238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19">
        <f t="shared" ref="AJ7:AJ33" si="27">+Z7-Z6</f>
        <v>0</v>
      </c>
      <c r="AK7" s="320">
        <f>SUM(Y7-L7)</f>
        <v>0</v>
      </c>
      <c r="AL7" s="320">
        <f t="shared" ref="AL7:AL33" si="28">SUM(AJ7-W7)</f>
        <v>0</v>
      </c>
      <c r="AM7" s="320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72">
        <f t="shared" ref="AR7:AR33" si="29">A7</f>
        <v>44471</v>
      </c>
      <c r="AS7" s="416">
        <f t="shared" ref="AS7:AT21" si="30">AS6</f>
        <v>0.9</v>
      </c>
      <c r="AT7" s="201">
        <f t="shared" si="30"/>
        <v>107</v>
      </c>
      <c r="AU7" s="417">
        <f>AU6</f>
        <v>1.1000000000000001</v>
      </c>
      <c r="AV7" s="201">
        <f t="shared" ref="AV7:AV36" si="31">AV6</f>
        <v>155</v>
      </c>
      <c r="AW7" s="5">
        <v>2.9</v>
      </c>
      <c r="AX7" s="201">
        <f t="shared" ref="AX7:AX36" si="32">AX6</f>
        <v>131</v>
      </c>
      <c r="AY7" s="418">
        <f t="shared" ref="AY7:AY35" si="33">AS7*AT7</f>
        <v>96.3</v>
      </c>
      <c r="AZ7" s="418">
        <f t="shared" ref="AZ7:AZ33" si="34">AU7*AV7</f>
        <v>170.5</v>
      </c>
      <c r="BA7" s="418">
        <f t="shared" ref="BA7:BA33" si="35">AW7*AX7</f>
        <v>379.9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44472</v>
      </c>
      <c r="B8" s="5">
        <f t="shared" si="6"/>
        <v>109443</v>
      </c>
      <c r="C8" s="5">
        <f>B8-B7</f>
        <v>0</v>
      </c>
      <c r="D8" s="411">
        <f t="shared" si="8"/>
        <v>0</v>
      </c>
      <c r="E8" s="326">
        <f>SUM((C8*$E$4)+(7500/'EDl log'!$A$37))</f>
        <v>241.93548387096774</v>
      </c>
      <c r="F8" s="410"/>
      <c r="G8" s="5">
        <f t="shared" si="9"/>
        <v>624723</v>
      </c>
      <c r="H8" s="5">
        <f t="shared" si="10"/>
        <v>0</v>
      </c>
      <c r="I8" s="5">
        <f t="shared" si="11"/>
        <v>0</v>
      </c>
      <c r="J8" s="327">
        <f t="shared" si="0"/>
        <v>0</v>
      </c>
      <c r="K8" s="5">
        <f>'Swimming Pool quality check '!H8</f>
        <v>6886</v>
      </c>
      <c r="L8" s="83">
        <f>K8-K7</f>
        <v>2</v>
      </c>
      <c r="M8" s="402">
        <f t="shared" si="12"/>
        <v>457.44</v>
      </c>
      <c r="N8" s="497">
        <f t="shared" si="1"/>
        <v>0</v>
      </c>
      <c r="O8" s="402">
        <f t="shared" si="13"/>
        <v>529.52</v>
      </c>
      <c r="P8" s="497">
        <f t="shared" si="2"/>
        <v>0</v>
      </c>
      <c r="Q8" s="498">
        <f>P8+N8</f>
        <v>0</v>
      </c>
      <c r="R8" s="497"/>
      <c r="S8" s="497"/>
      <c r="T8" s="5">
        <f t="shared" si="14"/>
        <v>5176</v>
      </c>
      <c r="U8" s="5">
        <f t="shared" si="3"/>
        <v>0</v>
      </c>
      <c r="V8" s="5">
        <f t="shared" si="15"/>
        <v>477</v>
      </c>
      <c r="W8" s="317">
        <f t="shared" si="16"/>
        <v>0</v>
      </c>
      <c r="X8" s="5">
        <f t="shared" si="17"/>
        <v>153815</v>
      </c>
      <c r="Y8" s="317">
        <f>SUM(X8-X7)</f>
        <v>0</v>
      </c>
      <c r="Z8" s="5">
        <f t="shared" si="18"/>
        <v>99258</v>
      </c>
      <c r="AA8" s="83">
        <f t="shared" si="19"/>
        <v>0</v>
      </c>
      <c r="AB8" s="5">
        <v>244</v>
      </c>
      <c r="AC8" s="5">
        <f t="shared" si="21"/>
        <v>779</v>
      </c>
      <c r="AD8" s="83">
        <f t="shared" ref="AD8:AD33" si="39">AC8-AC7</f>
        <v>0</v>
      </c>
      <c r="AE8" s="5">
        <v>239.06</v>
      </c>
      <c r="AF8" s="83">
        <f t="shared" si="23"/>
        <v>0.86000000000001364</v>
      </c>
      <c r="AG8" s="5">
        <v>2217.6999999999998</v>
      </c>
      <c r="AH8" s="83">
        <f t="shared" si="25"/>
        <v>1.8999999999996362</v>
      </c>
      <c r="AI8" s="83">
        <f t="shared" si="26"/>
        <v>2.7599999999996498</v>
      </c>
      <c r="AJ8" s="319">
        <f t="shared" si="27"/>
        <v>0</v>
      </c>
      <c r="AK8" s="320">
        <f t="shared" ref="AK8:AK33" si="40">SUM(Y8-L8)</f>
        <v>-2</v>
      </c>
      <c r="AL8" s="320">
        <f t="shared" si="28"/>
        <v>0</v>
      </c>
      <c r="AM8" s="320">
        <f>'General information '!D7</f>
        <v>26</v>
      </c>
      <c r="AN8" s="84">
        <f>'General information '!H7</f>
        <v>0</v>
      </c>
      <c r="AO8" s="84"/>
      <c r="AP8" s="84">
        <f>'General information '!J7</f>
        <v>0</v>
      </c>
      <c r="AQ8" s="81"/>
      <c r="AR8" s="272">
        <f t="shared" si="29"/>
        <v>44472</v>
      </c>
      <c r="AS8" s="416">
        <f t="shared" si="30"/>
        <v>0.9</v>
      </c>
      <c r="AT8" s="201">
        <v>120</v>
      </c>
      <c r="AU8" s="417">
        <v>1.1000000000000001</v>
      </c>
      <c r="AV8" s="201">
        <v>154</v>
      </c>
      <c r="AW8" s="5">
        <v>2.9</v>
      </c>
      <c r="AX8" s="201">
        <v>125</v>
      </c>
      <c r="AY8" s="418">
        <f t="shared" si="33"/>
        <v>108</v>
      </c>
      <c r="AZ8" s="418">
        <f t="shared" si="34"/>
        <v>169.4</v>
      </c>
      <c r="BA8" s="418">
        <f t="shared" si="35"/>
        <v>362.5</v>
      </c>
      <c r="BB8" s="21">
        <f t="shared" si="36"/>
        <v>11.700000000000003</v>
      </c>
      <c r="BC8" s="21">
        <f t="shared" si="37"/>
        <v>-1.0999999999999943</v>
      </c>
      <c r="BD8" s="21">
        <f t="shared" si="37"/>
        <v>-17.399999999999977</v>
      </c>
      <c r="BE8" s="24">
        <f t="shared" si="38"/>
        <v>-6.7999999999999687</v>
      </c>
      <c r="BF8" s="96">
        <f t="shared" si="4"/>
        <v>6.7999999999999687</v>
      </c>
      <c r="BG8" s="82">
        <f t="shared" si="5"/>
        <v>-6.7999999999999687</v>
      </c>
      <c r="BI8" s="86"/>
      <c r="BJ8" s="17"/>
      <c r="BK8" s="17"/>
    </row>
    <row r="9" spans="1:65" ht="15.75" thickBot="1">
      <c r="A9" s="6">
        <f>ELEC!C7</f>
        <v>44473</v>
      </c>
      <c r="B9" s="5">
        <f t="shared" si="6"/>
        <v>109443</v>
      </c>
      <c r="C9" s="5">
        <f t="shared" si="7"/>
        <v>0</v>
      </c>
      <c r="D9" s="411">
        <f t="shared" si="8"/>
        <v>0</v>
      </c>
      <c r="E9" s="326">
        <f>SUM((C9*$E$4)+(7500/'EDl log'!$A$37))</f>
        <v>241.93548387096774</v>
      </c>
      <c r="F9" s="410"/>
      <c r="G9" s="5">
        <v>624793</v>
      </c>
      <c r="H9" s="5">
        <f t="shared" si="10"/>
        <v>70</v>
      </c>
      <c r="I9" s="5">
        <f t="shared" si="11"/>
        <v>70</v>
      </c>
      <c r="J9" s="327">
        <f t="shared" si="0"/>
        <v>3.4562211981566819</v>
      </c>
      <c r="K9" s="5">
        <f>'Swimming Pool quality check '!H9</f>
        <v>6888</v>
      </c>
      <c r="L9" s="83">
        <f t="shared" ref="L9:L33" si="41">K9-K8</f>
        <v>2</v>
      </c>
      <c r="M9" s="402">
        <f t="shared" si="12"/>
        <v>457.44</v>
      </c>
      <c r="N9" s="497">
        <f t="shared" si="1"/>
        <v>0</v>
      </c>
      <c r="O9" s="402">
        <f t="shared" si="13"/>
        <v>529.52</v>
      </c>
      <c r="P9" s="497">
        <f t="shared" si="2"/>
        <v>0</v>
      </c>
      <c r="Q9" s="498">
        <f>P9+N9</f>
        <v>0</v>
      </c>
      <c r="R9" s="497"/>
      <c r="S9" s="497"/>
      <c r="T9" s="5">
        <f t="shared" si="14"/>
        <v>5176</v>
      </c>
      <c r="U9" s="5">
        <f t="shared" si="3"/>
        <v>0</v>
      </c>
      <c r="V9" s="5">
        <f t="shared" si="15"/>
        <v>477</v>
      </c>
      <c r="W9" s="317">
        <f t="shared" si="16"/>
        <v>0</v>
      </c>
      <c r="X9" s="5">
        <f t="shared" si="17"/>
        <v>153815</v>
      </c>
      <c r="Y9" s="317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244</v>
      </c>
      <c r="AC9" s="5">
        <v>781</v>
      </c>
      <c r="AD9" s="83">
        <f t="shared" si="39"/>
        <v>2</v>
      </c>
      <c r="AE9" s="5">
        <f t="shared" si="22"/>
        <v>239.06</v>
      </c>
      <c r="AF9" s="83">
        <f t="shared" si="23"/>
        <v>0</v>
      </c>
      <c r="AG9" s="5">
        <f t="shared" si="24"/>
        <v>2217.6999999999998</v>
      </c>
      <c r="AH9" s="83">
        <f t="shared" si="25"/>
        <v>0</v>
      </c>
      <c r="AI9" s="83">
        <f t="shared" si="26"/>
        <v>0</v>
      </c>
      <c r="AJ9" s="319">
        <f t="shared" si="27"/>
        <v>0</v>
      </c>
      <c r="AK9" s="320">
        <f t="shared" si="40"/>
        <v>-2</v>
      </c>
      <c r="AL9" s="320">
        <f t="shared" si="28"/>
        <v>0</v>
      </c>
      <c r="AM9" s="320">
        <f>'General information '!D8</f>
        <v>25.5</v>
      </c>
      <c r="AN9" s="84">
        <f>'General information '!H8</f>
        <v>0</v>
      </c>
      <c r="AO9" s="84"/>
      <c r="AP9" s="84">
        <f>'General information '!J8</f>
        <v>0</v>
      </c>
      <c r="AQ9" s="81"/>
      <c r="AR9" s="272">
        <f t="shared" si="29"/>
        <v>44473</v>
      </c>
      <c r="AS9" s="416">
        <f t="shared" si="30"/>
        <v>0.9</v>
      </c>
      <c r="AT9" s="201">
        <v>135</v>
      </c>
      <c r="AU9" s="417">
        <f t="shared" ref="AU9:AU33" si="43">AU8</f>
        <v>1.1000000000000001</v>
      </c>
      <c r="AV9" s="201">
        <v>160</v>
      </c>
      <c r="AW9" s="5">
        <v>2.9</v>
      </c>
      <c r="AX9" s="201">
        <v>125</v>
      </c>
      <c r="AY9" s="418">
        <f t="shared" si="33"/>
        <v>121.5</v>
      </c>
      <c r="AZ9" s="418">
        <f t="shared" si="34"/>
        <v>176</v>
      </c>
      <c r="BA9" s="418">
        <f t="shared" si="35"/>
        <v>362.5</v>
      </c>
      <c r="BB9" s="21">
        <f t="shared" si="36"/>
        <v>13.5</v>
      </c>
      <c r="BC9" s="21">
        <f t="shared" si="37"/>
        <v>6.5999999999999943</v>
      </c>
      <c r="BD9" s="21">
        <f t="shared" si="37"/>
        <v>0</v>
      </c>
      <c r="BE9" s="24">
        <f t="shared" si="38"/>
        <v>20.099999999999994</v>
      </c>
      <c r="BF9" s="338">
        <f t="shared" si="4"/>
        <v>49.900000000000006</v>
      </c>
      <c r="BG9" s="82">
        <f t="shared" si="5"/>
        <v>20.099999999999994</v>
      </c>
    </row>
    <row r="10" spans="1:65" ht="15.75" thickBot="1">
      <c r="A10" s="6">
        <f>ELEC!C8</f>
        <v>44474</v>
      </c>
      <c r="B10" s="5">
        <f t="shared" si="6"/>
        <v>109443</v>
      </c>
      <c r="C10" s="5">
        <f t="shared" si="7"/>
        <v>0</v>
      </c>
      <c r="D10" s="411">
        <f t="shared" si="8"/>
        <v>0</v>
      </c>
      <c r="E10" s="326">
        <f>SUM((C10*$E$4)+(7500/'EDl log'!$A$37))</f>
        <v>241.93548387096774</v>
      </c>
      <c r="F10" s="410"/>
      <c r="G10" s="5">
        <f t="shared" si="9"/>
        <v>624793</v>
      </c>
      <c r="H10" s="5">
        <f t="shared" si="10"/>
        <v>0</v>
      </c>
      <c r="I10" s="5">
        <f t="shared" si="11"/>
        <v>0</v>
      </c>
      <c r="J10" s="327">
        <f t="shared" si="0"/>
        <v>0</v>
      </c>
      <c r="K10" s="5">
        <f>'Swimming Pool quality check '!H10</f>
        <v>6888</v>
      </c>
      <c r="L10" s="83">
        <f>K10-K9</f>
        <v>0</v>
      </c>
      <c r="M10" s="402">
        <f t="shared" si="12"/>
        <v>457.44</v>
      </c>
      <c r="N10" s="497">
        <f t="shared" si="1"/>
        <v>0</v>
      </c>
      <c r="O10" s="402">
        <f t="shared" si="13"/>
        <v>529.52</v>
      </c>
      <c r="P10" s="497">
        <f t="shared" si="2"/>
        <v>0</v>
      </c>
      <c r="Q10" s="498">
        <f>P10+N10</f>
        <v>0</v>
      </c>
      <c r="R10" s="497"/>
      <c r="S10" s="497"/>
      <c r="T10" s="5">
        <f t="shared" si="14"/>
        <v>5176</v>
      </c>
      <c r="U10" s="5">
        <f t="shared" si="3"/>
        <v>0</v>
      </c>
      <c r="V10" s="5">
        <f t="shared" si="15"/>
        <v>477</v>
      </c>
      <c r="W10" s="317">
        <f t="shared" si="16"/>
        <v>0</v>
      </c>
      <c r="X10" s="5">
        <f t="shared" si="17"/>
        <v>153815</v>
      </c>
      <c r="Y10" s="317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244</v>
      </c>
      <c r="AC10" s="5">
        <f t="shared" si="21"/>
        <v>781</v>
      </c>
      <c r="AD10" s="83">
        <f t="shared" si="39"/>
        <v>0</v>
      </c>
      <c r="AE10" s="5">
        <f t="shared" si="22"/>
        <v>239.06</v>
      </c>
      <c r="AF10" s="83">
        <f t="shared" si="23"/>
        <v>0</v>
      </c>
      <c r="AG10" s="5">
        <f t="shared" si="24"/>
        <v>2217.6999999999998</v>
      </c>
      <c r="AH10" s="83">
        <f t="shared" si="25"/>
        <v>0</v>
      </c>
      <c r="AI10" s="83">
        <f t="shared" si="26"/>
        <v>0</v>
      </c>
      <c r="AJ10" s="319">
        <f t="shared" si="27"/>
        <v>0</v>
      </c>
      <c r="AK10" s="320">
        <f>SUM(Y10-L10)</f>
        <v>0</v>
      </c>
      <c r="AL10" s="320">
        <f t="shared" si="28"/>
        <v>0</v>
      </c>
      <c r="AM10" s="320">
        <f>'General information '!D9</f>
        <v>25.5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72">
        <f t="shared" si="29"/>
        <v>44474</v>
      </c>
      <c r="AS10" s="416">
        <f t="shared" si="30"/>
        <v>0.9</v>
      </c>
      <c r="AT10" s="201">
        <v>134</v>
      </c>
      <c r="AU10" s="417">
        <f t="shared" si="43"/>
        <v>1.1000000000000001</v>
      </c>
      <c r="AV10" s="201">
        <v>158</v>
      </c>
      <c r="AW10" s="5">
        <v>2.9</v>
      </c>
      <c r="AX10" s="201">
        <v>119</v>
      </c>
      <c r="AY10" s="418">
        <f t="shared" si="33"/>
        <v>120.60000000000001</v>
      </c>
      <c r="AZ10" s="418">
        <f t="shared" si="34"/>
        <v>173.8</v>
      </c>
      <c r="BA10" s="418">
        <f t="shared" si="35"/>
        <v>345.09999999999997</v>
      </c>
      <c r="BB10" s="21">
        <f t="shared" si="36"/>
        <v>-0.89999999999999147</v>
      </c>
      <c r="BC10" s="21">
        <f t="shared" si="37"/>
        <v>-2.1999999999999886</v>
      </c>
      <c r="BD10" s="21">
        <f t="shared" si="37"/>
        <v>-17.400000000000034</v>
      </c>
      <c r="BE10" s="24">
        <f t="shared" si="38"/>
        <v>-20.500000000000014</v>
      </c>
      <c r="BF10" s="96">
        <f t="shared" si="4"/>
        <v>20.500000000000014</v>
      </c>
      <c r="BG10" s="82">
        <f t="shared" si="5"/>
        <v>-20.500000000000014</v>
      </c>
    </row>
    <row r="11" spans="1:65" ht="15.75" thickBot="1">
      <c r="A11" s="6">
        <f>ELEC!C9</f>
        <v>44475</v>
      </c>
      <c r="B11" s="5">
        <f t="shared" si="6"/>
        <v>109443</v>
      </c>
      <c r="C11" s="5">
        <f t="shared" si="7"/>
        <v>0</v>
      </c>
      <c r="D11" s="411">
        <f t="shared" si="8"/>
        <v>0</v>
      </c>
      <c r="E11" s="326">
        <f>SUM((C11*$E$4)+(7500/'EDl log'!$A$37))</f>
        <v>241.93548387096774</v>
      </c>
      <c r="F11" s="410"/>
      <c r="G11" s="5">
        <f t="shared" si="9"/>
        <v>624793</v>
      </c>
      <c r="H11" s="5">
        <f t="shared" si="10"/>
        <v>0</v>
      </c>
      <c r="I11" s="5">
        <f t="shared" si="11"/>
        <v>0</v>
      </c>
      <c r="J11" s="327">
        <f t="shared" si="0"/>
        <v>0</v>
      </c>
      <c r="K11" s="5">
        <f>'Swimming Pool quality check '!H11</f>
        <v>6890</v>
      </c>
      <c r="L11" s="83">
        <f t="shared" si="41"/>
        <v>2</v>
      </c>
      <c r="M11" s="402">
        <f t="shared" si="12"/>
        <v>457.44</v>
      </c>
      <c r="N11" s="497">
        <f t="shared" si="1"/>
        <v>0</v>
      </c>
      <c r="O11" s="402">
        <f t="shared" si="13"/>
        <v>529.52</v>
      </c>
      <c r="P11" s="497">
        <f t="shared" si="2"/>
        <v>0</v>
      </c>
      <c r="Q11" s="497">
        <f>SUM(P11+N11)</f>
        <v>0</v>
      </c>
      <c r="R11" s="497"/>
      <c r="S11" s="497"/>
      <c r="T11" s="5">
        <f t="shared" si="14"/>
        <v>5176</v>
      </c>
      <c r="U11" s="5">
        <f t="shared" si="3"/>
        <v>0</v>
      </c>
      <c r="V11" s="5">
        <f t="shared" si="15"/>
        <v>477</v>
      </c>
      <c r="W11" s="317">
        <f t="shared" si="16"/>
        <v>0</v>
      </c>
      <c r="X11" s="5">
        <f t="shared" si="17"/>
        <v>153815</v>
      </c>
      <c r="Y11" s="317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244</v>
      </c>
      <c r="AC11" s="5">
        <f t="shared" si="21"/>
        <v>781</v>
      </c>
      <c r="AD11" s="83">
        <f t="shared" si="39"/>
        <v>0</v>
      </c>
      <c r="AE11" s="5">
        <f t="shared" si="22"/>
        <v>239.06</v>
      </c>
      <c r="AF11" s="83">
        <f t="shared" si="23"/>
        <v>0</v>
      </c>
      <c r="AG11" s="5">
        <f t="shared" si="24"/>
        <v>2217.6999999999998</v>
      </c>
      <c r="AH11" s="83">
        <f t="shared" si="25"/>
        <v>0</v>
      </c>
      <c r="AI11" s="83">
        <f t="shared" si="26"/>
        <v>0</v>
      </c>
      <c r="AJ11" s="319">
        <f t="shared" si="27"/>
        <v>0</v>
      </c>
      <c r="AK11" s="320">
        <f t="shared" si="40"/>
        <v>-2</v>
      </c>
      <c r="AL11" s="320">
        <f t="shared" si="28"/>
        <v>0</v>
      </c>
      <c r="AM11" s="320">
        <f>'General information '!D10</f>
        <v>25.5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72">
        <f t="shared" si="29"/>
        <v>44475</v>
      </c>
      <c r="AS11" s="416">
        <f t="shared" si="30"/>
        <v>0.9</v>
      </c>
      <c r="AT11" s="201">
        <v>125</v>
      </c>
      <c r="AU11" s="417">
        <f t="shared" si="43"/>
        <v>1.1000000000000001</v>
      </c>
      <c r="AV11" s="201">
        <v>162</v>
      </c>
      <c r="AW11" s="5">
        <v>2.9</v>
      </c>
      <c r="AX11" s="201">
        <v>115</v>
      </c>
      <c r="AY11" s="418">
        <f t="shared" si="33"/>
        <v>112.5</v>
      </c>
      <c r="AZ11" s="418">
        <f t="shared" si="34"/>
        <v>178.20000000000002</v>
      </c>
      <c r="BA11" s="418">
        <f t="shared" si="35"/>
        <v>333.5</v>
      </c>
      <c r="BB11" s="21">
        <f t="shared" si="36"/>
        <v>-8.1000000000000085</v>
      </c>
      <c r="BC11" s="21">
        <f t="shared" si="37"/>
        <v>4.4000000000000057</v>
      </c>
      <c r="BD11" s="21">
        <f t="shared" si="37"/>
        <v>-11.599999999999966</v>
      </c>
      <c r="BE11" s="24">
        <f t="shared" si="38"/>
        <v>-15.299999999999969</v>
      </c>
      <c r="BF11" s="96">
        <f t="shared" si="4"/>
        <v>15.299999999999969</v>
      </c>
      <c r="BG11" s="82">
        <f t="shared" si="5"/>
        <v>-15.299999999999969</v>
      </c>
    </row>
    <row r="12" spans="1:65" ht="15.75" thickBot="1">
      <c r="A12" s="6">
        <f>ELEC!C10</f>
        <v>44476</v>
      </c>
      <c r="B12" s="5">
        <f t="shared" si="6"/>
        <v>109443</v>
      </c>
      <c r="C12" s="5">
        <f>B12-B11</f>
        <v>0</v>
      </c>
      <c r="D12" s="411">
        <f t="shared" si="8"/>
        <v>0</v>
      </c>
      <c r="E12" s="326">
        <f>SUM((C12*$E$4)+(7500/'EDl log'!$A$37))</f>
        <v>241.93548387096774</v>
      </c>
      <c r="F12" s="410"/>
      <c r="G12" s="5">
        <v>624866</v>
      </c>
      <c r="H12" s="5">
        <f t="shared" si="10"/>
        <v>73</v>
      </c>
      <c r="I12" s="5">
        <f t="shared" si="11"/>
        <v>73</v>
      </c>
      <c r="J12" s="327">
        <f t="shared" si="0"/>
        <v>3.3141847105612019</v>
      </c>
      <c r="K12" s="5">
        <f>'Swimming Pool quality check '!H12</f>
        <v>6890</v>
      </c>
      <c r="L12" s="83">
        <f t="shared" si="41"/>
        <v>0</v>
      </c>
      <c r="M12" s="402">
        <f t="shared" si="12"/>
        <v>457.44</v>
      </c>
      <c r="N12" s="497">
        <f t="shared" si="1"/>
        <v>0</v>
      </c>
      <c r="O12" s="402">
        <f t="shared" si="13"/>
        <v>529.52</v>
      </c>
      <c r="P12" s="497">
        <f t="shared" si="2"/>
        <v>0</v>
      </c>
      <c r="Q12" s="497">
        <f>SUM(P12+N12)</f>
        <v>0</v>
      </c>
      <c r="R12" s="497"/>
      <c r="S12" s="497"/>
      <c r="T12" s="5">
        <f t="shared" si="14"/>
        <v>5176</v>
      </c>
      <c r="U12" s="5">
        <f t="shared" si="3"/>
        <v>0</v>
      </c>
      <c r="V12" s="5">
        <f t="shared" si="15"/>
        <v>477</v>
      </c>
      <c r="W12" s="317">
        <f t="shared" si="16"/>
        <v>0</v>
      </c>
      <c r="X12" s="5">
        <f t="shared" si="17"/>
        <v>153815</v>
      </c>
      <c r="Y12" s="317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244</v>
      </c>
      <c r="AC12" s="5">
        <f t="shared" si="21"/>
        <v>781</v>
      </c>
      <c r="AD12" s="83">
        <f t="shared" si="39"/>
        <v>0</v>
      </c>
      <c r="AE12" s="5">
        <f t="shared" si="22"/>
        <v>239.06</v>
      </c>
      <c r="AF12" s="83">
        <f t="shared" si="23"/>
        <v>0</v>
      </c>
      <c r="AG12" s="5">
        <f t="shared" si="24"/>
        <v>2217.6999999999998</v>
      </c>
      <c r="AH12" s="83">
        <f t="shared" si="25"/>
        <v>0</v>
      </c>
      <c r="AI12" s="83">
        <f t="shared" si="26"/>
        <v>0</v>
      </c>
      <c r="AJ12" s="319">
        <f t="shared" si="27"/>
        <v>0</v>
      </c>
      <c r="AK12" s="320">
        <f t="shared" si="40"/>
        <v>0</v>
      </c>
      <c r="AL12" s="320">
        <f t="shared" si="28"/>
        <v>0</v>
      </c>
      <c r="AM12" s="320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72">
        <f t="shared" si="29"/>
        <v>44476</v>
      </c>
      <c r="AS12" s="416">
        <f t="shared" si="30"/>
        <v>0.9</v>
      </c>
      <c r="AT12" s="201">
        <f t="shared" si="30"/>
        <v>125</v>
      </c>
      <c r="AU12" s="417">
        <f t="shared" si="43"/>
        <v>1.1000000000000001</v>
      </c>
      <c r="AV12" s="201">
        <f t="shared" si="31"/>
        <v>162</v>
      </c>
      <c r="AW12" s="5">
        <v>2.9</v>
      </c>
      <c r="AX12" s="201">
        <v>112</v>
      </c>
      <c r="AY12" s="418">
        <f t="shared" si="33"/>
        <v>112.5</v>
      </c>
      <c r="AZ12" s="418">
        <f t="shared" si="34"/>
        <v>178.20000000000002</v>
      </c>
      <c r="BA12" s="418">
        <f t="shared" si="35"/>
        <v>324.8</v>
      </c>
      <c r="BB12" s="21">
        <f t="shared" si="36"/>
        <v>0</v>
      </c>
      <c r="BC12" s="21">
        <f t="shared" si="37"/>
        <v>0</v>
      </c>
      <c r="BD12" s="21">
        <f t="shared" si="37"/>
        <v>-8.6999999999999886</v>
      </c>
      <c r="BE12" s="24">
        <f t="shared" si="38"/>
        <v>-8.6999999999999886</v>
      </c>
      <c r="BF12" s="96">
        <f t="shared" si="4"/>
        <v>81.699999999999989</v>
      </c>
      <c r="BG12" s="82">
        <f t="shared" si="5"/>
        <v>-8.6999999999999886</v>
      </c>
    </row>
    <row r="13" spans="1:65" ht="15.75" thickBot="1">
      <c r="A13" s="6">
        <f>ELEC!C11</f>
        <v>44477</v>
      </c>
      <c r="B13" s="5">
        <f t="shared" si="6"/>
        <v>109443</v>
      </c>
      <c r="C13" s="5">
        <f t="shared" si="7"/>
        <v>0</v>
      </c>
      <c r="D13" s="411">
        <f t="shared" si="8"/>
        <v>0</v>
      </c>
      <c r="E13" s="326">
        <f>SUM((C13*$E$4)+(7500/'EDl log'!$A$37))</f>
        <v>241.93548387096774</v>
      </c>
      <c r="F13" s="410"/>
      <c r="G13" s="5">
        <f t="shared" si="9"/>
        <v>624866</v>
      </c>
      <c r="H13" s="5">
        <f t="shared" si="10"/>
        <v>0</v>
      </c>
      <c r="I13" s="5">
        <f t="shared" si="11"/>
        <v>0</v>
      </c>
      <c r="J13" s="327">
        <f t="shared" si="0"/>
        <v>0</v>
      </c>
      <c r="K13" s="5">
        <f>'Swimming Pool quality check '!H13</f>
        <v>6890</v>
      </c>
      <c r="L13" s="83">
        <f t="shared" si="41"/>
        <v>0</v>
      </c>
      <c r="M13" s="402">
        <f t="shared" si="12"/>
        <v>457.44</v>
      </c>
      <c r="N13" s="497">
        <f t="shared" si="1"/>
        <v>0</v>
      </c>
      <c r="O13" s="402">
        <f t="shared" si="13"/>
        <v>529.52</v>
      </c>
      <c r="P13" s="497">
        <f t="shared" si="2"/>
        <v>0</v>
      </c>
      <c r="Q13" s="497">
        <f>SUM(P13+N13)</f>
        <v>0</v>
      </c>
      <c r="R13" s="497"/>
      <c r="S13" s="497"/>
      <c r="T13" s="5">
        <f t="shared" si="14"/>
        <v>5176</v>
      </c>
      <c r="U13" s="5">
        <f t="shared" si="3"/>
        <v>0</v>
      </c>
      <c r="V13" s="5">
        <f t="shared" si="15"/>
        <v>477</v>
      </c>
      <c r="W13" s="317">
        <f t="shared" si="16"/>
        <v>0</v>
      </c>
      <c r="X13" s="5">
        <f t="shared" si="17"/>
        <v>153815</v>
      </c>
      <c r="Y13" s="317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244</v>
      </c>
      <c r="AC13" s="5">
        <f t="shared" si="21"/>
        <v>781</v>
      </c>
      <c r="AD13" s="83">
        <f t="shared" si="39"/>
        <v>0</v>
      </c>
      <c r="AE13" s="5">
        <f t="shared" si="22"/>
        <v>239.06</v>
      </c>
      <c r="AF13" s="83">
        <f t="shared" si="23"/>
        <v>0</v>
      </c>
      <c r="AG13" s="5">
        <f t="shared" si="24"/>
        <v>2217.6999999999998</v>
      </c>
      <c r="AH13" s="83">
        <f t="shared" si="25"/>
        <v>0</v>
      </c>
      <c r="AI13" s="83">
        <f t="shared" si="26"/>
        <v>0</v>
      </c>
      <c r="AJ13" s="319">
        <f t="shared" si="27"/>
        <v>0</v>
      </c>
      <c r="AK13" s="320">
        <f t="shared" si="40"/>
        <v>0</v>
      </c>
      <c r="AL13" s="320">
        <f t="shared" si="28"/>
        <v>0</v>
      </c>
      <c r="AM13" s="320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72">
        <f t="shared" si="29"/>
        <v>44477</v>
      </c>
      <c r="AS13" s="416">
        <f t="shared" si="30"/>
        <v>0.9</v>
      </c>
      <c r="AT13" s="201">
        <f t="shared" si="30"/>
        <v>125</v>
      </c>
      <c r="AU13" s="417">
        <f t="shared" si="43"/>
        <v>1.1000000000000001</v>
      </c>
      <c r="AV13" s="201">
        <f t="shared" si="31"/>
        <v>162</v>
      </c>
      <c r="AW13" s="5">
        <v>2.9</v>
      </c>
      <c r="AX13" s="201">
        <f t="shared" si="32"/>
        <v>112</v>
      </c>
      <c r="AY13" s="418">
        <f t="shared" si="33"/>
        <v>112.5</v>
      </c>
      <c r="AZ13" s="418">
        <f t="shared" si="34"/>
        <v>178.20000000000002</v>
      </c>
      <c r="BA13" s="418">
        <f t="shared" si="35"/>
        <v>324.8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44478</v>
      </c>
      <c r="B14" s="5">
        <f t="shared" si="6"/>
        <v>109443</v>
      </c>
      <c r="C14" s="5">
        <f t="shared" si="7"/>
        <v>0</v>
      </c>
      <c r="D14" s="411">
        <f t="shared" si="8"/>
        <v>0</v>
      </c>
      <c r="E14" s="326">
        <f>SUM((C14*$E$4)+(7500/'EDl log'!$A$37))</f>
        <v>241.93548387096774</v>
      </c>
      <c r="F14" s="410"/>
      <c r="G14" s="5">
        <f t="shared" si="9"/>
        <v>624866</v>
      </c>
      <c r="H14" s="5">
        <f t="shared" si="10"/>
        <v>0</v>
      </c>
      <c r="I14" s="5">
        <f t="shared" si="11"/>
        <v>0</v>
      </c>
      <c r="J14" s="327">
        <f t="shared" si="0"/>
        <v>0</v>
      </c>
      <c r="K14" s="5">
        <f>'Swimming Pool quality check '!H14</f>
        <v>6890</v>
      </c>
      <c r="L14" s="83">
        <f t="shared" si="41"/>
        <v>0</v>
      </c>
      <c r="M14" s="402">
        <f t="shared" si="12"/>
        <v>457.44</v>
      </c>
      <c r="N14" s="497">
        <f t="shared" ref="N14:N33" si="44">SUM(M14-M13)</f>
        <v>0</v>
      </c>
      <c r="O14" s="402">
        <f t="shared" si="13"/>
        <v>529.52</v>
      </c>
      <c r="P14" s="497">
        <f t="shared" ref="P14:P33" si="45">SUM(O14-O13)</f>
        <v>0</v>
      </c>
      <c r="Q14" s="497">
        <f t="shared" ref="Q14:Q33" si="46">SUM(P14+N14)</f>
        <v>0</v>
      </c>
      <c r="R14" s="497"/>
      <c r="S14" s="497"/>
      <c r="T14" s="5">
        <f t="shared" si="14"/>
        <v>5176</v>
      </c>
      <c r="U14" s="5">
        <f t="shared" si="3"/>
        <v>0</v>
      </c>
      <c r="V14" s="5">
        <f t="shared" si="15"/>
        <v>477</v>
      </c>
      <c r="W14" s="317">
        <f t="shared" si="16"/>
        <v>0</v>
      </c>
      <c r="X14" s="5">
        <f t="shared" si="17"/>
        <v>153815</v>
      </c>
      <c r="Y14" s="317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244</v>
      </c>
      <c r="AC14" s="5">
        <f t="shared" si="21"/>
        <v>781</v>
      </c>
      <c r="AD14" s="83">
        <f t="shared" si="39"/>
        <v>0</v>
      </c>
      <c r="AE14" s="5">
        <f t="shared" si="22"/>
        <v>239.06</v>
      </c>
      <c r="AF14" s="83">
        <f t="shared" si="23"/>
        <v>0</v>
      </c>
      <c r="AG14" s="5">
        <f t="shared" si="24"/>
        <v>2217.6999999999998</v>
      </c>
      <c r="AH14" s="83">
        <f t="shared" si="25"/>
        <v>0</v>
      </c>
      <c r="AI14" s="83">
        <f t="shared" si="26"/>
        <v>0</v>
      </c>
      <c r="AJ14" s="319">
        <f t="shared" si="27"/>
        <v>0</v>
      </c>
      <c r="AK14" s="320">
        <f t="shared" si="40"/>
        <v>0</v>
      </c>
      <c r="AL14" s="320">
        <f t="shared" si="28"/>
        <v>0</v>
      </c>
      <c r="AM14" s="320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72">
        <f t="shared" si="29"/>
        <v>44478</v>
      </c>
      <c r="AS14" s="416">
        <f t="shared" si="30"/>
        <v>0.9</v>
      </c>
      <c r="AT14" s="201">
        <f t="shared" si="30"/>
        <v>125</v>
      </c>
      <c r="AU14" s="417">
        <f t="shared" si="43"/>
        <v>1.1000000000000001</v>
      </c>
      <c r="AV14" s="201">
        <f t="shared" si="31"/>
        <v>162</v>
      </c>
      <c r="AW14" s="5">
        <v>2.9</v>
      </c>
      <c r="AX14" s="201">
        <f t="shared" si="32"/>
        <v>112</v>
      </c>
      <c r="AY14" s="418">
        <f t="shared" si="33"/>
        <v>112.5</v>
      </c>
      <c r="AZ14" s="418">
        <f t="shared" si="34"/>
        <v>178.20000000000002</v>
      </c>
      <c r="BA14" s="418">
        <f t="shared" si="35"/>
        <v>324.8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44479</v>
      </c>
      <c r="B15" s="5">
        <f t="shared" si="6"/>
        <v>109443</v>
      </c>
      <c r="C15" s="5">
        <f t="shared" si="7"/>
        <v>0</v>
      </c>
      <c r="D15" s="411">
        <f t="shared" si="8"/>
        <v>0</v>
      </c>
      <c r="E15" s="326">
        <f>SUM((C15*$E$4)+(7500/'EDl log'!$A$37))</f>
        <v>241.93548387096774</v>
      </c>
      <c r="F15" s="410"/>
      <c r="G15" s="5">
        <f t="shared" si="9"/>
        <v>624866</v>
      </c>
      <c r="H15" s="5">
        <f t="shared" si="10"/>
        <v>0</v>
      </c>
      <c r="I15" s="5">
        <f t="shared" si="11"/>
        <v>0</v>
      </c>
      <c r="J15" s="327">
        <f t="shared" si="0"/>
        <v>0</v>
      </c>
      <c r="K15" s="5">
        <f>'Swimming Pool quality check '!H15</f>
        <v>6893</v>
      </c>
      <c r="L15" s="83">
        <f t="shared" si="41"/>
        <v>3</v>
      </c>
      <c r="M15" s="402">
        <f t="shared" si="12"/>
        <v>457.44</v>
      </c>
      <c r="N15" s="497">
        <f t="shared" si="44"/>
        <v>0</v>
      </c>
      <c r="O15" s="402">
        <f t="shared" si="13"/>
        <v>529.52</v>
      </c>
      <c r="P15" s="497">
        <f t="shared" si="45"/>
        <v>0</v>
      </c>
      <c r="Q15" s="497">
        <f t="shared" si="46"/>
        <v>0</v>
      </c>
      <c r="R15" s="497"/>
      <c r="S15" s="497"/>
      <c r="T15" s="5">
        <f t="shared" si="14"/>
        <v>5176</v>
      </c>
      <c r="U15" s="5">
        <f t="shared" si="3"/>
        <v>0</v>
      </c>
      <c r="V15" s="5">
        <f t="shared" si="15"/>
        <v>477</v>
      </c>
      <c r="W15" s="317">
        <f t="shared" si="16"/>
        <v>0</v>
      </c>
      <c r="X15" s="5">
        <f t="shared" si="17"/>
        <v>153815</v>
      </c>
      <c r="Y15" s="317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244</v>
      </c>
      <c r="AC15" s="5">
        <f t="shared" si="21"/>
        <v>781</v>
      </c>
      <c r="AD15" s="83">
        <f t="shared" si="39"/>
        <v>0</v>
      </c>
      <c r="AE15" s="5">
        <f t="shared" si="22"/>
        <v>239.06</v>
      </c>
      <c r="AF15" s="83">
        <f t="shared" si="23"/>
        <v>0</v>
      </c>
      <c r="AG15" s="5">
        <f t="shared" si="24"/>
        <v>2217.6999999999998</v>
      </c>
      <c r="AH15" s="83">
        <f t="shared" si="25"/>
        <v>0</v>
      </c>
      <c r="AI15" s="83">
        <f t="shared" si="26"/>
        <v>0</v>
      </c>
      <c r="AJ15" s="319">
        <f t="shared" si="27"/>
        <v>0</v>
      </c>
      <c r="AK15" s="320">
        <f t="shared" si="40"/>
        <v>-3</v>
      </c>
      <c r="AL15" s="320">
        <f t="shared" si="28"/>
        <v>0</v>
      </c>
      <c r="AM15" s="320">
        <f>'General information '!D14</f>
        <v>26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72">
        <f t="shared" si="29"/>
        <v>44479</v>
      </c>
      <c r="AS15" s="416">
        <f t="shared" si="30"/>
        <v>0.9</v>
      </c>
      <c r="AT15" s="201">
        <f t="shared" si="30"/>
        <v>125</v>
      </c>
      <c r="AU15" s="417">
        <f t="shared" si="43"/>
        <v>1.1000000000000001</v>
      </c>
      <c r="AV15" s="201">
        <v>161</v>
      </c>
      <c r="AW15" s="5">
        <v>2.9</v>
      </c>
      <c r="AX15" s="201">
        <v>107</v>
      </c>
      <c r="AY15" s="418">
        <f t="shared" si="33"/>
        <v>112.5</v>
      </c>
      <c r="AZ15" s="418">
        <f t="shared" si="34"/>
        <v>177.10000000000002</v>
      </c>
      <c r="BA15" s="418">
        <f t="shared" si="35"/>
        <v>310.3</v>
      </c>
      <c r="BB15" s="21">
        <f t="shared" si="36"/>
        <v>0</v>
      </c>
      <c r="BC15" s="21">
        <f t="shared" si="37"/>
        <v>-1.0999999999999943</v>
      </c>
      <c r="BD15" s="21">
        <f t="shared" si="37"/>
        <v>-14.5</v>
      </c>
      <c r="BE15" s="24">
        <f t="shared" si="38"/>
        <v>-15.599999999999994</v>
      </c>
      <c r="BF15" s="96">
        <f t="shared" si="4"/>
        <v>15.599999999999994</v>
      </c>
      <c r="BG15" s="82">
        <f t="shared" si="5"/>
        <v>-15.599999999999994</v>
      </c>
    </row>
    <row r="16" spans="1:65" ht="15.75" thickBot="1">
      <c r="A16" s="6">
        <f>ELEC!C14</f>
        <v>44480</v>
      </c>
      <c r="B16" s="5">
        <f t="shared" si="6"/>
        <v>109443</v>
      </c>
      <c r="C16" s="5">
        <f t="shared" si="7"/>
        <v>0</v>
      </c>
      <c r="D16" s="411">
        <f t="shared" si="8"/>
        <v>0</v>
      </c>
      <c r="E16" s="326">
        <f>SUM((C16*$E$4)+(7500/'EDl log'!$A$37))</f>
        <v>241.93548387096774</v>
      </c>
      <c r="F16" s="410"/>
      <c r="G16" s="5">
        <f t="shared" si="9"/>
        <v>624866</v>
      </c>
      <c r="H16" s="5">
        <f t="shared" si="10"/>
        <v>0</v>
      </c>
      <c r="I16" s="5">
        <f t="shared" si="11"/>
        <v>0</v>
      </c>
      <c r="J16" s="327">
        <f t="shared" si="0"/>
        <v>0</v>
      </c>
      <c r="K16" s="5">
        <f>'Swimming Pool quality check '!H16</f>
        <v>6894</v>
      </c>
      <c r="L16" s="269">
        <f t="shared" si="41"/>
        <v>1</v>
      </c>
      <c r="M16" s="402">
        <f t="shared" si="12"/>
        <v>457.44</v>
      </c>
      <c r="N16" s="497">
        <f t="shared" si="44"/>
        <v>0</v>
      </c>
      <c r="O16" s="402">
        <f t="shared" si="13"/>
        <v>529.52</v>
      </c>
      <c r="P16" s="497">
        <f t="shared" si="45"/>
        <v>0</v>
      </c>
      <c r="Q16" s="497">
        <f t="shared" si="46"/>
        <v>0</v>
      </c>
      <c r="R16" s="499"/>
      <c r="S16" s="499"/>
      <c r="T16" s="5">
        <f t="shared" si="14"/>
        <v>5176</v>
      </c>
      <c r="U16" s="5">
        <f t="shared" si="3"/>
        <v>0</v>
      </c>
      <c r="V16" s="5">
        <f t="shared" si="15"/>
        <v>477</v>
      </c>
      <c r="W16" s="317">
        <f t="shared" si="16"/>
        <v>0</v>
      </c>
      <c r="X16" s="5">
        <f t="shared" si="17"/>
        <v>153815</v>
      </c>
      <c r="Y16" s="317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244</v>
      </c>
      <c r="AC16" s="5">
        <f t="shared" si="21"/>
        <v>781</v>
      </c>
      <c r="AD16" s="83">
        <f t="shared" si="39"/>
        <v>0</v>
      </c>
      <c r="AE16" s="5">
        <f t="shared" si="22"/>
        <v>239.06</v>
      </c>
      <c r="AF16" s="83">
        <f t="shared" si="23"/>
        <v>0</v>
      </c>
      <c r="AG16" s="5">
        <f t="shared" si="24"/>
        <v>2217.6999999999998</v>
      </c>
      <c r="AH16" s="83">
        <f t="shared" si="25"/>
        <v>0</v>
      </c>
      <c r="AI16" s="83">
        <f t="shared" si="26"/>
        <v>0</v>
      </c>
      <c r="AJ16" s="319">
        <f t="shared" si="27"/>
        <v>0</v>
      </c>
      <c r="AK16" s="320">
        <f t="shared" si="40"/>
        <v>-1</v>
      </c>
      <c r="AL16" s="320">
        <f t="shared" si="28"/>
        <v>0</v>
      </c>
      <c r="AM16" s="320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72">
        <f t="shared" si="29"/>
        <v>44480</v>
      </c>
      <c r="AS16" s="416">
        <f t="shared" si="30"/>
        <v>0.9</v>
      </c>
      <c r="AT16" s="201">
        <v>166</v>
      </c>
      <c r="AU16" s="417">
        <f t="shared" si="43"/>
        <v>1.1000000000000001</v>
      </c>
      <c r="AV16" s="201">
        <v>160</v>
      </c>
      <c r="AW16" s="5">
        <v>2.9</v>
      </c>
      <c r="AX16" s="201">
        <v>102</v>
      </c>
      <c r="AY16" s="418">
        <f t="shared" si="33"/>
        <v>149.4</v>
      </c>
      <c r="AZ16" s="418">
        <f t="shared" si="34"/>
        <v>176</v>
      </c>
      <c r="BA16" s="418">
        <f t="shared" si="35"/>
        <v>295.8</v>
      </c>
      <c r="BB16" s="21">
        <f t="shared" si="36"/>
        <v>36.900000000000006</v>
      </c>
      <c r="BC16" s="21">
        <f t="shared" si="37"/>
        <v>-1.1000000000000227</v>
      </c>
      <c r="BD16" s="21">
        <f t="shared" si="37"/>
        <v>-14.5</v>
      </c>
      <c r="BE16" s="24">
        <f t="shared" si="38"/>
        <v>21.299999999999983</v>
      </c>
      <c r="BF16" s="96">
        <f t="shared" si="4"/>
        <v>-21.299999999999983</v>
      </c>
      <c r="BG16" s="82">
        <f t="shared" si="5"/>
        <v>21.299999999999983</v>
      </c>
    </row>
    <row r="17" spans="1:61" ht="15.75" thickBot="1">
      <c r="A17" s="6">
        <f>ELEC!C15</f>
        <v>44481</v>
      </c>
      <c r="B17" s="5">
        <f t="shared" si="6"/>
        <v>109443</v>
      </c>
      <c r="C17" s="5">
        <f t="shared" si="7"/>
        <v>0</v>
      </c>
      <c r="D17" s="411">
        <f t="shared" si="8"/>
        <v>0</v>
      </c>
      <c r="E17" s="326">
        <f>SUM((C17*$E$4)+(7500/'EDl log'!$A$37))</f>
        <v>241.93548387096774</v>
      </c>
      <c r="F17" s="410"/>
      <c r="G17" s="5">
        <v>624950</v>
      </c>
      <c r="H17" s="5">
        <f t="shared" si="10"/>
        <v>84</v>
      </c>
      <c r="I17" s="5">
        <f t="shared" si="11"/>
        <v>84</v>
      </c>
      <c r="J17" s="327">
        <f t="shared" si="0"/>
        <v>2.8801843317972349</v>
      </c>
      <c r="K17" s="5">
        <f>'Swimming Pool quality check '!H17</f>
        <v>6896</v>
      </c>
      <c r="L17" s="83">
        <f t="shared" si="41"/>
        <v>2</v>
      </c>
      <c r="M17" s="402">
        <f t="shared" si="12"/>
        <v>457.44</v>
      </c>
      <c r="N17" s="497">
        <f t="shared" si="44"/>
        <v>0</v>
      </c>
      <c r="O17" s="402">
        <f t="shared" si="13"/>
        <v>529.52</v>
      </c>
      <c r="P17" s="497">
        <f t="shared" si="45"/>
        <v>0</v>
      </c>
      <c r="Q17" s="497">
        <f t="shared" si="46"/>
        <v>0</v>
      </c>
      <c r="R17" s="497"/>
      <c r="S17" s="497"/>
      <c r="T17" s="5">
        <f t="shared" si="14"/>
        <v>5176</v>
      </c>
      <c r="U17" s="5">
        <f t="shared" si="3"/>
        <v>0</v>
      </c>
      <c r="V17" s="5">
        <f t="shared" si="15"/>
        <v>477</v>
      </c>
      <c r="W17" s="317">
        <f t="shared" si="16"/>
        <v>0</v>
      </c>
      <c r="X17" s="5">
        <f t="shared" si="17"/>
        <v>153815</v>
      </c>
      <c r="Y17" s="317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244</v>
      </c>
      <c r="AC17" s="5">
        <v>789</v>
      </c>
      <c r="AD17" s="83">
        <f t="shared" si="39"/>
        <v>8</v>
      </c>
      <c r="AE17" s="5">
        <f t="shared" si="22"/>
        <v>239.06</v>
      </c>
      <c r="AF17" s="83">
        <f t="shared" si="23"/>
        <v>0</v>
      </c>
      <c r="AG17" s="5">
        <f t="shared" si="24"/>
        <v>2217.6999999999998</v>
      </c>
      <c r="AH17" s="83">
        <f t="shared" si="25"/>
        <v>0</v>
      </c>
      <c r="AI17" s="83">
        <f t="shared" si="26"/>
        <v>0</v>
      </c>
      <c r="AJ17" s="319">
        <f t="shared" si="27"/>
        <v>0</v>
      </c>
      <c r="AK17" s="320">
        <f>SUM(Y17-L17)</f>
        <v>-2</v>
      </c>
      <c r="AL17" s="320">
        <f t="shared" si="28"/>
        <v>0</v>
      </c>
      <c r="AM17" s="320">
        <f>'General information '!D16</f>
        <v>25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72">
        <f t="shared" si="29"/>
        <v>44481</v>
      </c>
      <c r="AS17" s="416">
        <f t="shared" si="30"/>
        <v>0.9</v>
      </c>
      <c r="AT17" s="201">
        <v>147</v>
      </c>
      <c r="AU17" s="417">
        <f t="shared" si="43"/>
        <v>1.1000000000000001</v>
      </c>
      <c r="AV17" s="201">
        <f t="shared" si="31"/>
        <v>160</v>
      </c>
      <c r="AW17" s="5">
        <v>2.9</v>
      </c>
      <c r="AX17" s="201">
        <v>99</v>
      </c>
      <c r="AY17" s="418">
        <f t="shared" si="33"/>
        <v>132.30000000000001</v>
      </c>
      <c r="AZ17" s="418">
        <f t="shared" si="34"/>
        <v>176</v>
      </c>
      <c r="BA17" s="418">
        <f t="shared" si="35"/>
        <v>287.09999999999997</v>
      </c>
      <c r="BB17" s="21">
        <f t="shared" si="36"/>
        <v>-17.099999999999994</v>
      </c>
      <c r="BC17" s="21">
        <f t="shared" si="37"/>
        <v>0</v>
      </c>
      <c r="BD17" s="21">
        <f t="shared" si="37"/>
        <v>-8.7000000000000455</v>
      </c>
      <c r="BE17" s="24">
        <f t="shared" si="38"/>
        <v>-25.80000000000004</v>
      </c>
      <c r="BF17" s="96">
        <f t="shared" si="4"/>
        <v>109.80000000000004</v>
      </c>
      <c r="BG17" s="82">
        <f t="shared" si="5"/>
        <v>-25.80000000000004</v>
      </c>
    </row>
    <row r="18" spans="1:61" ht="15.75" thickBot="1">
      <c r="A18" s="6">
        <f>ELEC!C16</f>
        <v>44482</v>
      </c>
      <c r="B18" s="5">
        <f t="shared" si="6"/>
        <v>109443</v>
      </c>
      <c r="C18" s="5">
        <f t="shared" si="7"/>
        <v>0</v>
      </c>
      <c r="D18" s="411">
        <f t="shared" si="8"/>
        <v>0</v>
      </c>
      <c r="E18" s="326">
        <f>SUM((C18*$E$4)+(7500/'EDl log'!$A$37))</f>
        <v>241.93548387096774</v>
      </c>
      <c r="F18" s="410"/>
      <c r="G18" s="5">
        <f t="shared" si="9"/>
        <v>624950</v>
      </c>
      <c r="H18" s="5">
        <f t="shared" si="10"/>
        <v>0</v>
      </c>
      <c r="I18" s="5">
        <f t="shared" si="11"/>
        <v>0</v>
      </c>
      <c r="J18" s="327">
        <f t="shared" si="0"/>
        <v>0</v>
      </c>
      <c r="K18" s="5">
        <f>'Swimming Pool quality check '!H18</f>
        <v>6896</v>
      </c>
      <c r="L18" s="83">
        <f t="shared" si="41"/>
        <v>0</v>
      </c>
      <c r="M18" s="402">
        <f t="shared" si="12"/>
        <v>457.44</v>
      </c>
      <c r="N18" s="497">
        <f t="shared" si="44"/>
        <v>0</v>
      </c>
      <c r="O18" s="402">
        <f t="shared" si="13"/>
        <v>529.52</v>
      </c>
      <c r="P18" s="497">
        <f t="shared" si="45"/>
        <v>0</v>
      </c>
      <c r="Q18" s="497">
        <f t="shared" si="46"/>
        <v>0</v>
      </c>
      <c r="R18" s="497"/>
      <c r="S18" s="497"/>
      <c r="T18" s="5">
        <f t="shared" si="14"/>
        <v>5176</v>
      </c>
      <c r="U18" s="5">
        <f t="shared" si="3"/>
        <v>0</v>
      </c>
      <c r="V18" s="5">
        <f t="shared" si="15"/>
        <v>477</v>
      </c>
      <c r="W18" s="317">
        <f t="shared" si="16"/>
        <v>0</v>
      </c>
      <c r="X18" s="5">
        <f t="shared" si="17"/>
        <v>153815</v>
      </c>
      <c r="Y18" s="317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244</v>
      </c>
      <c r="AC18" s="5">
        <f t="shared" si="21"/>
        <v>789</v>
      </c>
      <c r="AD18" s="83">
        <f t="shared" si="39"/>
        <v>0</v>
      </c>
      <c r="AE18" s="5">
        <f t="shared" si="22"/>
        <v>239.06</v>
      </c>
      <c r="AF18" s="83">
        <f t="shared" si="23"/>
        <v>0</v>
      </c>
      <c r="AG18" s="5">
        <f t="shared" si="24"/>
        <v>2217.6999999999998</v>
      </c>
      <c r="AH18" s="83">
        <f t="shared" si="25"/>
        <v>0</v>
      </c>
      <c r="AI18" s="83">
        <f t="shared" si="26"/>
        <v>0</v>
      </c>
      <c r="AJ18" s="319">
        <f t="shared" si="27"/>
        <v>0</v>
      </c>
      <c r="AK18" s="320">
        <f>SUM(Y18-L18)</f>
        <v>0</v>
      </c>
      <c r="AL18" s="320">
        <f t="shared" si="28"/>
        <v>0</v>
      </c>
      <c r="AM18" s="320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72">
        <f t="shared" si="29"/>
        <v>44482</v>
      </c>
      <c r="AS18" s="416">
        <f t="shared" si="30"/>
        <v>0.9</v>
      </c>
      <c r="AT18" s="201">
        <f t="shared" si="30"/>
        <v>147</v>
      </c>
      <c r="AU18" s="417">
        <f t="shared" si="43"/>
        <v>1.1000000000000001</v>
      </c>
      <c r="AV18" s="201">
        <f t="shared" si="31"/>
        <v>160</v>
      </c>
      <c r="AW18" s="5">
        <v>2.9</v>
      </c>
      <c r="AX18" s="201">
        <f t="shared" si="32"/>
        <v>99</v>
      </c>
      <c r="AY18" s="418">
        <f t="shared" si="33"/>
        <v>132.30000000000001</v>
      </c>
      <c r="AZ18" s="418">
        <f t="shared" si="34"/>
        <v>176</v>
      </c>
      <c r="BA18" s="418">
        <f t="shared" si="35"/>
        <v>287.09999999999997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44483</v>
      </c>
      <c r="B19" s="5">
        <f t="shared" si="6"/>
        <v>109443</v>
      </c>
      <c r="C19" s="5">
        <f t="shared" si="7"/>
        <v>0</v>
      </c>
      <c r="D19" s="411">
        <f t="shared" si="8"/>
        <v>0</v>
      </c>
      <c r="E19" s="326">
        <f>SUM((C19*$E$4)+(7500/'EDl log'!$A$37))</f>
        <v>241.93548387096774</v>
      </c>
      <c r="F19" s="410"/>
      <c r="G19" s="5">
        <f t="shared" si="9"/>
        <v>624950</v>
      </c>
      <c r="H19" s="5">
        <f t="shared" si="10"/>
        <v>0</v>
      </c>
      <c r="I19" s="5">
        <f t="shared" si="11"/>
        <v>0</v>
      </c>
      <c r="J19" s="327">
        <f t="shared" si="0"/>
        <v>0</v>
      </c>
      <c r="K19" s="5">
        <f>'Swimming Pool quality check '!H19</f>
        <v>6896</v>
      </c>
      <c r="L19" s="83">
        <f t="shared" si="41"/>
        <v>0</v>
      </c>
      <c r="M19" s="402">
        <f t="shared" si="12"/>
        <v>457.44</v>
      </c>
      <c r="N19" s="497">
        <f t="shared" si="44"/>
        <v>0</v>
      </c>
      <c r="O19" s="402">
        <f t="shared" si="13"/>
        <v>529.52</v>
      </c>
      <c r="P19" s="497">
        <f t="shared" si="45"/>
        <v>0</v>
      </c>
      <c r="Q19" s="497">
        <f t="shared" si="46"/>
        <v>0</v>
      </c>
      <c r="R19" s="497"/>
      <c r="S19" s="497"/>
      <c r="T19" s="5">
        <f t="shared" si="14"/>
        <v>5176</v>
      </c>
      <c r="U19" s="5">
        <f t="shared" si="3"/>
        <v>0</v>
      </c>
      <c r="V19" s="5">
        <f t="shared" si="15"/>
        <v>477</v>
      </c>
      <c r="W19" s="317">
        <f t="shared" si="16"/>
        <v>0</v>
      </c>
      <c r="X19" s="5">
        <f t="shared" si="17"/>
        <v>153815</v>
      </c>
      <c r="Y19" s="317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244</v>
      </c>
      <c r="AC19" s="5">
        <f t="shared" si="21"/>
        <v>789</v>
      </c>
      <c r="AD19" s="83">
        <f t="shared" si="39"/>
        <v>0</v>
      </c>
      <c r="AE19" s="5">
        <f t="shared" si="22"/>
        <v>239.06</v>
      </c>
      <c r="AF19" s="83">
        <f t="shared" si="23"/>
        <v>0</v>
      </c>
      <c r="AG19" s="5">
        <f t="shared" si="24"/>
        <v>2217.6999999999998</v>
      </c>
      <c r="AH19" s="83">
        <f t="shared" si="25"/>
        <v>0</v>
      </c>
      <c r="AI19" s="83">
        <f t="shared" si="26"/>
        <v>0</v>
      </c>
      <c r="AJ19" s="319">
        <f t="shared" si="27"/>
        <v>0</v>
      </c>
      <c r="AK19" s="320">
        <f t="shared" si="40"/>
        <v>0</v>
      </c>
      <c r="AL19" s="320">
        <f t="shared" si="28"/>
        <v>0</v>
      </c>
      <c r="AM19" s="320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72">
        <f t="shared" si="29"/>
        <v>44483</v>
      </c>
      <c r="AS19" s="416">
        <f t="shared" si="30"/>
        <v>0.9</v>
      </c>
      <c r="AT19" s="201">
        <f t="shared" si="30"/>
        <v>147</v>
      </c>
      <c r="AU19" s="417">
        <f t="shared" si="43"/>
        <v>1.1000000000000001</v>
      </c>
      <c r="AV19" s="201">
        <f t="shared" si="31"/>
        <v>160</v>
      </c>
      <c r="AW19" s="5">
        <v>2.9</v>
      </c>
      <c r="AX19" s="201">
        <f t="shared" si="32"/>
        <v>99</v>
      </c>
      <c r="AY19" s="418">
        <f>AS19*AT19</f>
        <v>132.30000000000001</v>
      </c>
      <c r="AZ19" s="418">
        <f>AU19*AV19</f>
        <v>176</v>
      </c>
      <c r="BA19" s="418">
        <f>AW19*AX19</f>
        <v>287.09999999999997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44484</v>
      </c>
      <c r="B20" s="5">
        <f t="shared" si="6"/>
        <v>109443</v>
      </c>
      <c r="C20" s="5">
        <f t="shared" si="7"/>
        <v>0</v>
      </c>
      <c r="D20" s="411">
        <f t="shared" si="8"/>
        <v>0</v>
      </c>
      <c r="E20" s="326">
        <f>SUM((C20*$E$4)+(7500/'EDl log'!$A$37))</f>
        <v>241.93548387096774</v>
      </c>
      <c r="F20" s="410"/>
      <c r="G20" s="5">
        <f t="shared" si="9"/>
        <v>624950</v>
      </c>
      <c r="H20" s="5">
        <f t="shared" si="10"/>
        <v>0</v>
      </c>
      <c r="I20" s="5">
        <f t="shared" si="11"/>
        <v>0</v>
      </c>
      <c r="J20" s="327">
        <f t="shared" si="0"/>
        <v>0</v>
      </c>
      <c r="K20" s="5">
        <f>'Swimming Pool quality check '!H20</f>
        <v>6896</v>
      </c>
      <c r="L20" s="83">
        <f t="shared" si="41"/>
        <v>0</v>
      </c>
      <c r="M20" s="402">
        <f t="shared" si="12"/>
        <v>457.44</v>
      </c>
      <c r="N20" s="497">
        <f t="shared" si="44"/>
        <v>0</v>
      </c>
      <c r="O20" s="402">
        <f t="shared" si="13"/>
        <v>529.52</v>
      </c>
      <c r="P20" s="497">
        <f t="shared" si="45"/>
        <v>0</v>
      </c>
      <c r="Q20" s="497">
        <f t="shared" si="46"/>
        <v>0</v>
      </c>
      <c r="R20" s="497"/>
      <c r="S20" s="497"/>
      <c r="T20" s="5">
        <f t="shared" si="14"/>
        <v>5176</v>
      </c>
      <c r="U20" s="5">
        <f t="shared" si="3"/>
        <v>0</v>
      </c>
      <c r="V20" s="5">
        <f t="shared" si="15"/>
        <v>477</v>
      </c>
      <c r="W20" s="317">
        <f t="shared" si="16"/>
        <v>0</v>
      </c>
      <c r="X20" s="5">
        <f t="shared" si="17"/>
        <v>153815</v>
      </c>
      <c r="Y20" s="317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244</v>
      </c>
      <c r="AC20" s="5">
        <f t="shared" si="21"/>
        <v>789</v>
      </c>
      <c r="AD20" s="83">
        <f t="shared" si="39"/>
        <v>0</v>
      </c>
      <c r="AE20" s="5">
        <f t="shared" si="22"/>
        <v>239.06</v>
      </c>
      <c r="AF20" s="83">
        <f t="shared" si="23"/>
        <v>0</v>
      </c>
      <c r="AG20" s="5">
        <f t="shared" si="24"/>
        <v>2217.6999999999998</v>
      </c>
      <c r="AH20" s="83">
        <f t="shared" si="25"/>
        <v>0</v>
      </c>
      <c r="AI20" s="83">
        <f t="shared" si="26"/>
        <v>0</v>
      </c>
      <c r="AJ20" s="319">
        <f t="shared" si="27"/>
        <v>0</v>
      </c>
      <c r="AK20" s="320">
        <f t="shared" si="40"/>
        <v>0</v>
      </c>
      <c r="AL20" s="320">
        <f t="shared" si="28"/>
        <v>0</v>
      </c>
      <c r="AM20" s="320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72">
        <f t="shared" si="29"/>
        <v>44484</v>
      </c>
      <c r="AS20" s="416">
        <f t="shared" si="30"/>
        <v>0.9</v>
      </c>
      <c r="AT20" s="201">
        <f t="shared" si="30"/>
        <v>147</v>
      </c>
      <c r="AU20" s="417">
        <f t="shared" si="43"/>
        <v>1.1000000000000001</v>
      </c>
      <c r="AV20" s="201">
        <f t="shared" si="31"/>
        <v>160</v>
      </c>
      <c r="AW20" s="5">
        <v>2.9</v>
      </c>
      <c r="AX20" s="201">
        <f t="shared" si="32"/>
        <v>99</v>
      </c>
      <c r="AY20" s="418">
        <f>AS20*AT20</f>
        <v>132.30000000000001</v>
      </c>
      <c r="AZ20" s="418">
        <f>AU20*AV20</f>
        <v>176</v>
      </c>
      <c r="BA20" s="418">
        <f>AW20*AX20</f>
        <v>287.09999999999997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44485</v>
      </c>
      <c r="B21" s="5">
        <f t="shared" si="6"/>
        <v>109443</v>
      </c>
      <c r="C21" s="5">
        <f t="shared" si="7"/>
        <v>0</v>
      </c>
      <c r="D21" s="411">
        <f t="shared" si="8"/>
        <v>0</v>
      </c>
      <c r="E21" s="326">
        <f>SUM((C21*$E$4)+(7500/'EDl log'!$A$37))</f>
        <v>241.93548387096774</v>
      </c>
      <c r="F21" s="320"/>
      <c r="G21" s="5">
        <f t="shared" si="9"/>
        <v>624950</v>
      </c>
      <c r="H21" s="5">
        <f t="shared" si="10"/>
        <v>0</v>
      </c>
      <c r="I21" s="5">
        <f t="shared" si="11"/>
        <v>0</v>
      </c>
      <c r="J21" s="327">
        <f t="shared" si="0"/>
        <v>0</v>
      </c>
      <c r="K21" s="5">
        <f>'Swimming Pool quality check '!H21</f>
        <v>6896</v>
      </c>
      <c r="L21" s="83">
        <f t="shared" si="41"/>
        <v>0</v>
      </c>
      <c r="M21" s="402">
        <f t="shared" si="12"/>
        <v>457.44</v>
      </c>
      <c r="N21" s="497">
        <f t="shared" si="44"/>
        <v>0</v>
      </c>
      <c r="O21" s="402">
        <f t="shared" si="13"/>
        <v>529.52</v>
      </c>
      <c r="P21" s="497">
        <f t="shared" si="45"/>
        <v>0</v>
      </c>
      <c r="Q21" s="497">
        <f t="shared" si="46"/>
        <v>0</v>
      </c>
      <c r="R21" s="497"/>
      <c r="S21" s="497"/>
      <c r="T21" s="5">
        <f t="shared" si="14"/>
        <v>5176</v>
      </c>
      <c r="U21" s="5">
        <f t="shared" si="3"/>
        <v>0</v>
      </c>
      <c r="V21" s="5">
        <f t="shared" si="15"/>
        <v>477</v>
      </c>
      <c r="W21" s="317">
        <f t="shared" si="16"/>
        <v>0</v>
      </c>
      <c r="X21" s="5">
        <f t="shared" si="17"/>
        <v>153815</v>
      </c>
      <c r="Y21" s="317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244</v>
      </c>
      <c r="AC21" s="5">
        <f t="shared" si="21"/>
        <v>789</v>
      </c>
      <c r="AD21" s="83">
        <f t="shared" si="39"/>
        <v>0</v>
      </c>
      <c r="AE21" s="5">
        <v>238.2</v>
      </c>
      <c r="AF21" s="83">
        <f t="shared" si="23"/>
        <v>-0.86000000000001364</v>
      </c>
      <c r="AG21" s="5">
        <v>2215.8000000000002</v>
      </c>
      <c r="AH21" s="83">
        <f t="shared" si="25"/>
        <v>-1.8999999999996362</v>
      </c>
      <c r="AI21" s="83">
        <f t="shared" si="26"/>
        <v>-2.7599999999996498</v>
      </c>
      <c r="AJ21" s="319">
        <f t="shared" si="27"/>
        <v>0</v>
      </c>
      <c r="AK21" s="320">
        <f>SUM(Y21-L21)</f>
        <v>0</v>
      </c>
      <c r="AL21" s="320">
        <f t="shared" si="28"/>
        <v>0</v>
      </c>
      <c r="AM21" s="320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72">
        <f t="shared" si="29"/>
        <v>44485</v>
      </c>
      <c r="AS21" s="416">
        <f t="shared" si="30"/>
        <v>0.9</v>
      </c>
      <c r="AT21" s="201">
        <f t="shared" si="30"/>
        <v>147</v>
      </c>
      <c r="AU21" s="417">
        <f t="shared" si="43"/>
        <v>1.1000000000000001</v>
      </c>
      <c r="AV21" s="201">
        <f t="shared" si="31"/>
        <v>160</v>
      </c>
      <c r="AW21" s="5">
        <v>2.9</v>
      </c>
      <c r="AX21" s="201">
        <f t="shared" si="32"/>
        <v>99</v>
      </c>
      <c r="AY21" s="418">
        <f>AS21*AT21</f>
        <v>132.30000000000001</v>
      </c>
      <c r="AZ21" s="418">
        <f>AU21*AV21</f>
        <v>176</v>
      </c>
      <c r="BA21" s="418">
        <f>AW21*AX21</f>
        <v>287.09999999999997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44486</v>
      </c>
      <c r="B22" s="5">
        <f t="shared" si="6"/>
        <v>109443</v>
      </c>
      <c r="C22" s="5">
        <f t="shared" si="7"/>
        <v>0</v>
      </c>
      <c r="D22" s="411">
        <f t="shared" si="8"/>
        <v>0</v>
      </c>
      <c r="E22" s="326">
        <f>SUM((C22*$E$4)+(7500/'EDl log'!$A$37))</f>
        <v>241.93548387096774</v>
      </c>
      <c r="F22" s="320"/>
      <c r="G22" s="5">
        <f t="shared" si="9"/>
        <v>624950</v>
      </c>
      <c r="H22" s="5">
        <f t="shared" si="10"/>
        <v>0</v>
      </c>
      <c r="I22" s="5">
        <f t="shared" si="11"/>
        <v>0</v>
      </c>
      <c r="J22" s="327">
        <f t="shared" si="0"/>
        <v>0</v>
      </c>
      <c r="K22" s="5">
        <f>'Swimming Pool quality check '!H22</f>
        <v>6896</v>
      </c>
      <c r="L22" s="83">
        <f t="shared" si="41"/>
        <v>0</v>
      </c>
      <c r="M22" s="402">
        <f t="shared" si="12"/>
        <v>457.44</v>
      </c>
      <c r="N22" s="497">
        <f t="shared" si="44"/>
        <v>0</v>
      </c>
      <c r="O22" s="402">
        <f t="shared" si="13"/>
        <v>529.52</v>
      </c>
      <c r="P22" s="497">
        <f t="shared" si="45"/>
        <v>0</v>
      </c>
      <c r="Q22" s="497">
        <f t="shared" si="46"/>
        <v>0</v>
      </c>
      <c r="R22" s="497"/>
      <c r="S22" s="497"/>
      <c r="T22" s="5">
        <f t="shared" si="14"/>
        <v>5176</v>
      </c>
      <c r="U22" s="5">
        <f t="shared" si="3"/>
        <v>0</v>
      </c>
      <c r="V22" s="5">
        <f t="shared" si="15"/>
        <v>477</v>
      </c>
      <c r="W22" s="317">
        <f t="shared" si="16"/>
        <v>0</v>
      </c>
      <c r="X22" s="5">
        <f t="shared" si="17"/>
        <v>153815</v>
      </c>
      <c r="Y22" s="317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244</v>
      </c>
      <c r="AC22" s="5">
        <f t="shared" si="21"/>
        <v>789</v>
      </c>
      <c r="AD22" s="83">
        <f t="shared" si="39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19">
        <f t="shared" si="27"/>
        <v>0</v>
      </c>
      <c r="AK22" s="320">
        <f t="shared" si="40"/>
        <v>0</v>
      </c>
      <c r="AL22" s="320">
        <f t="shared" si="28"/>
        <v>0</v>
      </c>
      <c r="AM22" s="320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72">
        <f t="shared" si="29"/>
        <v>44486</v>
      </c>
      <c r="AS22" s="416">
        <f t="shared" ref="AS22:AT33" si="48">AS21</f>
        <v>0.9</v>
      </c>
      <c r="AT22" s="201">
        <f t="shared" si="48"/>
        <v>147</v>
      </c>
      <c r="AU22" s="417">
        <f t="shared" si="43"/>
        <v>1.1000000000000001</v>
      </c>
      <c r="AV22" s="201">
        <f t="shared" si="31"/>
        <v>160</v>
      </c>
      <c r="AW22" s="5">
        <v>2.9</v>
      </c>
      <c r="AX22" s="201">
        <f t="shared" si="32"/>
        <v>99</v>
      </c>
      <c r="AY22" s="418">
        <f t="shared" si="33"/>
        <v>132.30000000000001</v>
      </c>
      <c r="AZ22" s="418">
        <f t="shared" si="34"/>
        <v>176</v>
      </c>
      <c r="BA22" s="418">
        <f t="shared" si="35"/>
        <v>287.09999999999997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44487</v>
      </c>
      <c r="B23" s="5">
        <f t="shared" si="6"/>
        <v>109443</v>
      </c>
      <c r="C23" s="5">
        <f t="shared" si="7"/>
        <v>0</v>
      </c>
      <c r="D23" s="411">
        <f t="shared" si="8"/>
        <v>0</v>
      </c>
      <c r="E23" s="326">
        <f>SUM((C23*$E$4)+(7500/'EDl log'!$A$37))</f>
        <v>241.93548387096774</v>
      </c>
      <c r="F23" s="320"/>
      <c r="G23" s="5">
        <v>624979</v>
      </c>
      <c r="H23" s="5">
        <f t="shared" si="10"/>
        <v>29</v>
      </c>
      <c r="I23" s="5">
        <f t="shared" si="11"/>
        <v>29</v>
      </c>
      <c r="J23" s="327">
        <f t="shared" si="0"/>
        <v>8.3426028921023363</v>
      </c>
      <c r="K23" s="5">
        <f>'Swimming Pool quality check '!H23</f>
        <v>6898</v>
      </c>
      <c r="L23" s="269">
        <f t="shared" si="41"/>
        <v>2</v>
      </c>
      <c r="M23" s="402">
        <f t="shared" si="12"/>
        <v>457.44</v>
      </c>
      <c r="N23" s="497">
        <f t="shared" si="44"/>
        <v>0</v>
      </c>
      <c r="O23" s="402">
        <f t="shared" si="13"/>
        <v>529.52</v>
      </c>
      <c r="P23" s="497">
        <f t="shared" si="45"/>
        <v>0</v>
      </c>
      <c r="Q23" s="497">
        <f t="shared" si="46"/>
        <v>0</v>
      </c>
      <c r="R23" s="499"/>
      <c r="S23" s="499"/>
      <c r="T23" s="5">
        <f t="shared" si="14"/>
        <v>5176</v>
      </c>
      <c r="U23" s="5">
        <f t="shared" si="3"/>
        <v>0</v>
      </c>
      <c r="V23" s="5">
        <f t="shared" si="15"/>
        <v>477</v>
      </c>
      <c r="W23" s="317">
        <f t="shared" si="16"/>
        <v>0</v>
      </c>
      <c r="X23" s="5">
        <f t="shared" si="17"/>
        <v>153815</v>
      </c>
      <c r="Y23" s="317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244</v>
      </c>
      <c r="AC23" s="5">
        <f t="shared" si="21"/>
        <v>789</v>
      </c>
      <c r="AD23" s="83">
        <f t="shared" si="39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19">
        <f t="shared" si="27"/>
        <v>0</v>
      </c>
      <c r="AK23" s="320">
        <f t="shared" si="40"/>
        <v>-2</v>
      </c>
      <c r="AL23" s="320">
        <f t="shared" si="28"/>
        <v>0</v>
      </c>
      <c r="AM23" s="320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72">
        <f t="shared" si="29"/>
        <v>44487</v>
      </c>
      <c r="AS23" s="416">
        <f t="shared" si="48"/>
        <v>0.9</v>
      </c>
      <c r="AT23" s="201">
        <v>147</v>
      </c>
      <c r="AU23" s="417">
        <f t="shared" si="43"/>
        <v>1.1000000000000001</v>
      </c>
      <c r="AV23" s="201">
        <v>150</v>
      </c>
      <c r="AW23" s="5">
        <v>2.9</v>
      </c>
      <c r="AX23" s="201">
        <v>91</v>
      </c>
      <c r="AY23" s="418">
        <f t="shared" si="33"/>
        <v>132.30000000000001</v>
      </c>
      <c r="AZ23" s="418">
        <f t="shared" si="34"/>
        <v>165</v>
      </c>
      <c r="BA23" s="418">
        <f t="shared" si="35"/>
        <v>263.89999999999998</v>
      </c>
      <c r="BB23" s="21">
        <f t="shared" si="36"/>
        <v>0</v>
      </c>
      <c r="BC23" s="21">
        <f t="shared" si="36"/>
        <v>-11</v>
      </c>
      <c r="BD23" s="21">
        <f t="shared" si="36"/>
        <v>-23.199999999999989</v>
      </c>
      <c r="BE23" s="24">
        <f t="shared" si="38"/>
        <v>-34.199999999999989</v>
      </c>
      <c r="BF23" s="96">
        <f t="shared" si="4"/>
        <v>63.199999999999989</v>
      </c>
      <c r="BG23" s="82">
        <f t="shared" si="5"/>
        <v>-34.199999999999989</v>
      </c>
    </row>
    <row r="24" spans="1:61" ht="15.75" thickBot="1">
      <c r="A24" s="6">
        <f>ELEC!C22</f>
        <v>44488</v>
      </c>
      <c r="B24" s="5">
        <f t="shared" si="6"/>
        <v>109443</v>
      </c>
      <c r="C24" s="5">
        <f t="shared" si="7"/>
        <v>0</v>
      </c>
      <c r="D24" s="411">
        <f t="shared" si="8"/>
        <v>0</v>
      </c>
      <c r="E24" s="326">
        <f>SUM((C24*$E$4)+(7500/'EDl log'!$A$37))</f>
        <v>241.93548387096774</v>
      </c>
      <c r="F24" s="320"/>
      <c r="G24" s="5">
        <v>625047</v>
      </c>
      <c r="H24" s="5">
        <f t="shared" si="10"/>
        <v>68</v>
      </c>
      <c r="I24" s="5">
        <f t="shared" si="11"/>
        <v>68</v>
      </c>
      <c r="J24" s="327">
        <f t="shared" si="0"/>
        <v>3.5578747628083494</v>
      </c>
      <c r="K24" s="5">
        <f>'Swimming Pool quality check '!H24</f>
        <v>6899</v>
      </c>
      <c r="L24" s="269">
        <f t="shared" si="41"/>
        <v>1</v>
      </c>
      <c r="M24" s="402">
        <f t="shared" si="12"/>
        <v>457.44</v>
      </c>
      <c r="N24" s="497">
        <f t="shared" si="44"/>
        <v>0</v>
      </c>
      <c r="O24" s="402">
        <f t="shared" si="13"/>
        <v>529.52</v>
      </c>
      <c r="P24" s="497">
        <f t="shared" si="45"/>
        <v>0</v>
      </c>
      <c r="Q24" s="497">
        <f t="shared" si="46"/>
        <v>0</v>
      </c>
      <c r="R24" s="499"/>
      <c r="S24" s="499"/>
      <c r="T24" s="5">
        <f t="shared" si="14"/>
        <v>5176</v>
      </c>
      <c r="U24" s="5">
        <f t="shared" si="3"/>
        <v>0</v>
      </c>
      <c r="V24" s="5">
        <f t="shared" si="15"/>
        <v>477</v>
      </c>
      <c r="W24" s="317">
        <f t="shared" si="16"/>
        <v>0</v>
      </c>
      <c r="X24" s="5">
        <v>153898</v>
      </c>
      <c r="Y24" s="317">
        <f t="shared" si="42"/>
        <v>83</v>
      </c>
      <c r="Z24" s="5">
        <f t="shared" si="18"/>
        <v>99258</v>
      </c>
      <c r="AA24" s="83">
        <f t="shared" si="19"/>
        <v>0</v>
      </c>
      <c r="AB24" s="5">
        <f t="shared" si="20"/>
        <v>244</v>
      </c>
      <c r="AC24" s="5">
        <f t="shared" si="21"/>
        <v>789</v>
      </c>
      <c r="AD24" s="83">
        <f t="shared" si="39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19">
        <f t="shared" si="27"/>
        <v>0</v>
      </c>
      <c r="AK24" s="320">
        <f t="shared" si="40"/>
        <v>82</v>
      </c>
      <c r="AL24" s="320">
        <f t="shared" si="28"/>
        <v>0</v>
      </c>
      <c r="AM24" s="320">
        <f>'General information '!D23</f>
        <v>24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44488</v>
      </c>
      <c r="AS24" s="416">
        <f t="shared" si="48"/>
        <v>0.9</v>
      </c>
      <c r="AT24" s="201">
        <v>87</v>
      </c>
      <c r="AU24" s="417">
        <f t="shared" si="43"/>
        <v>1.1000000000000001</v>
      </c>
      <c r="AV24" s="201">
        <v>149</v>
      </c>
      <c r="AW24" s="5">
        <v>2.9</v>
      </c>
      <c r="AX24" s="201">
        <v>110</v>
      </c>
      <c r="AY24" s="418">
        <f t="shared" si="33"/>
        <v>78.3</v>
      </c>
      <c r="AZ24" s="418">
        <f t="shared" si="34"/>
        <v>163.9</v>
      </c>
      <c r="BA24" s="418">
        <f t="shared" si="35"/>
        <v>319</v>
      </c>
      <c r="BB24" s="21">
        <f t="shared" si="36"/>
        <v>-54.000000000000014</v>
      </c>
      <c r="BC24" s="21">
        <f t="shared" si="36"/>
        <v>-1.0999999999999943</v>
      </c>
      <c r="BD24" s="21">
        <f t="shared" si="36"/>
        <v>55.100000000000023</v>
      </c>
      <c r="BE24" s="24">
        <f t="shared" si="38"/>
        <v>0</v>
      </c>
      <c r="BF24" s="96">
        <f t="shared" si="4"/>
        <v>68</v>
      </c>
      <c r="BG24" s="82">
        <f t="shared" si="5"/>
        <v>0</v>
      </c>
      <c r="BI24" s="82"/>
    </row>
    <row r="25" spans="1:61" ht="15.75" thickBot="1">
      <c r="A25" s="6">
        <f>ELEC!C23</f>
        <v>44489</v>
      </c>
      <c r="B25" s="5">
        <f t="shared" si="6"/>
        <v>109443</v>
      </c>
      <c r="C25" s="5">
        <f t="shared" si="7"/>
        <v>0</v>
      </c>
      <c r="D25" s="411">
        <f t="shared" si="8"/>
        <v>0</v>
      </c>
      <c r="E25" s="326">
        <f>SUM((C25*$E$4)+(7500/'EDl log'!$A$37))</f>
        <v>241.93548387096774</v>
      </c>
      <c r="F25" s="320"/>
      <c r="G25" s="5">
        <f t="shared" si="9"/>
        <v>625047</v>
      </c>
      <c r="H25" s="5">
        <f t="shared" si="10"/>
        <v>0</v>
      </c>
      <c r="I25" s="5">
        <f t="shared" si="11"/>
        <v>0</v>
      </c>
      <c r="J25" s="327">
        <f t="shared" si="0"/>
        <v>0</v>
      </c>
      <c r="K25" s="5">
        <f>'Swimming Pool quality check '!H25</f>
        <v>6899</v>
      </c>
      <c r="L25" s="269">
        <f t="shared" si="41"/>
        <v>0</v>
      </c>
      <c r="M25" s="402">
        <f t="shared" si="12"/>
        <v>457.44</v>
      </c>
      <c r="N25" s="497">
        <f t="shared" si="44"/>
        <v>0</v>
      </c>
      <c r="O25" s="402">
        <f t="shared" si="13"/>
        <v>529.52</v>
      </c>
      <c r="P25" s="497">
        <f t="shared" si="45"/>
        <v>0</v>
      </c>
      <c r="Q25" s="497">
        <f t="shared" si="46"/>
        <v>0</v>
      </c>
      <c r="R25" s="499"/>
      <c r="S25" s="499"/>
      <c r="T25" s="5">
        <f t="shared" si="14"/>
        <v>5176</v>
      </c>
      <c r="U25" s="5">
        <f t="shared" si="3"/>
        <v>0</v>
      </c>
      <c r="V25" s="5">
        <f t="shared" si="15"/>
        <v>477</v>
      </c>
      <c r="W25" s="317">
        <f t="shared" si="16"/>
        <v>0</v>
      </c>
      <c r="X25" s="5">
        <f t="shared" si="17"/>
        <v>153898</v>
      </c>
      <c r="Y25" s="317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244</v>
      </c>
      <c r="AC25" s="5">
        <f t="shared" si="21"/>
        <v>789</v>
      </c>
      <c r="AD25" s="83">
        <f t="shared" si="39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19">
        <f t="shared" si="27"/>
        <v>0</v>
      </c>
      <c r="AK25" s="320">
        <f t="shared" si="40"/>
        <v>0</v>
      </c>
      <c r="AL25" s="320">
        <f t="shared" si="28"/>
        <v>0</v>
      </c>
      <c r="AM25" s="320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72">
        <f t="shared" si="29"/>
        <v>44489</v>
      </c>
      <c r="AS25" s="416">
        <f t="shared" si="48"/>
        <v>0.9</v>
      </c>
      <c r="AT25" s="201">
        <f t="shared" si="48"/>
        <v>87</v>
      </c>
      <c r="AU25" s="417">
        <f t="shared" si="43"/>
        <v>1.1000000000000001</v>
      </c>
      <c r="AV25" s="201">
        <v>156</v>
      </c>
      <c r="AW25" s="5">
        <v>2.9</v>
      </c>
      <c r="AX25" s="201">
        <v>106</v>
      </c>
      <c r="AY25" s="418">
        <f t="shared" si="33"/>
        <v>78.3</v>
      </c>
      <c r="AZ25" s="418">
        <f t="shared" si="34"/>
        <v>171.60000000000002</v>
      </c>
      <c r="BA25" s="418">
        <f t="shared" si="35"/>
        <v>307.39999999999998</v>
      </c>
      <c r="BB25" s="21">
        <f t="shared" si="36"/>
        <v>0</v>
      </c>
      <c r="BC25" s="21">
        <f t="shared" si="36"/>
        <v>7.7000000000000171</v>
      </c>
      <c r="BD25" s="21">
        <f t="shared" si="36"/>
        <v>-11.600000000000023</v>
      </c>
      <c r="BE25" s="24">
        <f t="shared" si="38"/>
        <v>-3.9000000000000057</v>
      </c>
      <c r="BF25" s="96">
        <f t="shared" si="4"/>
        <v>3.9000000000000057</v>
      </c>
      <c r="BG25" s="82">
        <f t="shared" si="5"/>
        <v>-3.9000000000000057</v>
      </c>
    </row>
    <row r="26" spans="1:61" ht="15.75" thickBot="1">
      <c r="A26" s="6">
        <f>ELEC!C24</f>
        <v>44490</v>
      </c>
      <c r="B26" s="5">
        <f t="shared" si="6"/>
        <v>109443</v>
      </c>
      <c r="C26" s="5">
        <f t="shared" si="7"/>
        <v>0</v>
      </c>
      <c r="D26" s="411">
        <f t="shared" si="8"/>
        <v>0</v>
      </c>
      <c r="E26" s="326">
        <f>SUM((C26*$E$4)+(7500/'EDl log'!$A$37))</f>
        <v>241.93548387096774</v>
      </c>
      <c r="F26" s="320"/>
      <c r="G26" s="5">
        <f t="shared" si="9"/>
        <v>625047</v>
      </c>
      <c r="H26" s="5">
        <f>G26-G25</f>
        <v>0</v>
      </c>
      <c r="I26" s="5">
        <f t="shared" si="11"/>
        <v>0</v>
      </c>
      <c r="J26" s="327">
        <f t="shared" si="0"/>
        <v>0</v>
      </c>
      <c r="K26" s="5">
        <f>'Swimming Pool quality check '!H26</f>
        <v>6902</v>
      </c>
      <c r="L26" s="269">
        <f t="shared" si="41"/>
        <v>3</v>
      </c>
      <c r="M26" s="402">
        <f t="shared" si="12"/>
        <v>457.44</v>
      </c>
      <c r="N26" s="497">
        <f t="shared" si="44"/>
        <v>0</v>
      </c>
      <c r="O26" s="402">
        <f t="shared" si="13"/>
        <v>529.52</v>
      </c>
      <c r="P26" s="497">
        <f t="shared" si="45"/>
        <v>0</v>
      </c>
      <c r="Q26" s="497">
        <f t="shared" si="46"/>
        <v>0</v>
      </c>
      <c r="R26" s="499"/>
      <c r="S26" s="499"/>
      <c r="T26" s="5">
        <f t="shared" si="14"/>
        <v>5176</v>
      </c>
      <c r="U26" s="5">
        <f t="shared" si="3"/>
        <v>0</v>
      </c>
      <c r="V26" s="5">
        <f t="shared" si="15"/>
        <v>477</v>
      </c>
      <c r="W26" s="317">
        <f t="shared" si="16"/>
        <v>0</v>
      </c>
      <c r="X26" s="5">
        <f t="shared" si="17"/>
        <v>153898</v>
      </c>
      <c r="Y26" s="317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244</v>
      </c>
      <c r="AC26" s="5">
        <f t="shared" si="21"/>
        <v>789</v>
      </c>
      <c r="AD26" s="83">
        <f t="shared" si="39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19">
        <f t="shared" si="27"/>
        <v>0</v>
      </c>
      <c r="AK26" s="320">
        <f>SUM(Y26-L26)</f>
        <v>-3</v>
      </c>
      <c r="AL26" s="320">
        <f>SUM(AJ26-W26)</f>
        <v>0</v>
      </c>
      <c r="AM26" s="320">
        <f>'General information '!D25</f>
        <v>24</v>
      </c>
      <c r="AN26" s="84">
        <f>'General information '!H25</f>
        <v>0</v>
      </c>
      <c r="AO26" s="84"/>
      <c r="AP26" s="84">
        <f>'General information '!J25</f>
        <v>0</v>
      </c>
      <c r="AR26" s="272">
        <f t="shared" si="29"/>
        <v>44490</v>
      </c>
      <c r="AS26" s="416">
        <f t="shared" si="48"/>
        <v>0.9</v>
      </c>
      <c r="AT26" s="201">
        <v>87</v>
      </c>
      <c r="AU26" s="417">
        <f t="shared" si="43"/>
        <v>1.1000000000000001</v>
      </c>
      <c r="AV26" s="201">
        <v>156</v>
      </c>
      <c r="AW26" s="5">
        <v>2.9</v>
      </c>
      <c r="AX26" s="201">
        <v>102</v>
      </c>
      <c r="AY26" s="418">
        <f t="shared" si="33"/>
        <v>78.3</v>
      </c>
      <c r="AZ26" s="418">
        <f t="shared" si="34"/>
        <v>171.60000000000002</v>
      </c>
      <c r="BA26" s="418">
        <f t="shared" si="35"/>
        <v>295.8</v>
      </c>
      <c r="BB26" s="21">
        <f>AY26-AY25</f>
        <v>0</v>
      </c>
      <c r="BC26" s="21">
        <f t="shared" si="36"/>
        <v>0</v>
      </c>
      <c r="BD26" s="21">
        <f t="shared" si="36"/>
        <v>-11.599999999999966</v>
      </c>
      <c r="BE26" s="24">
        <f t="shared" si="38"/>
        <v>-11.599999999999966</v>
      </c>
      <c r="BF26" s="96">
        <f t="shared" si="4"/>
        <v>11.599999999999966</v>
      </c>
      <c r="BG26" s="82">
        <f t="shared" si="5"/>
        <v>-11.599999999999966</v>
      </c>
    </row>
    <row r="27" spans="1:61" ht="15.75" thickBot="1">
      <c r="A27" s="6">
        <f>ELEC!C25</f>
        <v>44491</v>
      </c>
      <c r="B27" s="5">
        <f t="shared" si="6"/>
        <v>109443</v>
      </c>
      <c r="C27" s="5">
        <f t="shared" si="7"/>
        <v>0</v>
      </c>
      <c r="D27" s="411">
        <f t="shared" si="8"/>
        <v>0</v>
      </c>
      <c r="E27" s="326">
        <f>SUM((C27*$E$4)+(7500/'EDl log'!$A$37))</f>
        <v>241.93548387096774</v>
      </c>
      <c r="F27" s="320"/>
      <c r="G27" s="5">
        <f t="shared" si="9"/>
        <v>625047</v>
      </c>
      <c r="H27" s="5">
        <f t="shared" si="10"/>
        <v>0</v>
      </c>
      <c r="I27" s="5">
        <f t="shared" si="11"/>
        <v>0</v>
      </c>
      <c r="J27" s="327">
        <f t="shared" si="0"/>
        <v>0</v>
      </c>
      <c r="K27" s="5">
        <f>'Swimming Pool quality check '!H27</f>
        <v>6902</v>
      </c>
      <c r="L27" s="269">
        <f t="shared" si="41"/>
        <v>0</v>
      </c>
      <c r="M27" s="402">
        <f t="shared" si="12"/>
        <v>457.44</v>
      </c>
      <c r="N27" s="497">
        <f t="shared" si="44"/>
        <v>0</v>
      </c>
      <c r="O27" s="402">
        <f t="shared" si="13"/>
        <v>529.52</v>
      </c>
      <c r="P27" s="497">
        <f t="shared" si="45"/>
        <v>0</v>
      </c>
      <c r="Q27" s="497">
        <f t="shared" si="46"/>
        <v>0</v>
      </c>
      <c r="R27" s="499"/>
      <c r="S27" s="499"/>
      <c r="T27" s="5">
        <f t="shared" si="14"/>
        <v>5176</v>
      </c>
      <c r="U27" s="5">
        <f t="shared" si="3"/>
        <v>0</v>
      </c>
      <c r="V27" s="5">
        <f t="shared" si="15"/>
        <v>477</v>
      </c>
      <c r="W27" s="317">
        <f t="shared" si="16"/>
        <v>0</v>
      </c>
      <c r="X27" s="5">
        <f t="shared" si="17"/>
        <v>153898</v>
      </c>
      <c r="Y27" s="317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244</v>
      </c>
      <c r="AC27" s="5">
        <f t="shared" si="21"/>
        <v>789</v>
      </c>
      <c r="AD27" s="83">
        <f t="shared" si="39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19">
        <f t="shared" si="27"/>
        <v>0</v>
      </c>
      <c r="AK27" s="320">
        <f t="shared" si="40"/>
        <v>0</v>
      </c>
      <c r="AL27" s="320">
        <f t="shared" si="28"/>
        <v>0</v>
      </c>
      <c r="AM27" s="320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72">
        <f t="shared" si="29"/>
        <v>44491</v>
      </c>
      <c r="AS27" s="416">
        <f t="shared" si="48"/>
        <v>0.9</v>
      </c>
      <c r="AT27" s="201">
        <f t="shared" si="48"/>
        <v>87</v>
      </c>
      <c r="AU27" s="417">
        <f t="shared" si="43"/>
        <v>1.1000000000000001</v>
      </c>
      <c r="AV27" s="201">
        <f t="shared" si="31"/>
        <v>156</v>
      </c>
      <c r="AW27" s="5">
        <v>2.9</v>
      </c>
      <c r="AX27" s="201">
        <f t="shared" si="32"/>
        <v>102</v>
      </c>
      <c r="AY27" s="418">
        <f t="shared" si="33"/>
        <v>78.3</v>
      </c>
      <c r="AZ27" s="418">
        <f t="shared" si="34"/>
        <v>171.60000000000002</v>
      </c>
      <c r="BA27" s="418">
        <f t="shared" si="35"/>
        <v>295.8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44492</v>
      </c>
      <c r="B28" s="5">
        <f t="shared" si="6"/>
        <v>109443</v>
      </c>
      <c r="C28" s="5">
        <f t="shared" si="7"/>
        <v>0</v>
      </c>
      <c r="D28" s="411">
        <f t="shared" si="8"/>
        <v>0</v>
      </c>
      <c r="E28" s="326">
        <f>SUM((C28*$E$4)+(7500/'EDl log'!$A$37))</f>
        <v>241.93548387096774</v>
      </c>
      <c r="F28" s="320"/>
      <c r="G28" s="5">
        <f t="shared" si="9"/>
        <v>625047</v>
      </c>
      <c r="H28" s="5">
        <f t="shared" si="10"/>
        <v>0</v>
      </c>
      <c r="I28" s="5">
        <f t="shared" si="11"/>
        <v>0</v>
      </c>
      <c r="J28" s="327">
        <f t="shared" si="0"/>
        <v>0</v>
      </c>
      <c r="K28" s="5">
        <f>'Swimming Pool quality check '!H28</f>
        <v>6902</v>
      </c>
      <c r="L28" s="269">
        <f t="shared" si="41"/>
        <v>0</v>
      </c>
      <c r="M28" s="402">
        <f t="shared" si="12"/>
        <v>457.44</v>
      </c>
      <c r="N28" s="497">
        <f t="shared" si="44"/>
        <v>0</v>
      </c>
      <c r="O28" s="402">
        <f t="shared" si="13"/>
        <v>529.52</v>
      </c>
      <c r="P28" s="497">
        <f t="shared" si="45"/>
        <v>0</v>
      </c>
      <c r="Q28" s="497">
        <f t="shared" si="46"/>
        <v>0</v>
      </c>
      <c r="R28" s="499"/>
      <c r="S28" s="499"/>
      <c r="T28" s="5">
        <f t="shared" si="14"/>
        <v>5176</v>
      </c>
      <c r="U28" s="5">
        <f t="shared" si="3"/>
        <v>0</v>
      </c>
      <c r="V28" s="5">
        <f t="shared" si="15"/>
        <v>477</v>
      </c>
      <c r="W28" s="317">
        <f t="shared" si="16"/>
        <v>0</v>
      </c>
      <c r="X28" s="5">
        <f t="shared" si="17"/>
        <v>153898</v>
      </c>
      <c r="Y28" s="317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244</v>
      </c>
      <c r="AC28" s="5">
        <f t="shared" si="21"/>
        <v>789</v>
      </c>
      <c r="AD28" s="83">
        <f t="shared" si="39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19">
        <f t="shared" si="27"/>
        <v>0</v>
      </c>
      <c r="AK28" s="320">
        <f t="shared" si="40"/>
        <v>0</v>
      </c>
      <c r="AL28" s="320">
        <f t="shared" si="28"/>
        <v>0</v>
      </c>
      <c r="AM28" s="320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72">
        <f t="shared" si="29"/>
        <v>44492</v>
      </c>
      <c r="AS28" s="416">
        <f t="shared" si="48"/>
        <v>0.9</v>
      </c>
      <c r="AT28" s="201">
        <f t="shared" si="48"/>
        <v>87</v>
      </c>
      <c r="AU28" s="417">
        <f t="shared" si="43"/>
        <v>1.1000000000000001</v>
      </c>
      <c r="AV28" s="201">
        <f t="shared" si="31"/>
        <v>156</v>
      </c>
      <c r="AW28" s="5">
        <v>2.9</v>
      </c>
      <c r="AX28" s="201">
        <f t="shared" si="32"/>
        <v>102</v>
      </c>
      <c r="AY28" s="418">
        <f t="shared" si="33"/>
        <v>78.3</v>
      </c>
      <c r="AZ28" s="418">
        <f t="shared" si="34"/>
        <v>171.60000000000002</v>
      </c>
      <c r="BA28" s="418">
        <f t="shared" si="35"/>
        <v>295.8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44493</v>
      </c>
      <c r="B29" s="5">
        <f t="shared" si="6"/>
        <v>109443</v>
      </c>
      <c r="C29" s="5">
        <f t="shared" si="7"/>
        <v>0</v>
      </c>
      <c r="D29" s="411">
        <f t="shared" si="8"/>
        <v>0</v>
      </c>
      <c r="E29" s="326">
        <f>SUM((C29*$E$4)+(7500/'EDl log'!$A$37))</f>
        <v>241.93548387096774</v>
      </c>
      <c r="F29" s="320"/>
      <c r="G29" s="5">
        <f t="shared" si="9"/>
        <v>625047</v>
      </c>
      <c r="H29" s="5">
        <f t="shared" si="10"/>
        <v>0</v>
      </c>
      <c r="I29" s="5">
        <f t="shared" si="11"/>
        <v>0</v>
      </c>
      <c r="J29" s="327">
        <f t="shared" si="0"/>
        <v>0</v>
      </c>
      <c r="K29" s="5">
        <f>'Swimming Pool quality check '!H29</f>
        <v>6903</v>
      </c>
      <c r="L29" s="269">
        <f t="shared" si="41"/>
        <v>1</v>
      </c>
      <c r="M29" s="402">
        <f t="shared" si="12"/>
        <v>457.44</v>
      </c>
      <c r="N29" s="497">
        <f t="shared" si="44"/>
        <v>0</v>
      </c>
      <c r="O29" s="402">
        <f t="shared" si="13"/>
        <v>529.52</v>
      </c>
      <c r="P29" s="497">
        <f t="shared" si="45"/>
        <v>0</v>
      </c>
      <c r="Q29" s="497">
        <f t="shared" si="46"/>
        <v>0</v>
      </c>
      <c r="R29" s="499"/>
      <c r="S29" s="499"/>
      <c r="T29" s="5">
        <f t="shared" si="14"/>
        <v>5176</v>
      </c>
      <c r="U29" s="5">
        <f t="shared" si="3"/>
        <v>0</v>
      </c>
      <c r="V29" s="5">
        <f t="shared" si="15"/>
        <v>477</v>
      </c>
      <c r="W29" s="317">
        <f t="shared" si="16"/>
        <v>0</v>
      </c>
      <c r="X29" s="5">
        <f t="shared" si="17"/>
        <v>153898</v>
      </c>
      <c r="Y29" s="317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244</v>
      </c>
      <c r="AC29" s="5">
        <f t="shared" si="21"/>
        <v>789</v>
      </c>
      <c r="AD29" s="83">
        <f t="shared" si="39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19">
        <f t="shared" si="27"/>
        <v>0</v>
      </c>
      <c r="AK29" s="320">
        <f t="shared" si="40"/>
        <v>-1</v>
      </c>
      <c r="AL29" s="320">
        <f t="shared" si="28"/>
        <v>0</v>
      </c>
      <c r="AM29" s="320">
        <f>'General information '!D28</f>
        <v>23.5</v>
      </c>
      <c r="AN29" s="84">
        <f>'General information '!H28</f>
        <v>0</v>
      </c>
      <c r="AO29" s="84"/>
      <c r="AP29" s="84">
        <f>'General information '!J28</f>
        <v>0</v>
      </c>
      <c r="AR29" s="272">
        <f t="shared" si="29"/>
        <v>44493</v>
      </c>
      <c r="AS29" s="416">
        <f t="shared" si="48"/>
        <v>0.9</v>
      </c>
      <c r="AT29" s="201">
        <f t="shared" si="48"/>
        <v>87</v>
      </c>
      <c r="AU29" s="417">
        <f t="shared" si="43"/>
        <v>1.1000000000000001</v>
      </c>
      <c r="AV29" s="201">
        <v>144</v>
      </c>
      <c r="AW29" s="5">
        <v>2.9</v>
      </c>
      <c r="AX29" s="201">
        <v>98</v>
      </c>
      <c r="AY29" s="418">
        <f t="shared" si="33"/>
        <v>78.3</v>
      </c>
      <c r="AZ29" s="418">
        <f t="shared" si="34"/>
        <v>158.4</v>
      </c>
      <c r="BA29" s="418">
        <f t="shared" si="35"/>
        <v>284.2</v>
      </c>
      <c r="BB29" s="21">
        <f t="shared" si="36"/>
        <v>0</v>
      </c>
      <c r="BC29" s="21">
        <f t="shared" si="36"/>
        <v>-13.200000000000017</v>
      </c>
      <c r="BD29" s="21">
        <f t="shared" si="36"/>
        <v>-11.600000000000023</v>
      </c>
      <c r="BE29" s="24">
        <f t="shared" si="38"/>
        <v>-24.80000000000004</v>
      </c>
      <c r="BF29" s="96">
        <f t="shared" si="4"/>
        <v>24.80000000000004</v>
      </c>
      <c r="BG29" s="82">
        <f t="shared" si="5"/>
        <v>-24.80000000000004</v>
      </c>
    </row>
    <row r="30" spans="1:61" ht="15.75" thickBot="1">
      <c r="A30" s="6">
        <f>ELEC!C28</f>
        <v>44494</v>
      </c>
      <c r="B30" s="5">
        <f t="shared" si="6"/>
        <v>109443</v>
      </c>
      <c r="C30" s="5">
        <f t="shared" si="7"/>
        <v>0</v>
      </c>
      <c r="D30" s="411">
        <f t="shared" si="8"/>
        <v>0</v>
      </c>
      <c r="E30" s="326">
        <f>SUM((C30*$E$4)+(7500/'EDl log'!$A$37))</f>
        <v>241.93548387096774</v>
      </c>
      <c r="F30" s="320"/>
      <c r="G30" s="5">
        <f t="shared" si="9"/>
        <v>625047</v>
      </c>
      <c r="H30" s="5">
        <f t="shared" si="10"/>
        <v>0</v>
      </c>
      <c r="I30" s="5">
        <f t="shared" si="11"/>
        <v>0</v>
      </c>
      <c r="J30" s="327">
        <f t="shared" si="0"/>
        <v>0</v>
      </c>
      <c r="K30" s="5">
        <f>'Swimming Pool quality check '!H30</f>
        <v>6903</v>
      </c>
      <c r="L30" s="269">
        <f t="shared" si="41"/>
        <v>0</v>
      </c>
      <c r="M30" s="402">
        <f t="shared" si="12"/>
        <v>457.44</v>
      </c>
      <c r="N30" s="497">
        <f t="shared" si="44"/>
        <v>0</v>
      </c>
      <c r="O30" s="402">
        <f t="shared" si="13"/>
        <v>529.52</v>
      </c>
      <c r="P30" s="497">
        <f t="shared" si="45"/>
        <v>0</v>
      </c>
      <c r="Q30" s="497">
        <f t="shared" si="46"/>
        <v>0</v>
      </c>
      <c r="R30" s="499"/>
      <c r="S30" s="499"/>
      <c r="T30" s="5">
        <f t="shared" si="14"/>
        <v>5176</v>
      </c>
      <c r="U30" s="5">
        <f t="shared" si="3"/>
        <v>0</v>
      </c>
      <c r="V30" s="5">
        <f t="shared" si="15"/>
        <v>477</v>
      </c>
      <c r="W30" s="317">
        <f t="shared" si="16"/>
        <v>0</v>
      </c>
      <c r="X30" s="5">
        <f t="shared" si="17"/>
        <v>153898</v>
      </c>
      <c r="Y30" s="317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244</v>
      </c>
      <c r="AC30" s="5">
        <f t="shared" si="21"/>
        <v>789</v>
      </c>
      <c r="AD30" s="83">
        <f t="shared" si="39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19">
        <f t="shared" si="27"/>
        <v>0</v>
      </c>
      <c r="AK30" s="320">
        <f t="shared" si="40"/>
        <v>0</v>
      </c>
      <c r="AL30" s="320">
        <f t="shared" si="28"/>
        <v>0</v>
      </c>
      <c r="AM30" s="320">
        <f>'General information '!D29</f>
        <v>23</v>
      </c>
      <c r="AN30" s="84">
        <f>'General information '!H29</f>
        <v>0</v>
      </c>
      <c r="AO30" s="84"/>
      <c r="AP30" s="84">
        <f>'General information '!J29</f>
        <v>0</v>
      </c>
      <c r="AR30" s="272">
        <f t="shared" si="29"/>
        <v>44494</v>
      </c>
      <c r="AS30" s="416">
        <f t="shared" si="48"/>
        <v>0.9</v>
      </c>
      <c r="AT30" s="201">
        <f t="shared" si="48"/>
        <v>87</v>
      </c>
      <c r="AU30" s="417">
        <f t="shared" si="43"/>
        <v>1.1000000000000001</v>
      </c>
      <c r="AV30" s="201">
        <f t="shared" si="31"/>
        <v>144</v>
      </c>
      <c r="AW30" s="5">
        <v>2.9</v>
      </c>
      <c r="AX30" s="201">
        <v>95</v>
      </c>
      <c r="AY30" s="418">
        <f t="shared" si="33"/>
        <v>78.3</v>
      </c>
      <c r="AZ30" s="418">
        <f t="shared" si="34"/>
        <v>158.4</v>
      </c>
      <c r="BA30" s="418">
        <f t="shared" si="35"/>
        <v>275.5</v>
      </c>
      <c r="BB30" s="21">
        <f t="shared" si="36"/>
        <v>0</v>
      </c>
      <c r="BC30" s="21">
        <f t="shared" si="36"/>
        <v>0</v>
      </c>
      <c r="BD30" s="21">
        <f t="shared" si="36"/>
        <v>-8.6999999999999886</v>
      </c>
      <c r="BE30" s="24">
        <f t="shared" si="38"/>
        <v>-8.6999999999999886</v>
      </c>
      <c r="BF30" s="96">
        <f t="shared" si="4"/>
        <v>8.6999999999999886</v>
      </c>
      <c r="BG30" s="82">
        <f t="shared" si="5"/>
        <v>-8.6999999999999886</v>
      </c>
    </row>
    <row r="31" spans="1:61" ht="15.75" thickBot="1">
      <c r="A31" s="6">
        <f>ELEC!C29</f>
        <v>44495</v>
      </c>
      <c r="B31" s="5">
        <f t="shared" si="6"/>
        <v>109443</v>
      </c>
      <c r="C31" s="5">
        <f t="shared" si="7"/>
        <v>0</v>
      </c>
      <c r="D31" s="411">
        <f t="shared" si="8"/>
        <v>0</v>
      </c>
      <c r="E31" s="326">
        <f>SUM((C31*$E$4)+(7500/'EDl log'!$A$37))</f>
        <v>241.93548387096774</v>
      </c>
      <c r="F31" s="320"/>
      <c r="G31" s="5">
        <f t="shared" si="9"/>
        <v>625047</v>
      </c>
      <c r="H31" s="5">
        <f t="shared" si="10"/>
        <v>0</v>
      </c>
      <c r="I31" s="5">
        <f t="shared" si="11"/>
        <v>0</v>
      </c>
      <c r="J31" s="327">
        <f t="shared" si="0"/>
        <v>0</v>
      </c>
      <c r="K31" s="5">
        <f>'Swimming Pool quality check '!H31</f>
        <v>6905</v>
      </c>
      <c r="L31" s="269">
        <f t="shared" si="41"/>
        <v>2</v>
      </c>
      <c r="M31" s="402">
        <f t="shared" si="12"/>
        <v>457.44</v>
      </c>
      <c r="N31" s="497">
        <f t="shared" si="44"/>
        <v>0</v>
      </c>
      <c r="O31" s="402">
        <f t="shared" si="13"/>
        <v>529.52</v>
      </c>
      <c r="P31" s="497">
        <f t="shared" si="45"/>
        <v>0</v>
      </c>
      <c r="Q31" s="497">
        <f t="shared" si="46"/>
        <v>0</v>
      </c>
      <c r="R31" s="499"/>
      <c r="S31" s="499"/>
      <c r="T31" s="5">
        <f t="shared" si="14"/>
        <v>5176</v>
      </c>
      <c r="U31" s="5">
        <f t="shared" si="3"/>
        <v>0</v>
      </c>
      <c r="V31" s="5">
        <f t="shared" si="15"/>
        <v>477</v>
      </c>
      <c r="W31" s="317">
        <f t="shared" si="16"/>
        <v>0</v>
      </c>
      <c r="X31" s="5">
        <f t="shared" si="17"/>
        <v>153898</v>
      </c>
      <c r="Y31" s="317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244</v>
      </c>
      <c r="AC31" s="5">
        <f t="shared" si="21"/>
        <v>789</v>
      </c>
      <c r="AD31" s="83">
        <f t="shared" si="39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19">
        <f t="shared" si="27"/>
        <v>0</v>
      </c>
      <c r="AK31" s="320">
        <f t="shared" si="40"/>
        <v>-2</v>
      </c>
      <c r="AL31" s="320">
        <f t="shared" si="28"/>
        <v>0</v>
      </c>
      <c r="AM31" s="320">
        <f>'General information '!D30</f>
        <v>23.5</v>
      </c>
      <c r="AN31" s="84">
        <f>'General information '!H30</f>
        <v>0</v>
      </c>
      <c r="AO31" s="84"/>
      <c r="AP31" s="84">
        <f>'General information '!J30</f>
        <v>0</v>
      </c>
      <c r="AR31" s="272">
        <f t="shared" si="29"/>
        <v>44495</v>
      </c>
      <c r="AS31" s="416">
        <f t="shared" si="48"/>
        <v>0.9</v>
      </c>
      <c r="AT31" s="201">
        <v>117</v>
      </c>
      <c r="AU31" s="417">
        <f t="shared" si="43"/>
        <v>1.1000000000000001</v>
      </c>
      <c r="AV31" s="201">
        <v>143</v>
      </c>
      <c r="AW31" s="5">
        <v>2.9</v>
      </c>
      <c r="AX31" s="201">
        <v>92</v>
      </c>
      <c r="AY31" s="418">
        <f t="shared" si="33"/>
        <v>105.3</v>
      </c>
      <c r="AZ31" s="418">
        <f>AU31*AV31</f>
        <v>157.30000000000001</v>
      </c>
      <c r="BA31" s="418">
        <f t="shared" si="35"/>
        <v>266.8</v>
      </c>
      <c r="BB31" s="21">
        <f t="shared" si="36"/>
        <v>27</v>
      </c>
      <c r="BC31" s="21">
        <f t="shared" si="36"/>
        <v>-1.0999999999999943</v>
      </c>
      <c r="BD31" s="21">
        <f t="shared" si="36"/>
        <v>-8.6999999999999886</v>
      </c>
      <c r="BE31" s="24">
        <f t="shared" si="38"/>
        <v>17.200000000000017</v>
      </c>
      <c r="BF31" s="96">
        <f t="shared" si="4"/>
        <v>-17.200000000000017</v>
      </c>
      <c r="BG31" s="82">
        <f t="shared" si="5"/>
        <v>17.200000000000017</v>
      </c>
    </row>
    <row r="32" spans="1:61" ht="15.75" thickBot="1">
      <c r="A32" s="6">
        <f>ELEC!C30</f>
        <v>44496</v>
      </c>
      <c r="B32" s="5">
        <f t="shared" si="6"/>
        <v>109443</v>
      </c>
      <c r="C32" s="5">
        <f t="shared" si="7"/>
        <v>0</v>
      </c>
      <c r="D32" s="411">
        <f t="shared" si="8"/>
        <v>0</v>
      </c>
      <c r="E32" s="326">
        <f>SUM((C32*$E$4)+(7500/'EDl log'!$A$37))</f>
        <v>241.93548387096774</v>
      </c>
      <c r="F32" s="320"/>
      <c r="G32" s="5">
        <f t="shared" si="9"/>
        <v>625047</v>
      </c>
      <c r="H32" s="5">
        <f t="shared" si="10"/>
        <v>0</v>
      </c>
      <c r="I32" s="5">
        <f t="shared" si="11"/>
        <v>0</v>
      </c>
      <c r="J32" s="327">
        <f t="shared" si="0"/>
        <v>0</v>
      </c>
      <c r="K32" s="5">
        <f>'Swimming Pool quality check '!H32</f>
        <v>6905</v>
      </c>
      <c r="L32" s="269">
        <f t="shared" si="41"/>
        <v>0</v>
      </c>
      <c r="M32" s="402">
        <f t="shared" si="12"/>
        <v>457.44</v>
      </c>
      <c r="N32" s="497">
        <f t="shared" si="44"/>
        <v>0</v>
      </c>
      <c r="O32" s="402">
        <f t="shared" si="13"/>
        <v>529.52</v>
      </c>
      <c r="P32" s="497">
        <f t="shared" si="45"/>
        <v>0</v>
      </c>
      <c r="Q32" s="497">
        <f t="shared" si="46"/>
        <v>0</v>
      </c>
      <c r="R32" s="499"/>
      <c r="S32" s="499"/>
      <c r="T32" s="5">
        <f t="shared" si="14"/>
        <v>5176</v>
      </c>
      <c r="U32" s="5">
        <f t="shared" si="3"/>
        <v>0</v>
      </c>
      <c r="V32" s="5">
        <f t="shared" si="15"/>
        <v>477</v>
      </c>
      <c r="W32" s="317">
        <f t="shared" si="16"/>
        <v>0</v>
      </c>
      <c r="X32" s="5">
        <f t="shared" si="17"/>
        <v>153898</v>
      </c>
      <c r="Y32" s="317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244</v>
      </c>
      <c r="AC32" s="5">
        <f t="shared" si="21"/>
        <v>789</v>
      </c>
      <c r="AD32" s="83">
        <f t="shared" si="39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19">
        <f t="shared" si="27"/>
        <v>0</v>
      </c>
      <c r="AK32" s="320">
        <f t="shared" si="40"/>
        <v>0</v>
      </c>
      <c r="AL32" s="320">
        <f t="shared" si="28"/>
        <v>0</v>
      </c>
      <c r="AM32" s="320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72">
        <f t="shared" si="29"/>
        <v>44496</v>
      </c>
      <c r="AS32" s="416">
        <f t="shared" si="48"/>
        <v>0.9</v>
      </c>
      <c r="AT32" s="201">
        <f t="shared" si="48"/>
        <v>117</v>
      </c>
      <c r="AU32" s="417">
        <f t="shared" si="43"/>
        <v>1.1000000000000001</v>
      </c>
      <c r="AV32" s="201">
        <f t="shared" si="31"/>
        <v>143</v>
      </c>
      <c r="AW32" s="5">
        <v>2.9</v>
      </c>
      <c r="AX32" s="201">
        <f t="shared" si="32"/>
        <v>92</v>
      </c>
      <c r="AY32" s="418">
        <f t="shared" si="33"/>
        <v>105.3</v>
      </c>
      <c r="AZ32" s="418">
        <f t="shared" si="34"/>
        <v>157.30000000000001</v>
      </c>
      <c r="BA32" s="418">
        <f t="shared" si="35"/>
        <v>266.8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44497</v>
      </c>
      <c r="B33" s="5">
        <f t="shared" si="6"/>
        <v>109443</v>
      </c>
      <c r="C33" s="5">
        <f t="shared" si="7"/>
        <v>0</v>
      </c>
      <c r="D33" s="411">
        <f t="shared" si="8"/>
        <v>0</v>
      </c>
      <c r="E33" s="326">
        <f>SUM((C33*$E$4)+(7500/'EDl log'!$A$37))</f>
        <v>241.93548387096774</v>
      </c>
      <c r="F33" s="320"/>
      <c r="G33" s="5">
        <f t="shared" si="9"/>
        <v>625047</v>
      </c>
      <c r="H33" s="5">
        <f t="shared" si="10"/>
        <v>0</v>
      </c>
      <c r="I33" s="5">
        <f t="shared" si="11"/>
        <v>0</v>
      </c>
      <c r="J33" s="327">
        <f t="shared" si="0"/>
        <v>0</v>
      </c>
      <c r="K33" s="5">
        <f>'Swimming Pool quality check '!H33</f>
        <v>6905</v>
      </c>
      <c r="L33" s="269">
        <f t="shared" si="41"/>
        <v>0</v>
      </c>
      <c r="M33" s="402">
        <f t="shared" si="12"/>
        <v>457.44</v>
      </c>
      <c r="N33" s="497">
        <f t="shared" si="44"/>
        <v>0</v>
      </c>
      <c r="O33" s="402">
        <f t="shared" si="13"/>
        <v>529.52</v>
      </c>
      <c r="P33" s="497">
        <f t="shared" si="45"/>
        <v>0</v>
      </c>
      <c r="Q33" s="497">
        <f t="shared" si="46"/>
        <v>0</v>
      </c>
      <c r="R33" s="499"/>
      <c r="S33" s="499"/>
      <c r="T33" s="5">
        <f t="shared" si="14"/>
        <v>5176</v>
      </c>
      <c r="U33" s="5">
        <f t="shared" si="3"/>
        <v>0</v>
      </c>
      <c r="V33" s="5">
        <f t="shared" si="15"/>
        <v>477</v>
      </c>
      <c r="W33" s="317">
        <f t="shared" si="16"/>
        <v>0</v>
      </c>
      <c r="X33" s="5">
        <f t="shared" si="17"/>
        <v>153898</v>
      </c>
      <c r="Y33" s="317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244</v>
      </c>
      <c r="AC33" s="5">
        <f t="shared" si="21"/>
        <v>789</v>
      </c>
      <c r="AD33" s="83">
        <f t="shared" si="39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19">
        <f t="shared" si="27"/>
        <v>0</v>
      </c>
      <c r="AK33" s="320">
        <f t="shared" si="40"/>
        <v>0</v>
      </c>
      <c r="AL33" s="320">
        <f t="shared" si="28"/>
        <v>0</v>
      </c>
      <c r="AM33" s="320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72">
        <f t="shared" si="29"/>
        <v>44497</v>
      </c>
      <c r="AS33" s="416">
        <f t="shared" si="48"/>
        <v>0.9</v>
      </c>
      <c r="AT33" s="201">
        <f t="shared" si="48"/>
        <v>117</v>
      </c>
      <c r="AU33" s="417">
        <f t="shared" si="43"/>
        <v>1.1000000000000001</v>
      </c>
      <c r="AV33" s="201">
        <f t="shared" si="31"/>
        <v>143</v>
      </c>
      <c r="AW33" s="5">
        <v>2.9</v>
      </c>
      <c r="AX33" s="201">
        <f t="shared" si="32"/>
        <v>92</v>
      </c>
      <c r="AY33" s="418">
        <f t="shared" si="33"/>
        <v>105.3</v>
      </c>
      <c r="AZ33" s="418">
        <f t="shared" si="34"/>
        <v>157.30000000000001</v>
      </c>
      <c r="BA33" s="418">
        <f t="shared" si="35"/>
        <v>266.8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44498</v>
      </c>
      <c r="B34" s="5">
        <f t="shared" si="6"/>
        <v>109443</v>
      </c>
      <c r="C34" s="5">
        <f>B34-B33</f>
        <v>0</v>
      </c>
      <c r="D34" s="411">
        <f>C34/27</f>
        <v>0</v>
      </c>
      <c r="E34" s="326">
        <f>SUM((C34*$E$4)+(7500/'EDl log'!$A$37))</f>
        <v>241.93548387096774</v>
      </c>
      <c r="F34" s="320"/>
      <c r="G34" s="5">
        <f t="shared" si="9"/>
        <v>625047</v>
      </c>
      <c r="H34" s="5">
        <f>G34-G33</f>
        <v>0</v>
      </c>
      <c r="I34" s="5">
        <f>C34+H34</f>
        <v>0</v>
      </c>
      <c r="J34" s="327">
        <f>IF(I34&gt;0,E34/I34,0)</f>
        <v>0</v>
      </c>
      <c r="K34" s="5">
        <f>'Swimming Pool quality check '!H34</f>
        <v>6905</v>
      </c>
      <c r="L34" s="269">
        <f>K34-K33</f>
        <v>0</v>
      </c>
      <c r="M34" s="402">
        <f t="shared" si="12"/>
        <v>457.44</v>
      </c>
      <c r="N34" s="497">
        <f>SUM(M34-M33)</f>
        <v>0</v>
      </c>
      <c r="O34" s="402">
        <f t="shared" si="13"/>
        <v>529.52</v>
      </c>
      <c r="P34" s="497">
        <f>SUM(O34-O33)</f>
        <v>0</v>
      </c>
      <c r="Q34" s="497">
        <f>SUM(P34+N34)</f>
        <v>0</v>
      </c>
      <c r="R34" s="499"/>
      <c r="S34" s="499"/>
      <c r="T34" s="5">
        <f t="shared" si="14"/>
        <v>5176</v>
      </c>
      <c r="U34" s="5">
        <f>SUM(T34-T33)</f>
        <v>0</v>
      </c>
      <c r="V34" s="5">
        <f t="shared" si="15"/>
        <v>477</v>
      </c>
      <c r="W34" s="317">
        <f>+V34-V33</f>
        <v>0</v>
      </c>
      <c r="X34" s="5">
        <f t="shared" si="17"/>
        <v>153898</v>
      </c>
      <c r="Y34" s="317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244</v>
      </c>
      <c r="AC34" s="5">
        <f t="shared" si="21"/>
        <v>789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19">
        <f>+Z34-Z33</f>
        <v>0</v>
      </c>
      <c r="AK34" s="320">
        <f>SUM(Y34-L34)</f>
        <v>0</v>
      </c>
      <c r="AL34" s="320">
        <f>SUM(AJ34-W34)</f>
        <v>0</v>
      </c>
      <c r="AM34" s="320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72">
        <f>A34</f>
        <v>44498</v>
      </c>
      <c r="AS34" s="416">
        <f>AS33</f>
        <v>0.9</v>
      </c>
      <c r="AT34" s="201">
        <f t="shared" ref="AT34:AT36" si="49">AT33</f>
        <v>117</v>
      </c>
      <c r="AU34" s="417">
        <f>AU33</f>
        <v>1.1000000000000001</v>
      </c>
      <c r="AV34" s="201">
        <f t="shared" si="31"/>
        <v>143</v>
      </c>
      <c r="AW34" s="5">
        <v>2.9</v>
      </c>
      <c r="AX34" s="201">
        <f t="shared" si="32"/>
        <v>92</v>
      </c>
      <c r="AY34" s="418">
        <f t="shared" si="33"/>
        <v>105.3</v>
      </c>
      <c r="AZ34" s="418">
        <f>AU34*AV34</f>
        <v>157.30000000000001</v>
      </c>
      <c r="BA34" s="418">
        <f>AW34*AX34</f>
        <v>266.8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44499</v>
      </c>
      <c r="B35" s="5">
        <f t="shared" si="6"/>
        <v>109443</v>
      </c>
      <c r="C35" s="5">
        <f>B35-B34</f>
        <v>0</v>
      </c>
      <c r="D35" s="411">
        <f>C35/27</f>
        <v>0</v>
      </c>
      <c r="E35" s="326">
        <f>SUM((C35*$E$4)+(7500/'EDl log'!$A$37))</f>
        <v>241.93548387096774</v>
      </c>
      <c r="F35" s="320"/>
      <c r="G35" s="5">
        <f t="shared" si="9"/>
        <v>625047</v>
      </c>
      <c r="H35" s="5">
        <f>G35-G34</f>
        <v>0</v>
      </c>
      <c r="I35" s="5">
        <f>C35+H35</f>
        <v>0</v>
      </c>
      <c r="J35" s="327">
        <f>IF(I35&gt;0,E35/I35,0)</f>
        <v>0</v>
      </c>
      <c r="K35" s="5">
        <f>'Swimming Pool quality check '!H35</f>
        <v>6905</v>
      </c>
      <c r="L35" s="269">
        <f>K35-K34</f>
        <v>0</v>
      </c>
      <c r="M35" s="402">
        <f t="shared" si="12"/>
        <v>457.44</v>
      </c>
      <c r="N35" s="497">
        <f>SUM(M35-M34)</f>
        <v>0</v>
      </c>
      <c r="O35" s="402">
        <f t="shared" si="13"/>
        <v>529.52</v>
      </c>
      <c r="P35" s="497">
        <f>SUM(O35-O34)</f>
        <v>0</v>
      </c>
      <c r="Q35" s="497">
        <f>SUM(P35+N35)</f>
        <v>0</v>
      </c>
      <c r="R35" s="499"/>
      <c r="S35" s="499"/>
      <c r="T35" s="5">
        <f t="shared" si="14"/>
        <v>5176</v>
      </c>
      <c r="U35" s="5">
        <f>SUM(T35-T34)</f>
        <v>0</v>
      </c>
      <c r="V35" s="5">
        <f t="shared" si="15"/>
        <v>477</v>
      </c>
      <c r="W35" s="317">
        <f>+V35-V34</f>
        <v>0</v>
      </c>
      <c r="X35" s="5">
        <f t="shared" si="17"/>
        <v>153898</v>
      </c>
      <c r="Y35" s="317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244</v>
      </c>
      <c r="AC35" s="5">
        <f t="shared" si="21"/>
        <v>789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19">
        <f>+Z35-Z34</f>
        <v>0</v>
      </c>
      <c r="AK35" s="320">
        <f>SUM(Y35-L35)</f>
        <v>0</v>
      </c>
      <c r="AL35" s="320">
        <f>SUM(AJ35-W35)</f>
        <v>0</v>
      </c>
      <c r="AM35" s="320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72">
        <f>A35</f>
        <v>44499</v>
      </c>
      <c r="AS35" s="416">
        <f>AS34</f>
        <v>0.9</v>
      </c>
      <c r="AT35" s="201">
        <f t="shared" si="49"/>
        <v>117</v>
      </c>
      <c r="AU35" s="417">
        <f>AU34</f>
        <v>1.1000000000000001</v>
      </c>
      <c r="AV35" s="201">
        <f t="shared" si="31"/>
        <v>143</v>
      </c>
      <c r="AW35" s="5">
        <v>2.9</v>
      </c>
      <c r="AX35" s="201">
        <f t="shared" si="32"/>
        <v>92</v>
      </c>
      <c r="AY35" s="418">
        <f t="shared" si="33"/>
        <v>105.3</v>
      </c>
      <c r="AZ35" s="418">
        <f>AU35*AV35</f>
        <v>157.30000000000001</v>
      </c>
      <c r="BA35" s="418">
        <f>AW35*AX35</f>
        <v>266.8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44500</v>
      </c>
      <c r="B36" s="5">
        <f t="shared" si="6"/>
        <v>109443</v>
      </c>
      <c r="C36" s="5">
        <f>B36-B35</f>
        <v>0</v>
      </c>
      <c r="D36" s="411">
        <f>C36/27</f>
        <v>0</v>
      </c>
      <c r="E36" s="326">
        <f>SUM((C36*$E$4)+(7500/'EDl log'!$A$37))</f>
        <v>241.93548387096774</v>
      </c>
      <c r="F36" s="320"/>
      <c r="G36" s="5">
        <f t="shared" si="9"/>
        <v>625047</v>
      </c>
      <c r="H36" s="5">
        <f>G36-G35</f>
        <v>0</v>
      </c>
      <c r="I36" s="5">
        <f>C36+H36</f>
        <v>0</v>
      </c>
      <c r="J36" s="327">
        <f>IF(I36&gt;0,E36/I36,0)</f>
        <v>0</v>
      </c>
      <c r="K36" s="5">
        <f>'Swimming Pool quality check '!H36</f>
        <v>6905</v>
      </c>
      <c r="L36" s="269">
        <f>K36-K35</f>
        <v>0</v>
      </c>
      <c r="M36" s="402">
        <f t="shared" si="12"/>
        <v>457.44</v>
      </c>
      <c r="N36" s="497">
        <f>SUM(M36-M35)</f>
        <v>0</v>
      </c>
      <c r="O36" s="402">
        <f t="shared" si="13"/>
        <v>529.52</v>
      </c>
      <c r="P36" s="497">
        <f>SUM(O36-O35)</f>
        <v>0</v>
      </c>
      <c r="Q36" s="497">
        <f>SUM(P36+N36)</f>
        <v>0</v>
      </c>
      <c r="R36" s="499"/>
      <c r="S36" s="499"/>
      <c r="T36" s="5">
        <f t="shared" si="14"/>
        <v>5176</v>
      </c>
      <c r="U36" s="5">
        <f>SUM(T36-T35)</f>
        <v>0</v>
      </c>
      <c r="V36" s="5">
        <f t="shared" si="15"/>
        <v>477</v>
      </c>
      <c r="W36" s="317">
        <f>+V36-V35</f>
        <v>0</v>
      </c>
      <c r="X36" s="5">
        <f t="shared" si="17"/>
        <v>153898</v>
      </c>
      <c r="Y36" s="317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244</v>
      </c>
      <c r="AC36" s="5">
        <f t="shared" si="21"/>
        <v>789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19">
        <f>+Z36-Z35</f>
        <v>0</v>
      </c>
      <c r="AK36" s="320">
        <f>SUM(Y36-L36)</f>
        <v>0</v>
      </c>
      <c r="AL36" s="320">
        <f>SUM(AJ36-W36)</f>
        <v>0</v>
      </c>
      <c r="AM36" s="320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72">
        <f>A36</f>
        <v>44500</v>
      </c>
      <c r="AS36" s="416">
        <f>AS35</f>
        <v>0.9</v>
      </c>
      <c r="AT36" s="201">
        <f t="shared" si="49"/>
        <v>117</v>
      </c>
      <c r="AU36" s="417">
        <f>AU35</f>
        <v>1.1000000000000001</v>
      </c>
      <c r="AV36" s="201">
        <f t="shared" si="31"/>
        <v>143</v>
      </c>
      <c r="AW36" s="5">
        <v>2.9</v>
      </c>
      <c r="AX36" s="201">
        <f t="shared" si="32"/>
        <v>92</v>
      </c>
      <c r="AY36" s="418">
        <f t="shared" ref="AY36" si="53">AS36*AT36</f>
        <v>105.3</v>
      </c>
      <c r="AZ36" s="418">
        <f>AU36*AV36</f>
        <v>157.30000000000001</v>
      </c>
      <c r="BA36" s="418">
        <f>AW36*AX36</f>
        <v>266.8</v>
      </c>
      <c r="BB36" s="21">
        <f t="shared" ref="BB36" si="54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404">
        <f>SUM(C6:C36)</f>
        <v>0</v>
      </c>
      <c r="D37" s="315">
        <f>SUM(D6:D36)</f>
        <v>0</v>
      </c>
      <c r="F37" s="406">
        <f>SUM(F6:F36)</f>
        <v>0</v>
      </c>
      <c r="H37" s="404">
        <f>SUM(H6:H36)</f>
        <v>324</v>
      </c>
      <c r="I37" s="404">
        <f>SUM(I6:I36)</f>
        <v>324</v>
      </c>
      <c r="L37" s="264">
        <f>SUM(L7:L36)</f>
        <v>21</v>
      </c>
      <c r="M37" s="572"/>
      <c r="N37" s="572"/>
      <c r="O37" s="572"/>
      <c r="P37" s="572"/>
      <c r="Q37" s="406">
        <f>SUM(Q6:Q36)</f>
        <v>0</v>
      </c>
      <c r="R37" s="572"/>
      <c r="S37" s="572"/>
      <c r="T37" s="572"/>
      <c r="U37" s="572">
        <f>SUM(U6:U36)</f>
        <v>-4</v>
      </c>
      <c r="X37" s="316"/>
      <c r="Y37" s="315">
        <f>SUM(Y6,Y33,Y31,Y29,Y27,Y25,Y23,Y21,Y19,Y17,Y15,Y13,Y11,Y9,Y7,Y34,Y35,Y36)</f>
        <v>0</v>
      </c>
      <c r="AJ37" s="315">
        <f>SUM(AJ6:AJ36)</f>
        <v>0</v>
      </c>
      <c r="AK37" s="320">
        <f>SUM(Y37-L37)</f>
        <v>-21</v>
      </c>
      <c r="AL37" s="315">
        <f>SUM(AL6:AL36)</f>
        <v>0</v>
      </c>
      <c r="AP37" s="17"/>
      <c r="AQ37" s="17"/>
      <c r="AR37" s="17"/>
      <c r="AS37" s="590"/>
      <c r="AT37" s="201"/>
      <c r="AU37" s="590"/>
      <c r="AV37" s="592"/>
      <c r="AW37" s="591"/>
      <c r="AX37" s="591"/>
      <c r="AY37" s="591"/>
      <c r="AZ37" s="592"/>
      <c r="BA37" s="592"/>
      <c r="BB37" s="592"/>
      <c r="BC37" s="592"/>
      <c r="BD37" s="592"/>
      <c r="BE37" s="593"/>
    </row>
    <row r="38" spans="1:59">
      <c r="C38" s="1">
        <f>+C37*1.66</f>
        <v>0</v>
      </c>
      <c r="E38" s="325">
        <f>SUM(E6:E33)</f>
        <v>6774.1935483870975</v>
      </c>
      <c r="F38" s="409">
        <f>SUM(F6:F35)</f>
        <v>0</v>
      </c>
      <c r="H38" s="157">
        <v>7500</v>
      </c>
      <c r="I38" s="405">
        <f>SUM('General information '!G36/WATER!I37)</f>
        <v>0</v>
      </c>
      <c r="L38" s="157"/>
      <c r="O38" s="477">
        <f>SUM(Q37+I37)</f>
        <v>324</v>
      </c>
      <c r="Z38" s="315">
        <f>SUM(Y37:AJ37)</f>
        <v>0</v>
      </c>
      <c r="AK38" s="32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9*31</f>
        <v>279</v>
      </c>
      <c r="D39" s="406">
        <f>SUM(D6:D35)</f>
        <v>0</v>
      </c>
      <c r="F39" s="407">
        <f>SUM(F6:F36)</f>
        <v>0</v>
      </c>
      <c r="G39" s="1">
        <f>SUM(I37)</f>
        <v>324</v>
      </c>
      <c r="H39" s="1">
        <f>SUM(H38+C38)</f>
        <v>7500</v>
      </c>
      <c r="K39" s="1">
        <f>SUM(H39/G39)</f>
        <v>23.148148148148149</v>
      </c>
      <c r="AJ39" s="315">
        <f>SUM(C38-AK38)</f>
        <v>0</v>
      </c>
      <c r="AM39" s="33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D1" zoomScale="70" zoomScaleNormal="70" workbookViewId="0">
      <pane ySplit="1" topLeftCell="A20" activePane="bottomLeft" state="frozen"/>
      <selection pane="bottomLeft" activeCell="S28" sqref="S2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0" t="s">
        <v>44</v>
      </c>
      <c r="C1" s="25" t="s">
        <v>45</v>
      </c>
      <c r="D1" s="25" t="s">
        <v>367</v>
      </c>
      <c r="E1" s="25" t="s">
        <v>369</v>
      </c>
      <c r="F1" s="25" t="s">
        <v>368</v>
      </c>
      <c r="G1" s="25"/>
      <c r="H1" s="25" t="s">
        <v>46</v>
      </c>
      <c r="I1" s="25" t="s">
        <v>49</v>
      </c>
      <c r="J1" s="400" t="s">
        <v>47</v>
      </c>
      <c r="K1" s="25" t="s">
        <v>45</v>
      </c>
      <c r="L1" s="25" t="s">
        <v>367</v>
      </c>
      <c r="M1" s="25" t="s">
        <v>369</v>
      </c>
      <c r="N1" s="25" t="s">
        <v>368</v>
      </c>
      <c r="O1" s="281"/>
      <c r="P1" s="25" t="s">
        <v>46</v>
      </c>
      <c r="Q1" s="25" t="s">
        <v>49</v>
      </c>
      <c r="R1" s="400" t="s">
        <v>48</v>
      </c>
      <c r="S1" s="25" t="s">
        <v>45</v>
      </c>
      <c r="T1" s="25" t="s">
        <v>367</v>
      </c>
      <c r="U1" s="25" t="s">
        <v>369</v>
      </c>
      <c r="V1" s="25" t="s">
        <v>368</v>
      </c>
      <c r="W1" s="25"/>
      <c r="X1" s="25" t="s">
        <v>46</v>
      </c>
      <c r="Y1" s="25" t="s">
        <v>49</v>
      </c>
      <c r="Z1" s="25" t="s">
        <v>50</v>
      </c>
      <c r="AA1" s="25" t="s">
        <v>371</v>
      </c>
      <c r="AB1" s="281" t="s">
        <v>370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372</v>
      </c>
    </row>
    <row r="2" spans="1:37" ht="16.5" thickBot="1">
      <c r="A2" s="4">
        <f>[2]GEN!A32</f>
        <v>44469</v>
      </c>
      <c r="B2" s="266">
        <f>[2]GEN!B32</f>
        <v>10965</v>
      </c>
      <c r="C2" s="266">
        <f>[2]GEN!C32</f>
        <v>8</v>
      </c>
      <c r="D2" s="266">
        <f>[2]GEN!D32</f>
        <v>522014.3</v>
      </c>
      <c r="E2" s="266">
        <f>[2]GEN!E32</f>
        <v>982.29999999998836</v>
      </c>
      <c r="F2" s="266">
        <f>[2]GEN!F32</f>
        <v>122.78749999999854</v>
      </c>
      <c r="G2" s="266">
        <f>[2]GEN!G32</f>
        <v>0</v>
      </c>
      <c r="H2" s="266">
        <f>[2]GEN!H32</f>
        <v>11055</v>
      </c>
      <c r="I2" s="266" t="str">
        <f>[2]GEN!I32</f>
        <v>ok</v>
      </c>
      <c r="J2" s="266">
        <f>[2]GEN!J32</f>
        <v>10698</v>
      </c>
      <c r="K2" s="266">
        <f>[2]GEN!K32</f>
        <v>0</v>
      </c>
      <c r="L2" s="266">
        <f>[2]GEN!L32</f>
        <v>357691</v>
      </c>
      <c r="M2" s="266">
        <f>[2]GEN!M32</f>
        <v>0</v>
      </c>
      <c r="N2" s="266">
        <f>[2]GEN!N32</f>
        <v>0</v>
      </c>
      <c r="O2" s="266">
        <f>[2]GEN!O32</f>
        <v>0</v>
      </c>
      <c r="P2" s="266">
        <f>[2]GEN!P32</f>
        <v>10873</v>
      </c>
      <c r="Q2" s="266" t="str">
        <f>[2]GEN!Q32</f>
        <v>ok</v>
      </c>
      <c r="R2" s="266">
        <f>[2]GEN!R32</f>
        <v>13131</v>
      </c>
      <c r="S2" s="266">
        <f>[2]GEN!S32</f>
        <v>2</v>
      </c>
      <c r="T2" s="266">
        <f>[2]GEN!T32</f>
        <v>222244</v>
      </c>
      <c r="U2" s="266">
        <f>[2]GEN!U32</f>
        <v>500</v>
      </c>
      <c r="V2" s="266">
        <f>[2]GEN!V32</f>
        <v>250</v>
      </c>
      <c r="W2" s="266">
        <f>[2]GEN!W32</f>
        <v>0</v>
      </c>
      <c r="X2" s="635">
        <v>13230</v>
      </c>
      <c r="Y2" s="266" t="str">
        <f>[2]GEN!Y32</f>
        <v>ok</v>
      </c>
      <c r="Z2" s="266">
        <f>[2]GEN!Z32</f>
        <v>10</v>
      </c>
      <c r="AA2" s="266">
        <f>[2]GEN!AA32</f>
        <v>1482.2999999999884</v>
      </c>
      <c r="AB2" s="266">
        <f>[2]GEN!AB32</f>
        <v>372.78749999999854</v>
      </c>
      <c r="AC2" s="266">
        <f>[2]GEN!AC32</f>
        <v>148.22999999999882</v>
      </c>
      <c r="AD2" s="266">
        <f>[2]GEN!AD32</f>
        <v>6333.0000000023574</v>
      </c>
      <c r="AE2" s="266">
        <f>[2]GEN!AE32</f>
        <v>633.30000000023574</v>
      </c>
      <c r="AF2" s="266">
        <f>[2]GEN!AF32</f>
        <v>0.39581250000014734</v>
      </c>
      <c r="AG2" s="266">
        <f>[2]GEN!AG32</f>
        <v>126.66000000004715</v>
      </c>
      <c r="AH2" s="266">
        <f>[2]GEN!AH32</f>
        <v>21.569999999951676</v>
      </c>
      <c r="AI2" s="266">
        <f>[2]GEN!AI32</f>
        <v>1630.0126582284549</v>
      </c>
      <c r="AJ2" s="266">
        <f>[2]GEN!AJ32</f>
        <v>0.25738396624472576</v>
      </c>
      <c r="AK2" s="266">
        <f>[2]GEN!AK32</f>
        <v>163.00126582284548</v>
      </c>
    </row>
    <row r="3" spans="1:37" ht="16.5" thickBot="1">
      <c r="A3" s="4">
        <f>ELEC!C4</f>
        <v>44470</v>
      </c>
      <c r="B3" s="519">
        <f>B2</f>
        <v>10965</v>
      </c>
      <c r="C3" s="282">
        <f>B3-B2</f>
        <v>0</v>
      </c>
      <c r="D3" s="520">
        <f>D2</f>
        <v>522014.3</v>
      </c>
      <c r="E3" s="282">
        <f>SUM(D3-D2)</f>
        <v>0</v>
      </c>
      <c r="F3" s="282">
        <f t="shared" ref="F3:F30" si="0">IF(C3&gt;0,E3/C3,0)</f>
        <v>0</v>
      </c>
      <c r="G3" s="266">
        <f>[4]GEN!G32</f>
        <v>0</v>
      </c>
      <c r="H3" s="266">
        <f>H2</f>
        <v>11055</v>
      </c>
      <c r="I3" s="282" t="str">
        <f t="shared" ref="I3:I30" si="1">IF(B3-H3&lt;=0,"ok","oil change")</f>
        <v>ok</v>
      </c>
      <c r="J3" s="520">
        <f>J2</f>
        <v>10698</v>
      </c>
      <c r="K3" s="282">
        <f t="shared" ref="K3:K30" si="2">J3-J2</f>
        <v>0</v>
      </c>
      <c r="L3" s="520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0">
        <f>R2</f>
        <v>13131</v>
      </c>
      <c r="S3" s="282">
        <f t="shared" ref="S3:S30" si="4">R3-R2</f>
        <v>0</v>
      </c>
      <c r="T3" s="520">
        <f>T2</f>
        <v>222244</v>
      </c>
      <c r="U3" s="282">
        <f>V3*S3</f>
        <v>0</v>
      </c>
      <c r="V3" s="282">
        <v>250</v>
      </c>
      <c r="W3" s="266">
        <f>[4]GEN!W32</f>
        <v>0</v>
      </c>
      <c r="X3" s="635">
        <v>13230</v>
      </c>
      <c r="Y3" s="282" t="str">
        <f t="shared" ref="Y3:Y9" si="5">IF(R3-X3&lt;=0,"ok","oil change")</f>
        <v>ok</v>
      </c>
      <c r="Z3" s="282">
        <f t="shared" ref="Z3:Z30" si="6">C3+K3+S3</f>
        <v>0</v>
      </c>
      <c r="AA3" s="282">
        <f>U3+M3+E3</f>
        <v>0</v>
      </c>
      <c r="AB3" s="282">
        <f>V3+N3+F3</f>
        <v>250</v>
      </c>
      <c r="AC3" s="282">
        <f>IF(Z3&gt;0,AA3/Z3,0)</f>
        <v>0</v>
      </c>
      <c r="AD3" s="73">
        <f>ELEC!Q4</f>
        <v>0</v>
      </c>
      <c r="AE3" s="73" t="e">
        <f>SUM(AD3/Z3)</f>
        <v>#DIV/0!</v>
      </c>
      <c r="AF3" s="395" t="e">
        <f>SUM(AE3/1600)</f>
        <v>#DIV/0!</v>
      </c>
      <c r="AG3" s="396" t="e">
        <f>SUM(360*AF3)</f>
        <v>#DIV/0!</v>
      </c>
      <c r="AH3" s="396" t="e">
        <f>SUM(AC3-AG3)</f>
        <v>#DIV/0!</v>
      </c>
      <c r="AI3" s="73">
        <f>AD3*AJ3</f>
        <v>0</v>
      </c>
      <c r="AJ3" s="284">
        <f t="shared" ref="AJ3:AJ33" si="7">305/1185</f>
        <v>0.25738396624472576</v>
      </c>
      <c r="AK3" s="284" t="e">
        <f t="shared" ref="AK3:AK32" si="8">AI3/Z3</f>
        <v>#DIV/0!</v>
      </c>
    </row>
    <row r="4" spans="1:37" ht="16.5" thickBot="1">
      <c r="A4" s="4">
        <f>ELEC!C5</f>
        <v>44471</v>
      </c>
      <c r="B4" s="519">
        <f t="shared" ref="B4:B33" si="9">B3</f>
        <v>10965</v>
      </c>
      <c r="C4" s="282">
        <f t="shared" ref="C4:C30" si="10">B4-B3</f>
        <v>0</v>
      </c>
      <c r="D4" s="520">
        <f t="shared" ref="D4:D33" si="11">D3</f>
        <v>522014.3</v>
      </c>
      <c r="E4" s="282">
        <f t="shared" ref="E4:E25" si="12">SUM(D4-D3)</f>
        <v>0</v>
      </c>
      <c r="F4" s="282">
        <f t="shared" si="0"/>
        <v>0</v>
      </c>
      <c r="G4" s="196"/>
      <c r="H4" s="266">
        <f t="shared" ref="H4:H33" si="13">H3</f>
        <v>11055</v>
      </c>
      <c r="I4" s="282" t="str">
        <f t="shared" si="1"/>
        <v>ok</v>
      </c>
      <c r="J4" s="520">
        <f t="shared" ref="J4:J33" si="14">J3</f>
        <v>10698</v>
      </c>
      <c r="K4" s="282">
        <f t="shared" si="2"/>
        <v>0</v>
      </c>
      <c r="L4" s="520">
        <f t="shared" ref="L4:L33" si="15">L3</f>
        <v>357691</v>
      </c>
      <c r="M4" s="282">
        <f t="shared" ref="M4:M30" si="16">SUM(L4-L3)</f>
        <v>0</v>
      </c>
      <c r="N4" s="282">
        <f t="shared" ref="N4:N30" si="17">IF(K4&gt;0,M4/K4,0)</f>
        <v>0</v>
      </c>
      <c r="O4" s="196"/>
      <c r="P4" s="283">
        <f t="shared" ref="P4:P33" si="18">P3</f>
        <v>10873</v>
      </c>
      <c r="Q4" s="282" t="str">
        <f t="shared" si="3"/>
        <v>ok</v>
      </c>
      <c r="R4" s="520">
        <f t="shared" ref="R4:R33" si="19">R3</f>
        <v>13131</v>
      </c>
      <c r="S4" s="282">
        <f t="shared" si="4"/>
        <v>0</v>
      </c>
      <c r="T4" s="520">
        <f t="shared" ref="T4:T33" si="20">T3+U4</f>
        <v>222244</v>
      </c>
      <c r="U4" s="282">
        <f t="shared" ref="U4:U33" si="21">V4*S4</f>
        <v>0</v>
      </c>
      <c r="V4" s="282">
        <v>250</v>
      </c>
      <c r="W4" s="196"/>
      <c r="X4" s="635">
        <v>13230</v>
      </c>
      <c r="Y4" s="282" t="str">
        <f t="shared" si="5"/>
        <v>ok</v>
      </c>
      <c r="Z4" s="282">
        <f t="shared" si="6"/>
        <v>0</v>
      </c>
      <c r="AA4" s="282">
        <f t="shared" ref="AA4:AA30" si="22">U4+M4+E4</f>
        <v>0</v>
      </c>
      <c r="AB4" s="282">
        <f t="shared" ref="AB4:AB30" si="23">V4+N4+F4</f>
        <v>250</v>
      </c>
      <c r="AC4" s="282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95" t="e">
        <f>SUM(AE4/1600)</f>
        <v>#DIV/0!</v>
      </c>
      <c r="AG4" s="396" t="e">
        <f>SUM(360*AF4)</f>
        <v>#DIV/0!</v>
      </c>
      <c r="AH4" s="396" t="e">
        <f t="shared" ref="AH4:AH30" si="25">SUM(AC4-AG4)</f>
        <v>#DIV/0!</v>
      </c>
      <c r="AI4" s="73">
        <f>AD4*AJ4</f>
        <v>0</v>
      </c>
      <c r="AJ4" s="284">
        <f t="shared" si="7"/>
        <v>0.25738396624472576</v>
      </c>
      <c r="AK4" s="284" t="e">
        <f t="shared" si="8"/>
        <v>#DIV/0!</v>
      </c>
    </row>
    <row r="5" spans="1:37" ht="16.5" thickBot="1">
      <c r="A5" s="4">
        <f>ELEC!C6</f>
        <v>44472</v>
      </c>
      <c r="B5" s="519">
        <v>10971</v>
      </c>
      <c r="C5" s="282">
        <f t="shared" si="10"/>
        <v>6</v>
      </c>
      <c r="D5" s="520">
        <v>522800</v>
      </c>
      <c r="E5" s="282">
        <f t="shared" si="12"/>
        <v>785.70000000001164</v>
      </c>
      <c r="F5" s="282">
        <f t="shared" si="0"/>
        <v>130.95000000000195</v>
      </c>
      <c r="G5" s="280"/>
      <c r="H5" s="266">
        <f t="shared" si="13"/>
        <v>11055</v>
      </c>
      <c r="I5" s="282" t="str">
        <f t="shared" si="1"/>
        <v>ok</v>
      </c>
      <c r="J5" s="520">
        <f t="shared" si="14"/>
        <v>10698</v>
      </c>
      <c r="K5" s="282">
        <f t="shared" si="2"/>
        <v>0</v>
      </c>
      <c r="L5" s="520">
        <f t="shared" si="15"/>
        <v>357691</v>
      </c>
      <c r="M5" s="282">
        <f t="shared" si="16"/>
        <v>0</v>
      </c>
      <c r="N5" s="282">
        <f t="shared" si="17"/>
        <v>0</v>
      </c>
      <c r="O5" s="196"/>
      <c r="P5" s="283">
        <f t="shared" si="18"/>
        <v>10873</v>
      </c>
      <c r="Q5" s="282" t="str">
        <f t="shared" si="3"/>
        <v>ok</v>
      </c>
      <c r="R5" s="520">
        <v>13134</v>
      </c>
      <c r="S5" s="282">
        <f t="shared" si="4"/>
        <v>3</v>
      </c>
      <c r="T5" s="520">
        <f t="shared" si="20"/>
        <v>222994</v>
      </c>
      <c r="U5" s="282">
        <f t="shared" si="21"/>
        <v>750</v>
      </c>
      <c r="V5" s="282">
        <v>250</v>
      </c>
      <c r="W5" s="196"/>
      <c r="X5" s="635">
        <v>13230</v>
      </c>
      <c r="Y5" s="282" t="str">
        <f t="shared" si="5"/>
        <v>ok</v>
      </c>
      <c r="Z5" s="282">
        <f t="shared" si="6"/>
        <v>9</v>
      </c>
      <c r="AA5" s="282">
        <f t="shared" si="22"/>
        <v>1535.7000000000116</v>
      </c>
      <c r="AB5" s="282">
        <f t="shared" si="23"/>
        <v>380.95000000000198</v>
      </c>
      <c r="AC5" s="282">
        <f t="shared" si="24"/>
        <v>170.63333333333463</v>
      </c>
      <c r="AD5" s="73">
        <f>ELEC!Q6</f>
        <v>6615.9999999981665</v>
      </c>
      <c r="AE5" s="73">
        <f t="shared" ref="AE5:AE30" si="26">SUM(AD5/Z5)</f>
        <v>735.11111111090736</v>
      </c>
      <c r="AF5" s="395">
        <f t="shared" ref="AF5:AG30" si="27">SUM(AE5/1600)</f>
        <v>0.45944444444431709</v>
      </c>
      <c r="AG5" s="396">
        <f t="shared" ref="AG5:AG30" si="28">SUM(320*AF5)</f>
        <v>147.02222222218148</v>
      </c>
      <c r="AH5" s="396">
        <f t="shared" si="25"/>
        <v>23.61111111115315</v>
      </c>
      <c r="AI5" s="73">
        <f t="shared" ref="AI5:AI30" si="29">AD5*AJ5</f>
        <v>1702.8523206746338</v>
      </c>
      <c r="AJ5" s="284">
        <f t="shared" si="7"/>
        <v>0.25738396624472576</v>
      </c>
      <c r="AK5" s="284">
        <f t="shared" si="8"/>
        <v>189.20581340829264</v>
      </c>
    </row>
    <row r="6" spans="1:37" ht="16.5" thickBot="1">
      <c r="A6" s="4">
        <f>ELEC!C7</f>
        <v>44473</v>
      </c>
      <c r="B6" s="519">
        <v>10974</v>
      </c>
      <c r="C6" s="282">
        <f t="shared" si="10"/>
        <v>3</v>
      </c>
      <c r="D6" s="520">
        <v>523095</v>
      </c>
      <c r="E6" s="282">
        <f t="shared" si="12"/>
        <v>295</v>
      </c>
      <c r="F6" s="282">
        <f t="shared" si="0"/>
        <v>98.333333333333329</v>
      </c>
      <c r="G6" s="196"/>
      <c r="H6" s="266">
        <f t="shared" si="13"/>
        <v>11055</v>
      </c>
      <c r="I6" s="282" t="str">
        <f t="shared" si="1"/>
        <v>ok</v>
      </c>
      <c r="J6" s="520">
        <f t="shared" si="14"/>
        <v>10698</v>
      </c>
      <c r="K6" s="282">
        <f t="shared" si="2"/>
        <v>0</v>
      </c>
      <c r="L6" s="520">
        <f t="shared" si="15"/>
        <v>357691</v>
      </c>
      <c r="M6" s="282">
        <f>SUM(L6-L5)</f>
        <v>0</v>
      </c>
      <c r="N6" s="282">
        <f t="shared" si="17"/>
        <v>0</v>
      </c>
      <c r="O6" s="301"/>
      <c r="P6" s="283">
        <f t="shared" si="18"/>
        <v>10873</v>
      </c>
      <c r="Q6" s="282" t="str">
        <f t="shared" si="3"/>
        <v>ok</v>
      </c>
      <c r="R6" s="520">
        <v>13137</v>
      </c>
      <c r="S6" s="282">
        <f t="shared" si="4"/>
        <v>3</v>
      </c>
      <c r="T6" s="520">
        <f t="shared" si="20"/>
        <v>223744</v>
      </c>
      <c r="U6" s="282">
        <f>V6*S6</f>
        <v>750</v>
      </c>
      <c r="V6" s="282">
        <v>250</v>
      </c>
      <c r="W6" s="301"/>
      <c r="X6" s="635">
        <v>13230</v>
      </c>
      <c r="Y6" s="282" t="str">
        <f t="shared" si="5"/>
        <v>ok</v>
      </c>
      <c r="Z6" s="282">
        <f t="shared" si="6"/>
        <v>6</v>
      </c>
      <c r="AA6" s="282">
        <f t="shared" si="22"/>
        <v>1045</v>
      </c>
      <c r="AB6" s="282">
        <f t="shared" si="23"/>
        <v>348.33333333333331</v>
      </c>
      <c r="AC6" s="282">
        <f t="shared" si="24"/>
        <v>174.16666666666666</v>
      </c>
      <c r="AD6" s="73">
        <f>ELEC!Q7</f>
        <v>3497.9999999995925</v>
      </c>
      <c r="AE6" s="73">
        <f>SUM(AD6/Z6)</f>
        <v>582.99999999993213</v>
      </c>
      <c r="AF6" s="395">
        <f t="shared" si="27"/>
        <v>0.36437499999995759</v>
      </c>
      <c r="AG6" s="396">
        <f>SUM(320*AF6)</f>
        <v>116.59999999998644</v>
      </c>
      <c r="AH6" s="396">
        <f t="shared" si="25"/>
        <v>57.56666666668022</v>
      </c>
      <c r="AI6" s="73">
        <f t="shared" si="29"/>
        <v>900.32911392394578</v>
      </c>
      <c r="AJ6" s="284">
        <f t="shared" si="7"/>
        <v>0.25738396624472576</v>
      </c>
      <c r="AK6" s="284">
        <f t="shared" si="8"/>
        <v>150.05485232065763</v>
      </c>
    </row>
    <row r="7" spans="1:37" ht="16.5" thickBot="1">
      <c r="A7" s="4">
        <f>ELEC!C8</f>
        <v>44474</v>
      </c>
      <c r="B7" s="519">
        <v>10974</v>
      </c>
      <c r="C7" s="282">
        <f t="shared" si="10"/>
        <v>0</v>
      </c>
      <c r="D7" s="520">
        <f t="shared" si="11"/>
        <v>523095</v>
      </c>
      <c r="E7" s="282">
        <f t="shared" si="12"/>
        <v>0</v>
      </c>
      <c r="F7" s="282">
        <f t="shared" si="0"/>
        <v>0</v>
      </c>
      <c r="G7" s="196"/>
      <c r="H7" s="266">
        <f>H6</f>
        <v>11055</v>
      </c>
      <c r="I7" s="282" t="str">
        <f t="shared" si="1"/>
        <v>ok</v>
      </c>
      <c r="J7" s="520">
        <f t="shared" si="14"/>
        <v>10698</v>
      </c>
      <c r="K7" s="282">
        <f t="shared" si="2"/>
        <v>0</v>
      </c>
      <c r="L7" s="520">
        <f t="shared" si="15"/>
        <v>357691</v>
      </c>
      <c r="M7" s="282">
        <f t="shared" si="16"/>
        <v>0</v>
      </c>
      <c r="N7" s="282">
        <f t="shared" si="17"/>
        <v>0</v>
      </c>
      <c r="O7" s="301"/>
      <c r="P7" s="283">
        <f t="shared" si="18"/>
        <v>10873</v>
      </c>
      <c r="Q7" s="282" t="str">
        <f t="shared" si="3"/>
        <v>ok</v>
      </c>
      <c r="R7" s="520">
        <v>13147</v>
      </c>
      <c r="S7" s="282">
        <f t="shared" si="4"/>
        <v>10</v>
      </c>
      <c r="T7" s="520">
        <f t="shared" si="20"/>
        <v>226244</v>
      </c>
      <c r="U7" s="282">
        <f>V7*S7</f>
        <v>2500</v>
      </c>
      <c r="V7" s="282">
        <v>250</v>
      </c>
      <c r="W7" s="196"/>
      <c r="X7" s="635">
        <v>13230</v>
      </c>
      <c r="Y7" s="282" t="str">
        <f t="shared" si="5"/>
        <v>ok</v>
      </c>
      <c r="Z7" s="282">
        <f t="shared" si="6"/>
        <v>10</v>
      </c>
      <c r="AA7" s="282">
        <f>U7+M7+E7</f>
        <v>2500</v>
      </c>
      <c r="AB7" s="282">
        <f t="shared" si="23"/>
        <v>250</v>
      </c>
      <c r="AC7" s="282">
        <f t="shared" si="24"/>
        <v>250</v>
      </c>
      <c r="AD7" s="73">
        <f>ELEC!Q8</f>
        <v>6123.9999999997963</v>
      </c>
      <c r="AE7" s="73">
        <f t="shared" si="26"/>
        <v>612.39999999997963</v>
      </c>
      <c r="AF7" s="395">
        <f t="shared" si="27"/>
        <v>0.38274999999998727</v>
      </c>
      <c r="AG7" s="395">
        <f t="shared" si="27"/>
        <v>2.3921874999999204E-4</v>
      </c>
      <c r="AH7" s="396">
        <f t="shared" si="25"/>
        <v>249.99976078124999</v>
      </c>
      <c r="AI7" s="73">
        <f t="shared" si="29"/>
        <v>1576.219409282648</v>
      </c>
      <c r="AJ7" s="284">
        <f t="shared" si="7"/>
        <v>0.25738396624472576</v>
      </c>
      <c r="AK7" s="284">
        <f t="shared" si="8"/>
        <v>157.62194092826479</v>
      </c>
    </row>
    <row r="8" spans="1:37" ht="16.5" thickBot="1">
      <c r="A8" s="4">
        <f>ELEC!C9</f>
        <v>44475</v>
      </c>
      <c r="B8" s="519">
        <v>10980</v>
      </c>
      <c r="C8" s="282">
        <f t="shared" si="10"/>
        <v>6</v>
      </c>
      <c r="D8" s="520">
        <v>524080</v>
      </c>
      <c r="E8" s="282">
        <f t="shared" si="12"/>
        <v>985</v>
      </c>
      <c r="F8" s="282">
        <f t="shared" si="0"/>
        <v>164.16666666666666</v>
      </c>
      <c r="G8" s="196"/>
      <c r="H8" s="266">
        <f t="shared" si="13"/>
        <v>11055</v>
      </c>
      <c r="I8" s="282" t="str">
        <f t="shared" si="1"/>
        <v>ok</v>
      </c>
      <c r="J8" s="520">
        <f t="shared" si="14"/>
        <v>10698</v>
      </c>
      <c r="K8" s="282">
        <f t="shared" si="2"/>
        <v>0</v>
      </c>
      <c r="L8" s="520">
        <f t="shared" si="15"/>
        <v>357691</v>
      </c>
      <c r="M8" s="282">
        <f t="shared" si="16"/>
        <v>0</v>
      </c>
      <c r="N8" s="282">
        <f t="shared" si="17"/>
        <v>0</v>
      </c>
      <c r="O8" s="196"/>
      <c r="P8" s="283">
        <f t="shared" si="18"/>
        <v>10873</v>
      </c>
      <c r="Q8" s="282" t="str">
        <f t="shared" si="3"/>
        <v>ok</v>
      </c>
      <c r="R8" s="520">
        <v>13154</v>
      </c>
      <c r="S8" s="282">
        <f t="shared" si="4"/>
        <v>7</v>
      </c>
      <c r="T8" s="520">
        <f>T7+U8</f>
        <v>227994</v>
      </c>
      <c r="U8" s="282">
        <f>V8*S8</f>
        <v>1750</v>
      </c>
      <c r="V8" s="282">
        <v>250</v>
      </c>
      <c r="W8" s="196"/>
      <c r="X8" s="635">
        <v>13230</v>
      </c>
      <c r="Y8" s="282" t="str">
        <f t="shared" si="5"/>
        <v>ok</v>
      </c>
      <c r="Z8" s="282">
        <f t="shared" si="6"/>
        <v>13</v>
      </c>
      <c r="AA8" s="282">
        <f t="shared" si="22"/>
        <v>2735</v>
      </c>
      <c r="AB8" s="282">
        <f t="shared" si="23"/>
        <v>414.16666666666663</v>
      </c>
      <c r="AC8" s="282">
        <f t="shared" si="24"/>
        <v>210.38461538461539</v>
      </c>
      <c r="AD8" s="73">
        <f>ELEC!Q9</f>
        <v>7628.0000000006112</v>
      </c>
      <c r="AE8" s="73">
        <f>SUM(AD8/Z8)</f>
        <v>586.76923076927778</v>
      </c>
      <c r="AF8" s="630">
        <f>SUM(AE8/1600)</f>
        <v>0.36673076923079861</v>
      </c>
      <c r="AG8" s="396">
        <f t="shared" si="28"/>
        <v>117.35384615385556</v>
      </c>
      <c r="AH8" s="396">
        <f t="shared" si="25"/>
        <v>93.03076923075983</v>
      </c>
      <c r="AI8" s="73">
        <f t="shared" si="29"/>
        <v>1963.3248945149253</v>
      </c>
      <c r="AJ8" s="284">
        <f t="shared" si="7"/>
        <v>0.25738396624472576</v>
      </c>
      <c r="AK8" s="284">
        <f t="shared" si="8"/>
        <v>151.02499188576348</v>
      </c>
    </row>
    <row r="9" spans="1:37" ht="16.5" thickBot="1">
      <c r="A9" s="4">
        <f>ELEC!C10</f>
        <v>44476</v>
      </c>
      <c r="B9" s="519">
        <v>10982</v>
      </c>
      <c r="C9" s="282">
        <f t="shared" si="10"/>
        <v>2</v>
      </c>
      <c r="D9" s="520">
        <v>524388</v>
      </c>
      <c r="E9" s="282">
        <f t="shared" si="12"/>
        <v>308</v>
      </c>
      <c r="F9" s="282">
        <f t="shared" si="0"/>
        <v>154</v>
      </c>
      <c r="G9" s="196"/>
      <c r="H9" s="266">
        <f t="shared" si="13"/>
        <v>11055</v>
      </c>
      <c r="I9" s="282" t="str">
        <f t="shared" si="1"/>
        <v>ok</v>
      </c>
      <c r="J9" s="520">
        <f t="shared" si="14"/>
        <v>10698</v>
      </c>
      <c r="K9" s="282">
        <f t="shared" si="2"/>
        <v>0</v>
      </c>
      <c r="L9" s="520">
        <f t="shared" si="15"/>
        <v>357691</v>
      </c>
      <c r="M9" s="282">
        <f t="shared" si="16"/>
        <v>0</v>
      </c>
      <c r="N9" s="282">
        <f t="shared" si="17"/>
        <v>0</v>
      </c>
      <c r="O9" s="196"/>
      <c r="P9" s="283">
        <f t="shared" si="18"/>
        <v>10873</v>
      </c>
      <c r="Q9" s="282" t="str">
        <f t="shared" si="3"/>
        <v>ok</v>
      </c>
      <c r="R9" s="520">
        <v>13161</v>
      </c>
      <c r="S9" s="282">
        <f t="shared" si="4"/>
        <v>7</v>
      </c>
      <c r="T9" s="520">
        <f t="shared" si="20"/>
        <v>229744</v>
      </c>
      <c r="U9" s="282">
        <f t="shared" si="21"/>
        <v>1750</v>
      </c>
      <c r="V9" s="282">
        <v>250</v>
      </c>
      <c r="W9" s="196"/>
      <c r="X9" s="635">
        <v>13230</v>
      </c>
      <c r="Y9" s="282" t="str">
        <f t="shared" si="5"/>
        <v>ok</v>
      </c>
      <c r="Z9" s="282">
        <f t="shared" si="6"/>
        <v>9</v>
      </c>
      <c r="AA9" s="282">
        <f t="shared" si="22"/>
        <v>2058</v>
      </c>
      <c r="AB9" s="282">
        <f t="shared" si="23"/>
        <v>404</v>
      </c>
      <c r="AC9" s="282">
        <f t="shared" si="24"/>
        <v>228.66666666666666</v>
      </c>
      <c r="AD9" s="73">
        <f>ELEC!Q10</f>
        <v>5453.0000000013388</v>
      </c>
      <c r="AE9" s="73">
        <f t="shared" si="26"/>
        <v>605.88888888903762</v>
      </c>
      <c r="AF9" s="395">
        <f t="shared" si="27"/>
        <v>0.3786805555556485</v>
      </c>
      <c r="AG9" s="396">
        <f t="shared" si="28"/>
        <v>121.17777777780752</v>
      </c>
      <c r="AH9" s="396">
        <f t="shared" si="25"/>
        <v>107.48888888885914</v>
      </c>
      <c r="AI9" s="73">
        <f t="shared" si="29"/>
        <v>1403.514767932834</v>
      </c>
      <c r="AJ9" s="284">
        <f t="shared" si="7"/>
        <v>0.25738396624472576</v>
      </c>
      <c r="AK9" s="284">
        <f t="shared" si="8"/>
        <v>155.94608532587046</v>
      </c>
    </row>
    <row r="10" spans="1:37" ht="16.5" thickBot="1">
      <c r="A10" s="4">
        <f>ELEC!C11</f>
        <v>44477</v>
      </c>
      <c r="B10" s="519">
        <f t="shared" si="9"/>
        <v>10982</v>
      </c>
      <c r="C10" s="282">
        <f t="shared" si="10"/>
        <v>0</v>
      </c>
      <c r="D10" s="520">
        <f t="shared" si="11"/>
        <v>524388</v>
      </c>
      <c r="E10" s="282">
        <f t="shared" si="12"/>
        <v>0</v>
      </c>
      <c r="F10" s="282">
        <f t="shared" si="0"/>
        <v>0</v>
      </c>
      <c r="G10" s="196"/>
      <c r="H10" s="266">
        <f t="shared" si="13"/>
        <v>11055</v>
      </c>
      <c r="I10" s="282" t="str">
        <f t="shared" si="1"/>
        <v>ok</v>
      </c>
      <c r="J10" s="520">
        <f t="shared" si="14"/>
        <v>10698</v>
      </c>
      <c r="K10" s="282">
        <f t="shared" si="2"/>
        <v>0</v>
      </c>
      <c r="L10" s="520">
        <f t="shared" si="15"/>
        <v>357691</v>
      </c>
      <c r="M10" s="282">
        <f t="shared" si="16"/>
        <v>0</v>
      </c>
      <c r="N10" s="282">
        <f t="shared" si="17"/>
        <v>0</v>
      </c>
      <c r="O10" s="196"/>
      <c r="P10" s="283">
        <f t="shared" si="18"/>
        <v>10873</v>
      </c>
      <c r="Q10" s="282" t="str">
        <f t="shared" si="3"/>
        <v>ok</v>
      </c>
      <c r="R10" s="520">
        <f t="shared" si="19"/>
        <v>13161</v>
      </c>
      <c r="S10" s="282">
        <f t="shared" si="4"/>
        <v>0</v>
      </c>
      <c r="T10" s="520">
        <f t="shared" si="20"/>
        <v>229744</v>
      </c>
      <c r="U10" s="282">
        <f t="shared" si="21"/>
        <v>0</v>
      </c>
      <c r="V10" s="282">
        <v>250</v>
      </c>
      <c r="W10" s="331"/>
      <c r="X10" s="635">
        <v>13230</v>
      </c>
      <c r="Y10" s="282" t="str">
        <f t="shared" ref="Y10:Y20" si="30">IF(R10-X10&lt;=0,"ok","oil change")</f>
        <v>ok</v>
      </c>
      <c r="Z10" s="282">
        <f t="shared" si="6"/>
        <v>0</v>
      </c>
      <c r="AA10" s="282">
        <f t="shared" si="22"/>
        <v>0</v>
      </c>
      <c r="AB10" s="282">
        <f t="shared" si="23"/>
        <v>250</v>
      </c>
      <c r="AC10" s="282">
        <f t="shared" si="24"/>
        <v>0</v>
      </c>
      <c r="AD10" s="73">
        <f>ELEC!Q11</f>
        <v>0</v>
      </c>
      <c r="AE10" s="73" t="e">
        <f t="shared" si="26"/>
        <v>#DIV/0!</v>
      </c>
      <c r="AF10" s="395" t="e">
        <f t="shared" si="27"/>
        <v>#DIV/0!</v>
      </c>
      <c r="AG10" s="396" t="e">
        <f t="shared" si="28"/>
        <v>#DIV/0!</v>
      </c>
      <c r="AH10" s="396" t="e">
        <f t="shared" si="25"/>
        <v>#DIV/0!</v>
      </c>
      <c r="AI10" s="73">
        <f t="shared" si="29"/>
        <v>0</v>
      </c>
      <c r="AJ10" s="284">
        <f t="shared" si="7"/>
        <v>0.25738396624472576</v>
      </c>
      <c r="AK10" s="284" t="e">
        <f t="shared" si="8"/>
        <v>#DIV/0!</v>
      </c>
    </row>
    <row r="11" spans="1:37" ht="16.5" thickBot="1">
      <c r="A11" s="4">
        <f>ELEC!C12</f>
        <v>44478</v>
      </c>
      <c r="B11" s="519">
        <f t="shared" si="9"/>
        <v>10982</v>
      </c>
      <c r="C11" s="282">
        <f t="shared" si="10"/>
        <v>0</v>
      </c>
      <c r="D11" s="520">
        <f t="shared" si="11"/>
        <v>524388</v>
      </c>
      <c r="E11" s="282">
        <f t="shared" si="12"/>
        <v>0</v>
      </c>
      <c r="F11" s="282">
        <f t="shared" si="0"/>
        <v>0</v>
      </c>
      <c r="G11" s="196"/>
      <c r="H11" s="266">
        <f t="shared" si="13"/>
        <v>11055</v>
      </c>
      <c r="I11" s="282" t="str">
        <f t="shared" si="1"/>
        <v>ok</v>
      </c>
      <c r="J11" s="520">
        <f t="shared" si="14"/>
        <v>10698</v>
      </c>
      <c r="K11" s="282">
        <f t="shared" si="2"/>
        <v>0</v>
      </c>
      <c r="L11" s="520">
        <f t="shared" si="15"/>
        <v>357691</v>
      </c>
      <c r="M11" s="282">
        <f t="shared" si="16"/>
        <v>0</v>
      </c>
      <c r="N11" s="282">
        <f t="shared" si="17"/>
        <v>0</v>
      </c>
      <c r="O11" s="196"/>
      <c r="P11" s="283">
        <f t="shared" si="18"/>
        <v>10873</v>
      </c>
      <c r="Q11" s="282" t="str">
        <f t="shared" si="3"/>
        <v>ok</v>
      </c>
      <c r="R11" s="520">
        <f t="shared" si="19"/>
        <v>13161</v>
      </c>
      <c r="S11" s="282">
        <f t="shared" si="4"/>
        <v>0</v>
      </c>
      <c r="T11" s="520">
        <f t="shared" si="20"/>
        <v>229744</v>
      </c>
      <c r="U11" s="282">
        <f t="shared" si="21"/>
        <v>0</v>
      </c>
      <c r="V11" s="282">
        <v>250</v>
      </c>
      <c r="W11" s="331"/>
      <c r="X11" s="635">
        <v>13230</v>
      </c>
      <c r="Y11" s="282" t="str">
        <f t="shared" si="30"/>
        <v>ok</v>
      </c>
      <c r="Z11" s="282">
        <f t="shared" si="6"/>
        <v>0</v>
      </c>
      <c r="AA11" s="282">
        <f t="shared" si="22"/>
        <v>0</v>
      </c>
      <c r="AB11" s="282">
        <f t="shared" si="23"/>
        <v>250</v>
      </c>
      <c r="AC11" s="282">
        <f t="shared" si="24"/>
        <v>0</v>
      </c>
      <c r="AD11" s="73">
        <f>ELEC!Q12</f>
        <v>0</v>
      </c>
      <c r="AE11" s="73" t="e">
        <f t="shared" si="26"/>
        <v>#DIV/0!</v>
      </c>
      <c r="AF11" s="395" t="e">
        <f t="shared" si="27"/>
        <v>#DIV/0!</v>
      </c>
      <c r="AG11" s="396" t="e">
        <f t="shared" si="28"/>
        <v>#DIV/0!</v>
      </c>
      <c r="AH11" s="396" t="e">
        <f t="shared" si="25"/>
        <v>#DIV/0!</v>
      </c>
      <c r="AI11" s="73">
        <f t="shared" si="29"/>
        <v>0</v>
      </c>
      <c r="AJ11" s="284">
        <f t="shared" si="7"/>
        <v>0.25738396624472576</v>
      </c>
      <c r="AK11" s="284" t="e">
        <f t="shared" si="8"/>
        <v>#DIV/0!</v>
      </c>
    </row>
    <row r="12" spans="1:37" ht="16.5" thickBot="1">
      <c r="A12" s="4">
        <f>ELEC!C13</f>
        <v>44479</v>
      </c>
      <c r="B12" s="519">
        <v>10992</v>
      </c>
      <c r="C12" s="282">
        <f t="shared" si="10"/>
        <v>10</v>
      </c>
      <c r="D12" s="520">
        <v>526018</v>
      </c>
      <c r="E12" s="282">
        <f t="shared" si="12"/>
        <v>1630</v>
      </c>
      <c r="F12" s="282">
        <f t="shared" si="0"/>
        <v>163</v>
      </c>
      <c r="G12" s="196"/>
      <c r="H12" s="266">
        <f t="shared" si="13"/>
        <v>11055</v>
      </c>
      <c r="I12" s="282" t="str">
        <f t="shared" si="1"/>
        <v>ok</v>
      </c>
      <c r="J12" s="520">
        <f t="shared" si="14"/>
        <v>10698</v>
      </c>
      <c r="K12" s="282">
        <f t="shared" si="2"/>
        <v>0</v>
      </c>
      <c r="L12" s="520">
        <f t="shared" si="15"/>
        <v>357691</v>
      </c>
      <c r="M12" s="282">
        <f t="shared" si="16"/>
        <v>0</v>
      </c>
      <c r="N12" s="282">
        <f t="shared" si="17"/>
        <v>0</v>
      </c>
      <c r="O12" s="196"/>
      <c r="P12" s="283">
        <f t="shared" si="18"/>
        <v>10873</v>
      </c>
      <c r="Q12" s="282" t="str">
        <f t="shared" si="3"/>
        <v>ok</v>
      </c>
      <c r="R12" s="520">
        <v>13161</v>
      </c>
      <c r="S12" s="282">
        <f t="shared" si="4"/>
        <v>0</v>
      </c>
      <c r="T12" s="520">
        <f t="shared" si="20"/>
        <v>229744</v>
      </c>
      <c r="U12" s="282">
        <f t="shared" si="21"/>
        <v>0</v>
      </c>
      <c r="V12" s="282">
        <v>250</v>
      </c>
      <c r="W12" s="331"/>
      <c r="X12" s="635">
        <v>13230</v>
      </c>
      <c r="Y12" s="282" t="str">
        <f t="shared" si="30"/>
        <v>ok</v>
      </c>
      <c r="Z12" s="282">
        <f t="shared" si="6"/>
        <v>10</v>
      </c>
      <c r="AA12" s="282">
        <f t="shared" si="22"/>
        <v>1630</v>
      </c>
      <c r="AB12" s="282">
        <f t="shared" si="23"/>
        <v>413</v>
      </c>
      <c r="AC12" s="282">
        <f t="shared" si="24"/>
        <v>163</v>
      </c>
      <c r="AD12" s="73">
        <f>ELEC!Q13</f>
        <v>6454.9999999981083</v>
      </c>
      <c r="AE12" s="73">
        <f t="shared" si="26"/>
        <v>645.49999999981083</v>
      </c>
      <c r="AF12" s="395">
        <f t="shared" si="27"/>
        <v>0.40343749999988177</v>
      </c>
      <c r="AG12" s="396">
        <f t="shared" si="28"/>
        <v>129.09999999996217</v>
      </c>
      <c r="AH12" s="396">
        <f t="shared" si="25"/>
        <v>33.900000000037835</v>
      </c>
      <c r="AI12" s="73">
        <f t="shared" si="29"/>
        <v>1661.4135021092179</v>
      </c>
      <c r="AJ12" s="284">
        <f t="shared" si="7"/>
        <v>0.25738396624472576</v>
      </c>
      <c r="AK12" s="284">
        <f t="shared" si="8"/>
        <v>166.14135021092179</v>
      </c>
    </row>
    <row r="13" spans="1:37" ht="16.5" thickBot="1">
      <c r="A13" s="4">
        <f>ELEC!C14</f>
        <v>44480</v>
      </c>
      <c r="B13" s="519">
        <v>11002</v>
      </c>
      <c r="C13" s="282">
        <f t="shared" si="10"/>
        <v>10</v>
      </c>
      <c r="D13" s="520">
        <v>527375</v>
      </c>
      <c r="E13" s="282">
        <f t="shared" si="12"/>
        <v>1357</v>
      </c>
      <c r="F13" s="282">
        <f t="shared" si="0"/>
        <v>135.69999999999999</v>
      </c>
      <c r="G13" s="196"/>
      <c r="H13" s="266">
        <f t="shared" si="13"/>
        <v>11055</v>
      </c>
      <c r="I13" s="282" t="str">
        <f t="shared" si="1"/>
        <v>ok</v>
      </c>
      <c r="J13" s="520">
        <f t="shared" si="14"/>
        <v>10698</v>
      </c>
      <c r="K13" s="282">
        <f t="shared" si="2"/>
        <v>0</v>
      </c>
      <c r="L13" s="520">
        <f t="shared" si="15"/>
        <v>357691</v>
      </c>
      <c r="M13" s="282">
        <f t="shared" si="16"/>
        <v>0</v>
      </c>
      <c r="N13" s="282">
        <f t="shared" si="17"/>
        <v>0</v>
      </c>
      <c r="O13" s="196"/>
      <c r="P13" s="283">
        <f t="shared" si="18"/>
        <v>10873</v>
      </c>
      <c r="Q13" s="282" t="str">
        <f t="shared" si="3"/>
        <v>ok</v>
      </c>
      <c r="R13" s="520">
        <v>13163</v>
      </c>
      <c r="S13" s="282">
        <f t="shared" si="4"/>
        <v>2</v>
      </c>
      <c r="T13" s="520">
        <f t="shared" si="20"/>
        <v>230244</v>
      </c>
      <c r="U13" s="282">
        <f t="shared" si="21"/>
        <v>500</v>
      </c>
      <c r="V13" s="282">
        <v>250</v>
      </c>
      <c r="W13" s="331"/>
      <c r="X13" s="635">
        <v>13230</v>
      </c>
      <c r="Y13" s="282" t="str">
        <f t="shared" si="30"/>
        <v>ok</v>
      </c>
      <c r="Z13" s="282">
        <f t="shared" si="6"/>
        <v>12</v>
      </c>
      <c r="AA13" s="282">
        <f t="shared" si="22"/>
        <v>1857</v>
      </c>
      <c r="AB13" s="282">
        <f t="shared" si="23"/>
        <v>385.7</v>
      </c>
      <c r="AC13" s="282">
        <f t="shared" si="24"/>
        <v>154.75</v>
      </c>
      <c r="AD13" s="73">
        <f>ELEC!Q14</f>
        <v>7850.0000000021828</v>
      </c>
      <c r="AE13" s="73">
        <f t="shared" si="26"/>
        <v>654.16666666684853</v>
      </c>
      <c r="AF13" s="395">
        <f t="shared" si="27"/>
        <v>0.40885416666678032</v>
      </c>
      <c r="AG13" s="396">
        <f t="shared" si="28"/>
        <v>130.83333333336969</v>
      </c>
      <c r="AH13" s="396">
        <f t="shared" si="25"/>
        <v>23.916666666630306</v>
      </c>
      <c r="AI13" s="73">
        <f t="shared" si="29"/>
        <v>2020.4641350216591</v>
      </c>
      <c r="AJ13" s="284">
        <f t="shared" si="7"/>
        <v>0.25738396624472576</v>
      </c>
      <c r="AK13" s="284">
        <f t="shared" si="8"/>
        <v>168.37201125180493</v>
      </c>
    </row>
    <row r="14" spans="1:37" ht="16.5" thickBot="1">
      <c r="A14" s="4">
        <f>ELEC!C15</f>
        <v>44481</v>
      </c>
      <c r="B14" s="519">
        <v>11004</v>
      </c>
      <c r="C14" s="282">
        <f t="shared" si="10"/>
        <v>2</v>
      </c>
      <c r="D14" s="520">
        <v>527663</v>
      </c>
      <c r="E14" s="282">
        <f t="shared" si="12"/>
        <v>288</v>
      </c>
      <c r="F14" s="282">
        <f t="shared" si="0"/>
        <v>144</v>
      </c>
      <c r="G14" s="196"/>
      <c r="H14" s="266">
        <v>11055</v>
      </c>
      <c r="I14" s="282" t="str">
        <f t="shared" si="1"/>
        <v>ok</v>
      </c>
      <c r="J14" s="520">
        <f t="shared" si="14"/>
        <v>10698</v>
      </c>
      <c r="K14" s="282">
        <f t="shared" si="2"/>
        <v>0</v>
      </c>
      <c r="L14" s="520">
        <f t="shared" si="15"/>
        <v>357691</v>
      </c>
      <c r="M14" s="282">
        <f t="shared" si="16"/>
        <v>0</v>
      </c>
      <c r="N14" s="282">
        <f t="shared" si="17"/>
        <v>0</v>
      </c>
      <c r="O14" s="196"/>
      <c r="P14" s="283">
        <f t="shared" si="18"/>
        <v>10873</v>
      </c>
      <c r="Q14" s="282" t="str">
        <f t="shared" si="3"/>
        <v>ok</v>
      </c>
      <c r="R14" s="520">
        <v>13171</v>
      </c>
      <c r="S14" s="282">
        <f t="shared" si="4"/>
        <v>8</v>
      </c>
      <c r="T14" s="520">
        <f t="shared" si="20"/>
        <v>232244</v>
      </c>
      <c r="U14" s="282">
        <f t="shared" si="21"/>
        <v>2000</v>
      </c>
      <c r="V14" s="282">
        <v>250</v>
      </c>
      <c r="W14" s="331"/>
      <c r="X14" s="635">
        <v>13230</v>
      </c>
      <c r="Y14" s="282" t="str">
        <f t="shared" si="30"/>
        <v>ok</v>
      </c>
      <c r="Z14" s="282">
        <f t="shared" si="6"/>
        <v>10</v>
      </c>
      <c r="AA14" s="282">
        <f t="shared" si="22"/>
        <v>2288</v>
      </c>
      <c r="AB14" s="282">
        <f t="shared" si="23"/>
        <v>394</v>
      </c>
      <c r="AC14" s="282">
        <f t="shared" si="24"/>
        <v>228.8</v>
      </c>
      <c r="AD14" s="73">
        <f>ELEC!Q15</f>
        <v>6856.9999999999709</v>
      </c>
      <c r="AE14" s="73">
        <f t="shared" si="26"/>
        <v>685.69999999999709</v>
      </c>
      <c r="AF14" s="395">
        <f t="shared" si="27"/>
        <v>0.42856249999999818</v>
      </c>
      <c r="AG14" s="396">
        <f t="shared" si="28"/>
        <v>137.13999999999942</v>
      </c>
      <c r="AH14" s="396">
        <f t="shared" si="25"/>
        <v>91.660000000000593</v>
      </c>
      <c r="AI14" s="73">
        <f t="shared" si="29"/>
        <v>1764.881856540077</v>
      </c>
      <c r="AJ14" s="284">
        <f t="shared" si="7"/>
        <v>0.25738396624472576</v>
      </c>
      <c r="AK14" s="284">
        <f t="shared" si="8"/>
        <v>176.48818565400771</v>
      </c>
    </row>
    <row r="15" spans="1:37" ht="16.5" thickBot="1">
      <c r="A15" s="4">
        <f>ELEC!C16</f>
        <v>44482</v>
      </c>
      <c r="B15" s="519">
        <f t="shared" si="9"/>
        <v>11004</v>
      </c>
      <c r="C15" s="282">
        <f t="shared" si="10"/>
        <v>0</v>
      </c>
      <c r="D15" s="520">
        <f t="shared" si="11"/>
        <v>527663</v>
      </c>
      <c r="E15" s="282">
        <f t="shared" si="12"/>
        <v>0</v>
      </c>
      <c r="F15" s="282">
        <f t="shared" si="0"/>
        <v>0</v>
      </c>
      <c r="G15" s="196"/>
      <c r="H15" s="266">
        <v>11055</v>
      </c>
      <c r="I15" s="282" t="str">
        <f t="shared" si="1"/>
        <v>ok</v>
      </c>
      <c r="J15" s="520">
        <f t="shared" si="14"/>
        <v>10698</v>
      </c>
      <c r="K15" s="282">
        <f t="shared" si="2"/>
        <v>0</v>
      </c>
      <c r="L15" s="520">
        <f t="shared" si="15"/>
        <v>357691</v>
      </c>
      <c r="M15" s="282">
        <f t="shared" si="16"/>
        <v>0</v>
      </c>
      <c r="N15" s="282">
        <f t="shared" si="17"/>
        <v>0</v>
      </c>
      <c r="O15" s="196"/>
      <c r="P15" s="283">
        <f t="shared" si="18"/>
        <v>10873</v>
      </c>
      <c r="Q15" s="282" t="str">
        <f t="shared" si="3"/>
        <v>ok</v>
      </c>
      <c r="R15" s="520">
        <f t="shared" si="19"/>
        <v>13171</v>
      </c>
      <c r="S15" s="282">
        <f t="shared" si="4"/>
        <v>0</v>
      </c>
      <c r="T15" s="520">
        <f t="shared" si="20"/>
        <v>232244</v>
      </c>
      <c r="U15" s="282">
        <f t="shared" si="21"/>
        <v>0</v>
      </c>
      <c r="V15" s="282">
        <v>250</v>
      </c>
      <c r="W15" s="331"/>
      <c r="X15" s="635">
        <v>13230</v>
      </c>
      <c r="Y15" s="282" t="str">
        <f t="shared" si="30"/>
        <v>ok</v>
      </c>
      <c r="Z15" s="282">
        <f t="shared" si="6"/>
        <v>0</v>
      </c>
      <c r="AA15" s="282">
        <f t="shared" si="22"/>
        <v>0</v>
      </c>
      <c r="AB15" s="282">
        <f t="shared" si="23"/>
        <v>250</v>
      </c>
      <c r="AC15" s="282">
        <f t="shared" si="24"/>
        <v>0</v>
      </c>
      <c r="AD15" s="73">
        <f>ELEC!Q16</f>
        <v>0</v>
      </c>
      <c r="AE15" s="73" t="e">
        <f t="shared" si="26"/>
        <v>#DIV/0!</v>
      </c>
      <c r="AF15" s="395" t="e">
        <f t="shared" si="27"/>
        <v>#DIV/0!</v>
      </c>
      <c r="AG15" s="396" t="e">
        <f t="shared" si="28"/>
        <v>#DIV/0!</v>
      </c>
      <c r="AH15" s="396" t="e">
        <f t="shared" si="25"/>
        <v>#DIV/0!</v>
      </c>
      <c r="AI15" s="73">
        <f t="shared" si="29"/>
        <v>0</v>
      </c>
      <c r="AJ15" s="284">
        <f t="shared" si="7"/>
        <v>0.25738396624472576</v>
      </c>
      <c r="AK15" s="284" t="e">
        <f t="shared" si="8"/>
        <v>#DIV/0!</v>
      </c>
    </row>
    <row r="16" spans="1:37" ht="16.5" thickBot="1">
      <c r="A16" s="4">
        <f>ELEC!C17</f>
        <v>44483</v>
      </c>
      <c r="B16" s="519">
        <f t="shared" si="9"/>
        <v>11004</v>
      </c>
      <c r="C16" s="282">
        <f t="shared" si="10"/>
        <v>0</v>
      </c>
      <c r="D16" s="520">
        <f t="shared" si="11"/>
        <v>527663</v>
      </c>
      <c r="E16" s="282">
        <f t="shared" si="12"/>
        <v>0</v>
      </c>
      <c r="F16" s="282">
        <f t="shared" si="0"/>
        <v>0</v>
      </c>
      <c r="G16" s="196"/>
      <c r="H16" s="266">
        <v>11055</v>
      </c>
      <c r="I16" s="282" t="str">
        <f t="shared" si="1"/>
        <v>ok</v>
      </c>
      <c r="J16" s="520">
        <f t="shared" si="14"/>
        <v>10698</v>
      </c>
      <c r="K16" s="282">
        <f t="shared" si="2"/>
        <v>0</v>
      </c>
      <c r="L16" s="520">
        <f t="shared" si="15"/>
        <v>357691</v>
      </c>
      <c r="M16" s="282">
        <f t="shared" si="16"/>
        <v>0</v>
      </c>
      <c r="N16" s="282">
        <f t="shared" si="17"/>
        <v>0</v>
      </c>
      <c r="O16" s="196"/>
      <c r="P16" s="283">
        <f t="shared" si="18"/>
        <v>10873</v>
      </c>
      <c r="Q16" s="282" t="str">
        <f t="shared" si="3"/>
        <v>ok</v>
      </c>
      <c r="R16" s="520">
        <f t="shared" si="19"/>
        <v>13171</v>
      </c>
      <c r="S16" s="282">
        <f t="shared" si="4"/>
        <v>0</v>
      </c>
      <c r="T16" s="520">
        <f t="shared" si="20"/>
        <v>232244</v>
      </c>
      <c r="U16" s="282">
        <f t="shared" si="21"/>
        <v>0</v>
      </c>
      <c r="V16" s="282">
        <v>250</v>
      </c>
      <c r="W16" s="331"/>
      <c r="X16" s="635">
        <v>13230</v>
      </c>
      <c r="Y16" s="282" t="str">
        <f t="shared" si="30"/>
        <v>ok</v>
      </c>
      <c r="Z16" s="282">
        <f t="shared" si="6"/>
        <v>0</v>
      </c>
      <c r="AA16" s="282">
        <f t="shared" si="22"/>
        <v>0</v>
      </c>
      <c r="AB16" s="282">
        <f t="shared" si="23"/>
        <v>250</v>
      </c>
      <c r="AC16" s="282">
        <f t="shared" si="24"/>
        <v>0</v>
      </c>
      <c r="AD16" s="73">
        <f>ELEC!Q17</f>
        <v>0</v>
      </c>
      <c r="AE16" s="73" t="e">
        <f t="shared" si="26"/>
        <v>#DIV/0!</v>
      </c>
      <c r="AF16" s="395" t="e">
        <f t="shared" si="27"/>
        <v>#DIV/0!</v>
      </c>
      <c r="AG16" s="396" t="e">
        <f t="shared" si="28"/>
        <v>#DIV/0!</v>
      </c>
      <c r="AH16" s="396" t="e">
        <f t="shared" si="25"/>
        <v>#DIV/0!</v>
      </c>
      <c r="AI16" s="73">
        <f t="shared" si="29"/>
        <v>0</v>
      </c>
      <c r="AJ16" s="284">
        <f t="shared" si="7"/>
        <v>0.25738396624472576</v>
      </c>
      <c r="AK16" s="284" t="e">
        <f t="shared" si="8"/>
        <v>#DIV/0!</v>
      </c>
    </row>
    <row r="17" spans="1:37" ht="16.5" thickBot="1">
      <c r="A17" s="4">
        <f>ELEC!C18</f>
        <v>44484</v>
      </c>
      <c r="B17" s="519">
        <f t="shared" si="9"/>
        <v>11004</v>
      </c>
      <c r="C17" s="282">
        <f t="shared" si="10"/>
        <v>0</v>
      </c>
      <c r="D17" s="520">
        <f t="shared" si="11"/>
        <v>527663</v>
      </c>
      <c r="E17" s="282">
        <f t="shared" si="12"/>
        <v>0</v>
      </c>
      <c r="F17" s="282">
        <f t="shared" si="0"/>
        <v>0</v>
      </c>
      <c r="G17" s="196"/>
      <c r="H17" s="266">
        <f t="shared" si="13"/>
        <v>11055</v>
      </c>
      <c r="I17" s="282" t="str">
        <f t="shared" si="1"/>
        <v>ok</v>
      </c>
      <c r="J17" s="520">
        <f t="shared" si="14"/>
        <v>10698</v>
      </c>
      <c r="K17" s="282">
        <f t="shared" si="2"/>
        <v>0</v>
      </c>
      <c r="L17" s="520">
        <f t="shared" si="15"/>
        <v>357691</v>
      </c>
      <c r="M17" s="282">
        <f t="shared" si="16"/>
        <v>0</v>
      </c>
      <c r="N17" s="282">
        <f t="shared" si="17"/>
        <v>0</v>
      </c>
      <c r="O17" s="196"/>
      <c r="P17" s="283">
        <f t="shared" si="18"/>
        <v>10873</v>
      </c>
      <c r="Q17" s="282" t="str">
        <f t="shared" si="3"/>
        <v>ok</v>
      </c>
      <c r="R17" s="520">
        <f t="shared" si="19"/>
        <v>13171</v>
      </c>
      <c r="S17" s="282">
        <f t="shared" si="4"/>
        <v>0</v>
      </c>
      <c r="T17" s="520">
        <f t="shared" si="20"/>
        <v>232244</v>
      </c>
      <c r="U17" s="282">
        <f t="shared" si="21"/>
        <v>0</v>
      </c>
      <c r="V17" s="282">
        <v>250</v>
      </c>
      <c r="W17" s="331"/>
      <c r="X17" s="635">
        <v>13230</v>
      </c>
      <c r="Y17" s="282" t="str">
        <f t="shared" si="30"/>
        <v>ok</v>
      </c>
      <c r="Z17" s="282">
        <f t="shared" si="6"/>
        <v>0</v>
      </c>
      <c r="AA17" s="282">
        <f t="shared" si="22"/>
        <v>0</v>
      </c>
      <c r="AB17" s="282">
        <f t="shared" si="23"/>
        <v>250</v>
      </c>
      <c r="AC17" s="282">
        <f t="shared" si="24"/>
        <v>0</v>
      </c>
      <c r="AD17" s="73">
        <f>ELEC!Q18</f>
        <v>0</v>
      </c>
      <c r="AE17" s="73" t="e">
        <f t="shared" si="26"/>
        <v>#DIV/0!</v>
      </c>
      <c r="AF17" s="395" t="e">
        <f t="shared" si="27"/>
        <v>#DIV/0!</v>
      </c>
      <c r="AG17" s="396" t="e">
        <f t="shared" si="28"/>
        <v>#DIV/0!</v>
      </c>
      <c r="AH17" s="396" t="e">
        <f t="shared" si="25"/>
        <v>#DIV/0!</v>
      </c>
      <c r="AI17" s="73">
        <f t="shared" si="29"/>
        <v>0</v>
      </c>
      <c r="AJ17" s="284">
        <f t="shared" si="7"/>
        <v>0.25738396624472576</v>
      </c>
      <c r="AK17" s="284" t="e">
        <f t="shared" si="8"/>
        <v>#DIV/0!</v>
      </c>
    </row>
    <row r="18" spans="1:37" ht="16.5" thickBot="1">
      <c r="A18" s="4">
        <f>ELEC!C19</f>
        <v>44485</v>
      </c>
      <c r="B18" s="519">
        <f t="shared" si="9"/>
        <v>11004</v>
      </c>
      <c r="C18" s="282">
        <f t="shared" si="10"/>
        <v>0</v>
      </c>
      <c r="D18" s="520">
        <f t="shared" si="11"/>
        <v>527663</v>
      </c>
      <c r="E18" s="282">
        <f t="shared" si="12"/>
        <v>0</v>
      </c>
      <c r="F18" s="282">
        <f t="shared" si="0"/>
        <v>0</v>
      </c>
      <c r="G18" s="196"/>
      <c r="H18" s="266">
        <f t="shared" si="13"/>
        <v>11055</v>
      </c>
      <c r="I18" s="282" t="str">
        <f t="shared" si="1"/>
        <v>ok</v>
      </c>
      <c r="J18" s="520">
        <f t="shared" si="14"/>
        <v>10698</v>
      </c>
      <c r="K18" s="282">
        <f t="shared" si="2"/>
        <v>0</v>
      </c>
      <c r="L18" s="520">
        <f t="shared" si="15"/>
        <v>357691</v>
      </c>
      <c r="M18" s="282">
        <f t="shared" si="16"/>
        <v>0</v>
      </c>
      <c r="N18" s="282">
        <f t="shared" si="17"/>
        <v>0</v>
      </c>
      <c r="O18" s="196"/>
      <c r="P18" s="283">
        <f t="shared" si="18"/>
        <v>10873</v>
      </c>
      <c r="Q18" s="282" t="str">
        <f>IF(J18-P14&lt;=0,"ok","oil change")</f>
        <v>ok</v>
      </c>
      <c r="R18" s="520">
        <f t="shared" si="19"/>
        <v>13171</v>
      </c>
      <c r="S18" s="282">
        <f t="shared" si="4"/>
        <v>0</v>
      </c>
      <c r="T18" s="520">
        <f t="shared" si="20"/>
        <v>232244</v>
      </c>
      <c r="U18" s="282">
        <f t="shared" si="21"/>
        <v>0</v>
      </c>
      <c r="V18" s="282">
        <v>250</v>
      </c>
      <c r="W18" s="331"/>
      <c r="X18" s="635">
        <v>13230</v>
      </c>
      <c r="Y18" s="282" t="str">
        <f t="shared" si="30"/>
        <v>ok</v>
      </c>
      <c r="Z18" s="282">
        <f t="shared" si="6"/>
        <v>0</v>
      </c>
      <c r="AA18" s="282">
        <f t="shared" si="22"/>
        <v>0</v>
      </c>
      <c r="AB18" s="282">
        <f t="shared" si="23"/>
        <v>250</v>
      </c>
      <c r="AC18" s="282">
        <f t="shared" si="24"/>
        <v>0</v>
      </c>
      <c r="AD18" s="73">
        <f>ELEC!Q19</f>
        <v>0</v>
      </c>
      <c r="AE18" s="73" t="e">
        <f t="shared" si="26"/>
        <v>#DIV/0!</v>
      </c>
      <c r="AF18" s="395" t="e">
        <f t="shared" si="27"/>
        <v>#DIV/0!</v>
      </c>
      <c r="AG18" s="396" t="e">
        <f t="shared" si="28"/>
        <v>#DIV/0!</v>
      </c>
      <c r="AH18" s="396" t="e">
        <f t="shared" si="25"/>
        <v>#DIV/0!</v>
      </c>
      <c r="AI18" s="73">
        <f t="shared" si="29"/>
        <v>0</v>
      </c>
      <c r="AJ18" s="284">
        <f t="shared" si="7"/>
        <v>0.25738396624472576</v>
      </c>
      <c r="AK18" s="284" t="e">
        <f t="shared" si="8"/>
        <v>#DIV/0!</v>
      </c>
    </row>
    <row r="19" spans="1:37" ht="16.5" thickBot="1">
      <c r="A19" s="4">
        <f>ELEC!C20</f>
        <v>44486</v>
      </c>
      <c r="B19" s="519">
        <f t="shared" si="9"/>
        <v>11004</v>
      </c>
      <c r="C19" s="282">
        <f t="shared" si="10"/>
        <v>0</v>
      </c>
      <c r="D19" s="520">
        <f t="shared" si="11"/>
        <v>527663</v>
      </c>
      <c r="E19" s="282">
        <f t="shared" si="12"/>
        <v>0</v>
      </c>
      <c r="F19" s="282">
        <f t="shared" si="0"/>
        <v>0</v>
      </c>
      <c r="G19" s="196"/>
      <c r="H19" s="266">
        <f t="shared" si="13"/>
        <v>11055</v>
      </c>
      <c r="I19" s="282" t="str">
        <f t="shared" si="1"/>
        <v>ok</v>
      </c>
      <c r="J19" s="520">
        <f t="shared" si="14"/>
        <v>10698</v>
      </c>
      <c r="K19" s="282">
        <f t="shared" si="2"/>
        <v>0</v>
      </c>
      <c r="L19" s="520">
        <f t="shared" si="15"/>
        <v>357691</v>
      </c>
      <c r="M19" s="282">
        <f t="shared" si="16"/>
        <v>0</v>
      </c>
      <c r="N19" s="282">
        <f t="shared" si="17"/>
        <v>0</v>
      </c>
      <c r="O19" s="196"/>
      <c r="P19" s="283">
        <f t="shared" si="18"/>
        <v>10873</v>
      </c>
      <c r="Q19" s="282" t="str">
        <f t="shared" ref="Q19:Q30" si="31">IF(J19-P19&lt;=0,"ok","oil change")</f>
        <v>ok</v>
      </c>
      <c r="R19" s="520">
        <f t="shared" si="19"/>
        <v>13171</v>
      </c>
      <c r="S19" s="282">
        <f t="shared" si="4"/>
        <v>0</v>
      </c>
      <c r="T19" s="520">
        <f t="shared" si="20"/>
        <v>232244</v>
      </c>
      <c r="U19" s="282">
        <f t="shared" si="21"/>
        <v>0</v>
      </c>
      <c r="V19" s="282">
        <v>250</v>
      </c>
      <c r="W19" s="331"/>
      <c r="X19" s="635">
        <v>13230</v>
      </c>
      <c r="Y19" s="282" t="str">
        <f t="shared" si="30"/>
        <v>ok</v>
      </c>
      <c r="Z19" s="282">
        <f t="shared" si="6"/>
        <v>0</v>
      </c>
      <c r="AA19" s="282">
        <f t="shared" si="22"/>
        <v>0</v>
      </c>
      <c r="AB19" s="282">
        <f t="shared" si="23"/>
        <v>250</v>
      </c>
      <c r="AC19" s="282">
        <f t="shared" si="24"/>
        <v>0</v>
      </c>
      <c r="AD19" s="73">
        <f>ELEC!Q20</f>
        <v>0</v>
      </c>
      <c r="AE19" s="73" t="e">
        <f t="shared" si="26"/>
        <v>#DIV/0!</v>
      </c>
      <c r="AF19" s="395" t="e">
        <f t="shared" si="27"/>
        <v>#DIV/0!</v>
      </c>
      <c r="AG19" s="396" t="e">
        <f t="shared" si="28"/>
        <v>#DIV/0!</v>
      </c>
      <c r="AH19" s="396" t="e">
        <f t="shared" si="25"/>
        <v>#DIV/0!</v>
      </c>
      <c r="AI19" s="73">
        <f t="shared" si="29"/>
        <v>0</v>
      </c>
      <c r="AJ19" s="284">
        <f t="shared" si="7"/>
        <v>0.25738396624472576</v>
      </c>
      <c r="AK19" s="284" t="e">
        <f t="shared" si="8"/>
        <v>#DIV/0!</v>
      </c>
    </row>
    <row r="20" spans="1:37" ht="16.5" thickBot="1">
      <c r="A20" s="4">
        <f>ELEC!C21</f>
        <v>44487</v>
      </c>
      <c r="B20" s="519">
        <v>11017</v>
      </c>
      <c r="C20" s="282">
        <f>B20-B19</f>
        <v>13</v>
      </c>
      <c r="D20" s="520">
        <v>529676</v>
      </c>
      <c r="E20" s="282">
        <f t="shared" si="12"/>
        <v>2013</v>
      </c>
      <c r="F20" s="282">
        <f t="shared" si="0"/>
        <v>154.84615384615384</v>
      </c>
      <c r="G20" s="196"/>
      <c r="H20" s="266">
        <f t="shared" si="13"/>
        <v>11055</v>
      </c>
      <c r="I20" s="282" t="str">
        <f t="shared" si="1"/>
        <v>ok</v>
      </c>
      <c r="J20" s="520">
        <f t="shared" si="14"/>
        <v>10698</v>
      </c>
      <c r="K20" s="282">
        <f t="shared" si="2"/>
        <v>0</v>
      </c>
      <c r="L20" s="520">
        <f t="shared" si="15"/>
        <v>357691</v>
      </c>
      <c r="M20" s="282">
        <f t="shared" si="16"/>
        <v>0</v>
      </c>
      <c r="N20" s="282">
        <f t="shared" si="17"/>
        <v>0</v>
      </c>
      <c r="O20" s="196"/>
      <c r="P20" s="283">
        <f t="shared" si="18"/>
        <v>10873</v>
      </c>
      <c r="Q20" s="282" t="str">
        <f t="shared" si="31"/>
        <v>ok</v>
      </c>
      <c r="R20" s="520">
        <v>13173</v>
      </c>
      <c r="S20" s="282">
        <f t="shared" si="4"/>
        <v>2</v>
      </c>
      <c r="T20" s="520">
        <f t="shared" si="20"/>
        <v>232744</v>
      </c>
      <c r="U20" s="282">
        <f t="shared" si="21"/>
        <v>500</v>
      </c>
      <c r="V20" s="282">
        <v>250</v>
      </c>
      <c r="W20" s="331"/>
      <c r="X20" s="635">
        <v>13230</v>
      </c>
      <c r="Y20" s="282" t="str">
        <f t="shared" si="30"/>
        <v>ok</v>
      </c>
      <c r="Z20" s="282">
        <f t="shared" si="6"/>
        <v>15</v>
      </c>
      <c r="AA20" s="282">
        <f t="shared" si="22"/>
        <v>2513</v>
      </c>
      <c r="AB20" s="282">
        <f t="shared" si="23"/>
        <v>404.84615384615381</v>
      </c>
      <c r="AC20" s="282">
        <f t="shared" si="24"/>
        <v>167.53333333333333</v>
      </c>
      <c r="AD20" s="73">
        <f>ELEC!Q21</f>
        <v>9301.9999999996799</v>
      </c>
      <c r="AE20" s="73">
        <f t="shared" si="26"/>
        <v>620.13333333331195</v>
      </c>
      <c r="AF20" s="395">
        <f t="shared" si="27"/>
        <v>0.38758333333331996</v>
      </c>
      <c r="AG20" s="396">
        <f t="shared" si="28"/>
        <v>124.02666666666238</v>
      </c>
      <c r="AH20" s="396">
        <f t="shared" si="25"/>
        <v>43.506666666670952</v>
      </c>
      <c r="AI20" s="73">
        <f>AD20*AJ20</f>
        <v>2394.1856540083568</v>
      </c>
      <c r="AJ20" s="284">
        <f t="shared" si="7"/>
        <v>0.25738396624472576</v>
      </c>
      <c r="AK20" s="284">
        <f t="shared" si="8"/>
        <v>159.61237693389046</v>
      </c>
    </row>
    <row r="21" spans="1:37" ht="16.5" thickBot="1">
      <c r="A21" s="4">
        <f>ELEC!C22</f>
        <v>44488</v>
      </c>
      <c r="B21" s="519">
        <v>11028</v>
      </c>
      <c r="C21" s="282">
        <f>B21-B20</f>
        <v>11</v>
      </c>
      <c r="D21" s="520">
        <v>531527</v>
      </c>
      <c r="E21" s="282">
        <f t="shared" si="12"/>
        <v>1851</v>
      </c>
      <c r="F21" s="282">
        <f t="shared" si="0"/>
        <v>168.27272727272728</v>
      </c>
      <c r="G21" s="196"/>
      <c r="H21" s="266">
        <f t="shared" si="13"/>
        <v>11055</v>
      </c>
      <c r="I21" s="282" t="str">
        <f t="shared" si="1"/>
        <v>ok</v>
      </c>
      <c r="J21" s="520">
        <f t="shared" si="14"/>
        <v>10698</v>
      </c>
      <c r="K21" s="282">
        <f t="shared" si="2"/>
        <v>0</v>
      </c>
      <c r="L21" s="520">
        <f t="shared" si="15"/>
        <v>357691</v>
      </c>
      <c r="M21" s="282">
        <f t="shared" si="16"/>
        <v>0</v>
      </c>
      <c r="N21" s="282">
        <f t="shared" si="17"/>
        <v>0</v>
      </c>
      <c r="O21" s="196"/>
      <c r="P21" s="283">
        <f t="shared" si="18"/>
        <v>10873</v>
      </c>
      <c r="Q21" s="282" t="str">
        <f t="shared" si="31"/>
        <v>ok</v>
      </c>
      <c r="R21" s="520">
        <f t="shared" si="19"/>
        <v>13173</v>
      </c>
      <c r="S21" s="282">
        <f t="shared" si="4"/>
        <v>0</v>
      </c>
      <c r="T21" s="520">
        <f t="shared" si="20"/>
        <v>232744</v>
      </c>
      <c r="U21" s="282">
        <f t="shared" si="21"/>
        <v>0</v>
      </c>
      <c r="V21" s="282">
        <v>250</v>
      </c>
      <c r="W21" s="196"/>
      <c r="X21" s="635">
        <v>13230</v>
      </c>
      <c r="Y21" s="282" t="str">
        <f>Y20</f>
        <v>ok</v>
      </c>
      <c r="Z21" s="282">
        <f t="shared" si="6"/>
        <v>11</v>
      </c>
      <c r="AA21" s="282">
        <f t="shared" si="22"/>
        <v>1851</v>
      </c>
      <c r="AB21" s="282">
        <f t="shared" si="23"/>
        <v>418.27272727272725</v>
      </c>
      <c r="AC21" s="282">
        <f t="shared" si="24"/>
        <v>168.27272727272728</v>
      </c>
      <c r="AD21" s="73">
        <f>ELEC!Q22</f>
        <v>6652.9999999984284</v>
      </c>
      <c r="AE21" s="73">
        <f t="shared" si="26"/>
        <v>604.81818181803897</v>
      </c>
      <c r="AF21" s="395">
        <f t="shared" si="27"/>
        <v>0.37801136363627436</v>
      </c>
      <c r="AG21" s="396">
        <f t="shared" si="28"/>
        <v>120.96363636360779</v>
      </c>
      <c r="AH21" s="396">
        <f t="shared" si="25"/>
        <v>47.30909090911949</v>
      </c>
      <c r="AI21" s="73">
        <f t="shared" si="29"/>
        <v>1712.375527425756</v>
      </c>
      <c r="AJ21" s="284">
        <f t="shared" si="7"/>
        <v>0.25738396624472576</v>
      </c>
      <c r="AK21" s="284">
        <f t="shared" si="8"/>
        <v>155.67050249325055</v>
      </c>
    </row>
    <row r="22" spans="1:37" ht="16.5" thickBot="1">
      <c r="A22" s="4">
        <f>ELEC!C23</f>
        <v>44489</v>
      </c>
      <c r="B22" s="519">
        <v>11038</v>
      </c>
      <c r="C22" s="282">
        <f t="shared" si="10"/>
        <v>10</v>
      </c>
      <c r="D22" s="520">
        <v>532514</v>
      </c>
      <c r="E22" s="282">
        <f>150*C22</f>
        <v>1500</v>
      </c>
      <c r="F22" s="282">
        <f t="shared" si="0"/>
        <v>150</v>
      </c>
      <c r="G22" s="196"/>
      <c r="H22" s="266">
        <f t="shared" si="13"/>
        <v>11055</v>
      </c>
      <c r="I22" s="282" t="str">
        <f t="shared" si="1"/>
        <v>ok</v>
      </c>
      <c r="J22" s="520">
        <f t="shared" si="14"/>
        <v>10698</v>
      </c>
      <c r="K22" s="282">
        <f t="shared" si="2"/>
        <v>0</v>
      </c>
      <c r="L22" s="520">
        <f t="shared" si="15"/>
        <v>357691</v>
      </c>
      <c r="M22" s="282">
        <f t="shared" si="16"/>
        <v>0</v>
      </c>
      <c r="N22" s="282">
        <f t="shared" si="17"/>
        <v>0</v>
      </c>
      <c r="O22" s="196"/>
      <c r="P22" s="283">
        <f t="shared" si="18"/>
        <v>10873</v>
      </c>
      <c r="Q22" s="282" t="str">
        <f t="shared" si="31"/>
        <v>ok</v>
      </c>
      <c r="R22" s="520">
        <f t="shared" si="19"/>
        <v>13173</v>
      </c>
      <c r="S22" s="282">
        <f t="shared" si="4"/>
        <v>0</v>
      </c>
      <c r="T22" s="520">
        <f t="shared" si="20"/>
        <v>232744</v>
      </c>
      <c r="U22" s="282">
        <f t="shared" si="21"/>
        <v>0</v>
      </c>
      <c r="V22" s="282">
        <v>250</v>
      </c>
      <c r="W22" s="196"/>
      <c r="X22" s="635">
        <v>13230</v>
      </c>
      <c r="Y22" s="282" t="str">
        <f t="shared" ref="Y22:Y30" si="32">IF(R22-X22&lt;=0,"ok","oil change")</f>
        <v>ok</v>
      </c>
      <c r="Z22" s="282">
        <f t="shared" si="6"/>
        <v>10</v>
      </c>
      <c r="AA22" s="282">
        <f t="shared" si="22"/>
        <v>1500</v>
      </c>
      <c r="AB22" s="282">
        <f t="shared" si="23"/>
        <v>400</v>
      </c>
      <c r="AC22" s="282">
        <f t="shared" si="24"/>
        <v>150</v>
      </c>
      <c r="AD22" s="73">
        <f>ELEC!Q23</f>
        <v>5963.9999999999418</v>
      </c>
      <c r="AE22" s="73">
        <f t="shared" si="26"/>
        <v>596.39999999999418</v>
      </c>
      <c r="AF22" s="395">
        <f t="shared" si="27"/>
        <v>0.37274999999999636</v>
      </c>
      <c r="AG22" s="396">
        <f t="shared" si="28"/>
        <v>119.27999999999884</v>
      </c>
      <c r="AH22" s="396">
        <f t="shared" si="25"/>
        <v>30.720000000001164</v>
      </c>
      <c r="AI22" s="73">
        <f t="shared" si="29"/>
        <v>1535.0379746835295</v>
      </c>
      <c r="AJ22" s="284">
        <f t="shared" si="7"/>
        <v>0.25738396624472576</v>
      </c>
      <c r="AK22" s="284">
        <f t="shared" si="8"/>
        <v>153.50379746835296</v>
      </c>
    </row>
    <row r="23" spans="1:37" ht="16.5" thickBot="1">
      <c r="A23" s="4">
        <f>ELEC!C24</f>
        <v>44490</v>
      </c>
      <c r="B23" s="519">
        <v>11045</v>
      </c>
      <c r="C23" s="282">
        <f t="shared" si="10"/>
        <v>7</v>
      </c>
      <c r="D23" s="520">
        <v>532516</v>
      </c>
      <c r="E23" s="282">
        <f>150*C23</f>
        <v>1050</v>
      </c>
      <c r="F23" s="282">
        <f t="shared" si="0"/>
        <v>150</v>
      </c>
      <c r="G23" s="196"/>
      <c r="H23" s="266">
        <f t="shared" si="13"/>
        <v>11055</v>
      </c>
      <c r="I23" s="282" t="str">
        <f t="shared" si="1"/>
        <v>ok</v>
      </c>
      <c r="J23" s="520">
        <f t="shared" si="14"/>
        <v>10698</v>
      </c>
      <c r="K23" s="282">
        <f t="shared" si="2"/>
        <v>0</v>
      </c>
      <c r="L23" s="520">
        <f t="shared" si="15"/>
        <v>357691</v>
      </c>
      <c r="M23" s="282">
        <f t="shared" si="16"/>
        <v>0</v>
      </c>
      <c r="N23" s="282">
        <f t="shared" si="17"/>
        <v>0</v>
      </c>
      <c r="O23" s="196"/>
      <c r="P23" s="283">
        <f t="shared" si="18"/>
        <v>10873</v>
      </c>
      <c r="Q23" s="282" t="str">
        <f t="shared" si="31"/>
        <v>ok</v>
      </c>
      <c r="R23" s="520">
        <v>13177</v>
      </c>
      <c r="S23" s="282">
        <f>R23-R22</f>
        <v>4</v>
      </c>
      <c r="T23" s="520">
        <f t="shared" si="20"/>
        <v>233744</v>
      </c>
      <c r="U23" s="282">
        <f>V23*S23</f>
        <v>1000</v>
      </c>
      <c r="V23" s="282">
        <v>250</v>
      </c>
      <c r="W23" s="196"/>
      <c r="X23" s="635">
        <v>13230</v>
      </c>
      <c r="Y23" s="282" t="str">
        <f t="shared" si="32"/>
        <v>ok</v>
      </c>
      <c r="Z23" s="282">
        <f t="shared" si="6"/>
        <v>11</v>
      </c>
      <c r="AA23" s="282">
        <f t="shared" si="22"/>
        <v>2050</v>
      </c>
      <c r="AB23" s="282">
        <f t="shared" si="23"/>
        <v>400</v>
      </c>
      <c r="AC23" s="282">
        <f t="shared" si="24"/>
        <v>186.36363636363637</v>
      </c>
      <c r="AD23" s="73">
        <f>ELEC!Q24</f>
        <v>6402.0000000018626</v>
      </c>
      <c r="AE23" s="73">
        <f t="shared" si="26"/>
        <v>582.00000000016928</v>
      </c>
      <c r="AF23" s="395">
        <f t="shared" si="27"/>
        <v>0.36375000000010582</v>
      </c>
      <c r="AG23" s="396">
        <f t="shared" si="28"/>
        <v>116.40000000003386</v>
      </c>
      <c r="AH23" s="396">
        <f t="shared" si="25"/>
        <v>69.963636363602518</v>
      </c>
      <c r="AI23" s="73">
        <f t="shared" si="29"/>
        <v>1647.7721518992137</v>
      </c>
      <c r="AJ23" s="284">
        <f t="shared" si="7"/>
        <v>0.25738396624472576</v>
      </c>
      <c r="AK23" s="284">
        <f t="shared" si="8"/>
        <v>149.79746835447398</v>
      </c>
    </row>
    <row r="24" spans="1:37" ht="16.5" thickBot="1">
      <c r="A24" s="4">
        <f>ELEC!C25</f>
        <v>44491</v>
      </c>
      <c r="B24" s="519">
        <f t="shared" si="9"/>
        <v>11045</v>
      </c>
      <c r="C24" s="282">
        <f t="shared" si="10"/>
        <v>0</v>
      </c>
      <c r="D24" s="520">
        <f t="shared" si="11"/>
        <v>532516</v>
      </c>
      <c r="E24" s="282">
        <f t="shared" si="12"/>
        <v>0</v>
      </c>
      <c r="F24" s="282">
        <f t="shared" si="0"/>
        <v>0</v>
      </c>
      <c r="G24" s="196"/>
      <c r="H24" s="266">
        <f t="shared" si="13"/>
        <v>11055</v>
      </c>
      <c r="I24" s="282" t="str">
        <f t="shared" si="1"/>
        <v>ok</v>
      </c>
      <c r="J24" s="520">
        <f t="shared" si="14"/>
        <v>10698</v>
      </c>
      <c r="K24" s="282">
        <f t="shared" si="2"/>
        <v>0</v>
      </c>
      <c r="L24" s="520">
        <f t="shared" si="15"/>
        <v>357691</v>
      </c>
      <c r="M24" s="282">
        <f t="shared" si="16"/>
        <v>0</v>
      </c>
      <c r="N24" s="282">
        <f t="shared" si="17"/>
        <v>0</v>
      </c>
      <c r="O24" s="196"/>
      <c r="P24" s="283">
        <f t="shared" si="18"/>
        <v>10873</v>
      </c>
      <c r="Q24" s="282" t="str">
        <f t="shared" si="31"/>
        <v>ok</v>
      </c>
      <c r="R24" s="520">
        <f t="shared" si="19"/>
        <v>13177</v>
      </c>
      <c r="S24" s="282">
        <f t="shared" si="4"/>
        <v>0</v>
      </c>
      <c r="T24" s="520">
        <f t="shared" si="20"/>
        <v>233744</v>
      </c>
      <c r="U24" s="282">
        <f t="shared" si="21"/>
        <v>0</v>
      </c>
      <c r="V24" s="282">
        <v>250</v>
      </c>
      <c r="W24" s="196"/>
      <c r="X24" s="635">
        <v>13230</v>
      </c>
      <c r="Y24" s="282" t="str">
        <f t="shared" si="32"/>
        <v>ok</v>
      </c>
      <c r="Z24" s="282">
        <f t="shared" si="6"/>
        <v>0</v>
      </c>
      <c r="AA24" s="282">
        <f t="shared" si="22"/>
        <v>0</v>
      </c>
      <c r="AB24" s="282">
        <f t="shared" si="23"/>
        <v>250</v>
      </c>
      <c r="AC24" s="282">
        <f t="shared" si="24"/>
        <v>0</v>
      </c>
      <c r="AD24" s="73">
        <f>ELEC!Q25</f>
        <v>0</v>
      </c>
      <c r="AE24" s="73" t="e">
        <f t="shared" si="26"/>
        <v>#DIV/0!</v>
      </c>
      <c r="AF24" s="395" t="e">
        <f t="shared" si="27"/>
        <v>#DIV/0!</v>
      </c>
      <c r="AG24" s="396" t="e">
        <f t="shared" si="28"/>
        <v>#DIV/0!</v>
      </c>
      <c r="AH24" s="396" t="e">
        <f t="shared" si="25"/>
        <v>#DIV/0!</v>
      </c>
      <c r="AI24" s="73">
        <f t="shared" si="29"/>
        <v>0</v>
      </c>
      <c r="AJ24" s="284">
        <f t="shared" si="7"/>
        <v>0.25738396624472576</v>
      </c>
      <c r="AK24" s="284" t="e">
        <f t="shared" si="8"/>
        <v>#DIV/0!</v>
      </c>
    </row>
    <row r="25" spans="1:37" ht="16.5" thickBot="1">
      <c r="A25" s="4">
        <f>ELEC!C26</f>
        <v>44492</v>
      </c>
      <c r="B25" s="519">
        <f t="shared" si="9"/>
        <v>11045</v>
      </c>
      <c r="C25" s="282">
        <f t="shared" si="10"/>
        <v>0</v>
      </c>
      <c r="D25" s="520">
        <f t="shared" si="11"/>
        <v>532516</v>
      </c>
      <c r="E25" s="282">
        <f t="shared" si="12"/>
        <v>0</v>
      </c>
      <c r="F25" s="282">
        <f t="shared" si="0"/>
        <v>0</v>
      </c>
      <c r="G25" s="196"/>
      <c r="H25" s="266">
        <f t="shared" si="13"/>
        <v>11055</v>
      </c>
      <c r="I25" s="282" t="str">
        <f t="shared" si="1"/>
        <v>ok</v>
      </c>
      <c r="J25" s="520">
        <f t="shared" si="14"/>
        <v>10698</v>
      </c>
      <c r="K25" s="282">
        <f t="shared" si="2"/>
        <v>0</v>
      </c>
      <c r="L25" s="520">
        <f t="shared" si="15"/>
        <v>357691</v>
      </c>
      <c r="M25" s="282">
        <f t="shared" si="16"/>
        <v>0</v>
      </c>
      <c r="N25" s="282">
        <f t="shared" si="17"/>
        <v>0</v>
      </c>
      <c r="O25" s="196"/>
      <c r="P25" s="283">
        <f t="shared" si="18"/>
        <v>10873</v>
      </c>
      <c r="Q25" s="282" t="str">
        <f t="shared" si="31"/>
        <v>ok</v>
      </c>
      <c r="R25" s="520">
        <f t="shared" si="19"/>
        <v>13177</v>
      </c>
      <c r="S25" s="282">
        <f t="shared" si="4"/>
        <v>0</v>
      </c>
      <c r="T25" s="520">
        <f t="shared" si="20"/>
        <v>233744</v>
      </c>
      <c r="U25" s="282">
        <f t="shared" si="21"/>
        <v>0</v>
      </c>
      <c r="V25" s="282">
        <v>250</v>
      </c>
      <c r="W25" s="196"/>
      <c r="X25" s="635">
        <v>13230</v>
      </c>
      <c r="Y25" s="282" t="str">
        <f t="shared" si="32"/>
        <v>ok</v>
      </c>
      <c r="Z25" s="282">
        <f t="shared" si="6"/>
        <v>0</v>
      </c>
      <c r="AA25" s="282">
        <f t="shared" si="22"/>
        <v>0</v>
      </c>
      <c r="AB25" s="282">
        <f t="shared" si="23"/>
        <v>250</v>
      </c>
      <c r="AC25" s="282">
        <f t="shared" si="24"/>
        <v>0</v>
      </c>
      <c r="AD25" s="73">
        <f>ELEC!Q26</f>
        <v>0</v>
      </c>
      <c r="AE25" s="73" t="e">
        <f t="shared" si="26"/>
        <v>#DIV/0!</v>
      </c>
      <c r="AF25" s="395" t="e">
        <f t="shared" si="27"/>
        <v>#DIV/0!</v>
      </c>
      <c r="AG25" s="396" t="e">
        <f t="shared" si="28"/>
        <v>#DIV/0!</v>
      </c>
      <c r="AH25" s="396" t="e">
        <f t="shared" si="25"/>
        <v>#DIV/0!</v>
      </c>
      <c r="AI25" s="73">
        <f t="shared" si="29"/>
        <v>0</v>
      </c>
      <c r="AJ25" s="284">
        <f t="shared" si="7"/>
        <v>0.25738396624472576</v>
      </c>
      <c r="AK25" s="284" t="e">
        <f t="shared" si="8"/>
        <v>#DIV/0!</v>
      </c>
    </row>
    <row r="26" spans="1:37" ht="16.5" thickBot="1">
      <c r="A26" s="4">
        <f>ELEC!C27</f>
        <v>44493</v>
      </c>
      <c r="B26" s="519">
        <v>11046</v>
      </c>
      <c r="C26" s="282">
        <f>B26-B25</f>
        <v>1</v>
      </c>
      <c r="D26" s="520">
        <f t="shared" si="11"/>
        <v>532516</v>
      </c>
      <c r="E26" s="282">
        <f>SUM(D26-D25)</f>
        <v>0</v>
      </c>
      <c r="F26" s="282">
        <f t="shared" si="0"/>
        <v>0</v>
      </c>
      <c r="G26" s="196"/>
      <c r="H26" s="266">
        <f t="shared" si="13"/>
        <v>11055</v>
      </c>
      <c r="I26" s="282" t="str">
        <f t="shared" si="1"/>
        <v>ok</v>
      </c>
      <c r="J26" s="520">
        <f t="shared" si="14"/>
        <v>10698</v>
      </c>
      <c r="K26" s="282">
        <f t="shared" si="2"/>
        <v>0</v>
      </c>
      <c r="L26" s="520">
        <f t="shared" si="15"/>
        <v>357691</v>
      </c>
      <c r="M26" s="282">
        <f t="shared" si="16"/>
        <v>0</v>
      </c>
      <c r="N26" s="282">
        <f t="shared" si="17"/>
        <v>0</v>
      </c>
      <c r="O26" s="196"/>
      <c r="P26" s="283">
        <f t="shared" si="18"/>
        <v>10873</v>
      </c>
      <c r="Q26" s="282" t="str">
        <f t="shared" si="31"/>
        <v>ok</v>
      </c>
      <c r="R26" s="520">
        <v>13185</v>
      </c>
      <c r="S26" s="282">
        <f t="shared" ref="S26" si="33">R26-R25</f>
        <v>8</v>
      </c>
      <c r="T26" s="520">
        <f t="shared" si="20"/>
        <v>235744</v>
      </c>
      <c r="U26" s="282">
        <f t="shared" si="21"/>
        <v>2000</v>
      </c>
      <c r="V26" s="282">
        <v>250</v>
      </c>
      <c r="W26" s="196"/>
      <c r="X26" s="635">
        <v>13230</v>
      </c>
      <c r="Y26" s="282" t="str">
        <f t="shared" si="32"/>
        <v>ok</v>
      </c>
      <c r="Z26" s="282">
        <f t="shared" si="6"/>
        <v>9</v>
      </c>
      <c r="AA26" s="282">
        <f t="shared" si="22"/>
        <v>2000</v>
      </c>
      <c r="AB26" s="282">
        <f t="shared" si="23"/>
        <v>250</v>
      </c>
      <c r="AC26" s="282">
        <f t="shared" si="24"/>
        <v>222.22222222222223</v>
      </c>
      <c r="AD26" s="73">
        <f>ELEC!Q27</f>
        <v>5398.9999999976135</v>
      </c>
      <c r="AE26" s="73">
        <f t="shared" si="26"/>
        <v>599.88888888862368</v>
      </c>
      <c r="AF26" s="395">
        <f t="shared" si="27"/>
        <v>0.37493055555538979</v>
      </c>
      <c r="AG26" s="396">
        <f t="shared" si="28"/>
        <v>119.97777777772473</v>
      </c>
      <c r="AH26" s="396">
        <f t="shared" si="25"/>
        <v>102.2444444444975</v>
      </c>
      <c r="AI26" s="73">
        <f t="shared" si="29"/>
        <v>1389.6160337546601</v>
      </c>
      <c r="AJ26" s="284">
        <f t="shared" si="7"/>
        <v>0.25738396624472576</v>
      </c>
      <c r="AK26" s="284">
        <f t="shared" si="8"/>
        <v>154.40178152829557</v>
      </c>
    </row>
    <row r="27" spans="1:37" ht="16.5" thickBot="1">
      <c r="A27" s="4">
        <f>ELEC!C28</f>
        <v>44494</v>
      </c>
      <c r="B27" s="519">
        <v>11057</v>
      </c>
      <c r="C27" s="282">
        <f>B27-B26</f>
        <v>11</v>
      </c>
      <c r="D27" s="520">
        <f t="shared" si="11"/>
        <v>532516</v>
      </c>
      <c r="E27" s="282">
        <f t="shared" ref="E27:E33" si="34">SUM(D27-D26)</f>
        <v>0</v>
      </c>
      <c r="F27" s="282">
        <f t="shared" si="0"/>
        <v>0</v>
      </c>
      <c r="G27" s="196"/>
      <c r="H27" s="266">
        <f t="shared" si="13"/>
        <v>11055</v>
      </c>
      <c r="I27" s="282" t="str">
        <f>IF(B27-H27&lt;=0,"ok","oil change")</f>
        <v>oil change</v>
      </c>
      <c r="J27" s="520">
        <f t="shared" si="14"/>
        <v>10698</v>
      </c>
      <c r="K27" s="282">
        <f t="shared" si="2"/>
        <v>0</v>
      </c>
      <c r="L27" s="520">
        <f t="shared" si="15"/>
        <v>357691</v>
      </c>
      <c r="M27" s="282">
        <f t="shared" si="16"/>
        <v>0</v>
      </c>
      <c r="N27" s="282">
        <f t="shared" si="17"/>
        <v>0</v>
      </c>
      <c r="O27" s="196"/>
      <c r="P27" s="283">
        <f t="shared" si="18"/>
        <v>10873</v>
      </c>
      <c r="Q27" s="282" t="str">
        <f t="shared" si="31"/>
        <v>ok</v>
      </c>
      <c r="R27" s="520">
        <f t="shared" si="19"/>
        <v>13185</v>
      </c>
      <c r="S27" s="282">
        <f t="shared" si="4"/>
        <v>0</v>
      </c>
      <c r="T27" s="520">
        <f t="shared" si="20"/>
        <v>235744</v>
      </c>
      <c r="U27" s="282">
        <f t="shared" si="21"/>
        <v>0</v>
      </c>
      <c r="V27" s="282">
        <v>250</v>
      </c>
      <c r="W27" s="196"/>
      <c r="X27" s="635">
        <v>13230</v>
      </c>
      <c r="Y27" s="282" t="str">
        <f t="shared" si="32"/>
        <v>ok</v>
      </c>
      <c r="Z27" s="282">
        <f t="shared" si="6"/>
        <v>11</v>
      </c>
      <c r="AA27" s="282">
        <f t="shared" si="22"/>
        <v>0</v>
      </c>
      <c r="AB27" s="282">
        <f t="shared" si="23"/>
        <v>250</v>
      </c>
      <c r="AC27" s="282">
        <f t="shared" si="24"/>
        <v>0</v>
      </c>
      <c r="AD27" s="73">
        <f>ELEC!Q28</f>
        <v>6099.0000000019791</v>
      </c>
      <c r="AE27" s="73">
        <f t="shared" si="26"/>
        <v>554.45454545472535</v>
      </c>
      <c r="AF27" s="395">
        <f t="shared" si="27"/>
        <v>0.34653409090920334</v>
      </c>
      <c r="AG27" s="396">
        <f t="shared" si="28"/>
        <v>110.89090909094507</v>
      </c>
      <c r="AH27" s="396">
        <f t="shared" si="25"/>
        <v>-110.89090909094507</v>
      </c>
      <c r="AI27" s="73">
        <f t="shared" si="29"/>
        <v>1569.7848101270918</v>
      </c>
      <c r="AJ27" s="284">
        <f t="shared" si="7"/>
        <v>0.25738396624472576</v>
      </c>
      <c r="AK27" s="284">
        <f t="shared" si="8"/>
        <v>142.70771001155379</v>
      </c>
    </row>
    <row r="28" spans="1:37" ht="16.5" thickBot="1">
      <c r="A28" s="4">
        <f>ELEC!C29</f>
        <v>44495</v>
      </c>
      <c r="B28" s="519">
        <v>11061</v>
      </c>
      <c r="C28" s="282">
        <f t="shared" si="10"/>
        <v>4</v>
      </c>
      <c r="D28" s="520">
        <f t="shared" si="11"/>
        <v>532516</v>
      </c>
      <c r="E28" s="282">
        <f t="shared" si="34"/>
        <v>0</v>
      </c>
      <c r="F28" s="282">
        <f t="shared" si="0"/>
        <v>0</v>
      </c>
      <c r="G28" s="280"/>
      <c r="H28" s="266">
        <f t="shared" si="13"/>
        <v>11055</v>
      </c>
      <c r="I28" s="282" t="str">
        <f t="shared" si="1"/>
        <v>oil change</v>
      </c>
      <c r="J28" s="520">
        <f t="shared" si="14"/>
        <v>10698</v>
      </c>
      <c r="K28" s="282">
        <f t="shared" si="2"/>
        <v>0</v>
      </c>
      <c r="L28" s="520">
        <f t="shared" si="15"/>
        <v>357691</v>
      </c>
      <c r="M28" s="282">
        <f t="shared" si="16"/>
        <v>0</v>
      </c>
      <c r="N28" s="282">
        <f t="shared" si="17"/>
        <v>0</v>
      </c>
      <c r="O28" s="196"/>
      <c r="P28" s="283">
        <f t="shared" si="18"/>
        <v>10873</v>
      </c>
      <c r="Q28" s="282" t="str">
        <f t="shared" si="31"/>
        <v>ok</v>
      </c>
      <c r="R28" s="520">
        <v>13194</v>
      </c>
      <c r="S28" s="282">
        <f t="shared" si="4"/>
        <v>9</v>
      </c>
      <c r="T28" s="520">
        <f t="shared" si="20"/>
        <v>237994</v>
      </c>
      <c r="U28" s="282">
        <f t="shared" si="21"/>
        <v>2250</v>
      </c>
      <c r="V28" s="282">
        <v>250</v>
      </c>
      <c r="W28" s="196"/>
      <c r="X28" s="635">
        <v>13230</v>
      </c>
      <c r="Y28" s="282" t="str">
        <f t="shared" si="32"/>
        <v>ok</v>
      </c>
      <c r="Z28" s="282">
        <f t="shared" si="6"/>
        <v>13</v>
      </c>
      <c r="AA28" s="282">
        <f t="shared" si="22"/>
        <v>2250</v>
      </c>
      <c r="AB28" s="282">
        <f t="shared" si="23"/>
        <v>250</v>
      </c>
      <c r="AC28" s="282">
        <f t="shared" si="24"/>
        <v>173.07692307692307</v>
      </c>
      <c r="AD28" s="73">
        <f>ELEC!Q29</f>
        <v>7274.0000000012515</v>
      </c>
      <c r="AE28" s="73">
        <f t="shared" si="26"/>
        <v>559.53846153855784</v>
      </c>
      <c r="AF28" s="395">
        <f t="shared" si="27"/>
        <v>0.34971153846159864</v>
      </c>
      <c r="AG28" s="396">
        <f t="shared" si="28"/>
        <v>111.90769230771156</v>
      </c>
      <c r="AH28" s="396">
        <f t="shared" si="25"/>
        <v>61.169230769211509</v>
      </c>
      <c r="AI28" s="73">
        <f t="shared" si="29"/>
        <v>1872.2109704644572</v>
      </c>
      <c r="AJ28" s="284">
        <f t="shared" si="7"/>
        <v>0.25738396624472576</v>
      </c>
      <c r="AK28" s="284">
        <f t="shared" si="8"/>
        <v>144.01622849726593</v>
      </c>
    </row>
    <row r="29" spans="1:37" ht="16.5" thickBot="1">
      <c r="A29" s="4">
        <f>ELEC!C30</f>
        <v>44496</v>
      </c>
      <c r="B29" s="519">
        <f t="shared" si="9"/>
        <v>11061</v>
      </c>
      <c r="C29" s="282">
        <f t="shared" si="10"/>
        <v>0</v>
      </c>
      <c r="D29" s="520">
        <f t="shared" si="11"/>
        <v>532516</v>
      </c>
      <c r="E29" s="282">
        <f t="shared" si="34"/>
        <v>0</v>
      </c>
      <c r="F29" s="282">
        <f t="shared" si="0"/>
        <v>0</v>
      </c>
      <c r="G29" s="196"/>
      <c r="H29" s="266">
        <f t="shared" si="13"/>
        <v>11055</v>
      </c>
      <c r="I29" s="282" t="str">
        <f t="shared" si="1"/>
        <v>oil change</v>
      </c>
      <c r="J29" s="520">
        <f t="shared" si="14"/>
        <v>10698</v>
      </c>
      <c r="K29" s="282">
        <f t="shared" si="2"/>
        <v>0</v>
      </c>
      <c r="L29" s="520">
        <f t="shared" si="15"/>
        <v>357691</v>
      </c>
      <c r="M29" s="282">
        <f t="shared" si="16"/>
        <v>0</v>
      </c>
      <c r="N29" s="282">
        <f t="shared" si="17"/>
        <v>0</v>
      </c>
      <c r="O29" s="196"/>
      <c r="P29" s="283">
        <f t="shared" si="18"/>
        <v>10873</v>
      </c>
      <c r="Q29" s="282" t="str">
        <f t="shared" si="31"/>
        <v>ok</v>
      </c>
      <c r="R29" s="520">
        <f t="shared" si="19"/>
        <v>13194</v>
      </c>
      <c r="S29" s="282">
        <f t="shared" si="4"/>
        <v>0</v>
      </c>
      <c r="T29" s="520">
        <f t="shared" si="20"/>
        <v>237994</v>
      </c>
      <c r="U29" s="282">
        <f t="shared" si="21"/>
        <v>0</v>
      </c>
      <c r="V29" s="282">
        <v>250</v>
      </c>
      <c r="W29" s="196"/>
      <c r="X29" s="635">
        <v>13230</v>
      </c>
      <c r="Y29" s="282" t="str">
        <f t="shared" si="32"/>
        <v>ok</v>
      </c>
      <c r="Z29" s="282">
        <f t="shared" si="6"/>
        <v>0</v>
      </c>
      <c r="AA29" s="282">
        <f t="shared" si="22"/>
        <v>0</v>
      </c>
      <c r="AB29" s="282">
        <f t="shared" si="23"/>
        <v>250</v>
      </c>
      <c r="AC29" s="282">
        <f t="shared" si="24"/>
        <v>0</v>
      </c>
      <c r="AD29" s="73">
        <f>ELEC!Q30</f>
        <v>0</v>
      </c>
      <c r="AE29" s="73" t="e">
        <f t="shared" si="26"/>
        <v>#DIV/0!</v>
      </c>
      <c r="AF29" s="395" t="e">
        <f t="shared" si="27"/>
        <v>#DIV/0!</v>
      </c>
      <c r="AG29" s="396" t="e">
        <f t="shared" si="28"/>
        <v>#DIV/0!</v>
      </c>
      <c r="AH29" s="396" t="e">
        <f t="shared" si="25"/>
        <v>#DIV/0!</v>
      </c>
      <c r="AI29" s="73">
        <f t="shared" si="29"/>
        <v>0</v>
      </c>
      <c r="AJ29" s="284">
        <f t="shared" si="7"/>
        <v>0.25738396624472576</v>
      </c>
      <c r="AK29" s="284" t="e">
        <f t="shared" si="8"/>
        <v>#DIV/0!</v>
      </c>
    </row>
    <row r="30" spans="1:37" ht="16.5" thickBot="1">
      <c r="A30" s="4">
        <f>ELEC!C31</f>
        <v>44497</v>
      </c>
      <c r="B30" s="519">
        <f t="shared" si="9"/>
        <v>11061</v>
      </c>
      <c r="C30" s="282">
        <f t="shared" si="10"/>
        <v>0</v>
      </c>
      <c r="D30" s="520">
        <f t="shared" si="11"/>
        <v>532516</v>
      </c>
      <c r="E30" s="282">
        <f t="shared" si="34"/>
        <v>0</v>
      </c>
      <c r="F30" s="282">
        <f t="shared" si="0"/>
        <v>0</v>
      </c>
      <c r="G30" s="196"/>
      <c r="H30" s="266">
        <f t="shared" si="13"/>
        <v>11055</v>
      </c>
      <c r="I30" s="282" t="str">
        <f t="shared" si="1"/>
        <v>oil change</v>
      </c>
      <c r="J30" s="520">
        <f t="shared" si="14"/>
        <v>10698</v>
      </c>
      <c r="K30" s="282">
        <f t="shared" si="2"/>
        <v>0</v>
      </c>
      <c r="L30" s="520">
        <f t="shared" si="15"/>
        <v>357691</v>
      </c>
      <c r="M30" s="282">
        <f t="shared" si="16"/>
        <v>0</v>
      </c>
      <c r="N30" s="282">
        <f t="shared" si="17"/>
        <v>0</v>
      </c>
      <c r="O30" s="196"/>
      <c r="P30" s="283">
        <f t="shared" si="18"/>
        <v>10873</v>
      </c>
      <c r="Q30" s="282" t="str">
        <f t="shared" si="31"/>
        <v>ok</v>
      </c>
      <c r="R30" s="520">
        <f t="shared" si="19"/>
        <v>13194</v>
      </c>
      <c r="S30" s="282">
        <f t="shared" si="4"/>
        <v>0</v>
      </c>
      <c r="T30" s="520">
        <f t="shared" si="20"/>
        <v>237994</v>
      </c>
      <c r="U30" s="282">
        <f t="shared" si="21"/>
        <v>0</v>
      </c>
      <c r="V30" s="282">
        <v>250</v>
      </c>
      <c r="W30" s="280"/>
      <c r="X30" s="635">
        <v>13230</v>
      </c>
      <c r="Y30" s="282" t="str">
        <f t="shared" si="32"/>
        <v>ok</v>
      </c>
      <c r="Z30" s="282">
        <f t="shared" si="6"/>
        <v>0</v>
      </c>
      <c r="AA30" s="282">
        <f t="shared" si="22"/>
        <v>0</v>
      </c>
      <c r="AB30" s="282">
        <f t="shared" si="23"/>
        <v>250</v>
      </c>
      <c r="AC30" s="282">
        <f t="shared" si="24"/>
        <v>0</v>
      </c>
      <c r="AD30" s="73">
        <f>ELEC!Q31</f>
        <v>0</v>
      </c>
      <c r="AE30" s="73" t="e">
        <f t="shared" si="26"/>
        <v>#DIV/0!</v>
      </c>
      <c r="AF30" s="395" t="e">
        <f t="shared" si="27"/>
        <v>#DIV/0!</v>
      </c>
      <c r="AG30" s="396" t="e">
        <f t="shared" si="28"/>
        <v>#DIV/0!</v>
      </c>
      <c r="AH30" s="396" t="e">
        <f t="shared" si="25"/>
        <v>#DIV/0!</v>
      </c>
      <c r="AI30" s="73">
        <f t="shared" si="29"/>
        <v>0</v>
      </c>
      <c r="AJ30" s="284">
        <f t="shared" si="7"/>
        <v>0.25738396624472576</v>
      </c>
      <c r="AK30" s="284" t="e">
        <f t="shared" si="8"/>
        <v>#DIV/0!</v>
      </c>
    </row>
    <row r="31" spans="1:37" ht="16.5" thickBot="1">
      <c r="A31" s="4">
        <f>ELEC!C32</f>
        <v>44498</v>
      </c>
      <c r="B31" s="519">
        <f t="shared" si="9"/>
        <v>11061</v>
      </c>
      <c r="C31" s="282">
        <f>B31-B30</f>
        <v>0</v>
      </c>
      <c r="D31" s="520">
        <f t="shared" si="11"/>
        <v>532516</v>
      </c>
      <c r="E31" s="282">
        <f t="shared" si="34"/>
        <v>0</v>
      </c>
      <c r="F31" s="282">
        <f>IF(C31&gt;0,E31/C31,0)</f>
        <v>0</v>
      </c>
      <c r="G31" s="331"/>
      <c r="H31" s="266">
        <f t="shared" si="13"/>
        <v>11055</v>
      </c>
      <c r="I31" s="282" t="str">
        <f>IF(B31-H31&lt;=0,"ok","oil change")</f>
        <v>oil change</v>
      </c>
      <c r="J31" s="520">
        <f t="shared" si="14"/>
        <v>10698</v>
      </c>
      <c r="K31" s="282">
        <f>J31-J30</f>
        <v>0</v>
      </c>
      <c r="L31" s="520">
        <f t="shared" si="15"/>
        <v>357691</v>
      </c>
      <c r="M31" s="282">
        <f>SUM(L31-L30)</f>
        <v>0</v>
      </c>
      <c r="N31" s="282">
        <f>IF(K31&gt;0,M31/K31,0)</f>
        <v>0</v>
      </c>
      <c r="O31" s="331"/>
      <c r="P31" s="283">
        <f t="shared" si="18"/>
        <v>10873</v>
      </c>
      <c r="Q31" s="282" t="str">
        <f>IF(J31-P31&lt;=0,"ok","oil change")</f>
        <v>ok</v>
      </c>
      <c r="R31" s="520">
        <f t="shared" si="19"/>
        <v>13194</v>
      </c>
      <c r="S31" s="282">
        <f>R31-R30</f>
        <v>0</v>
      </c>
      <c r="T31" s="520">
        <f t="shared" si="20"/>
        <v>237994</v>
      </c>
      <c r="U31" s="282">
        <f t="shared" si="21"/>
        <v>0</v>
      </c>
      <c r="V31" s="282">
        <v>250</v>
      </c>
      <c r="W31" s="331"/>
      <c r="X31" s="635">
        <v>13230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5">U31+M31+E31</f>
        <v>0</v>
      </c>
      <c r="AB31" s="282">
        <f t="shared" si="35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5" t="e">
        <f>SUM(AE31/1600)</f>
        <v>#DIV/0!</v>
      </c>
      <c r="AG31" s="487" t="e">
        <f>SUM(320*AF31)</f>
        <v>#DIV/0!</v>
      </c>
      <c r="AH31" s="487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6.5" thickBot="1">
      <c r="A32" s="4">
        <f>ELEC!C33</f>
        <v>44499</v>
      </c>
      <c r="B32" s="519">
        <f t="shared" si="9"/>
        <v>11061</v>
      </c>
      <c r="C32" s="282">
        <f>B32-B31</f>
        <v>0</v>
      </c>
      <c r="D32" s="520">
        <f t="shared" si="11"/>
        <v>532516</v>
      </c>
      <c r="E32" s="282">
        <f t="shared" si="34"/>
        <v>0</v>
      </c>
      <c r="F32" s="282">
        <f>IF(C32&gt;0,E32/C32,0)</f>
        <v>0</v>
      </c>
      <c r="G32" s="331"/>
      <c r="H32" s="266">
        <f t="shared" si="13"/>
        <v>11055</v>
      </c>
      <c r="I32" s="282" t="str">
        <f>IF(B32-H32&lt;=0,"ok","oil change")</f>
        <v>oil change</v>
      </c>
      <c r="J32" s="520">
        <f t="shared" si="14"/>
        <v>10698</v>
      </c>
      <c r="K32" s="282">
        <f>J32-J31</f>
        <v>0</v>
      </c>
      <c r="L32" s="520">
        <f t="shared" si="15"/>
        <v>357691</v>
      </c>
      <c r="M32" s="282">
        <f>SUM(L32-L31)</f>
        <v>0</v>
      </c>
      <c r="N32" s="282">
        <f>IF(K32&gt;0,M32/K32,0)</f>
        <v>0</v>
      </c>
      <c r="O32" s="331"/>
      <c r="P32" s="283">
        <f t="shared" si="18"/>
        <v>10873</v>
      </c>
      <c r="Q32" s="282" t="str">
        <f>IF(J32-P32&lt;=0,"ok","oil change")</f>
        <v>ok</v>
      </c>
      <c r="R32" s="520">
        <f t="shared" si="19"/>
        <v>13194</v>
      </c>
      <c r="S32" s="282">
        <f>R32-R31</f>
        <v>0</v>
      </c>
      <c r="T32" s="520">
        <f t="shared" si="20"/>
        <v>237994</v>
      </c>
      <c r="U32" s="282">
        <f t="shared" si="21"/>
        <v>0</v>
      </c>
      <c r="V32" s="282">
        <v>250</v>
      </c>
      <c r="W32" s="331"/>
      <c r="X32" s="635">
        <v>13230</v>
      </c>
      <c r="Y32" s="282" t="str">
        <f>IF(R32-X32&lt;=0,"ok","oil change")</f>
        <v>ok</v>
      </c>
      <c r="Z32" s="282">
        <f>C32+K32+S32</f>
        <v>0</v>
      </c>
      <c r="AA32" s="282">
        <f t="shared" si="35"/>
        <v>0</v>
      </c>
      <c r="AB32" s="282">
        <f t="shared" si="35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5" t="e">
        <f>SUM(AE32/1600)</f>
        <v>#DIV/0!</v>
      </c>
      <c r="AG32" s="487" t="e">
        <f>SUM(320*AF32)</f>
        <v>#DIV/0!</v>
      </c>
      <c r="AH32" s="487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 ht="15.75">
      <c r="A33" s="4">
        <f>ELEC!C34</f>
        <v>44500</v>
      </c>
      <c r="B33" s="519">
        <f t="shared" si="9"/>
        <v>11061</v>
      </c>
      <c r="C33" s="282">
        <f>B33-B32</f>
        <v>0</v>
      </c>
      <c r="D33" s="520">
        <f t="shared" si="11"/>
        <v>532516</v>
      </c>
      <c r="E33" s="282">
        <f t="shared" si="34"/>
        <v>0</v>
      </c>
      <c r="F33" s="282">
        <f>IF(C33&gt;0,E33/C33,0)</f>
        <v>0</v>
      </c>
      <c r="G33" s="331"/>
      <c r="H33" s="266">
        <f t="shared" si="13"/>
        <v>11055</v>
      </c>
      <c r="I33" s="282" t="str">
        <f>IF(B33-H33&lt;=0,"ok","oil change")</f>
        <v>oil change</v>
      </c>
      <c r="J33" s="520">
        <f t="shared" si="14"/>
        <v>10698</v>
      </c>
      <c r="K33" s="282">
        <f>J33-J32</f>
        <v>0</v>
      </c>
      <c r="L33" s="520">
        <f t="shared" si="15"/>
        <v>357691</v>
      </c>
      <c r="M33" s="282">
        <f>SUM(L33-L32)</f>
        <v>0</v>
      </c>
      <c r="N33" s="282">
        <f>IF(K33&gt;0,M33/K33,0)</f>
        <v>0</v>
      </c>
      <c r="O33" s="331"/>
      <c r="P33" s="283">
        <f t="shared" si="18"/>
        <v>10873</v>
      </c>
      <c r="Q33" s="282" t="str">
        <f>IF(J33-P33&lt;=0,"ok","oil change")</f>
        <v>ok</v>
      </c>
      <c r="R33" s="520">
        <f t="shared" si="19"/>
        <v>13194</v>
      </c>
      <c r="S33" s="282">
        <f>R33-R32</f>
        <v>0</v>
      </c>
      <c r="T33" s="520">
        <f t="shared" si="20"/>
        <v>237994</v>
      </c>
      <c r="U33" s="282">
        <f t="shared" si="21"/>
        <v>0</v>
      </c>
      <c r="V33" s="282">
        <v>251</v>
      </c>
      <c r="W33" s="331"/>
      <c r="X33" s="635">
        <v>13230</v>
      </c>
      <c r="Y33" s="282" t="str">
        <f>IF(R33-X33&lt;=0,"ok","oil change")</f>
        <v>ok</v>
      </c>
      <c r="Z33" s="282">
        <f>C33+K33+S33</f>
        <v>0</v>
      </c>
      <c r="AA33" s="282">
        <f t="shared" ref="AA33" si="36">U33+M33+E33</f>
        <v>0</v>
      </c>
      <c r="AB33" s="282">
        <f t="shared" ref="AB33" si="37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5" t="e">
        <f>SUM(AE33/1600)</f>
        <v>#DIV/0!</v>
      </c>
      <c r="AG33" s="487" t="e">
        <f>SUM(320*AF33)</f>
        <v>#DIV/0!</v>
      </c>
      <c r="AH33" s="487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8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159</v>
      </c>
      <c r="V34" s="40"/>
      <c r="X34">
        <v>341</v>
      </c>
      <c r="Z34" s="413">
        <f>SUM(Z3:Z33)</f>
        <v>159</v>
      </c>
    </row>
    <row r="35" spans="1:37">
      <c r="C35" s="40">
        <f>SUM(C3:C33)</f>
        <v>96</v>
      </c>
      <c r="K35" s="40">
        <f>SUM(K3:K33)</f>
        <v>0</v>
      </c>
      <c r="S35" s="40">
        <f>SUM(S3:S33)</f>
        <v>63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4" zoomScale="85" zoomScaleNormal="85" workbookViewId="0">
      <pane xSplit="1" topLeftCell="AL1" activePane="topRight" state="frozen"/>
      <selection pane="topRight" activeCell="A41" sqref="A4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0" t="s">
        <v>108</v>
      </c>
      <c r="AS3" s="660" t="s">
        <v>232</v>
      </c>
      <c r="AT3" s="658" t="s">
        <v>300</v>
      </c>
      <c r="AU3" s="659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1"/>
      <c r="AS4" s="661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5">
        <f>[2]tanks!$A$35</f>
        <v>44469</v>
      </c>
      <c r="B5" s="514">
        <f>[2]tanks!B35</f>
        <v>146</v>
      </c>
      <c r="C5" s="514">
        <f>[2]tanks!C35</f>
        <v>3141.3548387096776</v>
      </c>
      <c r="D5" s="514">
        <f>[2]tanks!D35</f>
        <v>146</v>
      </c>
      <c r="E5" s="514">
        <f>[2]tanks!E35</f>
        <v>3141.3548387096776</v>
      </c>
      <c r="F5" s="514">
        <f>[2]tanks!F35</f>
        <v>146</v>
      </c>
      <c r="G5" s="514">
        <f>[2]tanks!G35</f>
        <v>3141.3548387096776</v>
      </c>
      <c r="H5" s="514">
        <f>[2]tanks!H35</f>
        <v>146</v>
      </c>
      <c r="I5" s="514">
        <f>[2]tanks!I35</f>
        <v>3141.3548387096776</v>
      </c>
      <c r="J5" s="514">
        <f>[2]tanks!J35</f>
        <v>146</v>
      </c>
      <c r="K5" s="514">
        <f>[2]tanks!K35</f>
        <v>3141.3548387096776</v>
      </c>
      <c r="L5" s="514">
        <f>[2]tanks!L35</f>
        <v>146</v>
      </c>
      <c r="M5" s="514">
        <f>[2]tanks!M35</f>
        <v>3141.3548387096776</v>
      </c>
      <c r="N5" s="514">
        <f>[2]tanks!N35</f>
        <v>146</v>
      </c>
      <c r="O5" s="514">
        <f>[2]tanks!O35</f>
        <v>3141.3548387096776</v>
      </c>
      <c r="P5" s="514">
        <f>[2]tanks!P35</f>
        <v>146</v>
      </c>
      <c r="Q5" s="514">
        <f>[2]tanks!Q35</f>
        <v>3141.3548387096776</v>
      </c>
      <c r="R5" s="514">
        <f>[2]tanks!R35</f>
        <v>146</v>
      </c>
      <c r="S5" s="514">
        <f>[2]tanks!S35</f>
        <v>3141.3548387096776</v>
      </c>
      <c r="T5" s="514">
        <f>[2]tanks!T35</f>
        <v>146</v>
      </c>
      <c r="U5" s="514">
        <f>[2]tanks!U35</f>
        <v>3141.3548387096776</v>
      </c>
      <c r="V5" s="514">
        <f>[2]tanks!V35</f>
        <v>146</v>
      </c>
      <c r="W5" s="514">
        <f>[2]tanks!W35</f>
        <v>3141.3548387096776</v>
      </c>
      <c r="X5" s="514">
        <f>[2]tanks!X35</f>
        <v>0.47096774193548391</v>
      </c>
      <c r="Y5" s="514">
        <f>[2]tanks!Y35</f>
        <v>34554.903225806454</v>
      </c>
      <c r="Z5" s="514">
        <f>[2]tanks!Z35</f>
        <v>153</v>
      </c>
      <c r="AA5" s="514">
        <f>[2]tanks!AA35</f>
        <v>1530</v>
      </c>
      <c r="AB5" s="514">
        <f>[2]tanks!AB35</f>
        <v>153</v>
      </c>
      <c r="AC5" s="514">
        <f>[2]tanks!AC35</f>
        <v>1530</v>
      </c>
      <c r="AD5" s="514">
        <f>[2]tanks!AD35</f>
        <v>153</v>
      </c>
      <c r="AE5" s="514">
        <f>[2]tanks!$AE$35</f>
        <v>1530</v>
      </c>
      <c r="AF5" s="514">
        <f>[2]tanks!AF35</f>
        <v>153</v>
      </c>
      <c r="AG5" s="514">
        <f>[2]tanks!AG35</f>
        <v>1530</v>
      </c>
      <c r="AH5" s="514">
        <f>[2]tanks!AH35</f>
        <v>153</v>
      </c>
      <c r="AI5" s="514">
        <f>[2]tanks!AI35</f>
        <v>1530</v>
      </c>
      <c r="AJ5" s="514">
        <f>[2]tanks!AJ35</f>
        <v>153</v>
      </c>
      <c r="AK5" s="514">
        <f>[2]tanks!AK35</f>
        <v>1530</v>
      </c>
      <c r="AL5" s="514">
        <f>[2]tanks!AL35</f>
        <v>153</v>
      </c>
      <c r="AM5" s="514">
        <f>[2]tanks!AM35</f>
        <v>1530</v>
      </c>
      <c r="AN5" s="488">
        <f>[2]tanks!AN35</f>
        <v>0.54642857142857137</v>
      </c>
      <c r="AO5" s="514">
        <f>[2]tanks!AO35</f>
        <v>10710</v>
      </c>
      <c r="AP5" s="514"/>
      <c r="AQ5" s="488">
        <f>[2]tanks!$AQ$35</f>
        <v>0.48687644644300798</v>
      </c>
      <c r="AR5" s="597">
        <f>[2]tanks!AR35</f>
        <v>45264.903225806454</v>
      </c>
      <c r="AS5" s="597">
        <f>[2]tanks!AS35</f>
        <v>-2383.4193548387047</v>
      </c>
      <c r="AT5" s="597">
        <f>[2]tanks!AT35</f>
        <v>0</v>
      </c>
      <c r="AU5" s="597">
        <f>[2]tanks!AU35</f>
        <v>0</v>
      </c>
      <c r="AV5" s="597">
        <f>[2]tanks!AV35</f>
        <v>0.60499999999999998</v>
      </c>
      <c r="AW5" s="597">
        <f>[2]tanks!AW35</f>
        <v>-57</v>
      </c>
      <c r="AX5" s="597">
        <f>[2]tanks!AX35</f>
        <v>-2326.4193548387047</v>
      </c>
      <c r="AY5" s="597">
        <f>[2]tanks!AY35</f>
        <v>-2383.4193548387047</v>
      </c>
      <c r="AZ5" s="488">
        <f>[2]tanks!AZ35</f>
        <v>0</v>
      </c>
      <c r="BA5" s="597">
        <f>[2]tanks!BA35</f>
        <v>26</v>
      </c>
      <c r="BB5" s="488">
        <f>[2]tanks!BB35</f>
        <v>0.65</v>
      </c>
      <c r="BC5" s="597">
        <f>[2]tanks!BC35</f>
        <v>0</v>
      </c>
      <c r="BD5" s="597">
        <f>[2]tanks!BD35</f>
        <v>0</v>
      </c>
      <c r="BE5" s="597">
        <f>[2]tanks!BE35</f>
        <v>0</v>
      </c>
      <c r="BF5" s="597">
        <f>[2]tanks!BF35</f>
        <v>0</v>
      </c>
      <c r="BG5" s="597">
        <f>[2]tanks!BG35</f>
        <v>0</v>
      </c>
      <c r="BH5" s="514">
        <f>[5]tanks!BH36</f>
        <v>0</v>
      </c>
      <c r="BI5" s="203"/>
    </row>
    <row r="6" spans="1:63">
      <c r="A6" s="435">
        <f>ELEC!C4</f>
        <v>44470</v>
      </c>
      <c r="B6" s="514">
        <f>'B5'!B5</f>
        <v>146</v>
      </c>
      <c r="C6" s="203">
        <f>B6*$B$4</f>
        <v>3141.3548387096776</v>
      </c>
      <c r="D6">
        <f>SUM(B6)</f>
        <v>146</v>
      </c>
      <c r="E6" s="203">
        <f>D6*$B$4</f>
        <v>3141.3548387096776</v>
      </c>
      <c r="F6">
        <f>SUM(D6)</f>
        <v>146</v>
      </c>
      <c r="G6" s="203">
        <f t="shared" ref="G6:G33" si="1">F6*$B$4</f>
        <v>3141.3548387096776</v>
      </c>
      <c r="H6" s="203">
        <f>SUM(F6)</f>
        <v>146</v>
      </c>
      <c r="I6" s="203">
        <f t="shared" ref="I6:I33" si="2">H6*$B$4</f>
        <v>3141.3548387096776</v>
      </c>
      <c r="J6" s="203">
        <f>SUM(H6)</f>
        <v>146</v>
      </c>
      <c r="K6" s="203">
        <f t="shared" ref="K6:K33" si="3">J6*$B$4</f>
        <v>3141.3548387096776</v>
      </c>
      <c r="L6" s="203">
        <f>SUM(J6)</f>
        <v>146</v>
      </c>
      <c r="M6" s="203">
        <f t="shared" ref="M6:M33" si="4">L6*$B$4</f>
        <v>3141.3548387096776</v>
      </c>
      <c r="N6" s="203">
        <f>SUM(L6)</f>
        <v>146</v>
      </c>
      <c r="O6" s="203">
        <f t="shared" ref="O6:O33" si="5">N6*$B$4</f>
        <v>3141.3548387096776</v>
      </c>
      <c r="P6" s="203">
        <f>SUM(N6)</f>
        <v>146</v>
      </c>
      <c r="Q6" s="203">
        <f t="shared" ref="Q6:Q33" si="6">P6*$B$4</f>
        <v>3141.3548387096776</v>
      </c>
      <c r="R6" s="203">
        <f>SUM(P6)</f>
        <v>146</v>
      </c>
      <c r="S6" s="203">
        <f t="shared" ref="S6:S33" si="7">R6*$B$4</f>
        <v>3141.3548387096776</v>
      </c>
      <c r="T6" s="203">
        <f>SUM(R6)</f>
        <v>146</v>
      </c>
      <c r="U6" s="203">
        <f t="shared" ref="U6:U33" si="8">T6*$B$4</f>
        <v>3141.3548387096776</v>
      </c>
      <c r="V6" s="203">
        <f>SUM(T6)</f>
        <v>146</v>
      </c>
      <c r="W6" s="203">
        <f t="shared" ref="W6:W33" si="9">V6*$B$4</f>
        <v>3141.3548387096776</v>
      </c>
      <c r="X6" s="35">
        <f t="shared" ref="X6:X29" si="10">SUM(Y6/73370)</f>
        <v>0.47096774193548391</v>
      </c>
      <c r="Y6" s="36">
        <f>SUM(C6+E6+G6+I6+K6+M6+O6+Q6+S6+U6+W6)</f>
        <v>34554.903225806454</v>
      </c>
      <c r="Z6" s="203">
        <f>'B5'!C5</f>
        <v>153</v>
      </c>
      <c r="AA6" s="203">
        <f>SUM(Z6*$Z$4)</f>
        <v>1530</v>
      </c>
      <c r="AB6" s="203">
        <f>SUM(Z6)</f>
        <v>153</v>
      </c>
      <c r="AC6" s="203">
        <f>SUM(AB6*$Z$4)</f>
        <v>1530</v>
      </c>
      <c r="AD6" s="203">
        <f>SUM(AB6)</f>
        <v>153</v>
      </c>
      <c r="AE6" s="203">
        <f t="shared" ref="AE6:AE33" si="11">SUM(AD6*$Z$4)</f>
        <v>1530</v>
      </c>
      <c r="AF6" s="203">
        <f>SUM(AD6)</f>
        <v>153</v>
      </c>
      <c r="AG6" s="203">
        <f t="shared" ref="AG6:AG33" si="12">SUM(AF6*$Z$4)</f>
        <v>1530</v>
      </c>
      <c r="AH6" s="203">
        <f>SUM(AF6)</f>
        <v>153</v>
      </c>
      <c r="AI6" s="203">
        <f t="shared" ref="AI6:AI33" si="13">SUM(AH6*$Z$4)</f>
        <v>1530</v>
      </c>
      <c r="AJ6" s="203">
        <f>SUM(AH6)</f>
        <v>153</v>
      </c>
      <c r="AK6" s="203">
        <f t="shared" ref="AK6:AK33" si="14">SUM(AJ6*$Z$4)</f>
        <v>1530</v>
      </c>
      <c r="AL6" s="203">
        <f>SUM(AJ6)</f>
        <v>153</v>
      </c>
      <c r="AM6" s="203">
        <f t="shared" ref="AM6:AM33" si="15">SUM(AL6*$Z$4)</f>
        <v>1530</v>
      </c>
      <c r="AN6" s="35">
        <f t="shared" ref="AN6:AN29" si="16">SUM(AO6/19600)</f>
        <v>0.54642857142857137</v>
      </c>
      <c r="AO6" s="36">
        <f t="shared" ref="AO6:AO29" si="17">SUM(AA6+AC6+AE6+AG6+AI6+AK6+AM6)</f>
        <v>10710</v>
      </c>
      <c r="AQ6" s="223">
        <f>SUM(AR6/92970)</f>
        <v>0.48687644644300798</v>
      </c>
      <c r="AR6" s="38">
        <f t="shared" ref="AR6" si="18">Y6+AO6</f>
        <v>45264.903225806454</v>
      </c>
      <c r="AS6" s="197">
        <f>SUM(AR6-AR5-AT6)</f>
        <v>-5000</v>
      </c>
      <c r="AT6" s="348">
        <v>5000</v>
      </c>
      <c r="AU6" s="570">
        <v>0.61499999999999999</v>
      </c>
      <c r="AV6" s="500">
        <f>IF(AT6&gt;0,AU6,AV5)</f>
        <v>0.61499999999999999</v>
      </c>
      <c r="AW6" s="285">
        <f>-SUM('B5'!AI5)</f>
        <v>0</v>
      </c>
      <c r="AX6" s="285">
        <f t="shared" ref="AX6:AX35" si="19">-SUM(AW6-AS6)</f>
        <v>-5000</v>
      </c>
      <c r="AY6" s="37">
        <f>SUM(AX6+AW6)</f>
        <v>-5000</v>
      </c>
      <c r="AZ6" s="100">
        <f>ELEC!A4</f>
        <v>0</v>
      </c>
      <c r="BA6" s="118">
        <f>'General information '!D5</f>
        <v>0</v>
      </c>
      <c r="BB6" s="275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-416.66666666666669</v>
      </c>
      <c r="BK6" s="558" t="e">
        <f>GEN!AF3</f>
        <v>#DIV/0!</v>
      </c>
    </row>
    <row r="7" spans="1:63">
      <c r="A7" s="435">
        <f>ELEC!C5</f>
        <v>44471</v>
      </c>
      <c r="B7">
        <f>'B5'!B6</f>
        <v>146</v>
      </c>
      <c r="C7" s="203">
        <f t="shared" ref="C7:E33" si="20">B7*$B$4</f>
        <v>3141.3548387096776</v>
      </c>
      <c r="D7">
        <f t="shared" ref="D7:D29" si="21">SUM(B7)</f>
        <v>146</v>
      </c>
      <c r="E7" s="203">
        <f t="shared" si="20"/>
        <v>3141.3548387096776</v>
      </c>
      <c r="F7">
        <f t="shared" ref="F7:F29" si="22">SUM(D7)</f>
        <v>146</v>
      </c>
      <c r="G7" s="203">
        <f t="shared" si="1"/>
        <v>3141.3548387096776</v>
      </c>
      <c r="H7" s="203">
        <f t="shared" ref="H7:H29" si="23">SUM(F7)</f>
        <v>146</v>
      </c>
      <c r="I7" s="203">
        <f t="shared" si="2"/>
        <v>3141.3548387096776</v>
      </c>
      <c r="J7" s="203">
        <f t="shared" ref="J7:J29" si="24">SUM(H7)</f>
        <v>146</v>
      </c>
      <c r="K7" s="203">
        <f t="shared" si="3"/>
        <v>3141.3548387096776</v>
      </c>
      <c r="L7" s="203">
        <f t="shared" ref="L7:L29" si="25">SUM(J7)</f>
        <v>146</v>
      </c>
      <c r="M7" s="203">
        <f t="shared" si="4"/>
        <v>3141.3548387096776</v>
      </c>
      <c r="N7" s="203">
        <f t="shared" ref="N7:N29" si="26">SUM(L7)</f>
        <v>146</v>
      </c>
      <c r="O7" s="203">
        <f t="shared" si="5"/>
        <v>3141.3548387096776</v>
      </c>
      <c r="P7" s="203">
        <f t="shared" ref="P7:P29" si="27">SUM(N7)</f>
        <v>146</v>
      </c>
      <c r="Q7" s="203">
        <f t="shared" si="6"/>
        <v>3141.3548387096776</v>
      </c>
      <c r="R7" s="203">
        <f t="shared" ref="R7:R29" si="28">SUM(P7)</f>
        <v>146</v>
      </c>
      <c r="S7" s="203">
        <f t="shared" si="7"/>
        <v>3141.3548387096776</v>
      </c>
      <c r="T7" s="203">
        <f t="shared" ref="T7:T29" si="29">SUM(R7)</f>
        <v>146</v>
      </c>
      <c r="U7" s="203">
        <f t="shared" si="8"/>
        <v>3141.3548387096776</v>
      </c>
      <c r="V7" s="203">
        <f t="shared" ref="V7:V29" si="30">SUM(T7)</f>
        <v>146</v>
      </c>
      <c r="W7" s="203">
        <f t="shared" si="9"/>
        <v>3141.3548387096776</v>
      </c>
      <c r="X7" s="35">
        <f t="shared" si="10"/>
        <v>0.47096774193548391</v>
      </c>
      <c r="Y7" s="36">
        <f t="shared" ref="Y7:Y29" si="31">SUM(C7+E7+G7+I7+K7+M7+O7+Q7+S7+U7+W7)</f>
        <v>34554.903225806454</v>
      </c>
      <c r="Z7" s="203">
        <f>'B5'!C6</f>
        <v>153</v>
      </c>
      <c r="AA7" s="203">
        <f t="shared" ref="AA7:AC33" si="32">SUM(Z7*$Z$4)</f>
        <v>1530</v>
      </c>
      <c r="AB7" s="203">
        <f t="shared" ref="AB7:AB29" si="33">SUM(Z7)</f>
        <v>153</v>
      </c>
      <c r="AC7" s="203">
        <f t="shared" si="32"/>
        <v>1530</v>
      </c>
      <c r="AD7" s="203">
        <f t="shared" ref="AD7:AD29" si="34">SUM(AB7)</f>
        <v>153</v>
      </c>
      <c r="AE7" s="203">
        <f t="shared" si="11"/>
        <v>1530</v>
      </c>
      <c r="AF7" s="203">
        <f t="shared" ref="AF7:AF29" si="35">SUM(AD7)</f>
        <v>153</v>
      </c>
      <c r="AG7" s="203">
        <f t="shared" si="12"/>
        <v>1530</v>
      </c>
      <c r="AH7" s="203">
        <f t="shared" ref="AH7:AH29" si="36">SUM(AF7)</f>
        <v>153</v>
      </c>
      <c r="AI7" s="203">
        <f t="shared" si="13"/>
        <v>1530</v>
      </c>
      <c r="AJ7" s="203">
        <f t="shared" ref="AJ7:AJ29" si="37">SUM(AH7)</f>
        <v>153</v>
      </c>
      <c r="AK7" s="203">
        <f t="shared" si="14"/>
        <v>1530</v>
      </c>
      <c r="AL7" s="203">
        <f t="shared" ref="AL7:AL29" si="38">SUM(AJ7)</f>
        <v>153</v>
      </c>
      <c r="AM7" s="203">
        <f t="shared" si="15"/>
        <v>1530</v>
      </c>
      <c r="AN7" s="35">
        <f t="shared" si="16"/>
        <v>0.54642857142857137</v>
      </c>
      <c r="AO7" s="36">
        <f>SUM(AA7+AC7+AE7+AG7+AI7+AK7+AM7)</f>
        <v>10710</v>
      </c>
      <c r="AQ7" s="223">
        <f t="shared" ref="AQ7:AQ33" si="39">SUM(AR7/92970)</f>
        <v>0.48687644644300798</v>
      </c>
      <c r="AR7" s="38">
        <f>Y7+AO7</f>
        <v>45264.903225806454</v>
      </c>
      <c r="AS7" s="197">
        <f>SUM(AR7-AR6-AT7)</f>
        <v>0</v>
      </c>
      <c r="AT7" s="348"/>
      <c r="AU7" s="570"/>
      <c r="AV7" s="500">
        <f>IF(AT7&gt;0,AU7,AV6)</f>
        <v>0.61499999999999999</v>
      </c>
      <c r="AW7" s="285">
        <f>-SUM('B5'!AI6)</f>
        <v>0</v>
      </c>
      <c r="AX7" s="285">
        <f t="shared" si="19"/>
        <v>0</v>
      </c>
      <c r="AY7" s="37">
        <f t="shared" ref="AY7:AY33" si="40">SUM(AX7+AW7)</f>
        <v>0</v>
      </c>
      <c r="AZ7" s="100">
        <f>ELEC!A5</f>
        <v>0</v>
      </c>
      <c r="BA7" s="118">
        <f>'General information '!D6</f>
        <v>0</v>
      </c>
      <c r="BB7" s="386">
        <f>SUM('General information '!E6)</f>
        <v>0</v>
      </c>
      <c r="BC7" s="3">
        <v>0</v>
      </c>
      <c r="BD7" s="102">
        <v>19222</v>
      </c>
      <c r="BE7" s="14">
        <f>(305/1185)*ELEC!Q6</f>
        <v>1702.8523206746338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58" t="e">
        <f>GEN!AF4</f>
        <v>#DIV/0!</v>
      </c>
    </row>
    <row r="8" spans="1:63">
      <c r="A8" s="435">
        <f>ELEC!C6</f>
        <v>44472</v>
      </c>
      <c r="B8">
        <f>'B5'!B7</f>
        <v>157</v>
      </c>
      <c r="C8" s="203">
        <f t="shared" si="20"/>
        <v>3378.0322580645161</v>
      </c>
      <c r="D8">
        <f t="shared" si="21"/>
        <v>157</v>
      </c>
      <c r="E8" s="203">
        <f t="shared" si="20"/>
        <v>3378.0322580645161</v>
      </c>
      <c r="F8">
        <f t="shared" si="22"/>
        <v>157</v>
      </c>
      <c r="G8" s="203">
        <f t="shared" si="1"/>
        <v>3378.0322580645161</v>
      </c>
      <c r="H8" s="203">
        <f t="shared" si="23"/>
        <v>157</v>
      </c>
      <c r="I8" s="203">
        <f t="shared" si="2"/>
        <v>3378.0322580645161</v>
      </c>
      <c r="J8" s="203">
        <f t="shared" si="24"/>
        <v>157</v>
      </c>
      <c r="K8" s="203">
        <f t="shared" si="3"/>
        <v>3378.0322580645161</v>
      </c>
      <c r="L8" s="203">
        <f t="shared" si="25"/>
        <v>157</v>
      </c>
      <c r="M8" s="203">
        <f t="shared" si="4"/>
        <v>3378.0322580645161</v>
      </c>
      <c r="N8" s="203">
        <f t="shared" si="26"/>
        <v>157</v>
      </c>
      <c r="O8" s="203">
        <f t="shared" si="5"/>
        <v>3378.0322580645161</v>
      </c>
      <c r="P8" s="203">
        <f t="shared" si="27"/>
        <v>157</v>
      </c>
      <c r="Q8" s="203">
        <f t="shared" si="6"/>
        <v>3378.0322580645161</v>
      </c>
      <c r="R8" s="203">
        <f t="shared" si="28"/>
        <v>157</v>
      </c>
      <c r="S8" s="203">
        <f t="shared" si="7"/>
        <v>3378.0322580645161</v>
      </c>
      <c r="T8" s="203">
        <f t="shared" si="29"/>
        <v>157</v>
      </c>
      <c r="U8" s="203">
        <f t="shared" si="8"/>
        <v>3378.0322580645161</v>
      </c>
      <c r="V8" s="203">
        <f t="shared" si="30"/>
        <v>157</v>
      </c>
      <c r="W8" s="203">
        <f t="shared" si="9"/>
        <v>3378.0322580645161</v>
      </c>
      <c r="X8" s="35">
        <f t="shared" si="10"/>
        <v>0.50645161290322571</v>
      </c>
      <c r="Y8" s="36">
        <f t="shared" si="31"/>
        <v>37158.354838709674</v>
      </c>
      <c r="Z8" s="203">
        <f>'B5'!C7</f>
        <v>164</v>
      </c>
      <c r="AA8" s="203">
        <f t="shared" si="32"/>
        <v>1640</v>
      </c>
      <c r="AB8" s="203">
        <f t="shared" si="33"/>
        <v>164</v>
      </c>
      <c r="AC8" s="203">
        <f t="shared" si="32"/>
        <v>1640</v>
      </c>
      <c r="AD8" s="203">
        <f t="shared" si="34"/>
        <v>164</v>
      </c>
      <c r="AE8" s="203">
        <f t="shared" si="11"/>
        <v>1640</v>
      </c>
      <c r="AF8" s="203">
        <f t="shared" si="35"/>
        <v>164</v>
      </c>
      <c r="AG8" s="203">
        <f t="shared" si="12"/>
        <v>1640</v>
      </c>
      <c r="AH8" s="203">
        <f t="shared" si="36"/>
        <v>164</v>
      </c>
      <c r="AI8" s="203">
        <f t="shared" si="13"/>
        <v>1640</v>
      </c>
      <c r="AJ8" s="203">
        <f t="shared" si="37"/>
        <v>164</v>
      </c>
      <c r="AK8" s="203">
        <f t="shared" si="14"/>
        <v>1640</v>
      </c>
      <c r="AL8" s="203">
        <f t="shared" si="38"/>
        <v>164</v>
      </c>
      <c r="AM8" s="203">
        <f t="shared" si="15"/>
        <v>1640</v>
      </c>
      <c r="AN8" s="35">
        <f t="shared" si="16"/>
        <v>0.58571428571428574</v>
      </c>
      <c r="AO8" s="36">
        <f t="shared" si="17"/>
        <v>11480</v>
      </c>
      <c r="AQ8" s="223">
        <f t="shared" si="39"/>
        <v>0.52316182466074723</v>
      </c>
      <c r="AR8" s="38">
        <f>Y8+AO8</f>
        <v>48638.354838709674</v>
      </c>
      <c r="AS8" s="197">
        <f t="shared" ref="AS8:AS17" si="42">SUM(AR8-AR7-AT8)</f>
        <v>3373.4516129032199</v>
      </c>
      <c r="AT8" s="348"/>
      <c r="AU8" s="570"/>
      <c r="AV8" s="500">
        <f t="shared" ref="AV8:AV31" si="43">IF(AT8&gt;0,AU8,AV7)</f>
        <v>0.61499999999999999</v>
      </c>
      <c r="AW8" s="285">
        <f>-SUM('B5'!AI7)</f>
        <v>-81</v>
      </c>
      <c r="AX8" s="285">
        <f t="shared" si="19"/>
        <v>3454.4516129032199</v>
      </c>
      <c r="AY8" s="37">
        <f t="shared" si="40"/>
        <v>3373.4516129032199</v>
      </c>
      <c r="AZ8" s="100">
        <f>ELEC!A6</f>
        <v>0</v>
      </c>
      <c r="BA8" s="118">
        <f>'General information '!D7</f>
        <v>26</v>
      </c>
      <c r="BB8" s="386">
        <f>SUM('General information '!E7)</f>
        <v>0.63</v>
      </c>
      <c r="BC8" s="3">
        <f t="shared" ref="BC8:BC33" si="44">IF(AR7&gt;=AR8,0,1)</f>
        <v>1</v>
      </c>
      <c r="BD8" s="102">
        <v>19222</v>
      </c>
      <c r="BE8" s="14">
        <f>(305/1185)*ELEC!Q7</f>
        <v>900.32911392394578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383.82795698924667</v>
      </c>
      <c r="BK8" s="558">
        <f>GEN!AF5</f>
        <v>0.45944444444431709</v>
      </c>
    </row>
    <row r="9" spans="1:63">
      <c r="A9" s="435">
        <f>ELEC!C7</f>
        <v>44473</v>
      </c>
      <c r="B9">
        <f>'B5'!B8</f>
        <v>154</v>
      </c>
      <c r="C9" s="203">
        <f t="shared" si="20"/>
        <v>3313.483870967742</v>
      </c>
      <c r="D9">
        <f t="shared" si="21"/>
        <v>154</v>
      </c>
      <c r="E9" s="203">
        <f t="shared" si="20"/>
        <v>3313.483870967742</v>
      </c>
      <c r="F9">
        <f t="shared" si="22"/>
        <v>154</v>
      </c>
      <c r="G9" s="203">
        <f t="shared" si="1"/>
        <v>3313.483870967742</v>
      </c>
      <c r="H9" s="203">
        <f t="shared" si="23"/>
        <v>154</v>
      </c>
      <c r="I9" s="203">
        <f t="shared" si="2"/>
        <v>3313.483870967742</v>
      </c>
      <c r="J9" s="203">
        <f t="shared" si="24"/>
        <v>154</v>
      </c>
      <c r="K9" s="203">
        <f t="shared" si="3"/>
        <v>3313.483870967742</v>
      </c>
      <c r="L9" s="203">
        <f t="shared" si="25"/>
        <v>154</v>
      </c>
      <c r="M9" s="203">
        <f t="shared" si="4"/>
        <v>3313.483870967742</v>
      </c>
      <c r="N9" s="203">
        <f t="shared" si="26"/>
        <v>154</v>
      </c>
      <c r="O9" s="203">
        <f t="shared" si="5"/>
        <v>3313.483870967742</v>
      </c>
      <c r="P9" s="203">
        <f t="shared" si="27"/>
        <v>154</v>
      </c>
      <c r="Q9" s="203">
        <f t="shared" si="6"/>
        <v>3313.483870967742</v>
      </c>
      <c r="R9" s="203">
        <f t="shared" si="28"/>
        <v>154</v>
      </c>
      <c r="S9" s="203">
        <f t="shared" si="7"/>
        <v>3313.483870967742</v>
      </c>
      <c r="T9" s="203">
        <f t="shared" si="29"/>
        <v>154</v>
      </c>
      <c r="U9" s="203">
        <f t="shared" si="8"/>
        <v>3313.483870967742</v>
      </c>
      <c r="V9" s="203">
        <f t="shared" si="30"/>
        <v>154</v>
      </c>
      <c r="W9" s="203">
        <f t="shared" si="9"/>
        <v>3313.483870967742</v>
      </c>
      <c r="X9" s="35">
        <f t="shared" si="10"/>
        <v>0.49677419354838709</v>
      </c>
      <c r="Y9" s="36">
        <f t="shared" si="31"/>
        <v>36448.322580645159</v>
      </c>
      <c r="Z9" s="203">
        <f>'B5'!C8</f>
        <v>160</v>
      </c>
      <c r="AA9" s="203">
        <f t="shared" si="32"/>
        <v>1600</v>
      </c>
      <c r="AB9" s="203">
        <f t="shared" si="33"/>
        <v>160</v>
      </c>
      <c r="AC9" s="203">
        <f t="shared" si="32"/>
        <v>1600</v>
      </c>
      <c r="AD9" s="203">
        <f t="shared" si="34"/>
        <v>160</v>
      </c>
      <c r="AE9" s="203">
        <f t="shared" si="11"/>
        <v>1600</v>
      </c>
      <c r="AF9" s="203">
        <f t="shared" si="35"/>
        <v>160</v>
      </c>
      <c r="AG9" s="203">
        <f t="shared" si="12"/>
        <v>1600</v>
      </c>
      <c r="AH9" s="203">
        <f t="shared" si="36"/>
        <v>160</v>
      </c>
      <c r="AI9" s="203">
        <f t="shared" si="13"/>
        <v>1600</v>
      </c>
      <c r="AJ9" s="203">
        <f t="shared" si="37"/>
        <v>160</v>
      </c>
      <c r="AK9" s="203">
        <f t="shared" si="14"/>
        <v>1600</v>
      </c>
      <c r="AL9" s="203">
        <f t="shared" si="38"/>
        <v>160</v>
      </c>
      <c r="AM9" s="203">
        <f t="shared" si="15"/>
        <v>1600</v>
      </c>
      <c r="AN9" s="35">
        <f t="shared" si="16"/>
        <v>0.5714285714285714</v>
      </c>
      <c r="AO9" s="36">
        <f>SUM(AA9+AC9+AE9+AG9+AI9+AK9+AM9)</f>
        <v>11200</v>
      </c>
      <c r="AQ9" s="223">
        <f t="shared" si="39"/>
        <v>0.51251288136651785</v>
      </c>
      <c r="AR9" s="38">
        <f t="shared" ref="AR9:AR36" si="45">Y9+AO9</f>
        <v>47648.322580645159</v>
      </c>
      <c r="AS9" s="197">
        <f t="shared" si="42"/>
        <v>-990.03225806451519</v>
      </c>
      <c r="AT9" s="348"/>
      <c r="AU9" s="570"/>
      <c r="AV9" s="500">
        <f t="shared" si="43"/>
        <v>0.61499999999999999</v>
      </c>
      <c r="AW9" s="285">
        <f>-SUM('B5'!AI8)</f>
        <v>0</v>
      </c>
      <c r="AX9" s="285">
        <f t="shared" si="19"/>
        <v>-990.03225806451519</v>
      </c>
      <c r="AY9" s="37">
        <f t="shared" si="40"/>
        <v>-990.03225806451519</v>
      </c>
      <c r="AZ9" s="100">
        <f>ELEC!A7</f>
        <v>0</v>
      </c>
      <c r="BA9" s="118">
        <f>'General information '!D8</f>
        <v>25.5</v>
      </c>
      <c r="BB9" s="386">
        <f>SUM('General information '!E8)</f>
        <v>0.6</v>
      </c>
      <c r="BC9" s="3">
        <f t="shared" si="44"/>
        <v>0</v>
      </c>
      <c r="BD9" s="102">
        <v>19222</v>
      </c>
      <c r="BE9" s="14">
        <f>(305/1185)*ELEC!Q8</f>
        <v>1576.219409282648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-165.00537634408587</v>
      </c>
      <c r="BK9" s="558">
        <f>GEN!AF6</f>
        <v>0.36437499999995759</v>
      </c>
    </row>
    <row r="10" spans="1:63">
      <c r="A10" s="435">
        <f>ELEC!C8</f>
        <v>44474</v>
      </c>
      <c r="B10">
        <f>'B5'!B9</f>
        <v>146</v>
      </c>
      <c r="C10" s="203">
        <f t="shared" si="20"/>
        <v>3141.3548387096776</v>
      </c>
      <c r="D10">
        <f t="shared" si="21"/>
        <v>146</v>
      </c>
      <c r="E10" s="203">
        <f t="shared" si="20"/>
        <v>3141.3548387096776</v>
      </c>
      <c r="F10">
        <f t="shared" si="22"/>
        <v>146</v>
      </c>
      <c r="G10" s="203">
        <f t="shared" si="1"/>
        <v>3141.3548387096776</v>
      </c>
      <c r="H10" s="203">
        <f t="shared" si="23"/>
        <v>146</v>
      </c>
      <c r="I10" s="203">
        <f t="shared" si="2"/>
        <v>3141.3548387096776</v>
      </c>
      <c r="J10" s="203">
        <f t="shared" si="24"/>
        <v>146</v>
      </c>
      <c r="K10" s="203">
        <f t="shared" si="3"/>
        <v>3141.3548387096776</v>
      </c>
      <c r="L10" s="203">
        <f t="shared" si="25"/>
        <v>146</v>
      </c>
      <c r="M10" s="203">
        <f t="shared" si="4"/>
        <v>3141.3548387096776</v>
      </c>
      <c r="N10" s="203">
        <f t="shared" si="26"/>
        <v>146</v>
      </c>
      <c r="O10" s="203">
        <f t="shared" si="5"/>
        <v>3141.3548387096776</v>
      </c>
      <c r="P10" s="203">
        <f t="shared" si="27"/>
        <v>146</v>
      </c>
      <c r="Q10" s="203">
        <f t="shared" si="6"/>
        <v>3141.3548387096776</v>
      </c>
      <c r="R10" s="203">
        <f t="shared" si="28"/>
        <v>146</v>
      </c>
      <c r="S10" s="203">
        <f t="shared" si="7"/>
        <v>3141.3548387096776</v>
      </c>
      <c r="T10" s="203">
        <f t="shared" si="29"/>
        <v>146</v>
      </c>
      <c r="U10" s="203">
        <f t="shared" si="8"/>
        <v>3141.3548387096776</v>
      </c>
      <c r="V10" s="203">
        <f t="shared" si="30"/>
        <v>146</v>
      </c>
      <c r="W10" s="203">
        <f t="shared" si="9"/>
        <v>3141.3548387096776</v>
      </c>
      <c r="X10" s="35">
        <f t="shared" si="10"/>
        <v>0.47096774193548391</v>
      </c>
      <c r="Y10" s="36">
        <f t="shared" si="31"/>
        <v>34554.903225806454</v>
      </c>
      <c r="Z10" s="203">
        <f>'B5'!C9</f>
        <v>153</v>
      </c>
      <c r="AA10" s="203">
        <f t="shared" si="32"/>
        <v>1530</v>
      </c>
      <c r="AB10" s="203">
        <f t="shared" si="33"/>
        <v>153</v>
      </c>
      <c r="AC10" s="203">
        <f t="shared" si="32"/>
        <v>1530</v>
      </c>
      <c r="AD10" s="203">
        <f t="shared" si="34"/>
        <v>153</v>
      </c>
      <c r="AE10" s="203">
        <f t="shared" si="11"/>
        <v>1530</v>
      </c>
      <c r="AF10" s="203">
        <f t="shared" si="35"/>
        <v>153</v>
      </c>
      <c r="AG10" s="203">
        <f t="shared" si="12"/>
        <v>1530</v>
      </c>
      <c r="AH10" s="203">
        <f t="shared" si="36"/>
        <v>153</v>
      </c>
      <c r="AI10" s="203">
        <f t="shared" si="13"/>
        <v>1530</v>
      </c>
      <c r="AJ10" s="203">
        <f t="shared" si="37"/>
        <v>153</v>
      </c>
      <c r="AK10" s="203">
        <f t="shared" si="14"/>
        <v>1530</v>
      </c>
      <c r="AL10" s="203">
        <f t="shared" si="38"/>
        <v>153</v>
      </c>
      <c r="AM10" s="203">
        <f t="shared" si="15"/>
        <v>1530</v>
      </c>
      <c r="AN10" s="35">
        <f t="shared" si="16"/>
        <v>0.54642857142857137</v>
      </c>
      <c r="AO10" s="36">
        <f t="shared" si="17"/>
        <v>10710</v>
      </c>
      <c r="AQ10" s="223">
        <f t="shared" si="39"/>
        <v>0.48687644644300798</v>
      </c>
      <c r="AR10" s="38">
        <f t="shared" si="45"/>
        <v>45264.903225806454</v>
      </c>
      <c r="AS10" s="197">
        <f t="shared" si="42"/>
        <v>-2383.4193548387047</v>
      </c>
      <c r="AT10" s="348"/>
      <c r="AU10" s="570"/>
      <c r="AV10" s="500">
        <f>IF(AT10&gt;0,AU10,AV9)</f>
        <v>0.61499999999999999</v>
      </c>
      <c r="AW10" s="285">
        <f>-SUM('B5'!AI9)</f>
        <v>-106</v>
      </c>
      <c r="AX10" s="285">
        <f t="shared" si="19"/>
        <v>-2277.4193548387047</v>
      </c>
      <c r="AY10" s="37">
        <f t="shared" si="40"/>
        <v>-2383.4193548387047</v>
      </c>
      <c r="AZ10" s="100">
        <f>ELEC!A8</f>
        <v>0</v>
      </c>
      <c r="BA10" s="118">
        <f>'General information '!D9</f>
        <v>25.5</v>
      </c>
      <c r="BB10" s="386">
        <f>SUM('General information '!E9)</f>
        <v>0.49</v>
      </c>
      <c r="BC10" s="3">
        <f t="shared" si="44"/>
        <v>0</v>
      </c>
      <c r="BD10" s="102">
        <v>19222</v>
      </c>
      <c r="BE10" s="14">
        <f>(305/1185)*ELEC!Q9</f>
        <v>1963.3248945149253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-325.34562211981495</v>
      </c>
      <c r="BK10" s="558">
        <f>GEN!AF7</f>
        <v>0.38274999999998727</v>
      </c>
    </row>
    <row r="11" spans="1:63">
      <c r="A11" s="435">
        <f>ELEC!C9</f>
        <v>44475</v>
      </c>
      <c r="B11">
        <f>'B5'!B10</f>
        <v>138</v>
      </c>
      <c r="C11" s="203">
        <f t="shared" si="20"/>
        <v>2969.2258064516127</v>
      </c>
      <c r="D11">
        <f>SUM(B11)</f>
        <v>138</v>
      </c>
      <c r="E11" s="203">
        <f t="shared" si="20"/>
        <v>2969.2258064516127</v>
      </c>
      <c r="F11">
        <f>SUM(D11)</f>
        <v>138</v>
      </c>
      <c r="G11" s="203">
        <f t="shared" si="1"/>
        <v>2969.2258064516127</v>
      </c>
      <c r="H11" s="203">
        <f>SUM(F11)</f>
        <v>138</v>
      </c>
      <c r="I11" s="203">
        <f t="shared" si="2"/>
        <v>2969.2258064516127</v>
      </c>
      <c r="J11" s="203">
        <f>SUM(H11)</f>
        <v>138</v>
      </c>
      <c r="K11" s="203">
        <f t="shared" si="3"/>
        <v>2969.2258064516127</v>
      </c>
      <c r="L11" s="203">
        <f>SUM(J11)</f>
        <v>138</v>
      </c>
      <c r="M11" s="203">
        <f t="shared" si="4"/>
        <v>2969.2258064516127</v>
      </c>
      <c r="N11" s="203">
        <f>SUM(L11)</f>
        <v>138</v>
      </c>
      <c r="O11" s="203">
        <f t="shared" si="5"/>
        <v>2969.2258064516127</v>
      </c>
      <c r="P11" s="203">
        <f>SUM(N11)</f>
        <v>138</v>
      </c>
      <c r="Q11" s="203">
        <f t="shared" si="6"/>
        <v>2969.2258064516127</v>
      </c>
      <c r="R11" s="203">
        <f>SUM(P11)</f>
        <v>138</v>
      </c>
      <c r="S11" s="203">
        <f t="shared" si="7"/>
        <v>2969.2258064516127</v>
      </c>
      <c r="T11" s="203">
        <f>SUM(R11)</f>
        <v>138</v>
      </c>
      <c r="U11" s="203">
        <f t="shared" si="8"/>
        <v>2969.2258064516127</v>
      </c>
      <c r="V11" s="203">
        <f>SUM(T11)</f>
        <v>138</v>
      </c>
      <c r="W11" s="203">
        <f t="shared" si="9"/>
        <v>2969.2258064516127</v>
      </c>
      <c r="X11" s="35">
        <f>SUM(Y11/73370)</f>
        <v>0.44516129032258073</v>
      </c>
      <c r="Y11" s="36">
        <f>SUM(C11+E11+G11+I11+K11+M11+O11+Q11+S11+U11+W11)</f>
        <v>32661.483870967746</v>
      </c>
      <c r="Z11" s="203">
        <f>'B5'!C10</f>
        <v>145</v>
      </c>
      <c r="AA11" s="203">
        <f t="shared" si="32"/>
        <v>1450</v>
      </c>
      <c r="AB11" s="203">
        <f>SUM(Z11)</f>
        <v>145</v>
      </c>
      <c r="AC11" s="203">
        <f t="shared" si="32"/>
        <v>1450</v>
      </c>
      <c r="AD11" s="203">
        <f>SUM(AB11)</f>
        <v>145</v>
      </c>
      <c r="AE11" s="203">
        <f t="shared" si="11"/>
        <v>1450</v>
      </c>
      <c r="AF11" s="203">
        <f>SUM(AD11)</f>
        <v>145</v>
      </c>
      <c r="AG11" s="203">
        <f t="shared" si="12"/>
        <v>1450</v>
      </c>
      <c r="AH11" s="203">
        <f>SUM(AF11)</f>
        <v>145</v>
      </c>
      <c r="AI11" s="203">
        <f t="shared" si="13"/>
        <v>1450</v>
      </c>
      <c r="AJ11" s="203">
        <f>SUM(AH11)</f>
        <v>145</v>
      </c>
      <c r="AK11" s="203">
        <f t="shared" si="14"/>
        <v>1450</v>
      </c>
      <c r="AL11" s="203">
        <f>SUM(AJ11)</f>
        <v>145</v>
      </c>
      <c r="AM11" s="203">
        <f t="shared" si="15"/>
        <v>1450</v>
      </c>
      <c r="AN11" s="35">
        <f>SUM(AO11/19600)</f>
        <v>0.5178571428571429</v>
      </c>
      <c r="AO11" s="36">
        <f t="shared" si="17"/>
        <v>10150</v>
      </c>
      <c r="AP11" s="542"/>
      <c r="AQ11" s="223">
        <f t="shared" si="39"/>
        <v>0.4604870804664703</v>
      </c>
      <c r="AR11" s="38">
        <f>Y11+AO11</f>
        <v>42811.483870967742</v>
      </c>
      <c r="AS11" s="197">
        <f t="shared" si="42"/>
        <v>-2453.419354838712</v>
      </c>
      <c r="AT11" s="348"/>
      <c r="AU11" s="570"/>
      <c r="AV11" s="500">
        <f>IF(AT11&gt;0,AU11,AV10)</f>
        <v>0.61499999999999999</v>
      </c>
      <c r="AW11" s="285">
        <f>-SUM('B5'!AI10)</f>
        <v>-102</v>
      </c>
      <c r="AX11" s="285">
        <f t="shared" si="19"/>
        <v>-2351.419354838712</v>
      </c>
      <c r="AY11" s="37">
        <f t="shared" si="40"/>
        <v>-2453.419354838712</v>
      </c>
      <c r="AZ11" s="100">
        <f>ELEC!A9</f>
        <v>0</v>
      </c>
      <c r="BA11" s="118">
        <f>'General information '!D10</f>
        <v>25.5</v>
      </c>
      <c r="BB11" s="386">
        <f>SUM('General information '!E10)</f>
        <v>0.46</v>
      </c>
      <c r="BC11" s="3">
        <f t="shared" si="44"/>
        <v>0</v>
      </c>
      <c r="BD11" s="102">
        <v>19222</v>
      </c>
      <c r="BE11" s="14">
        <f>(305/1185)*ELEC!Q10</f>
        <v>1403.514767932834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-252.84079084289203</v>
      </c>
      <c r="BK11" s="558">
        <f>GEN!AF8</f>
        <v>0.36673076923079861</v>
      </c>
    </row>
    <row r="12" spans="1:63">
      <c r="A12" s="435">
        <f>ELEC!C10</f>
        <v>44476</v>
      </c>
      <c r="B12">
        <f>'B5'!B11</f>
        <v>131</v>
      </c>
      <c r="C12" s="203">
        <f t="shared" si="20"/>
        <v>2818.6129032258063</v>
      </c>
      <c r="D12">
        <f t="shared" si="21"/>
        <v>131</v>
      </c>
      <c r="E12" s="203">
        <f t="shared" si="20"/>
        <v>2818.6129032258063</v>
      </c>
      <c r="F12">
        <f t="shared" si="22"/>
        <v>131</v>
      </c>
      <c r="G12" s="203">
        <f t="shared" si="1"/>
        <v>2818.6129032258063</v>
      </c>
      <c r="H12" s="203">
        <f t="shared" si="23"/>
        <v>131</v>
      </c>
      <c r="I12" s="203">
        <f t="shared" si="2"/>
        <v>2818.6129032258063</v>
      </c>
      <c r="J12" s="203">
        <f t="shared" si="24"/>
        <v>131</v>
      </c>
      <c r="K12" s="203">
        <f t="shared" si="3"/>
        <v>2818.6129032258063</v>
      </c>
      <c r="L12" s="203">
        <f t="shared" si="25"/>
        <v>131</v>
      </c>
      <c r="M12" s="203">
        <f t="shared" si="4"/>
        <v>2818.6129032258063</v>
      </c>
      <c r="N12" s="203">
        <f t="shared" si="26"/>
        <v>131</v>
      </c>
      <c r="O12" s="203">
        <f t="shared" si="5"/>
        <v>2818.6129032258063</v>
      </c>
      <c r="P12" s="203">
        <f t="shared" si="27"/>
        <v>131</v>
      </c>
      <c r="Q12" s="203">
        <f t="shared" si="6"/>
        <v>2818.6129032258063</v>
      </c>
      <c r="R12" s="203">
        <f t="shared" si="28"/>
        <v>131</v>
      </c>
      <c r="S12" s="203">
        <f t="shared" si="7"/>
        <v>2818.6129032258063</v>
      </c>
      <c r="T12" s="203">
        <f t="shared" si="29"/>
        <v>131</v>
      </c>
      <c r="U12" s="203">
        <f t="shared" si="8"/>
        <v>2818.6129032258063</v>
      </c>
      <c r="V12" s="203">
        <f t="shared" si="30"/>
        <v>131</v>
      </c>
      <c r="W12" s="203">
        <f t="shared" si="9"/>
        <v>2818.6129032258063</v>
      </c>
      <c r="X12" s="35">
        <f t="shared" si="10"/>
        <v>0.42258064516129035</v>
      </c>
      <c r="Y12" s="36">
        <f t="shared" si="31"/>
        <v>31004.741935483871</v>
      </c>
      <c r="Z12" s="203">
        <f>'B5'!C11</f>
        <v>137</v>
      </c>
      <c r="AA12" s="203">
        <f t="shared" si="32"/>
        <v>1370</v>
      </c>
      <c r="AB12" s="203">
        <f t="shared" si="33"/>
        <v>137</v>
      </c>
      <c r="AC12" s="203">
        <f t="shared" si="32"/>
        <v>1370</v>
      </c>
      <c r="AD12" s="203">
        <f t="shared" si="34"/>
        <v>137</v>
      </c>
      <c r="AE12" s="203">
        <f t="shared" si="11"/>
        <v>1370</v>
      </c>
      <c r="AF12" s="203">
        <f t="shared" si="35"/>
        <v>137</v>
      </c>
      <c r="AG12" s="203">
        <f t="shared" si="12"/>
        <v>1370</v>
      </c>
      <c r="AH12" s="203">
        <f t="shared" si="36"/>
        <v>137</v>
      </c>
      <c r="AI12" s="203">
        <f t="shared" si="13"/>
        <v>1370</v>
      </c>
      <c r="AJ12" s="203">
        <f t="shared" si="37"/>
        <v>137</v>
      </c>
      <c r="AK12" s="203">
        <f t="shared" si="14"/>
        <v>1370</v>
      </c>
      <c r="AL12" s="203">
        <f t="shared" si="38"/>
        <v>137</v>
      </c>
      <c r="AM12" s="203">
        <f t="shared" si="15"/>
        <v>1370</v>
      </c>
      <c r="AN12" s="35">
        <f t="shared" si="16"/>
        <v>0.48928571428571427</v>
      </c>
      <c r="AO12" s="36">
        <f t="shared" si="17"/>
        <v>9590</v>
      </c>
      <c r="AP12" s="542"/>
      <c r="AQ12" s="223">
        <f t="shared" si="39"/>
        <v>0.43664345418397194</v>
      </c>
      <c r="AR12" s="38">
        <f t="shared" si="45"/>
        <v>40594.741935483871</v>
      </c>
      <c r="AS12" s="197">
        <f t="shared" si="42"/>
        <v>-2216.7419354838712</v>
      </c>
      <c r="AT12" s="348"/>
      <c r="AU12" s="570"/>
      <c r="AV12" s="500">
        <f t="shared" si="43"/>
        <v>0.61499999999999999</v>
      </c>
      <c r="AW12" s="285">
        <f>-SUM('B5'!AI11)</f>
        <v>-31</v>
      </c>
      <c r="AX12" s="285">
        <f t="shared" si="19"/>
        <v>-2185.7419354838712</v>
      </c>
      <c r="AY12" s="37">
        <f t="shared" si="40"/>
        <v>-2216.7419354838712</v>
      </c>
      <c r="AZ12" s="100">
        <f>ELEC!A10</f>
        <v>0</v>
      </c>
      <c r="BA12" s="118">
        <f>'General information '!D11</f>
        <v>25</v>
      </c>
      <c r="BB12" s="386">
        <f>SUM('General information '!E11)</f>
        <v>0.46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-590.74106364417332</v>
      </c>
      <c r="BK12" s="558">
        <f>GEN!AF9</f>
        <v>0.3786805555556485</v>
      </c>
    </row>
    <row r="13" spans="1:63">
      <c r="A13" s="435">
        <f>ELEC!C11</f>
        <v>44477</v>
      </c>
      <c r="B13">
        <f>'B5'!B12</f>
        <v>131</v>
      </c>
      <c r="C13" s="203">
        <f t="shared" si="20"/>
        <v>2818.6129032258063</v>
      </c>
      <c r="D13">
        <f t="shared" si="21"/>
        <v>131</v>
      </c>
      <c r="E13" s="203">
        <f t="shared" si="20"/>
        <v>2818.6129032258063</v>
      </c>
      <c r="F13">
        <f t="shared" si="22"/>
        <v>131</v>
      </c>
      <c r="G13" s="203">
        <f t="shared" si="1"/>
        <v>2818.6129032258063</v>
      </c>
      <c r="H13" s="203">
        <f t="shared" si="23"/>
        <v>131</v>
      </c>
      <c r="I13" s="203">
        <f t="shared" si="2"/>
        <v>2818.6129032258063</v>
      </c>
      <c r="J13" s="203">
        <f t="shared" si="24"/>
        <v>131</v>
      </c>
      <c r="K13" s="203">
        <f t="shared" si="3"/>
        <v>2818.6129032258063</v>
      </c>
      <c r="L13" s="203">
        <f t="shared" si="25"/>
        <v>131</v>
      </c>
      <c r="M13" s="203">
        <f t="shared" si="4"/>
        <v>2818.6129032258063</v>
      </c>
      <c r="N13" s="203">
        <f t="shared" si="26"/>
        <v>131</v>
      </c>
      <c r="O13" s="203">
        <f t="shared" si="5"/>
        <v>2818.6129032258063</v>
      </c>
      <c r="P13" s="203">
        <f t="shared" si="27"/>
        <v>131</v>
      </c>
      <c r="Q13" s="203">
        <f t="shared" si="6"/>
        <v>2818.6129032258063</v>
      </c>
      <c r="R13" s="203">
        <f t="shared" si="28"/>
        <v>131</v>
      </c>
      <c r="S13" s="203">
        <f t="shared" si="7"/>
        <v>2818.6129032258063</v>
      </c>
      <c r="T13" s="203">
        <f t="shared" si="29"/>
        <v>131</v>
      </c>
      <c r="U13" s="203">
        <f t="shared" si="8"/>
        <v>2818.6129032258063</v>
      </c>
      <c r="V13" s="203">
        <f t="shared" si="30"/>
        <v>131</v>
      </c>
      <c r="W13" s="203">
        <f t="shared" si="9"/>
        <v>2818.6129032258063</v>
      </c>
      <c r="X13" s="35">
        <f t="shared" si="10"/>
        <v>0.42258064516129035</v>
      </c>
      <c r="Y13" s="36">
        <f t="shared" si="31"/>
        <v>31004.741935483871</v>
      </c>
      <c r="Z13" s="203">
        <f>'B5'!C12</f>
        <v>137</v>
      </c>
      <c r="AA13" s="203">
        <f t="shared" si="32"/>
        <v>1370</v>
      </c>
      <c r="AB13" s="203">
        <f t="shared" si="33"/>
        <v>137</v>
      </c>
      <c r="AC13" s="203">
        <f t="shared" si="32"/>
        <v>1370</v>
      </c>
      <c r="AD13" s="203">
        <f t="shared" si="34"/>
        <v>137</v>
      </c>
      <c r="AE13" s="203">
        <f t="shared" si="11"/>
        <v>1370</v>
      </c>
      <c r="AF13" s="203">
        <f t="shared" si="35"/>
        <v>137</v>
      </c>
      <c r="AG13" s="203">
        <f t="shared" si="12"/>
        <v>1370</v>
      </c>
      <c r="AH13" s="203">
        <f t="shared" si="36"/>
        <v>137</v>
      </c>
      <c r="AI13" s="203">
        <f t="shared" si="13"/>
        <v>1370</v>
      </c>
      <c r="AJ13" s="203">
        <f t="shared" si="37"/>
        <v>137</v>
      </c>
      <c r="AK13" s="203">
        <f t="shared" si="14"/>
        <v>1370</v>
      </c>
      <c r="AL13" s="203">
        <f t="shared" si="38"/>
        <v>137</v>
      </c>
      <c r="AM13" s="203">
        <f t="shared" si="15"/>
        <v>1370</v>
      </c>
      <c r="AN13" s="35">
        <f t="shared" si="16"/>
        <v>0.48928571428571427</v>
      </c>
      <c r="AO13" s="36">
        <f t="shared" si="17"/>
        <v>9590</v>
      </c>
      <c r="AP13" s="542"/>
      <c r="AQ13" s="223">
        <f t="shared" si="39"/>
        <v>0.43664345418397194</v>
      </c>
      <c r="AR13" s="38">
        <f t="shared" si="45"/>
        <v>40594.741935483871</v>
      </c>
      <c r="AS13" s="197">
        <f t="shared" si="42"/>
        <v>0</v>
      </c>
      <c r="AT13" s="348"/>
      <c r="AU13" s="570"/>
      <c r="AV13" s="500">
        <f t="shared" si="43"/>
        <v>0.61499999999999999</v>
      </c>
      <c r="AW13" s="285">
        <f>-SUM('B5'!AI12)</f>
        <v>0</v>
      </c>
      <c r="AX13" s="285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'!D12</f>
        <v>0</v>
      </c>
      <c r="BB13" s="386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58" t="e">
        <f>GEN!AF10</f>
        <v>#DIV/0!</v>
      </c>
    </row>
    <row r="14" spans="1:63">
      <c r="A14" s="435">
        <f>ELEC!C12</f>
        <v>44478</v>
      </c>
      <c r="B14">
        <f>'B5'!B13</f>
        <v>131</v>
      </c>
      <c r="C14" s="203">
        <f t="shared" si="20"/>
        <v>2818.6129032258063</v>
      </c>
      <c r="D14">
        <f t="shared" si="21"/>
        <v>131</v>
      </c>
      <c r="E14" s="203">
        <f t="shared" si="20"/>
        <v>2818.6129032258063</v>
      </c>
      <c r="F14">
        <f t="shared" si="22"/>
        <v>131</v>
      </c>
      <c r="G14" s="203">
        <f t="shared" si="1"/>
        <v>2818.6129032258063</v>
      </c>
      <c r="H14" s="203">
        <f t="shared" si="23"/>
        <v>131</v>
      </c>
      <c r="I14" s="203">
        <f t="shared" si="2"/>
        <v>2818.6129032258063</v>
      </c>
      <c r="J14" s="203">
        <f t="shared" si="24"/>
        <v>131</v>
      </c>
      <c r="K14" s="203">
        <f t="shared" si="3"/>
        <v>2818.6129032258063</v>
      </c>
      <c r="L14" s="203">
        <f t="shared" si="25"/>
        <v>131</v>
      </c>
      <c r="M14" s="203">
        <f t="shared" si="4"/>
        <v>2818.6129032258063</v>
      </c>
      <c r="N14" s="203">
        <f t="shared" si="26"/>
        <v>131</v>
      </c>
      <c r="O14" s="203">
        <f t="shared" si="5"/>
        <v>2818.6129032258063</v>
      </c>
      <c r="P14" s="203">
        <f t="shared" si="27"/>
        <v>131</v>
      </c>
      <c r="Q14" s="203">
        <f t="shared" si="6"/>
        <v>2818.6129032258063</v>
      </c>
      <c r="R14" s="203">
        <f t="shared" si="28"/>
        <v>131</v>
      </c>
      <c r="S14" s="203">
        <f t="shared" si="7"/>
        <v>2818.6129032258063</v>
      </c>
      <c r="T14" s="203">
        <f t="shared" si="29"/>
        <v>131</v>
      </c>
      <c r="U14" s="203">
        <f t="shared" si="8"/>
        <v>2818.6129032258063</v>
      </c>
      <c r="V14" s="203">
        <f t="shared" si="30"/>
        <v>131</v>
      </c>
      <c r="W14" s="203">
        <f t="shared" si="9"/>
        <v>2818.6129032258063</v>
      </c>
      <c r="X14" s="35">
        <f t="shared" si="10"/>
        <v>0.42258064516129035</v>
      </c>
      <c r="Y14" s="36">
        <f t="shared" si="31"/>
        <v>31004.741935483871</v>
      </c>
      <c r="Z14" s="203">
        <f>'B5'!C13</f>
        <v>137</v>
      </c>
      <c r="AA14" s="203">
        <f t="shared" si="32"/>
        <v>1370</v>
      </c>
      <c r="AB14" s="203">
        <f t="shared" si="33"/>
        <v>137</v>
      </c>
      <c r="AC14" s="203">
        <f t="shared" si="32"/>
        <v>1370</v>
      </c>
      <c r="AD14" s="203">
        <f t="shared" si="34"/>
        <v>137</v>
      </c>
      <c r="AE14" s="203">
        <f t="shared" si="11"/>
        <v>1370</v>
      </c>
      <c r="AF14" s="203">
        <f t="shared" si="35"/>
        <v>137</v>
      </c>
      <c r="AG14" s="203">
        <f t="shared" si="12"/>
        <v>1370</v>
      </c>
      <c r="AH14" s="203">
        <f t="shared" si="36"/>
        <v>137</v>
      </c>
      <c r="AI14" s="203">
        <f t="shared" si="13"/>
        <v>1370</v>
      </c>
      <c r="AJ14" s="203">
        <f t="shared" si="37"/>
        <v>137</v>
      </c>
      <c r="AK14" s="203">
        <f t="shared" si="14"/>
        <v>1370</v>
      </c>
      <c r="AL14" s="203">
        <f t="shared" si="38"/>
        <v>137</v>
      </c>
      <c r="AM14" s="203">
        <f t="shared" si="15"/>
        <v>1370</v>
      </c>
      <c r="AN14" s="35">
        <f t="shared" si="16"/>
        <v>0.48928571428571427</v>
      </c>
      <c r="AO14" s="36">
        <f t="shared" si="17"/>
        <v>9590</v>
      </c>
      <c r="AQ14" s="223">
        <f t="shared" si="39"/>
        <v>0.43664345418397194</v>
      </c>
      <c r="AR14" s="38">
        <f t="shared" si="45"/>
        <v>40594.741935483871</v>
      </c>
      <c r="AS14" s="197">
        <f t="shared" si="42"/>
        <v>0</v>
      </c>
      <c r="AT14" s="348"/>
      <c r="AU14" s="570"/>
      <c r="AV14" s="500">
        <f t="shared" si="43"/>
        <v>0.61499999999999999</v>
      </c>
      <c r="AW14" s="285">
        <f>-SUM('B5'!AI13)</f>
        <v>0</v>
      </c>
      <c r="AX14" s="285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'!D13</f>
        <v>0</v>
      </c>
      <c r="BB14" s="386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1661.4135021092179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58" t="e">
        <f>GEN!AF11</f>
        <v>#DIV/0!</v>
      </c>
    </row>
    <row r="15" spans="1:63" ht="13.5" customHeight="1">
      <c r="A15" s="435">
        <f>ELEC!C13</f>
        <v>44479</v>
      </c>
      <c r="B15">
        <f>'B5'!B14</f>
        <v>125</v>
      </c>
      <c r="C15" s="203">
        <f>B15*$B$4</f>
        <v>2689.516129032258</v>
      </c>
      <c r="D15">
        <f t="shared" si="21"/>
        <v>125</v>
      </c>
      <c r="E15" s="203">
        <f t="shared" si="20"/>
        <v>2689.516129032258</v>
      </c>
      <c r="F15">
        <f t="shared" si="22"/>
        <v>125</v>
      </c>
      <c r="G15" s="203">
        <f t="shared" si="1"/>
        <v>2689.516129032258</v>
      </c>
      <c r="H15" s="203">
        <f t="shared" si="23"/>
        <v>125</v>
      </c>
      <c r="I15" s="203">
        <f t="shared" si="2"/>
        <v>2689.516129032258</v>
      </c>
      <c r="J15" s="203">
        <f t="shared" si="24"/>
        <v>125</v>
      </c>
      <c r="K15" s="203">
        <f t="shared" si="3"/>
        <v>2689.516129032258</v>
      </c>
      <c r="L15" s="203">
        <f t="shared" si="25"/>
        <v>125</v>
      </c>
      <c r="M15" s="203">
        <f t="shared" si="4"/>
        <v>2689.516129032258</v>
      </c>
      <c r="N15" s="203">
        <f t="shared" si="26"/>
        <v>125</v>
      </c>
      <c r="O15" s="203">
        <f t="shared" si="5"/>
        <v>2689.516129032258</v>
      </c>
      <c r="P15" s="203">
        <f t="shared" si="27"/>
        <v>125</v>
      </c>
      <c r="Q15" s="203">
        <f t="shared" si="6"/>
        <v>2689.516129032258</v>
      </c>
      <c r="R15" s="203">
        <f t="shared" si="28"/>
        <v>125</v>
      </c>
      <c r="S15" s="203">
        <f t="shared" si="7"/>
        <v>2689.516129032258</v>
      </c>
      <c r="T15" s="203">
        <f t="shared" si="29"/>
        <v>125</v>
      </c>
      <c r="U15" s="203">
        <f t="shared" si="8"/>
        <v>2689.516129032258</v>
      </c>
      <c r="V15" s="203">
        <f t="shared" si="30"/>
        <v>125</v>
      </c>
      <c r="W15" s="203">
        <f t="shared" si="9"/>
        <v>2689.516129032258</v>
      </c>
      <c r="X15" s="35">
        <f t="shared" si="10"/>
        <v>0.40322580645161288</v>
      </c>
      <c r="Y15" s="36">
        <f t="shared" si="31"/>
        <v>29584.677419354837</v>
      </c>
      <c r="Z15" s="203">
        <f>'B5'!C14</f>
        <v>131</v>
      </c>
      <c r="AA15" s="203">
        <f t="shared" si="32"/>
        <v>1310</v>
      </c>
      <c r="AB15" s="203">
        <f t="shared" si="33"/>
        <v>131</v>
      </c>
      <c r="AC15" s="203">
        <f t="shared" si="32"/>
        <v>1310</v>
      </c>
      <c r="AD15" s="203">
        <f t="shared" si="34"/>
        <v>131</v>
      </c>
      <c r="AE15" s="203">
        <f t="shared" si="11"/>
        <v>1310</v>
      </c>
      <c r="AF15" s="203">
        <f t="shared" si="35"/>
        <v>131</v>
      </c>
      <c r="AG15" s="203">
        <f t="shared" si="12"/>
        <v>1310</v>
      </c>
      <c r="AH15" s="203">
        <f t="shared" si="36"/>
        <v>131</v>
      </c>
      <c r="AI15" s="203">
        <f t="shared" si="13"/>
        <v>1310</v>
      </c>
      <c r="AJ15" s="203">
        <f t="shared" si="37"/>
        <v>131</v>
      </c>
      <c r="AK15" s="203">
        <f t="shared" si="14"/>
        <v>1310</v>
      </c>
      <c r="AL15" s="203">
        <f t="shared" si="38"/>
        <v>131</v>
      </c>
      <c r="AM15" s="203">
        <f t="shared" si="15"/>
        <v>1310</v>
      </c>
      <c r="AN15" s="35">
        <f t="shared" si="16"/>
        <v>0.46785714285714286</v>
      </c>
      <c r="AO15" s="36">
        <f t="shared" si="17"/>
        <v>9170</v>
      </c>
      <c r="AQ15" s="223">
        <f t="shared" si="39"/>
        <v>0.41685142970156863</v>
      </c>
      <c r="AR15" s="38">
        <f t="shared" si="45"/>
        <v>38754.677419354834</v>
      </c>
      <c r="AS15" s="197">
        <f t="shared" si="42"/>
        <v>-1840.0645161290377</v>
      </c>
      <c r="AT15" s="348"/>
      <c r="AU15" s="570"/>
      <c r="AV15" s="500">
        <f>IF(AT15&gt;0,AU15,AV14)</f>
        <v>0.61499999999999999</v>
      </c>
      <c r="AW15" s="285">
        <f>-SUM('B5'!AI14)</f>
        <v>-106</v>
      </c>
      <c r="AX15" s="285">
        <f t="shared" si="19"/>
        <v>-1734.0645161290377</v>
      </c>
      <c r="AY15" s="37">
        <f t="shared" si="40"/>
        <v>-1840.0645161290377</v>
      </c>
      <c r="AZ15" s="100">
        <f>ELEC!A13</f>
        <v>0</v>
      </c>
      <c r="BA15" s="118">
        <f>'General information '!D14</f>
        <v>26</v>
      </c>
      <c r="BB15" s="386">
        <f>SUM('General information '!E14)</f>
        <v>0.66</v>
      </c>
      <c r="BC15" s="3">
        <f t="shared" si="44"/>
        <v>0</v>
      </c>
      <c r="BD15" s="102">
        <v>19222</v>
      </c>
      <c r="BE15" s="14">
        <f>(305/1185)*ELEC!Q14</f>
        <v>2020.4641350216591</v>
      </c>
      <c r="BF15" s="14"/>
      <c r="BG15" s="14" t="e">
        <f>#REF!-BE15</f>
        <v>#REF!</v>
      </c>
      <c r="BH15" s="11"/>
      <c r="BI15">
        <v>4</v>
      </c>
      <c r="BJ15">
        <f t="shared" si="41"/>
        <v>-433.51612903225941</v>
      </c>
      <c r="BK15" s="558">
        <f>GEN!AF12</f>
        <v>0.40343749999988177</v>
      </c>
    </row>
    <row r="16" spans="1:63">
      <c r="A16" s="435">
        <f>ELEC!C14</f>
        <v>44480</v>
      </c>
      <c r="B16">
        <f>'B5'!B15</f>
        <v>152</v>
      </c>
      <c r="C16" s="203">
        <f t="shared" si="20"/>
        <v>3270.4516129032259</v>
      </c>
      <c r="D16">
        <f t="shared" si="21"/>
        <v>152</v>
      </c>
      <c r="E16" s="203">
        <f t="shared" si="20"/>
        <v>3270.4516129032259</v>
      </c>
      <c r="F16">
        <f t="shared" si="22"/>
        <v>152</v>
      </c>
      <c r="G16" s="203">
        <f t="shared" si="1"/>
        <v>3270.4516129032259</v>
      </c>
      <c r="H16" s="203">
        <f t="shared" si="23"/>
        <v>152</v>
      </c>
      <c r="I16" s="203">
        <f t="shared" si="2"/>
        <v>3270.4516129032259</v>
      </c>
      <c r="J16" s="203">
        <f t="shared" si="24"/>
        <v>152</v>
      </c>
      <c r="K16" s="203">
        <f t="shared" si="3"/>
        <v>3270.4516129032259</v>
      </c>
      <c r="L16" s="203">
        <f t="shared" si="25"/>
        <v>152</v>
      </c>
      <c r="M16" s="203">
        <f t="shared" si="4"/>
        <v>3270.4516129032259</v>
      </c>
      <c r="N16" s="203">
        <f t="shared" si="26"/>
        <v>152</v>
      </c>
      <c r="O16" s="203">
        <f t="shared" si="5"/>
        <v>3270.4516129032259</v>
      </c>
      <c r="P16" s="203">
        <f t="shared" si="27"/>
        <v>152</v>
      </c>
      <c r="Q16" s="203">
        <f t="shared" si="6"/>
        <v>3270.4516129032259</v>
      </c>
      <c r="R16" s="203">
        <f t="shared" si="28"/>
        <v>152</v>
      </c>
      <c r="S16" s="203">
        <f t="shared" si="7"/>
        <v>3270.4516129032259</v>
      </c>
      <c r="T16" s="203">
        <f t="shared" si="29"/>
        <v>152</v>
      </c>
      <c r="U16" s="203">
        <f t="shared" si="8"/>
        <v>3270.4516129032259</v>
      </c>
      <c r="V16" s="203">
        <f t="shared" si="30"/>
        <v>152</v>
      </c>
      <c r="W16" s="203">
        <f t="shared" si="9"/>
        <v>3270.4516129032259</v>
      </c>
      <c r="X16" s="35">
        <f t="shared" si="10"/>
        <v>0.49032258064516138</v>
      </c>
      <c r="Y16" s="36">
        <f t="shared" si="31"/>
        <v>35974.967741935492</v>
      </c>
      <c r="Z16" s="203">
        <f>'B5'!C15</f>
        <v>159</v>
      </c>
      <c r="AA16" s="203">
        <f t="shared" si="32"/>
        <v>1590</v>
      </c>
      <c r="AB16" s="203">
        <f t="shared" si="33"/>
        <v>159</v>
      </c>
      <c r="AC16" s="203">
        <f t="shared" si="32"/>
        <v>1590</v>
      </c>
      <c r="AD16" s="203">
        <f t="shared" si="34"/>
        <v>159</v>
      </c>
      <c r="AE16" s="203">
        <f t="shared" si="11"/>
        <v>1590</v>
      </c>
      <c r="AF16" s="203">
        <f t="shared" si="35"/>
        <v>159</v>
      </c>
      <c r="AG16" s="203">
        <f t="shared" si="12"/>
        <v>1590</v>
      </c>
      <c r="AH16" s="203">
        <f t="shared" si="36"/>
        <v>159</v>
      </c>
      <c r="AI16" s="203">
        <f t="shared" si="13"/>
        <v>1590</v>
      </c>
      <c r="AJ16" s="203">
        <f t="shared" si="37"/>
        <v>159</v>
      </c>
      <c r="AK16" s="203">
        <f t="shared" si="14"/>
        <v>1590</v>
      </c>
      <c r="AL16" s="203">
        <f t="shared" si="38"/>
        <v>159</v>
      </c>
      <c r="AM16" s="203">
        <f t="shared" si="15"/>
        <v>1590</v>
      </c>
      <c r="AN16" s="35">
        <f t="shared" si="16"/>
        <v>0.56785714285714284</v>
      </c>
      <c r="AO16" s="36">
        <f t="shared" si="17"/>
        <v>11130</v>
      </c>
      <c r="AQ16" s="223">
        <f t="shared" si="39"/>
        <v>0.50666847092541134</v>
      </c>
      <c r="AR16" s="38">
        <f>Y16+AO16</f>
        <v>47104.967741935492</v>
      </c>
      <c r="AS16" s="197">
        <f t="shared" si="42"/>
        <v>-1029.7096774193415</v>
      </c>
      <c r="AT16" s="348">
        <v>9380</v>
      </c>
      <c r="AU16" s="570">
        <v>0.59399999999999997</v>
      </c>
      <c r="AV16" s="500">
        <f t="shared" ref="AV16:AV21" si="46">IF(AT16&gt;0,AU16,AV15)</f>
        <v>0.59399999999999997</v>
      </c>
      <c r="AW16" s="285">
        <f>-SUM('B5'!AI15)</f>
        <v>-64</v>
      </c>
      <c r="AX16" s="285">
        <f t="shared" si="19"/>
        <v>-965.70967741934146</v>
      </c>
      <c r="AY16" s="37">
        <f t="shared" si="40"/>
        <v>-1029.7096774193415</v>
      </c>
      <c r="AZ16" s="100">
        <f>ELEC!A14</f>
        <v>0</v>
      </c>
      <c r="BA16" s="118">
        <f>'General information '!D15</f>
        <v>25</v>
      </c>
      <c r="BB16" s="386">
        <f>SUM('General information '!E15)</f>
        <v>0.73</v>
      </c>
      <c r="BC16" s="3">
        <f t="shared" si="44"/>
        <v>1</v>
      </c>
      <c r="BD16" s="102">
        <v>19222</v>
      </c>
      <c r="BE16" s="14">
        <f>(305/1185)*ELEC!Q15</f>
        <v>1764.881856540077</v>
      </c>
      <c r="BF16" s="14"/>
      <c r="BG16" s="14" t="e">
        <f>#REF!-BE16</f>
        <v>#REF!</v>
      </c>
      <c r="BH16" s="11"/>
      <c r="BI16">
        <v>3</v>
      </c>
      <c r="BJ16">
        <f t="shared" si="41"/>
        <v>-321.90322580644715</v>
      </c>
      <c r="BK16" s="558">
        <f>GEN!AF13</f>
        <v>0.40885416666678032</v>
      </c>
    </row>
    <row r="17" spans="1:64">
      <c r="A17" s="435">
        <f>ELEC!C15</f>
        <v>44481</v>
      </c>
      <c r="B17">
        <f>'B5'!B16</f>
        <v>144</v>
      </c>
      <c r="C17" s="203">
        <f t="shared" si="20"/>
        <v>3098.322580645161</v>
      </c>
      <c r="D17">
        <f t="shared" si="21"/>
        <v>144</v>
      </c>
      <c r="E17" s="203">
        <f t="shared" si="20"/>
        <v>3098.322580645161</v>
      </c>
      <c r="F17">
        <f t="shared" si="22"/>
        <v>144</v>
      </c>
      <c r="G17" s="203">
        <f t="shared" si="1"/>
        <v>3098.322580645161</v>
      </c>
      <c r="H17" s="203">
        <f t="shared" si="23"/>
        <v>144</v>
      </c>
      <c r="I17" s="203">
        <f t="shared" si="2"/>
        <v>3098.322580645161</v>
      </c>
      <c r="J17" s="203">
        <f t="shared" si="24"/>
        <v>144</v>
      </c>
      <c r="K17" s="203">
        <f t="shared" si="3"/>
        <v>3098.322580645161</v>
      </c>
      <c r="L17" s="203">
        <f t="shared" si="25"/>
        <v>144</v>
      </c>
      <c r="M17" s="203">
        <f t="shared" si="4"/>
        <v>3098.322580645161</v>
      </c>
      <c r="N17" s="203">
        <f t="shared" si="26"/>
        <v>144</v>
      </c>
      <c r="O17" s="203">
        <f t="shared" si="5"/>
        <v>3098.322580645161</v>
      </c>
      <c r="P17" s="203">
        <f t="shared" si="27"/>
        <v>144</v>
      </c>
      <c r="Q17" s="203">
        <f t="shared" si="6"/>
        <v>3098.322580645161</v>
      </c>
      <c r="R17" s="203">
        <f t="shared" si="28"/>
        <v>144</v>
      </c>
      <c r="S17" s="203">
        <f t="shared" si="7"/>
        <v>3098.322580645161</v>
      </c>
      <c r="T17" s="203">
        <f t="shared" si="29"/>
        <v>144</v>
      </c>
      <c r="U17" s="203">
        <f t="shared" si="8"/>
        <v>3098.322580645161</v>
      </c>
      <c r="V17" s="203">
        <f t="shared" si="30"/>
        <v>144</v>
      </c>
      <c r="W17" s="203">
        <f t="shared" si="9"/>
        <v>3098.322580645161</v>
      </c>
      <c r="X17" s="35">
        <f t="shared" si="10"/>
        <v>0.46451612903225792</v>
      </c>
      <c r="Y17" s="36">
        <f t="shared" si="31"/>
        <v>34081.548387096766</v>
      </c>
      <c r="Z17" s="203">
        <f>'B5'!C16</f>
        <v>151</v>
      </c>
      <c r="AA17" s="203">
        <f t="shared" si="32"/>
        <v>1510</v>
      </c>
      <c r="AB17" s="203">
        <f t="shared" si="33"/>
        <v>151</v>
      </c>
      <c r="AC17" s="203">
        <f t="shared" si="32"/>
        <v>1510</v>
      </c>
      <c r="AD17" s="203">
        <f t="shared" si="34"/>
        <v>151</v>
      </c>
      <c r="AE17" s="203">
        <f t="shared" si="11"/>
        <v>1510</v>
      </c>
      <c r="AF17" s="203">
        <f t="shared" si="35"/>
        <v>151</v>
      </c>
      <c r="AG17" s="203">
        <f t="shared" si="12"/>
        <v>1510</v>
      </c>
      <c r="AH17" s="203">
        <f t="shared" si="36"/>
        <v>151</v>
      </c>
      <c r="AI17" s="203">
        <f t="shared" si="13"/>
        <v>1510</v>
      </c>
      <c r="AJ17" s="203">
        <f t="shared" si="37"/>
        <v>151</v>
      </c>
      <c r="AK17" s="203">
        <f t="shared" si="14"/>
        <v>1510</v>
      </c>
      <c r="AL17" s="203">
        <f t="shared" si="38"/>
        <v>151</v>
      </c>
      <c r="AM17" s="203">
        <f t="shared" si="15"/>
        <v>1510</v>
      </c>
      <c r="AN17" s="35">
        <f t="shared" si="16"/>
        <v>0.53928571428571426</v>
      </c>
      <c r="AO17" s="36">
        <f>SUM(AA17+AC17+AE17+AG17+AI17+AK17+AM17)</f>
        <v>10570</v>
      </c>
      <c r="AQ17" s="223">
        <f t="shared" si="39"/>
        <v>0.48027910494887344</v>
      </c>
      <c r="AR17" s="38">
        <f t="shared" si="45"/>
        <v>44651.548387096766</v>
      </c>
      <c r="AS17" s="197">
        <f t="shared" si="42"/>
        <v>-2453.4193548387266</v>
      </c>
      <c r="AU17" s="3"/>
      <c r="AV17" s="500">
        <f t="shared" si="46"/>
        <v>0.59399999999999997</v>
      </c>
      <c r="AW17" s="285">
        <f>-SUM('B5'!AI16)</f>
        <v>-49</v>
      </c>
      <c r="AX17" s="285">
        <f t="shared" si="19"/>
        <v>-2404.4193548387266</v>
      </c>
      <c r="AY17" s="37">
        <f t="shared" si="40"/>
        <v>-2453.4193548387266</v>
      </c>
      <c r="AZ17" s="100">
        <f>ELEC!A15</f>
        <v>0</v>
      </c>
      <c r="BA17" s="118">
        <f>'General information '!D16</f>
        <v>25</v>
      </c>
      <c r="BB17" s="386">
        <f>SUM('General information '!E16)</f>
        <v>0.67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5">
        <f>ELEC!C16</f>
        <v>44482</v>
      </c>
      <c r="B18">
        <f>'B5'!B17</f>
        <v>144</v>
      </c>
      <c r="C18" s="203">
        <f t="shared" si="20"/>
        <v>3098.322580645161</v>
      </c>
      <c r="D18">
        <f t="shared" si="21"/>
        <v>144</v>
      </c>
      <c r="E18" s="203">
        <f t="shared" si="20"/>
        <v>3098.322580645161</v>
      </c>
      <c r="F18">
        <f t="shared" si="22"/>
        <v>144</v>
      </c>
      <c r="G18" s="203">
        <f t="shared" si="1"/>
        <v>3098.322580645161</v>
      </c>
      <c r="H18" s="203">
        <f t="shared" si="23"/>
        <v>144</v>
      </c>
      <c r="I18" s="203">
        <f t="shared" si="2"/>
        <v>3098.322580645161</v>
      </c>
      <c r="J18" s="203">
        <f t="shared" si="24"/>
        <v>144</v>
      </c>
      <c r="K18" s="203">
        <f t="shared" si="3"/>
        <v>3098.322580645161</v>
      </c>
      <c r="L18" s="203">
        <f t="shared" si="25"/>
        <v>144</v>
      </c>
      <c r="M18" s="203">
        <f t="shared" si="4"/>
        <v>3098.322580645161</v>
      </c>
      <c r="N18" s="203">
        <f t="shared" si="26"/>
        <v>144</v>
      </c>
      <c r="O18" s="203">
        <f t="shared" si="5"/>
        <v>3098.322580645161</v>
      </c>
      <c r="P18" s="203">
        <f t="shared" si="27"/>
        <v>144</v>
      </c>
      <c r="Q18" s="203">
        <f t="shared" si="6"/>
        <v>3098.322580645161</v>
      </c>
      <c r="R18" s="203">
        <f t="shared" si="28"/>
        <v>144</v>
      </c>
      <c r="S18" s="203">
        <f t="shared" si="7"/>
        <v>3098.322580645161</v>
      </c>
      <c r="T18" s="203">
        <f t="shared" si="29"/>
        <v>144</v>
      </c>
      <c r="U18" s="203">
        <f t="shared" si="8"/>
        <v>3098.322580645161</v>
      </c>
      <c r="V18" s="203">
        <f t="shared" si="30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1"/>
        <v>34081.548387096766</v>
      </c>
      <c r="Z18" s="203">
        <f>'B5'!C17</f>
        <v>151</v>
      </c>
      <c r="AA18" s="203">
        <f t="shared" si="32"/>
        <v>1510</v>
      </c>
      <c r="AB18" s="203">
        <f t="shared" si="33"/>
        <v>151</v>
      </c>
      <c r="AC18" s="203">
        <f t="shared" si="32"/>
        <v>1510</v>
      </c>
      <c r="AD18" s="203">
        <f t="shared" si="34"/>
        <v>151</v>
      </c>
      <c r="AE18" s="203">
        <f t="shared" si="11"/>
        <v>1510</v>
      </c>
      <c r="AF18" s="203">
        <f t="shared" si="35"/>
        <v>151</v>
      </c>
      <c r="AG18" s="203">
        <f t="shared" si="12"/>
        <v>1510</v>
      </c>
      <c r="AH18" s="203">
        <f t="shared" si="36"/>
        <v>151</v>
      </c>
      <c r="AI18" s="203">
        <f t="shared" si="13"/>
        <v>1510</v>
      </c>
      <c r="AJ18" s="203">
        <f t="shared" si="37"/>
        <v>151</v>
      </c>
      <c r="AK18" s="203">
        <f t="shared" si="14"/>
        <v>1510</v>
      </c>
      <c r="AL18" s="203">
        <f t="shared" si="38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39"/>
        <v>0.48027910494887344</v>
      </c>
      <c r="AR18" s="38">
        <f t="shared" si="45"/>
        <v>44651.548387096766</v>
      </c>
      <c r="AS18" s="197">
        <f>SUM(AR18-AR17-AT18)</f>
        <v>0</v>
      </c>
      <c r="AT18" s="348"/>
      <c r="AU18" s="570"/>
      <c r="AV18" s="500">
        <f t="shared" si="46"/>
        <v>0.59399999999999997</v>
      </c>
      <c r="AW18" s="285">
        <f>-SUM('B5'!AI17)</f>
        <v>0</v>
      </c>
      <c r="AX18" s="285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'!D17</f>
        <v>0</v>
      </c>
      <c r="BB18" s="386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5">
        <f>ELEC!C17</f>
        <v>44483</v>
      </c>
      <c r="B19">
        <f>'B5'!B18</f>
        <v>144</v>
      </c>
      <c r="C19" s="203">
        <f t="shared" si="20"/>
        <v>3098.322580645161</v>
      </c>
      <c r="D19">
        <f t="shared" si="21"/>
        <v>144</v>
      </c>
      <c r="E19" s="203">
        <f t="shared" si="20"/>
        <v>3098.322580645161</v>
      </c>
      <c r="F19">
        <f t="shared" si="22"/>
        <v>144</v>
      </c>
      <c r="G19" s="203">
        <f t="shared" si="1"/>
        <v>3098.322580645161</v>
      </c>
      <c r="H19" s="203">
        <f t="shared" si="23"/>
        <v>144</v>
      </c>
      <c r="I19" s="203">
        <f t="shared" si="2"/>
        <v>3098.322580645161</v>
      </c>
      <c r="J19" s="203">
        <f t="shared" si="24"/>
        <v>144</v>
      </c>
      <c r="K19" s="203">
        <f t="shared" si="3"/>
        <v>3098.322580645161</v>
      </c>
      <c r="L19" s="203">
        <f t="shared" si="25"/>
        <v>144</v>
      </c>
      <c r="M19" s="203">
        <f t="shared" si="4"/>
        <v>3098.322580645161</v>
      </c>
      <c r="N19" s="203">
        <f t="shared" si="26"/>
        <v>144</v>
      </c>
      <c r="O19" s="203">
        <f t="shared" si="5"/>
        <v>3098.322580645161</v>
      </c>
      <c r="P19" s="203">
        <f t="shared" si="27"/>
        <v>144</v>
      </c>
      <c r="Q19" s="203">
        <f t="shared" si="6"/>
        <v>3098.322580645161</v>
      </c>
      <c r="R19" s="203">
        <f t="shared" si="28"/>
        <v>144</v>
      </c>
      <c r="S19" s="203">
        <f t="shared" si="7"/>
        <v>3098.322580645161</v>
      </c>
      <c r="T19" s="203">
        <f t="shared" si="29"/>
        <v>144</v>
      </c>
      <c r="U19" s="203">
        <f t="shared" si="8"/>
        <v>3098.322580645161</v>
      </c>
      <c r="V19" s="203">
        <f t="shared" si="30"/>
        <v>144</v>
      </c>
      <c r="W19" s="203">
        <f t="shared" si="9"/>
        <v>3098.322580645161</v>
      </c>
      <c r="X19" s="35">
        <f t="shared" si="10"/>
        <v>0.46451612903225792</v>
      </c>
      <c r="Y19" s="36">
        <f t="shared" si="31"/>
        <v>34081.548387096766</v>
      </c>
      <c r="Z19" s="203">
        <f>'B5'!C18</f>
        <v>151</v>
      </c>
      <c r="AA19" s="203">
        <f t="shared" si="32"/>
        <v>1510</v>
      </c>
      <c r="AB19" s="203">
        <f t="shared" si="33"/>
        <v>151</v>
      </c>
      <c r="AC19" s="203">
        <f t="shared" si="32"/>
        <v>1510</v>
      </c>
      <c r="AD19" s="203">
        <f t="shared" si="34"/>
        <v>151</v>
      </c>
      <c r="AE19" s="203">
        <f t="shared" si="11"/>
        <v>1510</v>
      </c>
      <c r="AF19" s="203">
        <f t="shared" si="35"/>
        <v>151</v>
      </c>
      <c r="AG19" s="203">
        <f t="shared" si="12"/>
        <v>1510</v>
      </c>
      <c r="AH19" s="203">
        <f t="shared" si="36"/>
        <v>151</v>
      </c>
      <c r="AI19" s="203">
        <f t="shared" si="13"/>
        <v>1510</v>
      </c>
      <c r="AJ19" s="203">
        <f t="shared" si="37"/>
        <v>151</v>
      </c>
      <c r="AK19" s="203">
        <f t="shared" si="14"/>
        <v>1510</v>
      </c>
      <c r="AL19" s="203">
        <f t="shared" si="38"/>
        <v>151</v>
      </c>
      <c r="AM19" s="203">
        <f t="shared" si="15"/>
        <v>1510</v>
      </c>
      <c r="AN19" s="35">
        <f t="shared" si="16"/>
        <v>0.53928571428571426</v>
      </c>
      <c r="AO19" s="36">
        <f t="shared" si="17"/>
        <v>10570</v>
      </c>
      <c r="AQ19" s="223">
        <f t="shared" si="39"/>
        <v>0.48027910494887344</v>
      </c>
      <c r="AR19" s="38">
        <f t="shared" si="45"/>
        <v>44651.548387096766</v>
      </c>
      <c r="AS19" s="197">
        <f t="shared" ref="AS19:AS36" si="47">SUM(AR19-AR18-AT19)</f>
        <v>0</v>
      </c>
      <c r="AT19" s="348"/>
      <c r="AU19" s="570"/>
      <c r="AV19" s="500">
        <f t="shared" si="46"/>
        <v>0.59399999999999997</v>
      </c>
      <c r="AW19" s="285">
        <f>-SUM('B5'!AI18)</f>
        <v>0</v>
      </c>
      <c r="AX19" s="285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'!D18</f>
        <v>0</v>
      </c>
      <c r="BB19" s="386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5">
        <f>ELEC!C18</f>
        <v>44484</v>
      </c>
      <c r="B20">
        <f>'B5'!B19</f>
        <v>144</v>
      </c>
      <c r="C20" s="203">
        <f t="shared" si="20"/>
        <v>3098.322580645161</v>
      </c>
      <c r="D20">
        <f t="shared" si="21"/>
        <v>144</v>
      </c>
      <c r="E20" s="203">
        <f t="shared" si="20"/>
        <v>3098.322580645161</v>
      </c>
      <c r="F20">
        <f t="shared" si="22"/>
        <v>144</v>
      </c>
      <c r="G20" s="203">
        <f t="shared" si="1"/>
        <v>3098.322580645161</v>
      </c>
      <c r="H20" s="203">
        <f t="shared" si="23"/>
        <v>144</v>
      </c>
      <c r="I20" s="203">
        <f t="shared" si="2"/>
        <v>3098.322580645161</v>
      </c>
      <c r="J20" s="203">
        <f t="shared" si="24"/>
        <v>144</v>
      </c>
      <c r="K20" s="203">
        <f t="shared" si="3"/>
        <v>3098.322580645161</v>
      </c>
      <c r="L20" s="203">
        <f t="shared" si="25"/>
        <v>144</v>
      </c>
      <c r="M20" s="203">
        <f t="shared" si="4"/>
        <v>3098.322580645161</v>
      </c>
      <c r="N20" s="203">
        <f t="shared" si="26"/>
        <v>144</v>
      </c>
      <c r="O20" s="203">
        <f t="shared" si="5"/>
        <v>3098.322580645161</v>
      </c>
      <c r="P20" s="203">
        <f t="shared" si="27"/>
        <v>144</v>
      </c>
      <c r="Q20" s="203">
        <f t="shared" si="6"/>
        <v>3098.322580645161</v>
      </c>
      <c r="R20" s="203">
        <f t="shared" si="28"/>
        <v>144</v>
      </c>
      <c r="S20" s="203">
        <f t="shared" si="7"/>
        <v>3098.322580645161</v>
      </c>
      <c r="T20" s="203">
        <f t="shared" si="29"/>
        <v>144</v>
      </c>
      <c r="U20" s="203">
        <f t="shared" si="8"/>
        <v>3098.322580645161</v>
      </c>
      <c r="V20" s="203">
        <f t="shared" si="30"/>
        <v>144</v>
      </c>
      <c r="W20" s="203">
        <f t="shared" si="9"/>
        <v>3098.322580645161</v>
      </c>
      <c r="X20" s="35">
        <f t="shared" si="10"/>
        <v>0.46451612903225792</v>
      </c>
      <c r="Y20" s="36">
        <f t="shared" si="31"/>
        <v>34081.548387096766</v>
      </c>
      <c r="Z20" s="203">
        <f>'B5'!C19</f>
        <v>151</v>
      </c>
      <c r="AA20" s="203">
        <f t="shared" si="32"/>
        <v>1510</v>
      </c>
      <c r="AB20" s="203">
        <f t="shared" si="33"/>
        <v>151</v>
      </c>
      <c r="AC20" s="203">
        <f t="shared" si="32"/>
        <v>1510</v>
      </c>
      <c r="AD20" s="203">
        <f t="shared" si="34"/>
        <v>151</v>
      </c>
      <c r="AE20" s="203">
        <f t="shared" si="11"/>
        <v>1510</v>
      </c>
      <c r="AF20" s="203">
        <f t="shared" si="35"/>
        <v>151</v>
      </c>
      <c r="AG20" s="203">
        <f t="shared" si="12"/>
        <v>1510</v>
      </c>
      <c r="AH20" s="203">
        <f t="shared" si="36"/>
        <v>151</v>
      </c>
      <c r="AI20" s="203">
        <f t="shared" si="13"/>
        <v>1510</v>
      </c>
      <c r="AJ20" s="203">
        <f t="shared" si="37"/>
        <v>151</v>
      </c>
      <c r="AK20" s="203">
        <f t="shared" si="14"/>
        <v>1510</v>
      </c>
      <c r="AL20" s="203">
        <f t="shared" si="38"/>
        <v>151</v>
      </c>
      <c r="AM20" s="203">
        <f t="shared" si="15"/>
        <v>1510</v>
      </c>
      <c r="AN20" s="35">
        <f t="shared" si="16"/>
        <v>0.53928571428571426</v>
      </c>
      <c r="AO20" s="36">
        <f t="shared" si="17"/>
        <v>10570</v>
      </c>
      <c r="AQ20" s="223">
        <f t="shared" si="39"/>
        <v>0.48027910494887344</v>
      </c>
      <c r="AR20" s="38">
        <f t="shared" si="45"/>
        <v>44651.548387096766</v>
      </c>
      <c r="AS20" s="197">
        <f t="shared" si="47"/>
        <v>0</v>
      </c>
      <c r="AT20" s="348"/>
      <c r="AU20" s="570"/>
      <c r="AV20" s="500">
        <f t="shared" si="46"/>
        <v>0.59399999999999997</v>
      </c>
      <c r="AW20" s="285">
        <f>-SUM('B5'!AI19)</f>
        <v>0</v>
      </c>
      <c r="AX20" s="285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'!D19</f>
        <v>0</v>
      </c>
      <c r="BB20" s="386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5">
        <f>ELEC!C19</f>
        <v>44485</v>
      </c>
      <c r="B21">
        <f>'B5'!B20</f>
        <v>144</v>
      </c>
      <c r="C21" s="203">
        <f t="shared" si="20"/>
        <v>3098.322580645161</v>
      </c>
      <c r="D21">
        <f t="shared" si="21"/>
        <v>144</v>
      </c>
      <c r="E21" s="203">
        <f t="shared" si="20"/>
        <v>3098.322580645161</v>
      </c>
      <c r="F21">
        <f t="shared" si="22"/>
        <v>144</v>
      </c>
      <c r="G21" s="203">
        <f t="shared" si="1"/>
        <v>3098.322580645161</v>
      </c>
      <c r="H21" s="203">
        <f t="shared" si="23"/>
        <v>144</v>
      </c>
      <c r="I21" s="203">
        <f t="shared" si="2"/>
        <v>3098.322580645161</v>
      </c>
      <c r="J21" s="203">
        <f t="shared" si="24"/>
        <v>144</v>
      </c>
      <c r="K21" s="203">
        <f t="shared" si="3"/>
        <v>3098.322580645161</v>
      </c>
      <c r="L21" s="203">
        <f t="shared" si="25"/>
        <v>144</v>
      </c>
      <c r="M21" s="203">
        <f t="shared" si="4"/>
        <v>3098.322580645161</v>
      </c>
      <c r="N21" s="203">
        <f t="shared" si="26"/>
        <v>144</v>
      </c>
      <c r="O21" s="203">
        <f t="shared" si="5"/>
        <v>3098.322580645161</v>
      </c>
      <c r="P21" s="203">
        <f t="shared" si="27"/>
        <v>144</v>
      </c>
      <c r="Q21" s="203">
        <f t="shared" si="6"/>
        <v>3098.322580645161</v>
      </c>
      <c r="R21" s="203">
        <f t="shared" si="28"/>
        <v>144</v>
      </c>
      <c r="S21" s="203">
        <f t="shared" si="7"/>
        <v>3098.322580645161</v>
      </c>
      <c r="T21" s="203">
        <f t="shared" si="29"/>
        <v>144</v>
      </c>
      <c r="U21" s="203">
        <f t="shared" si="8"/>
        <v>3098.322580645161</v>
      </c>
      <c r="V21" s="203">
        <f t="shared" si="30"/>
        <v>144</v>
      </c>
      <c r="W21" s="203">
        <f t="shared" si="9"/>
        <v>3098.322580645161</v>
      </c>
      <c r="X21" s="35">
        <f t="shared" si="10"/>
        <v>0.46451612903225792</v>
      </c>
      <c r="Y21" s="36">
        <f t="shared" si="31"/>
        <v>34081.548387096766</v>
      </c>
      <c r="Z21" s="203">
        <f>'B5'!C20</f>
        <v>151</v>
      </c>
      <c r="AA21" s="203">
        <f t="shared" si="32"/>
        <v>1510</v>
      </c>
      <c r="AB21" s="203">
        <f t="shared" si="33"/>
        <v>151</v>
      </c>
      <c r="AC21" s="203">
        <f t="shared" si="32"/>
        <v>1510</v>
      </c>
      <c r="AD21" s="203">
        <f t="shared" si="34"/>
        <v>151</v>
      </c>
      <c r="AE21" s="203">
        <f t="shared" si="11"/>
        <v>1510</v>
      </c>
      <c r="AF21" s="203">
        <f t="shared" si="35"/>
        <v>151</v>
      </c>
      <c r="AG21" s="203">
        <f t="shared" si="12"/>
        <v>1510</v>
      </c>
      <c r="AH21" s="203">
        <f t="shared" si="36"/>
        <v>151</v>
      </c>
      <c r="AI21" s="203">
        <f t="shared" si="13"/>
        <v>1510</v>
      </c>
      <c r="AJ21" s="203">
        <f t="shared" si="37"/>
        <v>151</v>
      </c>
      <c r="AK21" s="203">
        <f t="shared" si="14"/>
        <v>1510</v>
      </c>
      <c r="AL21" s="203">
        <f t="shared" si="38"/>
        <v>151</v>
      </c>
      <c r="AM21" s="203">
        <f t="shared" si="15"/>
        <v>1510</v>
      </c>
      <c r="AN21" s="35">
        <f t="shared" si="16"/>
        <v>0.53928571428571426</v>
      </c>
      <c r="AO21" s="36">
        <f t="shared" si="17"/>
        <v>10570</v>
      </c>
      <c r="AQ21" s="223">
        <f t="shared" si="39"/>
        <v>0.48027910494887344</v>
      </c>
      <c r="AR21" s="38">
        <f t="shared" si="45"/>
        <v>44651.548387096766</v>
      </c>
      <c r="AS21" s="197">
        <f t="shared" si="47"/>
        <v>0</v>
      </c>
      <c r="AT21" s="348"/>
      <c r="AU21" s="570"/>
      <c r="AV21" s="500">
        <f t="shared" si="46"/>
        <v>0.59399999999999997</v>
      </c>
      <c r="AW21" s="285">
        <f>-SUM('B5'!AI20)</f>
        <v>0</v>
      </c>
      <c r="AX21" s="285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'!D20</f>
        <v>0</v>
      </c>
      <c r="BB21" s="386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5">
        <f>ELEC!C20</f>
        <v>44486</v>
      </c>
      <c r="B22">
        <f>'B5'!B21</f>
        <v>144</v>
      </c>
      <c r="C22" s="203">
        <f t="shared" si="20"/>
        <v>3098.322580645161</v>
      </c>
      <c r="D22">
        <f t="shared" si="21"/>
        <v>144</v>
      </c>
      <c r="E22" s="203">
        <f t="shared" si="20"/>
        <v>3098.322580645161</v>
      </c>
      <c r="F22">
        <f t="shared" si="22"/>
        <v>144</v>
      </c>
      <c r="G22" s="203">
        <f t="shared" si="1"/>
        <v>3098.322580645161</v>
      </c>
      <c r="H22" s="203">
        <f t="shared" si="23"/>
        <v>144</v>
      </c>
      <c r="I22" s="203">
        <f t="shared" si="2"/>
        <v>3098.322580645161</v>
      </c>
      <c r="J22" s="203">
        <f t="shared" si="24"/>
        <v>144</v>
      </c>
      <c r="K22" s="203">
        <f t="shared" si="3"/>
        <v>3098.322580645161</v>
      </c>
      <c r="L22" s="203">
        <f t="shared" si="25"/>
        <v>144</v>
      </c>
      <c r="M22" s="203">
        <f t="shared" si="4"/>
        <v>3098.322580645161</v>
      </c>
      <c r="N22" s="203">
        <f t="shared" si="26"/>
        <v>144</v>
      </c>
      <c r="O22" s="203">
        <f t="shared" si="5"/>
        <v>3098.322580645161</v>
      </c>
      <c r="P22" s="203">
        <f t="shared" si="27"/>
        <v>144</v>
      </c>
      <c r="Q22" s="203">
        <f t="shared" si="6"/>
        <v>3098.322580645161</v>
      </c>
      <c r="R22" s="203">
        <f t="shared" si="28"/>
        <v>144</v>
      </c>
      <c r="S22" s="203">
        <f t="shared" si="7"/>
        <v>3098.322580645161</v>
      </c>
      <c r="T22" s="203">
        <f t="shared" si="29"/>
        <v>144</v>
      </c>
      <c r="U22" s="203">
        <f t="shared" si="8"/>
        <v>3098.322580645161</v>
      </c>
      <c r="V22" s="203">
        <f t="shared" si="30"/>
        <v>144</v>
      </c>
      <c r="W22" s="203">
        <f t="shared" si="9"/>
        <v>3098.322580645161</v>
      </c>
      <c r="X22" s="35">
        <f t="shared" si="10"/>
        <v>0.46451612903225792</v>
      </c>
      <c r="Y22" s="36">
        <f t="shared" si="31"/>
        <v>34081.548387096766</v>
      </c>
      <c r="Z22" s="203">
        <f>'B5'!C21</f>
        <v>151</v>
      </c>
      <c r="AA22" s="203">
        <f t="shared" si="32"/>
        <v>1510</v>
      </c>
      <c r="AB22" s="203">
        <f t="shared" si="33"/>
        <v>151</v>
      </c>
      <c r="AC22" s="203">
        <f t="shared" si="32"/>
        <v>1510</v>
      </c>
      <c r="AD22" s="203">
        <f t="shared" si="34"/>
        <v>151</v>
      </c>
      <c r="AE22" s="203">
        <f t="shared" si="11"/>
        <v>1510</v>
      </c>
      <c r="AF22" s="203">
        <f t="shared" si="35"/>
        <v>151</v>
      </c>
      <c r="AG22" s="203">
        <f t="shared" si="12"/>
        <v>1510</v>
      </c>
      <c r="AH22" s="203">
        <f t="shared" si="36"/>
        <v>151</v>
      </c>
      <c r="AI22" s="203">
        <f t="shared" si="13"/>
        <v>1510</v>
      </c>
      <c r="AJ22" s="203">
        <f t="shared" si="37"/>
        <v>151</v>
      </c>
      <c r="AK22" s="203">
        <f t="shared" si="14"/>
        <v>1510</v>
      </c>
      <c r="AL22" s="203">
        <f t="shared" si="38"/>
        <v>151</v>
      </c>
      <c r="AM22" s="203">
        <f t="shared" si="15"/>
        <v>1510</v>
      </c>
      <c r="AN22" s="35">
        <f t="shared" si="16"/>
        <v>0.53928571428571426</v>
      </c>
      <c r="AO22" s="36">
        <f t="shared" si="17"/>
        <v>10570</v>
      </c>
      <c r="AQ22" s="223">
        <f t="shared" si="39"/>
        <v>0.48027910494887344</v>
      </c>
      <c r="AR22" s="38">
        <f t="shared" si="45"/>
        <v>44651.548387096766</v>
      </c>
      <c r="AS22" s="197">
        <f t="shared" si="47"/>
        <v>0</v>
      </c>
      <c r="AT22" s="348"/>
      <c r="AU22" s="570"/>
      <c r="AV22" s="500">
        <f t="shared" si="43"/>
        <v>0.59399999999999997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'!D21</f>
        <v>0</v>
      </c>
      <c r="BB22" s="386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2394.1856540083568</v>
      </c>
      <c r="BF22" s="14"/>
      <c r="BG22" s="14" t="e">
        <f>#REF!-BE22</f>
        <v>#REF!</v>
      </c>
      <c r="BH22" s="11"/>
    </row>
    <row r="23" spans="1:64">
      <c r="A23" s="435">
        <f>ELEC!C21</f>
        <v>44487</v>
      </c>
      <c r="B23">
        <f>'B5'!B22</f>
        <v>133.5</v>
      </c>
      <c r="C23" s="203">
        <f t="shared" si="20"/>
        <v>2872.4032258064517</v>
      </c>
      <c r="D23">
        <f t="shared" si="21"/>
        <v>133.5</v>
      </c>
      <c r="E23" s="203">
        <f t="shared" si="20"/>
        <v>2872.4032258064517</v>
      </c>
      <c r="F23">
        <f t="shared" si="22"/>
        <v>133.5</v>
      </c>
      <c r="G23" s="203">
        <f t="shared" si="1"/>
        <v>2872.4032258064517</v>
      </c>
      <c r="H23" s="203">
        <f t="shared" si="23"/>
        <v>133.5</v>
      </c>
      <c r="I23" s="203">
        <f t="shared" si="2"/>
        <v>2872.4032258064517</v>
      </c>
      <c r="J23" s="203">
        <f t="shared" si="24"/>
        <v>133.5</v>
      </c>
      <c r="K23" s="203">
        <f t="shared" si="3"/>
        <v>2872.4032258064517</v>
      </c>
      <c r="L23" s="203">
        <f t="shared" si="25"/>
        <v>133.5</v>
      </c>
      <c r="M23" s="203">
        <f t="shared" si="4"/>
        <v>2872.4032258064517</v>
      </c>
      <c r="N23" s="203">
        <f t="shared" si="26"/>
        <v>133.5</v>
      </c>
      <c r="O23" s="203">
        <f t="shared" si="5"/>
        <v>2872.4032258064517</v>
      </c>
      <c r="P23" s="203">
        <f t="shared" si="27"/>
        <v>133.5</v>
      </c>
      <c r="Q23" s="203">
        <f t="shared" si="6"/>
        <v>2872.4032258064517</v>
      </c>
      <c r="R23" s="203">
        <f t="shared" si="28"/>
        <v>133.5</v>
      </c>
      <c r="S23" s="203">
        <f t="shared" si="7"/>
        <v>2872.4032258064517</v>
      </c>
      <c r="T23" s="203">
        <f t="shared" si="29"/>
        <v>133.5</v>
      </c>
      <c r="U23" s="203">
        <f t="shared" si="8"/>
        <v>2872.4032258064517</v>
      </c>
      <c r="V23" s="203">
        <f t="shared" si="30"/>
        <v>133.5</v>
      </c>
      <c r="W23" s="203">
        <f t="shared" si="9"/>
        <v>2872.4032258064517</v>
      </c>
      <c r="X23" s="35">
        <f t="shared" si="10"/>
        <v>0.43064516129032249</v>
      </c>
      <c r="Y23" s="36">
        <f t="shared" si="31"/>
        <v>31596.435483870962</v>
      </c>
      <c r="Z23" s="203">
        <f>'B5'!C22</f>
        <v>140</v>
      </c>
      <c r="AA23" s="203">
        <f t="shared" si="32"/>
        <v>1400</v>
      </c>
      <c r="AB23" s="203">
        <f t="shared" si="33"/>
        <v>140</v>
      </c>
      <c r="AC23" s="203">
        <f t="shared" si="32"/>
        <v>1400</v>
      </c>
      <c r="AD23" s="203">
        <f t="shared" si="34"/>
        <v>140</v>
      </c>
      <c r="AE23" s="203">
        <f t="shared" si="11"/>
        <v>1400</v>
      </c>
      <c r="AF23" s="203">
        <f t="shared" si="35"/>
        <v>140</v>
      </c>
      <c r="AG23" s="203">
        <f t="shared" si="12"/>
        <v>1400</v>
      </c>
      <c r="AH23" s="203">
        <f t="shared" si="36"/>
        <v>140</v>
      </c>
      <c r="AI23" s="203">
        <f t="shared" si="13"/>
        <v>1400</v>
      </c>
      <c r="AJ23" s="203">
        <f t="shared" si="37"/>
        <v>140</v>
      </c>
      <c r="AK23" s="203">
        <f t="shared" si="14"/>
        <v>1400</v>
      </c>
      <c r="AL23" s="203">
        <f t="shared" si="38"/>
        <v>140</v>
      </c>
      <c r="AM23" s="203">
        <f t="shared" si="15"/>
        <v>1400</v>
      </c>
      <c r="AN23" s="35">
        <f t="shared" si="16"/>
        <v>0.5</v>
      </c>
      <c r="AO23" s="36">
        <f t="shared" si="17"/>
        <v>9800</v>
      </c>
      <c r="AQ23" s="223">
        <f t="shared" si="39"/>
        <v>0.44526659657815382</v>
      </c>
      <c r="AR23" s="38">
        <f t="shared" si="45"/>
        <v>41396.435483870962</v>
      </c>
      <c r="AS23" s="197">
        <f t="shared" si="47"/>
        <v>-3255.1129032258032</v>
      </c>
      <c r="AT23" s="348"/>
      <c r="AU23" s="570"/>
      <c r="AV23" s="500">
        <f t="shared" si="43"/>
        <v>0.59399999999999997</v>
      </c>
      <c r="AW23" s="285">
        <f>-SUM('B5'!AI22)</f>
        <v>-120</v>
      </c>
      <c r="AX23" s="285">
        <f t="shared" si="19"/>
        <v>-3135.1129032258032</v>
      </c>
      <c r="AY23" s="37">
        <f t="shared" si="40"/>
        <v>-3255.1129032258032</v>
      </c>
      <c r="AZ23" s="100">
        <f>ELEC!A21</f>
        <v>0</v>
      </c>
      <c r="BA23" s="118">
        <f>'General information '!D22</f>
        <v>24</v>
      </c>
      <c r="BB23" s="386">
        <f>SUM('General information '!E22)</f>
        <v>0.59</v>
      </c>
      <c r="BC23" s="3">
        <f t="shared" si="44"/>
        <v>0</v>
      </c>
      <c r="BD23" s="102">
        <v>19222</v>
      </c>
      <c r="BE23" s="14">
        <f>(305/1185)*ELEC!Q22</f>
        <v>1712.375527425756</v>
      </c>
      <c r="BF23" s="14"/>
      <c r="BG23" s="14" t="e">
        <f>#REF!-BE23</f>
        <v>#REF!</v>
      </c>
      <c r="BH23" s="11"/>
    </row>
    <row r="24" spans="1:64">
      <c r="A24" s="435">
        <f>ELEC!C22</f>
        <v>44488</v>
      </c>
      <c r="B24">
        <f>'B5'!B23</f>
        <v>126</v>
      </c>
      <c r="C24" s="203">
        <f t="shared" si="20"/>
        <v>2711.0322580645161</v>
      </c>
      <c r="D24">
        <f t="shared" si="21"/>
        <v>126</v>
      </c>
      <c r="E24" s="203">
        <f t="shared" si="20"/>
        <v>2711.0322580645161</v>
      </c>
      <c r="F24">
        <f t="shared" si="22"/>
        <v>126</v>
      </c>
      <c r="G24" s="203">
        <f t="shared" si="1"/>
        <v>2711.0322580645161</v>
      </c>
      <c r="H24" s="203">
        <f t="shared" si="23"/>
        <v>126</v>
      </c>
      <c r="I24" s="203">
        <f t="shared" si="2"/>
        <v>2711.0322580645161</v>
      </c>
      <c r="J24" s="203">
        <f t="shared" si="24"/>
        <v>126</v>
      </c>
      <c r="K24" s="203">
        <f t="shared" si="3"/>
        <v>2711.0322580645161</v>
      </c>
      <c r="L24" s="203">
        <f t="shared" si="25"/>
        <v>126</v>
      </c>
      <c r="M24" s="203">
        <f t="shared" si="4"/>
        <v>2711.0322580645161</v>
      </c>
      <c r="N24" s="203">
        <f t="shared" si="26"/>
        <v>126</v>
      </c>
      <c r="O24" s="203">
        <f t="shared" si="5"/>
        <v>2711.0322580645161</v>
      </c>
      <c r="P24" s="203">
        <f t="shared" si="27"/>
        <v>126</v>
      </c>
      <c r="Q24" s="203">
        <f t="shared" si="6"/>
        <v>2711.0322580645161</v>
      </c>
      <c r="R24" s="203">
        <f t="shared" si="28"/>
        <v>126</v>
      </c>
      <c r="S24" s="203">
        <f t="shared" si="7"/>
        <v>2711.0322580645161</v>
      </c>
      <c r="T24" s="203">
        <f t="shared" si="29"/>
        <v>126</v>
      </c>
      <c r="U24" s="203">
        <f t="shared" si="8"/>
        <v>2711.0322580645161</v>
      </c>
      <c r="V24" s="203">
        <f t="shared" si="30"/>
        <v>126</v>
      </c>
      <c r="W24" s="203">
        <f t="shared" si="9"/>
        <v>2711.0322580645161</v>
      </c>
      <c r="X24" s="35">
        <f t="shared" si="10"/>
        <v>0.40645161290322573</v>
      </c>
      <c r="Y24" s="36">
        <f t="shared" si="31"/>
        <v>29821.354838709671</v>
      </c>
      <c r="Z24" s="203">
        <f>'B5'!C23</f>
        <v>133</v>
      </c>
      <c r="AA24" s="203">
        <f t="shared" si="32"/>
        <v>1330</v>
      </c>
      <c r="AB24" s="203">
        <f t="shared" si="33"/>
        <v>133</v>
      </c>
      <c r="AC24" s="203">
        <f t="shared" si="32"/>
        <v>1330</v>
      </c>
      <c r="AD24" s="203">
        <f t="shared" si="34"/>
        <v>133</v>
      </c>
      <c r="AE24" s="203">
        <f t="shared" si="11"/>
        <v>1330</v>
      </c>
      <c r="AF24" s="203">
        <f t="shared" si="35"/>
        <v>133</v>
      </c>
      <c r="AG24" s="203">
        <f t="shared" si="12"/>
        <v>1330</v>
      </c>
      <c r="AH24" s="203">
        <f t="shared" si="36"/>
        <v>133</v>
      </c>
      <c r="AI24" s="203">
        <f t="shared" si="13"/>
        <v>1330</v>
      </c>
      <c r="AJ24" s="203">
        <f t="shared" si="37"/>
        <v>133</v>
      </c>
      <c r="AK24" s="203">
        <f t="shared" si="14"/>
        <v>1330</v>
      </c>
      <c r="AL24" s="203">
        <f t="shared" si="38"/>
        <v>133</v>
      </c>
      <c r="AM24" s="203">
        <f t="shared" si="15"/>
        <v>1330</v>
      </c>
      <c r="AN24" s="35">
        <f t="shared" si="16"/>
        <v>0.47499999999999998</v>
      </c>
      <c r="AO24" s="36">
        <f t="shared" si="17"/>
        <v>9310</v>
      </c>
      <c r="AQ24" s="223">
        <f t="shared" si="39"/>
        <v>0.42090303150166364</v>
      </c>
      <c r="AR24" s="38">
        <f t="shared" si="45"/>
        <v>39131.354838709667</v>
      </c>
      <c r="AS24" s="197">
        <f t="shared" si="47"/>
        <v>-2265.0806451612953</v>
      </c>
      <c r="AT24" s="348"/>
      <c r="AU24" s="570"/>
      <c r="AV24" s="500">
        <f t="shared" si="43"/>
        <v>0.59399999999999997</v>
      </c>
      <c r="AW24" s="285">
        <f>-SUM('B5'!AI23)</f>
        <v>-127</v>
      </c>
      <c r="AX24" s="285">
        <f t="shared" si="19"/>
        <v>-2138.0806451612953</v>
      </c>
      <c r="AY24" s="37">
        <f t="shared" si="40"/>
        <v>-2265.0806451612953</v>
      </c>
      <c r="AZ24" s="100">
        <f>ELEC!A22</f>
        <v>0</v>
      </c>
      <c r="BA24" s="118">
        <f>'General information '!D23</f>
        <v>24</v>
      </c>
      <c r="BB24" s="386">
        <f>SUM('General information '!E23)</f>
        <v>0.62</v>
      </c>
      <c r="BC24" s="3">
        <f t="shared" si="44"/>
        <v>0</v>
      </c>
      <c r="BD24" s="102">
        <v>19222</v>
      </c>
      <c r="BE24" s="14">
        <f>(305/1185)*ELEC!Q23</f>
        <v>1535.0379746835295</v>
      </c>
      <c r="BF24" s="14"/>
      <c r="BG24" s="14" t="e">
        <f>#REF!-BE24</f>
        <v>#REF!</v>
      </c>
      <c r="BH24" s="11"/>
      <c r="BI24" t="s">
        <v>322</v>
      </c>
    </row>
    <row r="25" spans="1:64">
      <c r="A25" s="435">
        <f>ELEC!C23</f>
        <v>44489</v>
      </c>
      <c r="B25">
        <f>'B5'!B24</f>
        <v>119</v>
      </c>
      <c r="C25" s="203">
        <f t="shared" si="20"/>
        <v>2560.4193548387098</v>
      </c>
      <c r="D25">
        <f t="shared" si="21"/>
        <v>119</v>
      </c>
      <c r="E25" s="203">
        <f t="shared" si="20"/>
        <v>2560.4193548387098</v>
      </c>
      <c r="F25">
        <f t="shared" si="22"/>
        <v>119</v>
      </c>
      <c r="G25" s="203">
        <f t="shared" si="1"/>
        <v>2560.4193548387098</v>
      </c>
      <c r="H25" s="203">
        <f t="shared" si="23"/>
        <v>119</v>
      </c>
      <c r="I25" s="203">
        <f t="shared" si="2"/>
        <v>2560.4193548387098</v>
      </c>
      <c r="J25" s="203">
        <f t="shared" si="24"/>
        <v>119</v>
      </c>
      <c r="K25" s="203">
        <f t="shared" si="3"/>
        <v>2560.4193548387098</v>
      </c>
      <c r="L25" s="203">
        <f t="shared" si="25"/>
        <v>119</v>
      </c>
      <c r="M25" s="203">
        <f t="shared" si="4"/>
        <v>2560.4193548387098</v>
      </c>
      <c r="N25" s="203">
        <f t="shared" si="26"/>
        <v>119</v>
      </c>
      <c r="O25" s="203">
        <f t="shared" si="5"/>
        <v>2560.4193548387098</v>
      </c>
      <c r="P25" s="203">
        <f t="shared" si="27"/>
        <v>119</v>
      </c>
      <c r="Q25" s="203">
        <f t="shared" si="6"/>
        <v>2560.4193548387098</v>
      </c>
      <c r="R25" s="203">
        <f t="shared" si="28"/>
        <v>119</v>
      </c>
      <c r="S25" s="203">
        <f t="shared" si="7"/>
        <v>2560.4193548387098</v>
      </c>
      <c r="T25" s="203">
        <f t="shared" si="29"/>
        <v>119</v>
      </c>
      <c r="U25" s="203">
        <f t="shared" si="8"/>
        <v>2560.4193548387098</v>
      </c>
      <c r="V25" s="203">
        <f t="shared" si="30"/>
        <v>119</v>
      </c>
      <c r="W25" s="203">
        <f t="shared" si="9"/>
        <v>2560.4193548387098</v>
      </c>
      <c r="X25" s="35">
        <f t="shared" si="10"/>
        <v>0.38387096774193546</v>
      </c>
      <c r="Y25" s="36">
        <f t="shared" si="31"/>
        <v>28164.612903225803</v>
      </c>
      <c r="Z25" s="203">
        <f>'B5'!C24</f>
        <v>126</v>
      </c>
      <c r="AA25" s="203">
        <f t="shared" si="32"/>
        <v>1260</v>
      </c>
      <c r="AB25" s="203">
        <f t="shared" si="33"/>
        <v>126</v>
      </c>
      <c r="AC25" s="203">
        <f t="shared" si="32"/>
        <v>1260</v>
      </c>
      <c r="AD25" s="203">
        <f t="shared" si="34"/>
        <v>126</v>
      </c>
      <c r="AE25" s="203">
        <f t="shared" si="11"/>
        <v>1260</v>
      </c>
      <c r="AF25" s="203">
        <f t="shared" si="35"/>
        <v>126</v>
      </c>
      <c r="AG25" s="203">
        <f t="shared" si="12"/>
        <v>1260</v>
      </c>
      <c r="AH25" s="203">
        <f t="shared" si="36"/>
        <v>126</v>
      </c>
      <c r="AI25" s="203">
        <f t="shared" si="13"/>
        <v>1260</v>
      </c>
      <c r="AJ25" s="203">
        <f t="shared" si="37"/>
        <v>126</v>
      </c>
      <c r="AK25" s="203">
        <f t="shared" si="14"/>
        <v>1260</v>
      </c>
      <c r="AL25" s="203">
        <f t="shared" si="38"/>
        <v>126</v>
      </c>
      <c r="AM25" s="203">
        <f t="shared" si="15"/>
        <v>1260</v>
      </c>
      <c r="AN25" s="35">
        <f t="shared" si="16"/>
        <v>0.45</v>
      </c>
      <c r="AO25" s="36">
        <f t="shared" si="17"/>
        <v>8820</v>
      </c>
      <c r="AQ25" s="223">
        <f t="shared" si="39"/>
        <v>0.3978123362721932</v>
      </c>
      <c r="AR25" s="38">
        <f t="shared" si="45"/>
        <v>36984.612903225803</v>
      </c>
      <c r="AS25" s="197">
        <f t="shared" si="47"/>
        <v>-2146.7419354838639</v>
      </c>
      <c r="AT25" s="348"/>
      <c r="AU25" s="571"/>
      <c r="AV25" s="500">
        <f t="shared" si="43"/>
        <v>0.59399999999999997</v>
      </c>
      <c r="AW25" s="285">
        <f>-SUM('B5'!AI24)</f>
        <v>0</v>
      </c>
      <c r="AX25" s="285">
        <f t="shared" si="19"/>
        <v>-2146.7419354838639</v>
      </c>
      <c r="AY25" s="37">
        <f t="shared" si="40"/>
        <v>-2146.7419354838639</v>
      </c>
      <c r="AZ25" s="100">
        <f>ELEC!A23</f>
        <v>0</v>
      </c>
      <c r="BA25" s="118">
        <f>'General information '!D24</f>
        <v>23.5</v>
      </c>
      <c r="BB25" s="386">
        <f>SUM('General information '!E24)</f>
        <v>0.46</v>
      </c>
      <c r="BC25" s="3">
        <f t="shared" si="44"/>
        <v>0</v>
      </c>
      <c r="BD25" s="102">
        <v>19222</v>
      </c>
      <c r="BE25" s="14">
        <f>(305/1185)*ELEC!Q24</f>
        <v>1647.7721518992137</v>
      </c>
      <c r="BF25" s="14"/>
      <c r="BG25" s="14" t="e">
        <f>#REF!-BE25</f>
        <v>#REF!</v>
      </c>
      <c r="BH25" s="11"/>
    </row>
    <row r="26" spans="1:64">
      <c r="A26" s="435">
        <f>ELEC!C24</f>
        <v>44490</v>
      </c>
      <c r="B26">
        <f>'B5'!B25</f>
        <v>112</v>
      </c>
      <c r="C26" s="203">
        <f t="shared" si="20"/>
        <v>2409.8064516129034</v>
      </c>
      <c r="D26">
        <f t="shared" si="21"/>
        <v>112</v>
      </c>
      <c r="E26" s="203">
        <f t="shared" si="20"/>
        <v>2409.8064516129034</v>
      </c>
      <c r="F26">
        <f t="shared" si="22"/>
        <v>112</v>
      </c>
      <c r="G26" s="203">
        <f t="shared" si="1"/>
        <v>2409.8064516129034</v>
      </c>
      <c r="H26" s="203">
        <f t="shared" si="23"/>
        <v>112</v>
      </c>
      <c r="I26" s="203">
        <f t="shared" si="2"/>
        <v>2409.8064516129034</v>
      </c>
      <c r="J26" s="203">
        <f t="shared" si="24"/>
        <v>112</v>
      </c>
      <c r="K26" s="203">
        <f t="shared" si="3"/>
        <v>2409.8064516129034</v>
      </c>
      <c r="L26" s="203">
        <f t="shared" si="25"/>
        <v>112</v>
      </c>
      <c r="M26" s="203">
        <f t="shared" si="4"/>
        <v>2409.8064516129034</v>
      </c>
      <c r="N26" s="203">
        <f t="shared" si="26"/>
        <v>112</v>
      </c>
      <c r="O26" s="203">
        <f t="shared" si="5"/>
        <v>2409.8064516129034</v>
      </c>
      <c r="P26" s="203">
        <f t="shared" si="27"/>
        <v>112</v>
      </c>
      <c r="Q26" s="203">
        <f t="shared" si="6"/>
        <v>2409.8064516129034</v>
      </c>
      <c r="R26" s="203">
        <f t="shared" si="28"/>
        <v>112</v>
      </c>
      <c r="S26" s="203">
        <f t="shared" si="7"/>
        <v>2409.8064516129034</v>
      </c>
      <c r="T26" s="203">
        <f t="shared" si="29"/>
        <v>112</v>
      </c>
      <c r="U26" s="203">
        <f t="shared" si="8"/>
        <v>2409.8064516129034</v>
      </c>
      <c r="V26" s="203">
        <f t="shared" si="30"/>
        <v>112</v>
      </c>
      <c r="W26" s="203">
        <f t="shared" si="9"/>
        <v>2409.8064516129034</v>
      </c>
      <c r="X26" s="35">
        <f t="shared" si="10"/>
        <v>0.36129032258064514</v>
      </c>
      <c r="Y26" s="36">
        <f t="shared" si="31"/>
        <v>26507.870967741932</v>
      </c>
      <c r="Z26" s="203">
        <f>'B5'!C25</f>
        <v>119</v>
      </c>
      <c r="AA26" s="203">
        <f t="shared" si="32"/>
        <v>1190</v>
      </c>
      <c r="AB26" s="203">
        <f t="shared" si="33"/>
        <v>119</v>
      </c>
      <c r="AC26" s="203">
        <f t="shared" si="32"/>
        <v>1190</v>
      </c>
      <c r="AD26" s="203">
        <f t="shared" si="34"/>
        <v>119</v>
      </c>
      <c r="AE26" s="203">
        <f t="shared" si="11"/>
        <v>1190</v>
      </c>
      <c r="AF26" s="203">
        <f t="shared" si="35"/>
        <v>119</v>
      </c>
      <c r="AG26" s="203">
        <f t="shared" si="12"/>
        <v>1190</v>
      </c>
      <c r="AH26" s="203">
        <f t="shared" si="36"/>
        <v>119</v>
      </c>
      <c r="AI26" s="203">
        <f t="shared" si="13"/>
        <v>1190</v>
      </c>
      <c r="AJ26" s="203">
        <f t="shared" si="37"/>
        <v>119</v>
      </c>
      <c r="AK26" s="203">
        <f t="shared" si="14"/>
        <v>1190</v>
      </c>
      <c r="AL26" s="203">
        <f t="shared" si="38"/>
        <v>119</v>
      </c>
      <c r="AM26" s="203">
        <f t="shared" si="15"/>
        <v>1190</v>
      </c>
      <c r="AN26" s="35">
        <f t="shared" si="16"/>
        <v>0.42499999999999999</v>
      </c>
      <c r="AO26" s="36">
        <f t="shared" si="17"/>
        <v>8330</v>
      </c>
      <c r="AQ26" s="223">
        <f t="shared" si="39"/>
        <v>0.37472164104272271</v>
      </c>
      <c r="AR26" s="38">
        <f t="shared" si="45"/>
        <v>34837.870967741932</v>
      </c>
      <c r="AS26" s="197">
        <f t="shared" si="47"/>
        <v>-2146.7419354838712</v>
      </c>
      <c r="AT26" s="348"/>
      <c r="AU26" s="570"/>
      <c r="AV26" s="500">
        <f t="shared" si="43"/>
        <v>0.59399999999999997</v>
      </c>
      <c r="AW26" s="285">
        <f>-SUM('B5'!AI25)</f>
        <v>-126</v>
      </c>
      <c r="AX26" s="285">
        <f t="shared" si="19"/>
        <v>-2020.7419354838712</v>
      </c>
      <c r="AY26" s="37">
        <f t="shared" si="40"/>
        <v>-2146.7419354838712</v>
      </c>
      <c r="AZ26" s="100">
        <f>ELEC!A24</f>
        <v>0</v>
      </c>
      <c r="BA26" s="118">
        <f>'General information '!D25</f>
        <v>24</v>
      </c>
      <c r="BB26" s="386">
        <f>SUM('General information '!E25)</f>
        <v>0.48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5">
        <f>ELEC!C25</f>
        <v>44491</v>
      </c>
      <c r="B27">
        <f>'B5'!B26</f>
        <v>112</v>
      </c>
      <c r="C27" s="203">
        <f t="shared" si="20"/>
        <v>2409.8064516129034</v>
      </c>
      <c r="D27">
        <f t="shared" si="21"/>
        <v>112</v>
      </c>
      <c r="E27" s="203">
        <f t="shared" si="20"/>
        <v>2409.8064516129034</v>
      </c>
      <c r="F27">
        <f t="shared" si="22"/>
        <v>112</v>
      </c>
      <c r="G27" s="203">
        <f t="shared" si="1"/>
        <v>2409.8064516129034</v>
      </c>
      <c r="H27" s="203">
        <f t="shared" si="23"/>
        <v>112</v>
      </c>
      <c r="I27" s="203">
        <f t="shared" si="2"/>
        <v>2409.8064516129034</v>
      </c>
      <c r="J27" s="203">
        <f t="shared" si="24"/>
        <v>112</v>
      </c>
      <c r="K27" s="203">
        <f t="shared" si="3"/>
        <v>2409.8064516129034</v>
      </c>
      <c r="L27" s="203">
        <f t="shared" si="25"/>
        <v>112</v>
      </c>
      <c r="M27" s="203">
        <f t="shared" si="4"/>
        <v>2409.8064516129034</v>
      </c>
      <c r="N27" s="203">
        <f t="shared" si="26"/>
        <v>112</v>
      </c>
      <c r="O27" s="203">
        <f t="shared" si="5"/>
        <v>2409.8064516129034</v>
      </c>
      <c r="P27" s="203">
        <f t="shared" si="27"/>
        <v>112</v>
      </c>
      <c r="Q27" s="203">
        <f t="shared" si="6"/>
        <v>2409.8064516129034</v>
      </c>
      <c r="R27" s="203">
        <f t="shared" si="28"/>
        <v>112</v>
      </c>
      <c r="S27" s="203">
        <f t="shared" si="7"/>
        <v>2409.8064516129034</v>
      </c>
      <c r="T27" s="203">
        <f t="shared" si="29"/>
        <v>112</v>
      </c>
      <c r="U27" s="203">
        <f t="shared" si="8"/>
        <v>2409.8064516129034</v>
      </c>
      <c r="V27" s="203">
        <f t="shared" si="30"/>
        <v>112</v>
      </c>
      <c r="W27" s="203">
        <f t="shared" si="9"/>
        <v>2409.8064516129034</v>
      </c>
      <c r="X27" s="35">
        <f t="shared" si="10"/>
        <v>0.36129032258064514</v>
      </c>
      <c r="Y27" s="36">
        <f t="shared" si="31"/>
        <v>26507.870967741932</v>
      </c>
      <c r="Z27" s="203">
        <f>'B5'!C26</f>
        <v>119</v>
      </c>
      <c r="AA27" s="203">
        <f t="shared" si="32"/>
        <v>1190</v>
      </c>
      <c r="AB27" s="203">
        <f t="shared" si="33"/>
        <v>119</v>
      </c>
      <c r="AC27" s="203">
        <f t="shared" si="32"/>
        <v>1190</v>
      </c>
      <c r="AD27" s="203">
        <f t="shared" si="34"/>
        <v>119</v>
      </c>
      <c r="AE27" s="203">
        <f t="shared" si="11"/>
        <v>1190</v>
      </c>
      <c r="AF27" s="203">
        <f t="shared" si="35"/>
        <v>119</v>
      </c>
      <c r="AG27" s="203">
        <f t="shared" si="12"/>
        <v>1190</v>
      </c>
      <c r="AH27" s="203">
        <f t="shared" si="36"/>
        <v>119</v>
      </c>
      <c r="AI27" s="203">
        <f t="shared" si="13"/>
        <v>1190</v>
      </c>
      <c r="AJ27" s="203">
        <f t="shared" si="37"/>
        <v>119</v>
      </c>
      <c r="AK27" s="203">
        <f t="shared" si="14"/>
        <v>1190</v>
      </c>
      <c r="AL27" s="203">
        <f t="shared" si="38"/>
        <v>119</v>
      </c>
      <c r="AM27" s="203">
        <f t="shared" si="15"/>
        <v>1190</v>
      </c>
      <c r="AN27" s="35">
        <f t="shared" si="16"/>
        <v>0.42499999999999999</v>
      </c>
      <c r="AO27" s="36">
        <f t="shared" si="17"/>
        <v>8330</v>
      </c>
      <c r="AQ27" s="223">
        <f t="shared" si="39"/>
        <v>0.37472164104272271</v>
      </c>
      <c r="AR27" s="38">
        <f t="shared" si="45"/>
        <v>34837.870967741932</v>
      </c>
      <c r="AS27" s="197">
        <f t="shared" si="47"/>
        <v>-10355</v>
      </c>
      <c r="AT27" s="348">
        <v>10355</v>
      </c>
      <c r="AU27" s="570">
        <v>0.66</v>
      </c>
      <c r="AV27" s="500">
        <f t="shared" si="43"/>
        <v>0.66</v>
      </c>
      <c r="AW27" s="285">
        <f>-SUM('B5'!AI26)</f>
        <v>0</v>
      </c>
      <c r="AX27" s="285">
        <f t="shared" si="19"/>
        <v>-10355</v>
      </c>
      <c r="AY27" s="37">
        <f t="shared" si="40"/>
        <v>-10355</v>
      </c>
      <c r="AZ27" s="100">
        <f>ELEC!A25</f>
        <v>0</v>
      </c>
      <c r="BA27" s="118">
        <f>'General information '!D26</f>
        <v>0</v>
      </c>
      <c r="BB27" s="38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5">
        <f>ELEC!C26</f>
        <v>44492</v>
      </c>
      <c r="B28">
        <f>'B5'!B27</f>
        <v>112</v>
      </c>
      <c r="C28" s="203">
        <f t="shared" si="20"/>
        <v>2409.8064516129034</v>
      </c>
      <c r="D28">
        <f t="shared" si="21"/>
        <v>112</v>
      </c>
      <c r="E28" s="203">
        <f t="shared" si="20"/>
        <v>2409.8064516129034</v>
      </c>
      <c r="F28">
        <f t="shared" si="22"/>
        <v>112</v>
      </c>
      <c r="G28" s="203">
        <f t="shared" si="1"/>
        <v>2409.8064516129034</v>
      </c>
      <c r="H28" s="203">
        <f t="shared" si="23"/>
        <v>112</v>
      </c>
      <c r="I28" s="203">
        <f t="shared" si="2"/>
        <v>2409.8064516129034</v>
      </c>
      <c r="J28" s="203">
        <f t="shared" si="24"/>
        <v>112</v>
      </c>
      <c r="K28" s="203">
        <f t="shared" si="3"/>
        <v>2409.8064516129034</v>
      </c>
      <c r="L28" s="203">
        <f t="shared" si="25"/>
        <v>112</v>
      </c>
      <c r="M28" s="203">
        <f t="shared" si="4"/>
        <v>2409.8064516129034</v>
      </c>
      <c r="N28" s="203">
        <f t="shared" si="26"/>
        <v>112</v>
      </c>
      <c r="O28" s="203">
        <f t="shared" si="5"/>
        <v>2409.8064516129034</v>
      </c>
      <c r="P28" s="203">
        <f t="shared" si="27"/>
        <v>112</v>
      </c>
      <c r="Q28" s="203">
        <f t="shared" si="6"/>
        <v>2409.8064516129034</v>
      </c>
      <c r="R28" s="203">
        <f t="shared" si="28"/>
        <v>112</v>
      </c>
      <c r="S28" s="203">
        <f t="shared" si="7"/>
        <v>2409.8064516129034</v>
      </c>
      <c r="T28" s="203">
        <f t="shared" si="29"/>
        <v>112</v>
      </c>
      <c r="U28" s="203">
        <f t="shared" si="8"/>
        <v>2409.8064516129034</v>
      </c>
      <c r="V28" s="203">
        <f t="shared" si="30"/>
        <v>112</v>
      </c>
      <c r="W28" s="203">
        <f t="shared" si="9"/>
        <v>2409.8064516129034</v>
      </c>
      <c r="X28" s="35">
        <f t="shared" si="10"/>
        <v>0.36129032258064514</v>
      </c>
      <c r="Y28" s="36">
        <f t="shared" si="31"/>
        <v>26507.870967741932</v>
      </c>
      <c r="Z28" s="203">
        <f>'B5'!C27</f>
        <v>119</v>
      </c>
      <c r="AA28" s="203">
        <f t="shared" si="32"/>
        <v>1190</v>
      </c>
      <c r="AB28" s="203">
        <f t="shared" si="33"/>
        <v>119</v>
      </c>
      <c r="AC28" s="203">
        <f t="shared" si="32"/>
        <v>1190</v>
      </c>
      <c r="AD28" s="203">
        <f t="shared" si="34"/>
        <v>119</v>
      </c>
      <c r="AE28" s="203">
        <f t="shared" si="11"/>
        <v>1190</v>
      </c>
      <c r="AF28" s="203">
        <f t="shared" si="35"/>
        <v>119</v>
      </c>
      <c r="AG28" s="203">
        <f t="shared" si="12"/>
        <v>1190</v>
      </c>
      <c r="AH28" s="203">
        <f t="shared" si="36"/>
        <v>119</v>
      </c>
      <c r="AI28" s="203">
        <f t="shared" si="13"/>
        <v>1190</v>
      </c>
      <c r="AJ28" s="203">
        <f t="shared" si="37"/>
        <v>119</v>
      </c>
      <c r="AK28" s="203">
        <f t="shared" si="14"/>
        <v>1190</v>
      </c>
      <c r="AL28" s="203">
        <f t="shared" si="38"/>
        <v>119</v>
      </c>
      <c r="AM28" s="203">
        <f t="shared" si="15"/>
        <v>1190</v>
      </c>
      <c r="AN28" s="35">
        <f t="shared" si="16"/>
        <v>0.42499999999999999</v>
      </c>
      <c r="AO28" s="36">
        <f t="shared" si="17"/>
        <v>8330</v>
      </c>
      <c r="AQ28" s="223">
        <f t="shared" si="39"/>
        <v>0.37472164104272271</v>
      </c>
      <c r="AR28" s="38">
        <f>Y28+AO28</f>
        <v>34837.870967741932</v>
      </c>
      <c r="AS28" s="197">
        <f t="shared" si="47"/>
        <v>0</v>
      </c>
      <c r="AT28" s="348"/>
      <c r="AU28" s="571"/>
      <c r="AV28" s="500">
        <f t="shared" si="43"/>
        <v>0.66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'!D27</f>
        <v>0</v>
      </c>
      <c r="BB28" s="38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1389.6160337546601</v>
      </c>
      <c r="BF28" s="14"/>
      <c r="BG28" s="14" t="e">
        <f>#REF!-BE28</f>
        <v>#REF!</v>
      </c>
      <c r="BH28" s="11"/>
    </row>
    <row r="29" spans="1:64">
      <c r="A29" s="435">
        <f>ELEC!C27</f>
        <v>44493</v>
      </c>
      <c r="B29">
        <f>'B5'!B28</f>
        <v>144</v>
      </c>
      <c r="C29" s="203">
        <f t="shared" si="20"/>
        <v>3098.322580645161</v>
      </c>
      <c r="D29">
        <f t="shared" si="21"/>
        <v>144</v>
      </c>
      <c r="E29" s="203">
        <f t="shared" si="20"/>
        <v>3098.322580645161</v>
      </c>
      <c r="F29">
        <f t="shared" si="22"/>
        <v>144</v>
      </c>
      <c r="G29" s="203">
        <f t="shared" si="1"/>
        <v>3098.322580645161</v>
      </c>
      <c r="H29" s="203">
        <f t="shared" si="23"/>
        <v>144</v>
      </c>
      <c r="I29" s="203">
        <f t="shared" si="2"/>
        <v>3098.322580645161</v>
      </c>
      <c r="J29" s="203">
        <f t="shared" si="24"/>
        <v>144</v>
      </c>
      <c r="K29" s="203">
        <f t="shared" si="3"/>
        <v>3098.322580645161</v>
      </c>
      <c r="L29" s="203">
        <f t="shared" si="25"/>
        <v>144</v>
      </c>
      <c r="M29" s="203">
        <f t="shared" si="4"/>
        <v>3098.322580645161</v>
      </c>
      <c r="N29" s="203">
        <f t="shared" si="26"/>
        <v>144</v>
      </c>
      <c r="O29" s="203">
        <f t="shared" si="5"/>
        <v>3098.322580645161</v>
      </c>
      <c r="P29" s="203">
        <f t="shared" si="27"/>
        <v>144</v>
      </c>
      <c r="Q29" s="203">
        <f t="shared" si="6"/>
        <v>3098.322580645161</v>
      </c>
      <c r="R29" s="203">
        <f t="shared" si="28"/>
        <v>144</v>
      </c>
      <c r="S29" s="203">
        <f t="shared" si="7"/>
        <v>3098.322580645161</v>
      </c>
      <c r="T29" s="203">
        <f t="shared" si="29"/>
        <v>144</v>
      </c>
      <c r="U29" s="203">
        <f t="shared" si="8"/>
        <v>3098.322580645161</v>
      </c>
      <c r="V29" s="203">
        <f t="shared" si="30"/>
        <v>144</v>
      </c>
      <c r="W29" s="203">
        <f t="shared" si="9"/>
        <v>3098.322580645161</v>
      </c>
      <c r="X29" s="35">
        <f t="shared" si="10"/>
        <v>0.46451612903225792</v>
      </c>
      <c r="Y29" s="36">
        <f t="shared" si="31"/>
        <v>34081.548387096766</v>
      </c>
      <c r="Z29" s="203">
        <f>'B5'!C28</f>
        <v>151</v>
      </c>
      <c r="AA29" s="203">
        <f t="shared" si="32"/>
        <v>1510</v>
      </c>
      <c r="AB29" s="203">
        <f t="shared" si="33"/>
        <v>151</v>
      </c>
      <c r="AC29" s="203">
        <f t="shared" si="32"/>
        <v>1510</v>
      </c>
      <c r="AD29" s="203">
        <f t="shared" si="34"/>
        <v>151</v>
      </c>
      <c r="AE29" s="203">
        <f t="shared" si="11"/>
        <v>1510</v>
      </c>
      <c r="AF29" s="203">
        <f t="shared" si="35"/>
        <v>151</v>
      </c>
      <c r="AG29" s="203">
        <f t="shared" si="12"/>
        <v>1510</v>
      </c>
      <c r="AH29" s="203">
        <f t="shared" si="36"/>
        <v>151</v>
      </c>
      <c r="AI29" s="203">
        <f t="shared" si="13"/>
        <v>1510</v>
      </c>
      <c r="AJ29" s="203">
        <f t="shared" si="37"/>
        <v>151</v>
      </c>
      <c r="AK29" s="203">
        <f t="shared" si="14"/>
        <v>1510</v>
      </c>
      <c r="AL29" s="203">
        <f t="shared" si="38"/>
        <v>151</v>
      </c>
      <c r="AM29" s="203">
        <f t="shared" si="15"/>
        <v>1510</v>
      </c>
      <c r="AN29" s="35">
        <f t="shared" si="16"/>
        <v>0.53928571428571426</v>
      </c>
      <c r="AO29" s="36">
        <f t="shared" si="17"/>
        <v>10570</v>
      </c>
      <c r="AQ29" s="223">
        <f t="shared" si="39"/>
        <v>0.48027910494887344</v>
      </c>
      <c r="AR29" s="38">
        <f t="shared" si="45"/>
        <v>44651.548387096766</v>
      </c>
      <c r="AS29" s="197">
        <f>SUM(AR29-AR28-AT29)</f>
        <v>9813.6774193548335</v>
      </c>
      <c r="AT29" s="348"/>
      <c r="AU29" s="571"/>
      <c r="AV29" s="500">
        <f t="shared" si="43"/>
        <v>0.66</v>
      </c>
      <c r="AW29" s="285">
        <f>-SUM('B5'!AI28)</f>
        <v>-73</v>
      </c>
      <c r="AX29" s="285">
        <f t="shared" si="19"/>
        <v>9886.6774193548335</v>
      </c>
      <c r="AY29" s="37">
        <f t="shared" si="40"/>
        <v>9813.6774193548335</v>
      </c>
      <c r="AZ29" s="100">
        <f>ELEC!A27</f>
        <v>0</v>
      </c>
      <c r="BA29" s="118">
        <f>'General information '!D28</f>
        <v>23.5</v>
      </c>
      <c r="BB29" s="386">
        <f>SUM('General information '!E28)</f>
        <v>0.61</v>
      </c>
      <c r="BC29" s="3">
        <f t="shared" si="44"/>
        <v>1</v>
      </c>
      <c r="BD29" s="102">
        <v>19222</v>
      </c>
      <c r="BE29" s="14">
        <f>(305/1185)*ELEC!Q28</f>
        <v>1569.7848101270918</v>
      </c>
      <c r="BF29" s="14"/>
      <c r="BG29" s="14" t="e">
        <f>#REF!-BE29</f>
        <v>#REF!</v>
      </c>
      <c r="BH29" s="11"/>
    </row>
    <row r="30" spans="1:64">
      <c r="A30" s="435">
        <f>ELEC!C28</f>
        <v>44494</v>
      </c>
      <c r="B30">
        <f>'B5'!B29</f>
        <v>138</v>
      </c>
      <c r="C30" s="203">
        <f t="shared" si="20"/>
        <v>2969.2258064516127</v>
      </c>
      <c r="D30">
        <f t="shared" ref="D30:D35" si="48">SUM(B30)</f>
        <v>138</v>
      </c>
      <c r="E30" s="203">
        <f t="shared" si="20"/>
        <v>2969.2258064516127</v>
      </c>
      <c r="F30">
        <f t="shared" ref="F30:F35" si="49">SUM(D30)</f>
        <v>138</v>
      </c>
      <c r="G30" s="203">
        <f t="shared" si="1"/>
        <v>2969.2258064516127</v>
      </c>
      <c r="H30" s="203">
        <f t="shared" ref="H30:H35" si="50">SUM(F30)</f>
        <v>138</v>
      </c>
      <c r="I30" s="203">
        <f t="shared" si="2"/>
        <v>2969.2258064516127</v>
      </c>
      <c r="J30" s="203">
        <f t="shared" ref="J30:J35" si="51">SUM(H30)</f>
        <v>138</v>
      </c>
      <c r="K30" s="203">
        <f t="shared" si="3"/>
        <v>2969.2258064516127</v>
      </c>
      <c r="L30" s="203">
        <f t="shared" ref="L30:L35" si="52">SUM(J30)</f>
        <v>138</v>
      </c>
      <c r="M30" s="203">
        <f t="shared" si="4"/>
        <v>2969.2258064516127</v>
      </c>
      <c r="N30" s="203">
        <f t="shared" ref="N30:N35" si="53">SUM(L30)</f>
        <v>138</v>
      </c>
      <c r="O30" s="203">
        <f t="shared" si="5"/>
        <v>2969.2258064516127</v>
      </c>
      <c r="P30" s="203">
        <f t="shared" ref="P30:P35" si="54">SUM(N30)</f>
        <v>138</v>
      </c>
      <c r="Q30" s="203">
        <f t="shared" si="6"/>
        <v>2969.2258064516127</v>
      </c>
      <c r="R30" s="203">
        <f t="shared" ref="R30:R35" si="55">SUM(P30)</f>
        <v>138</v>
      </c>
      <c r="S30" s="203">
        <f t="shared" si="7"/>
        <v>2969.2258064516127</v>
      </c>
      <c r="T30" s="203">
        <f t="shared" ref="T30:T35" si="56">SUM(R30)</f>
        <v>138</v>
      </c>
      <c r="U30" s="203">
        <f t="shared" si="8"/>
        <v>2969.2258064516127</v>
      </c>
      <c r="V30" s="203">
        <f t="shared" ref="V30:V35" si="57">SUM(T30)</f>
        <v>138</v>
      </c>
      <c r="W30" s="203">
        <f t="shared" si="9"/>
        <v>2969.2258064516127</v>
      </c>
      <c r="X30" s="35">
        <f t="shared" ref="X30:X35" si="58">SUM(Y30/73370)</f>
        <v>0.44516129032258073</v>
      </c>
      <c r="Y30" s="36">
        <f t="shared" ref="Y30:Y35" si="59">SUM(C30+E30+G30+I30+K30+M30+O30+Q30+S30+U30+W30)</f>
        <v>32661.483870967746</v>
      </c>
      <c r="Z30" s="203">
        <f>'B5'!C29</f>
        <v>145</v>
      </c>
      <c r="AA30" s="203">
        <f t="shared" si="32"/>
        <v>1450</v>
      </c>
      <c r="AB30" s="203">
        <f t="shared" ref="AB30:AB35" si="60">SUM(Z30)</f>
        <v>145</v>
      </c>
      <c r="AC30" s="203">
        <f t="shared" si="32"/>
        <v>1450</v>
      </c>
      <c r="AD30" s="203">
        <f t="shared" ref="AD30:AD35" si="61">SUM(AB30)</f>
        <v>145</v>
      </c>
      <c r="AE30" s="203">
        <f t="shared" si="11"/>
        <v>1450</v>
      </c>
      <c r="AF30" s="203">
        <f t="shared" ref="AF30:AF35" si="62">SUM(AD30)</f>
        <v>145</v>
      </c>
      <c r="AG30" s="203">
        <f t="shared" si="12"/>
        <v>1450</v>
      </c>
      <c r="AH30" s="203">
        <f t="shared" ref="AH30:AH35" si="63">SUM(AF30)</f>
        <v>145</v>
      </c>
      <c r="AI30" s="203">
        <f t="shared" si="13"/>
        <v>1450</v>
      </c>
      <c r="AJ30" s="203">
        <f t="shared" ref="AJ30:AJ35" si="64">SUM(AH30)</f>
        <v>145</v>
      </c>
      <c r="AK30" s="203">
        <f t="shared" si="14"/>
        <v>1450</v>
      </c>
      <c r="AL30" s="203">
        <f t="shared" ref="AL30:AL35" si="65">SUM(AJ30)</f>
        <v>145</v>
      </c>
      <c r="AM30" s="203">
        <f t="shared" si="15"/>
        <v>1450</v>
      </c>
      <c r="AN30" s="35">
        <f t="shared" ref="AN30:AN35" si="66">SUM(AO30/19600)</f>
        <v>0.5178571428571429</v>
      </c>
      <c r="AO30" s="36">
        <f t="shared" ref="AO30:AO35" si="67">SUM(AA30+AC30+AE30+AG30+AI30+AK30+AM30)</f>
        <v>10150</v>
      </c>
      <c r="AQ30" s="223">
        <f t="shared" si="39"/>
        <v>0.4604870804664703</v>
      </c>
      <c r="AR30" s="38">
        <f t="shared" ref="AR30:AR35" si="68">Y30+AO30</f>
        <v>42811.483870967742</v>
      </c>
      <c r="AS30" s="197">
        <f>SUM(AR30-AR29-AT30)</f>
        <v>-1840.0645161290231</v>
      </c>
      <c r="AT30" s="348"/>
      <c r="AU30" s="571"/>
      <c r="AV30" s="500">
        <f t="shared" si="43"/>
        <v>0.66</v>
      </c>
      <c r="AW30" s="285">
        <f>-SUM('B5'!AI29)</f>
        <v>-91</v>
      </c>
      <c r="AX30" s="285">
        <f t="shared" si="19"/>
        <v>-1749.0645161290231</v>
      </c>
      <c r="AY30" s="37">
        <f t="shared" si="40"/>
        <v>-1840.0645161290231</v>
      </c>
      <c r="AZ30" s="100">
        <f>ELEC!A28</f>
        <v>0</v>
      </c>
      <c r="BA30" s="118">
        <f>'General information '!D29</f>
        <v>23</v>
      </c>
      <c r="BB30" s="386">
        <f>SUM('General information '!E29)</f>
        <v>0.62</v>
      </c>
      <c r="BC30" s="3">
        <f t="shared" si="44"/>
        <v>0</v>
      </c>
      <c r="BD30" s="102">
        <v>19222</v>
      </c>
      <c r="BE30" s="14">
        <f>(305/1185)*ELEC!Q29</f>
        <v>1872.2109704644572</v>
      </c>
      <c r="BF30" s="14"/>
      <c r="BG30" s="14" t="e">
        <f>#REF!-BE30</f>
        <v>#REF!</v>
      </c>
      <c r="BH30" s="11"/>
    </row>
    <row r="31" spans="1:64">
      <c r="A31" s="435">
        <f>ELEC!C29</f>
        <v>44495</v>
      </c>
      <c r="B31">
        <f>'B5'!B30</f>
        <v>129</v>
      </c>
      <c r="C31" s="203">
        <f t="shared" si="20"/>
        <v>2775.5806451612902</v>
      </c>
      <c r="D31">
        <f t="shared" si="48"/>
        <v>129</v>
      </c>
      <c r="E31" s="203">
        <f t="shared" si="20"/>
        <v>2775.5806451612902</v>
      </c>
      <c r="F31">
        <f t="shared" si="49"/>
        <v>129</v>
      </c>
      <c r="G31" s="203">
        <f t="shared" si="1"/>
        <v>2775.5806451612902</v>
      </c>
      <c r="H31" s="203">
        <f t="shared" si="50"/>
        <v>129</v>
      </c>
      <c r="I31" s="203">
        <f t="shared" si="2"/>
        <v>2775.5806451612902</v>
      </c>
      <c r="J31" s="203">
        <f t="shared" si="51"/>
        <v>129</v>
      </c>
      <c r="K31" s="203">
        <f t="shared" si="3"/>
        <v>2775.5806451612902</v>
      </c>
      <c r="L31" s="203">
        <f t="shared" si="52"/>
        <v>129</v>
      </c>
      <c r="M31" s="203">
        <f t="shared" si="4"/>
        <v>2775.5806451612902</v>
      </c>
      <c r="N31" s="203">
        <f t="shared" si="53"/>
        <v>129</v>
      </c>
      <c r="O31" s="203">
        <f t="shared" si="5"/>
        <v>2775.5806451612902</v>
      </c>
      <c r="P31" s="203">
        <f t="shared" si="54"/>
        <v>129</v>
      </c>
      <c r="Q31" s="203">
        <f t="shared" si="6"/>
        <v>2775.5806451612902</v>
      </c>
      <c r="R31" s="203">
        <f t="shared" si="55"/>
        <v>129</v>
      </c>
      <c r="S31" s="203">
        <f t="shared" si="7"/>
        <v>2775.5806451612902</v>
      </c>
      <c r="T31" s="203">
        <f t="shared" si="56"/>
        <v>129</v>
      </c>
      <c r="U31" s="203">
        <f t="shared" si="8"/>
        <v>2775.5806451612902</v>
      </c>
      <c r="V31" s="203">
        <f t="shared" si="57"/>
        <v>129</v>
      </c>
      <c r="W31" s="203">
        <f t="shared" si="9"/>
        <v>2775.5806451612902</v>
      </c>
      <c r="X31" s="35">
        <f t="shared" si="58"/>
        <v>0.41612903225806464</v>
      </c>
      <c r="Y31" s="36">
        <f t="shared" si="59"/>
        <v>30531.3870967742</v>
      </c>
      <c r="Z31" s="203">
        <f>'B5'!C30</f>
        <v>136</v>
      </c>
      <c r="AA31" s="203">
        <f t="shared" si="32"/>
        <v>1360</v>
      </c>
      <c r="AB31" s="203">
        <f t="shared" si="60"/>
        <v>136</v>
      </c>
      <c r="AC31" s="203">
        <f t="shared" si="32"/>
        <v>1360</v>
      </c>
      <c r="AD31" s="203">
        <f t="shared" si="61"/>
        <v>136</v>
      </c>
      <c r="AE31" s="203">
        <f t="shared" si="11"/>
        <v>1360</v>
      </c>
      <c r="AF31" s="203">
        <f t="shared" si="62"/>
        <v>136</v>
      </c>
      <c r="AG31" s="203">
        <f t="shared" si="12"/>
        <v>1360</v>
      </c>
      <c r="AH31" s="203">
        <f t="shared" si="63"/>
        <v>136</v>
      </c>
      <c r="AI31" s="203">
        <f t="shared" si="13"/>
        <v>1360</v>
      </c>
      <c r="AJ31" s="203">
        <f t="shared" si="64"/>
        <v>136</v>
      </c>
      <c r="AK31" s="203">
        <f t="shared" si="14"/>
        <v>1360</v>
      </c>
      <c r="AL31" s="203">
        <f t="shared" si="65"/>
        <v>136</v>
      </c>
      <c r="AM31" s="203">
        <f t="shared" si="15"/>
        <v>1360</v>
      </c>
      <c r="AN31" s="35">
        <f t="shared" si="66"/>
        <v>0.48571428571428571</v>
      </c>
      <c r="AO31" s="36">
        <f t="shared" si="67"/>
        <v>9520</v>
      </c>
      <c r="AQ31" s="223">
        <f t="shared" si="39"/>
        <v>0.43079904374286543</v>
      </c>
      <c r="AR31" s="38">
        <f t="shared" si="68"/>
        <v>40051.387096774197</v>
      </c>
      <c r="AS31" s="197">
        <f t="shared" si="47"/>
        <v>-2760.0967741935456</v>
      </c>
      <c r="AT31" s="348"/>
      <c r="AU31" s="596"/>
      <c r="AV31" s="500">
        <f t="shared" si="43"/>
        <v>0.66</v>
      </c>
      <c r="AW31" s="285">
        <f>-SUM('B5'!AI30)</f>
        <v>0</v>
      </c>
      <c r="AX31" s="285">
        <f t="shared" si="19"/>
        <v>-2760.0967741935456</v>
      </c>
      <c r="AY31" s="37">
        <f t="shared" si="40"/>
        <v>-2760.0967741935456</v>
      </c>
      <c r="AZ31" s="100">
        <f>ELEC!A29</f>
        <v>0</v>
      </c>
      <c r="BA31" s="118">
        <f>'General information '!D30</f>
        <v>23.5</v>
      </c>
      <c r="BB31" s="386">
        <f>SUM('General information '!E30)</f>
        <v>0.59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5">
        <f>ELEC!C30</f>
        <v>44496</v>
      </c>
      <c r="B32">
        <f>'B5'!B31</f>
        <v>129</v>
      </c>
      <c r="C32" s="203">
        <f t="shared" si="20"/>
        <v>2775.5806451612902</v>
      </c>
      <c r="D32">
        <f t="shared" si="48"/>
        <v>129</v>
      </c>
      <c r="E32" s="203">
        <f t="shared" si="20"/>
        <v>2775.5806451612902</v>
      </c>
      <c r="F32">
        <f t="shared" si="49"/>
        <v>129</v>
      </c>
      <c r="G32" s="203">
        <f t="shared" si="1"/>
        <v>2775.5806451612902</v>
      </c>
      <c r="H32" s="203">
        <f t="shared" si="50"/>
        <v>129</v>
      </c>
      <c r="I32" s="203">
        <f t="shared" si="2"/>
        <v>2775.5806451612902</v>
      </c>
      <c r="J32" s="203">
        <f t="shared" si="51"/>
        <v>129</v>
      </c>
      <c r="K32" s="203">
        <f t="shared" si="3"/>
        <v>2775.5806451612902</v>
      </c>
      <c r="L32" s="203">
        <f t="shared" si="52"/>
        <v>129</v>
      </c>
      <c r="M32" s="203">
        <f t="shared" si="4"/>
        <v>2775.5806451612902</v>
      </c>
      <c r="N32" s="203">
        <f t="shared" si="53"/>
        <v>129</v>
      </c>
      <c r="O32" s="203">
        <f t="shared" si="5"/>
        <v>2775.5806451612902</v>
      </c>
      <c r="P32" s="203">
        <f t="shared" si="54"/>
        <v>129</v>
      </c>
      <c r="Q32" s="203">
        <f t="shared" si="6"/>
        <v>2775.5806451612902</v>
      </c>
      <c r="R32" s="203">
        <f t="shared" si="55"/>
        <v>129</v>
      </c>
      <c r="S32" s="203">
        <f t="shared" si="7"/>
        <v>2775.5806451612902</v>
      </c>
      <c r="T32" s="203">
        <f t="shared" si="56"/>
        <v>129</v>
      </c>
      <c r="U32" s="203">
        <f t="shared" si="8"/>
        <v>2775.5806451612902</v>
      </c>
      <c r="V32" s="203">
        <f t="shared" si="57"/>
        <v>129</v>
      </c>
      <c r="W32" s="203">
        <f t="shared" si="9"/>
        <v>2775.5806451612902</v>
      </c>
      <c r="X32" s="35">
        <f t="shared" si="58"/>
        <v>0.41612903225806464</v>
      </c>
      <c r="Y32" s="36">
        <f t="shared" si="59"/>
        <v>30531.3870967742</v>
      </c>
      <c r="Z32" s="203">
        <f>'B5'!C31</f>
        <v>136</v>
      </c>
      <c r="AA32" s="203">
        <f t="shared" si="32"/>
        <v>1360</v>
      </c>
      <c r="AB32" s="203">
        <f t="shared" si="60"/>
        <v>136</v>
      </c>
      <c r="AC32" s="203">
        <f t="shared" si="32"/>
        <v>1360</v>
      </c>
      <c r="AD32" s="203">
        <f t="shared" si="61"/>
        <v>136</v>
      </c>
      <c r="AE32" s="203">
        <f t="shared" si="11"/>
        <v>1360</v>
      </c>
      <c r="AF32" s="203">
        <f t="shared" si="62"/>
        <v>136</v>
      </c>
      <c r="AG32" s="203">
        <f t="shared" si="12"/>
        <v>1360</v>
      </c>
      <c r="AH32" s="203">
        <f t="shared" si="63"/>
        <v>136</v>
      </c>
      <c r="AI32" s="203">
        <f t="shared" si="13"/>
        <v>1360</v>
      </c>
      <c r="AJ32" s="203">
        <f t="shared" si="64"/>
        <v>136</v>
      </c>
      <c r="AK32" s="203">
        <f t="shared" si="14"/>
        <v>1360</v>
      </c>
      <c r="AL32" s="203">
        <f t="shared" si="65"/>
        <v>136</v>
      </c>
      <c r="AM32" s="203">
        <f t="shared" si="15"/>
        <v>1360</v>
      </c>
      <c r="AN32" s="35">
        <f t="shared" si="66"/>
        <v>0.48571428571428571</v>
      </c>
      <c r="AO32" s="36">
        <f t="shared" si="67"/>
        <v>9520</v>
      </c>
      <c r="AQ32" s="223">
        <f t="shared" si="39"/>
        <v>0.43079904374286543</v>
      </c>
      <c r="AR32" s="38">
        <f t="shared" si="68"/>
        <v>40051.387096774197</v>
      </c>
      <c r="AS32" s="197">
        <f t="shared" si="47"/>
        <v>0</v>
      </c>
      <c r="AT32" s="348"/>
      <c r="AU32" s="570"/>
      <c r="AV32" s="500">
        <f>IF(AT32&gt;0,AU32,AV31)</f>
        <v>0.66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'!D31</f>
        <v>0</v>
      </c>
      <c r="BB32" s="386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5">
        <f>ELEC!C31</f>
        <v>44497</v>
      </c>
      <c r="B33">
        <f>'B5'!B32</f>
        <v>129</v>
      </c>
      <c r="C33" s="203">
        <f t="shared" si="20"/>
        <v>2775.5806451612902</v>
      </c>
      <c r="D33">
        <f t="shared" si="48"/>
        <v>129</v>
      </c>
      <c r="E33" s="203">
        <f t="shared" si="20"/>
        <v>2775.5806451612902</v>
      </c>
      <c r="F33">
        <f t="shared" si="49"/>
        <v>129</v>
      </c>
      <c r="G33" s="203">
        <f t="shared" si="1"/>
        <v>2775.5806451612902</v>
      </c>
      <c r="H33" s="203">
        <f t="shared" si="50"/>
        <v>129</v>
      </c>
      <c r="I33" s="203">
        <f t="shared" si="2"/>
        <v>2775.5806451612902</v>
      </c>
      <c r="J33" s="203">
        <f t="shared" si="51"/>
        <v>129</v>
      </c>
      <c r="K33" s="203">
        <f t="shared" si="3"/>
        <v>2775.5806451612902</v>
      </c>
      <c r="L33" s="203">
        <f t="shared" si="52"/>
        <v>129</v>
      </c>
      <c r="M33" s="203">
        <f t="shared" si="4"/>
        <v>2775.5806451612902</v>
      </c>
      <c r="N33" s="203">
        <f t="shared" si="53"/>
        <v>129</v>
      </c>
      <c r="O33" s="203">
        <f t="shared" si="5"/>
        <v>2775.5806451612902</v>
      </c>
      <c r="P33" s="203">
        <f t="shared" si="54"/>
        <v>129</v>
      </c>
      <c r="Q33" s="203">
        <f t="shared" si="6"/>
        <v>2775.5806451612902</v>
      </c>
      <c r="R33" s="203">
        <f t="shared" si="55"/>
        <v>129</v>
      </c>
      <c r="S33" s="203">
        <f t="shared" si="7"/>
        <v>2775.5806451612902</v>
      </c>
      <c r="T33" s="203">
        <f t="shared" si="56"/>
        <v>129</v>
      </c>
      <c r="U33" s="203">
        <f t="shared" si="8"/>
        <v>2775.5806451612902</v>
      </c>
      <c r="V33" s="203">
        <f t="shared" si="57"/>
        <v>129</v>
      </c>
      <c r="W33" s="203">
        <f t="shared" si="9"/>
        <v>2775.5806451612902</v>
      </c>
      <c r="X33" s="35">
        <f t="shared" si="58"/>
        <v>0.41612903225806464</v>
      </c>
      <c r="Y33" s="36">
        <f t="shared" si="59"/>
        <v>30531.3870967742</v>
      </c>
      <c r="Z33" s="203">
        <f>'B5'!C32</f>
        <v>136</v>
      </c>
      <c r="AA33" s="203">
        <f t="shared" si="32"/>
        <v>1360</v>
      </c>
      <c r="AB33" s="203">
        <f t="shared" si="60"/>
        <v>136</v>
      </c>
      <c r="AC33" s="203">
        <f t="shared" si="32"/>
        <v>1360</v>
      </c>
      <c r="AD33" s="203">
        <f t="shared" si="61"/>
        <v>136</v>
      </c>
      <c r="AE33" s="203">
        <f t="shared" si="11"/>
        <v>1360</v>
      </c>
      <c r="AF33" s="203">
        <f t="shared" si="62"/>
        <v>136</v>
      </c>
      <c r="AG33" s="203">
        <f t="shared" si="12"/>
        <v>1360</v>
      </c>
      <c r="AH33" s="203">
        <f t="shared" si="63"/>
        <v>136</v>
      </c>
      <c r="AI33" s="203">
        <f t="shared" si="13"/>
        <v>1360</v>
      </c>
      <c r="AJ33" s="203">
        <f t="shared" si="64"/>
        <v>136</v>
      </c>
      <c r="AK33" s="203">
        <f t="shared" si="14"/>
        <v>1360</v>
      </c>
      <c r="AL33" s="203">
        <f t="shared" si="65"/>
        <v>136</v>
      </c>
      <c r="AM33" s="203">
        <f t="shared" si="15"/>
        <v>1360</v>
      </c>
      <c r="AN33" s="35">
        <f t="shared" si="66"/>
        <v>0.48571428571428571</v>
      </c>
      <c r="AO33" s="36">
        <f t="shared" si="67"/>
        <v>9520</v>
      </c>
      <c r="AQ33" s="223">
        <f t="shared" si="39"/>
        <v>0.43079904374286543</v>
      </c>
      <c r="AR33" s="38">
        <f t="shared" si="68"/>
        <v>40051.387096774197</v>
      </c>
      <c r="AS33" s="197">
        <f>SUM(AR33-AR32-AT33)</f>
        <v>0</v>
      </c>
      <c r="AT33" s="348"/>
      <c r="AU33" s="570"/>
      <c r="AV33" s="500">
        <f>IF(AT33&gt;0,AU33,AV32)</f>
        <v>0.66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5">
        <f>ELEC!C32</f>
        <v>44498</v>
      </c>
      <c r="B34">
        <f>'B5'!B33</f>
        <v>129</v>
      </c>
      <c r="C34" s="203">
        <f>B34*$B$4</f>
        <v>2775.5806451612902</v>
      </c>
      <c r="D34">
        <f t="shared" si="48"/>
        <v>129</v>
      </c>
      <c r="E34" s="203">
        <f>D34*$B$4</f>
        <v>2775.5806451612902</v>
      </c>
      <c r="F34">
        <f t="shared" si="49"/>
        <v>129</v>
      </c>
      <c r="G34" s="203">
        <f>F34*$B$4</f>
        <v>2775.5806451612902</v>
      </c>
      <c r="H34" s="203">
        <f t="shared" si="50"/>
        <v>129</v>
      </c>
      <c r="I34" s="203">
        <f>H34*$B$4</f>
        <v>2775.5806451612902</v>
      </c>
      <c r="J34" s="203">
        <f t="shared" si="51"/>
        <v>129</v>
      </c>
      <c r="K34" s="203">
        <f>J34*$B$4</f>
        <v>2775.5806451612902</v>
      </c>
      <c r="L34" s="203">
        <f t="shared" si="52"/>
        <v>129</v>
      </c>
      <c r="M34" s="203">
        <f>L34*$B$4</f>
        <v>2775.5806451612902</v>
      </c>
      <c r="N34" s="203">
        <f t="shared" si="53"/>
        <v>129</v>
      </c>
      <c r="O34" s="203">
        <f>N34*$B$4</f>
        <v>2775.5806451612902</v>
      </c>
      <c r="P34" s="203">
        <f t="shared" si="54"/>
        <v>129</v>
      </c>
      <c r="Q34" s="203">
        <f>P34*$B$4</f>
        <v>2775.5806451612902</v>
      </c>
      <c r="R34" s="203">
        <f t="shared" si="55"/>
        <v>129</v>
      </c>
      <c r="S34" s="203">
        <f>R34*$B$4</f>
        <v>2775.5806451612902</v>
      </c>
      <c r="T34" s="203">
        <f t="shared" si="56"/>
        <v>129</v>
      </c>
      <c r="U34" s="203">
        <f>T34*$B$4</f>
        <v>2775.5806451612902</v>
      </c>
      <c r="V34" s="203">
        <f t="shared" si="57"/>
        <v>129</v>
      </c>
      <c r="W34" s="203">
        <f>V34*$B$4</f>
        <v>2775.5806451612902</v>
      </c>
      <c r="X34" s="35">
        <f t="shared" si="58"/>
        <v>0.41612903225806464</v>
      </c>
      <c r="Y34" s="36">
        <f t="shared" si="59"/>
        <v>30531.3870967742</v>
      </c>
      <c r="Z34" s="203">
        <f>'B5'!C33</f>
        <v>136</v>
      </c>
      <c r="AA34" s="203">
        <f>SUM(Z34*$Z$4)</f>
        <v>1360</v>
      </c>
      <c r="AB34" s="203">
        <f t="shared" si="60"/>
        <v>136</v>
      </c>
      <c r="AC34" s="203">
        <f>SUM(AB34*$Z$4)</f>
        <v>1360</v>
      </c>
      <c r="AD34" s="203">
        <f t="shared" si="61"/>
        <v>136</v>
      </c>
      <c r="AE34" s="203">
        <f>SUM(AD34*$Z$4)</f>
        <v>1360</v>
      </c>
      <c r="AF34" s="203">
        <f t="shared" si="62"/>
        <v>136</v>
      </c>
      <c r="AG34" s="203">
        <f>SUM(AF34*$Z$4)</f>
        <v>1360</v>
      </c>
      <c r="AH34" s="203">
        <f t="shared" si="63"/>
        <v>136</v>
      </c>
      <c r="AI34" s="203">
        <f>SUM(AH34*$Z$4)</f>
        <v>1360</v>
      </c>
      <c r="AJ34" s="203">
        <f t="shared" si="64"/>
        <v>136</v>
      </c>
      <c r="AK34" s="203">
        <f>SUM(AJ34*$Z$4)</f>
        <v>1360</v>
      </c>
      <c r="AL34" s="203">
        <f t="shared" si="65"/>
        <v>136</v>
      </c>
      <c r="AM34" s="203">
        <f>SUM(AL34*$Z$4)</f>
        <v>1360</v>
      </c>
      <c r="AN34" s="35">
        <f t="shared" si="66"/>
        <v>0.48571428571428571</v>
      </c>
      <c r="AO34" s="36">
        <f t="shared" si="67"/>
        <v>9520</v>
      </c>
      <c r="AQ34" s="223">
        <f>SUM(AR34/92970)</f>
        <v>0.43079904374286543</v>
      </c>
      <c r="AR34" s="38">
        <f t="shared" si="68"/>
        <v>40051.387096774197</v>
      </c>
      <c r="AS34" s="197">
        <f t="shared" si="47"/>
        <v>0</v>
      </c>
      <c r="AT34" s="348"/>
      <c r="AU34" s="570"/>
      <c r="AV34" s="500">
        <f>IF(AT34&gt;0,AU34,AV33)</f>
        <v>0.66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6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35">
        <f>ELEC!C33</f>
        <v>44499</v>
      </c>
      <c r="B35">
        <f>'B5'!B34</f>
        <v>129</v>
      </c>
      <c r="C35" s="203">
        <f>B35*$B$4</f>
        <v>2775.5806451612902</v>
      </c>
      <c r="D35">
        <f t="shared" si="48"/>
        <v>129</v>
      </c>
      <c r="E35" s="203">
        <f>D35*$B$4</f>
        <v>2775.5806451612902</v>
      </c>
      <c r="F35">
        <f t="shared" si="49"/>
        <v>129</v>
      </c>
      <c r="G35" s="203">
        <f>F35*$B$4</f>
        <v>2775.5806451612902</v>
      </c>
      <c r="H35" s="203">
        <f t="shared" si="50"/>
        <v>129</v>
      </c>
      <c r="I35" s="203">
        <f>H35*$B$4</f>
        <v>2775.5806451612902</v>
      </c>
      <c r="J35" s="203">
        <f t="shared" si="51"/>
        <v>129</v>
      </c>
      <c r="K35" s="203">
        <f>J35*$B$4</f>
        <v>2775.5806451612902</v>
      </c>
      <c r="L35" s="203">
        <f t="shared" si="52"/>
        <v>129</v>
      </c>
      <c r="M35" s="203">
        <f>L35*$B$4</f>
        <v>2775.5806451612902</v>
      </c>
      <c r="N35" s="203">
        <f t="shared" si="53"/>
        <v>129</v>
      </c>
      <c r="O35" s="203">
        <f>N35*$B$4</f>
        <v>2775.5806451612902</v>
      </c>
      <c r="P35" s="203">
        <f t="shared" si="54"/>
        <v>129</v>
      </c>
      <c r="Q35" s="203">
        <f>P35*$B$4</f>
        <v>2775.5806451612902</v>
      </c>
      <c r="R35" s="203">
        <f t="shared" si="55"/>
        <v>129</v>
      </c>
      <c r="S35" s="203">
        <f>R35*$B$4</f>
        <v>2775.5806451612902</v>
      </c>
      <c r="T35" s="203">
        <f t="shared" si="56"/>
        <v>129</v>
      </c>
      <c r="U35" s="203">
        <f>T35*$B$4</f>
        <v>2775.5806451612902</v>
      </c>
      <c r="V35" s="203">
        <f t="shared" si="57"/>
        <v>129</v>
      </c>
      <c r="W35" s="203">
        <f>V35*$B$4</f>
        <v>2775.5806451612902</v>
      </c>
      <c r="X35" s="35">
        <f t="shared" si="58"/>
        <v>0.41612903225806464</v>
      </c>
      <c r="Y35" s="36">
        <f t="shared" si="59"/>
        <v>30531.3870967742</v>
      </c>
      <c r="Z35" s="203">
        <f>'B5'!C34</f>
        <v>136</v>
      </c>
      <c r="AA35" s="203">
        <f>SUM(Z35*$Z$4)</f>
        <v>1360</v>
      </c>
      <c r="AB35" s="203">
        <f t="shared" si="60"/>
        <v>136</v>
      </c>
      <c r="AC35" s="203">
        <f>SUM(AB35*$Z$4)</f>
        <v>1360</v>
      </c>
      <c r="AD35" s="203">
        <f t="shared" si="61"/>
        <v>136</v>
      </c>
      <c r="AE35" s="203">
        <f>SUM(AD35*$Z$4)</f>
        <v>1360</v>
      </c>
      <c r="AF35" s="203">
        <f t="shared" si="62"/>
        <v>136</v>
      </c>
      <c r="AG35" s="203">
        <f>SUM(AF35*$Z$4)</f>
        <v>1360</v>
      </c>
      <c r="AH35" s="203">
        <f t="shared" si="63"/>
        <v>136</v>
      </c>
      <c r="AI35" s="203">
        <f>SUM(AH35*$Z$4)</f>
        <v>1360</v>
      </c>
      <c r="AJ35" s="203">
        <f t="shared" si="64"/>
        <v>136</v>
      </c>
      <c r="AK35" s="203">
        <f>SUM(AJ35*$Z$4)</f>
        <v>1360</v>
      </c>
      <c r="AL35" s="203">
        <f t="shared" si="65"/>
        <v>136</v>
      </c>
      <c r="AM35" s="203">
        <f>SUM(AL35*$Z$4)</f>
        <v>1360</v>
      </c>
      <c r="AN35" s="35">
        <f t="shared" si="66"/>
        <v>0.48571428571428571</v>
      </c>
      <c r="AO35" s="36">
        <f t="shared" si="67"/>
        <v>9520</v>
      </c>
      <c r="AQ35" s="223">
        <f>SUM(AR35/92970)</f>
        <v>0.43079904374286543</v>
      </c>
      <c r="AR35" s="38">
        <f t="shared" si="68"/>
        <v>40051.387096774197</v>
      </c>
      <c r="AS35" s="197">
        <f t="shared" si="47"/>
        <v>0</v>
      </c>
      <c r="AT35" s="348"/>
      <c r="AU35" s="570"/>
      <c r="AV35" s="559">
        <f>IF(AT35&gt;0,AU35,AV34)</f>
        <v>0.66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6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35">
        <f>ELEC!C34</f>
        <v>44500</v>
      </c>
      <c r="B36">
        <f>'B5'!B35</f>
        <v>129</v>
      </c>
      <c r="C36" s="203">
        <f>B36*$B$4</f>
        <v>2775.5806451612902</v>
      </c>
      <c r="D36">
        <f t="shared" ref="D36" si="69">SUM(B36)</f>
        <v>129</v>
      </c>
      <c r="E36" s="203">
        <f>D36*$B$4</f>
        <v>2775.5806451612902</v>
      </c>
      <c r="F36">
        <f t="shared" ref="F36" si="70">SUM(D36)</f>
        <v>129</v>
      </c>
      <c r="G36" s="203">
        <f>F36*$B$4</f>
        <v>2775.5806451612902</v>
      </c>
      <c r="H36" s="203">
        <f t="shared" ref="H36" si="71">SUM(F36)</f>
        <v>129</v>
      </c>
      <c r="I36" s="203">
        <f>H36*$B$4</f>
        <v>2775.5806451612902</v>
      </c>
      <c r="J36" s="203">
        <f t="shared" ref="J36" si="72">SUM(H36)</f>
        <v>129</v>
      </c>
      <c r="K36" s="203">
        <f>J36*$B$4</f>
        <v>2775.5806451612902</v>
      </c>
      <c r="L36" s="203">
        <f t="shared" ref="L36" si="73">SUM(J36)</f>
        <v>129</v>
      </c>
      <c r="M36" s="203">
        <f>L36*$B$4</f>
        <v>2775.5806451612902</v>
      </c>
      <c r="N36" s="203">
        <f t="shared" ref="N36" si="74">SUM(L36)</f>
        <v>129</v>
      </c>
      <c r="O36" s="203">
        <f>N36*$B$4</f>
        <v>2775.5806451612902</v>
      </c>
      <c r="P36" s="203">
        <f t="shared" ref="P36" si="75">SUM(N36)</f>
        <v>129</v>
      </c>
      <c r="Q36" s="203">
        <f>P36*$B$4</f>
        <v>2775.5806451612902</v>
      </c>
      <c r="R36" s="203">
        <f t="shared" ref="R36" si="76">SUM(P36)</f>
        <v>129</v>
      </c>
      <c r="S36" s="203">
        <f>R36*$B$4</f>
        <v>2775.5806451612902</v>
      </c>
      <c r="T36" s="203">
        <f t="shared" ref="T36" si="77">SUM(R36)</f>
        <v>129</v>
      </c>
      <c r="U36" s="203">
        <f>T36*$B$4</f>
        <v>2775.5806451612902</v>
      </c>
      <c r="V36" s="203">
        <f t="shared" ref="V36" si="78">SUM(T36)</f>
        <v>129</v>
      </c>
      <c r="W36" s="203">
        <f>V36*$B$4</f>
        <v>2775.5806451612902</v>
      </c>
      <c r="X36" s="35">
        <f t="shared" ref="X36" si="79">SUM(Y36/73370)</f>
        <v>0.41612903225806464</v>
      </c>
      <c r="Y36" s="36">
        <f t="shared" ref="Y36" si="80">SUM(C36+E36+G36+I36+K36+M36+O36+Q36+S36+U36+W36)</f>
        <v>30531.3870967742</v>
      </c>
      <c r="Z36" s="203">
        <f>'B5'!C35</f>
        <v>136</v>
      </c>
      <c r="AA36" s="203">
        <f>SUM(Z36*$Z$4)</f>
        <v>1360</v>
      </c>
      <c r="AB36" s="203">
        <f t="shared" ref="AB36" si="81">SUM(Z36)</f>
        <v>136</v>
      </c>
      <c r="AC36" s="203">
        <f>SUM(AB36*$Z$4)</f>
        <v>1360</v>
      </c>
      <c r="AD36" s="203">
        <f t="shared" ref="AD36" si="82">SUM(AB36)</f>
        <v>136</v>
      </c>
      <c r="AE36" s="203">
        <f>SUM(AD36*$Z$4)</f>
        <v>1360</v>
      </c>
      <c r="AF36" s="203">
        <f t="shared" ref="AF36" si="83">SUM(AD36)</f>
        <v>136</v>
      </c>
      <c r="AG36" s="203">
        <f>SUM(AF36*$Z$4)</f>
        <v>1360</v>
      </c>
      <c r="AH36" s="203">
        <f t="shared" ref="AH36" si="84">SUM(AF36)</f>
        <v>136</v>
      </c>
      <c r="AI36" s="203">
        <f>SUM(AH36*$Z$4)</f>
        <v>1360</v>
      </c>
      <c r="AJ36" s="203">
        <f t="shared" ref="AJ36" si="85">SUM(AH36)</f>
        <v>136</v>
      </c>
      <c r="AK36" s="203">
        <f>SUM(AJ36*$Z$4)</f>
        <v>1360</v>
      </c>
      <c r="AL36" s="203">
        <f t="shared" ref="AL36" si="86">SUM(AJ36)</f>
        <v>136</v>
      </c>
      <c r="AM36" s="203">
        <f>SUM(AL36*$Z$4)</f>
        <v>1360</v>
      </c>
      <c r="AN36" s="35">
        <f t="shared" ref="AN36" si="87">SUM(AO36/19600)</f>
        <v>0.48571428571428571</v>
      </c>
      <c r="AO36" s="36">
        <f t="shared" ref="AO36" si="88">SUM(AA36+AC36+AE36+AG36+AI36+AK36+AM36)</f>
        <v>9520</v>
      </c>
      <c r="AQ36" s="223">
        <f>SUM(AR36/92970)</f>
        <v>0.43079904374286543</v>
      </c>
      <c r="AR36" s="38">
        <f t="shared" si="45"/>
        <v>40051.387096774197</v>
      </c>
      <c r="AS36" s="197">
        <f t="shared" si="47"/>
        <v>0</v>
      </c>
      <c r="AT36" s="348"/>
      <c r="AU36" s="570"/>
      <c r="AV36" s="559">
        <f>IF(AT36&gt;0,AU36,AV35)</f>
        <v>0.66</v>
      </c>
      <c r="AW36" s="285">
        <f>-SUM('B5'!AI36)</f>
        <v>0</v>
      </c>
      <c r="AX36" s="285">
        <f t="shared" ref="AX36" si="89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6">
        <f>SUM('General information '!E35)</f>
        <v>0</v>
      </c>
      <c r="BC36" s="17"/>
      <c r="BD36" s="586"/>
      <c r="BE36" s="587"/>
      <c r="BF36" s="587"/>
      <c r="BG36" s="587"/>
      <c r="BH36" s="588"/>
    </row>
    <row r="37" spans="1:60">
      <c r="AQ37" s="20"/>
      <c r="AR37" s="467" t="s">
        <v>224</v>
      </c>
      <c r="AS37" s="472">
        <f>COUNT(AT6:AT36)</f>
        <v>3</v>
      </c>
      <c r="AT37" s="203">
        <f>SUM(AT6:AT36)</f>
        <v>24735</v>
      </c>
      <c r="AU37" s="566">
        <f>SUM(AU6:AU36)/AS37</f>
        <v>0.62300000000000011</v>
      </c>
      <c r="AX37" s="203">
        <f>SUM(AX6:AX36)</f>
        <v>-28872.516129032258</v>
      </c>
      <c r="AY37" s="203">
        <f>SUM(AY6:AY36)</f>
        <v>-29948.516129032258</v>
      </c>
    </row>
    <row r="38" spans="1:60">
      <c r="AS38" s="206"/>
      <c r="AT38" s="82">
        <f>+AT37*AU37</f>
        <v>15409.905000000002</v>
      </c>
    </row>
    <row r="40" spans="1:60">
      <c r="AS40" s="165">
        <f>SUM(AS6:AS36)/'EDl log'!A35</f>
        <v>-5989.7032258064519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-0.66666319076940728</v>
      </c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18" zoomScale="70" zoomScaleNormal="70" workbookViewId="0">
      <selection activeCell="A29" sqref="A2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0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3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414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360</v>
      </c>
      <c r="M2" s="164" t="s">
        <v>361</v>
      </c>
      <c r="N2" s="164" t="s">
        <v>362</v>
      </c>
      <c r="O2" s="164" t="s">
        <v>363</v>
      </c>
      <c r="P2" s="164" t="s">
        <v>364</v>
      </c>
      <c r="Q2" s="164" t="s">
        <v>365</v>
      </c>
      <c r="R2" s="164" t="s">
        <v>366</v>
      </c>
      <c r="S2" s="293"/>
      <c r="T2" s="328"/>
    </row>
    <row r="3" spans="1:32" ht="20.100000000000001" customHeight="1" thickBot="1">
      <c r="A3" s="163">
        <f>'[2]EDl log'!$A$33</f>
        <v>44469</v>
      </c>
      <c r="B3" s="260">
        <f>'[2]EDl log'!B33</f>
        <v>1095809</v>
      </c>
      <c r="C3" s="260">
        <f>'[2]EDl log'!C33</f>
        <v>353</v>
      </c>
      <c r="D3" s="260">
        <f>'[2]EDl log'!D33</f>
        <v>356</v>
      </c>
      <c r="E3" s="260">
        <f>'[2]EDl log'!E33</f>
        <v>1095812</v>
      </c>
      <c r="F3" s="260">
        <f>'[2]EDl log'!F33</f>
        <v>159392</v>
      </c>
      <c r="G3" s="260">
        <f>'[2]EDl log'!G33</f>
        <v>0</v>
      </c>
      <c r="H3" s="260">
        <f>'[2]EDl log'!H33</f>
        <v>537522</v>
      </c>
      <c r="I3" s="260">
        <f>'[2]EDl log'!I33</f>
        <v>356</v>
      </c>
      <c r="J3" s="260">
        <f>'[2]EDl log'!J33</f>
        <v>398895</v>
      </c>
      <c r="K3" s="260">
        <f>'[2]EDl log'!K33</f>
        <v>0</v>
      </c>
      <c r="L3" s="260">
        <f>'[2]EDl log'!L33</f>
        <v>0</v>
      </c>
      <c r="M3" s="260">
        <f>'[2]EDl log'!M33</f>
        <v>26.449087893864014</v>
      </c>
      <c r="N3" s="260">
        <f>'[2]EDl log'!N33</f>
        <v>0</v>
      </c>
      <c r="O3" s="260">
        <f>'[2]EDl log'!O33</f>
        <v>159.96313985627418</v>
      </c>
      <c r="P3" s="260">
        <f>'[2]EDl log'!P33</f>
        <v>186.41222775013819</v>
      </c>
      <c r="Q3" s="260">
        <f>'[2]EDl log'!Q33</f>
        <v>1337.691129032255</v>
      </c>
      <c r="R3" s="260">
        <f>'[2]EDl log'!R33</f>
        <v>1524.1033567823933</v>
      </c>
      <c r="S3" s="260">
        <f>'[2]EDl log'!S33</f>
        <v>6462.6000000000931</v>
      </c>
      <c r="T3" s="260">
        <f>'[2]EDl log'!T33</f>
        <v>0.23583439432772743</v>
      </c>
      <c r="Z3" t="s">
        <v>213</v>
      </c>
      <c r="AA3">
        <v>0.1</v>
      </c>
    </row>
    <row r="4" spans="1:32" ht="20.100000000000001" customHeight="1">
      <c r="A4" s="163">
        <f>ELEC!C4</f>
        <v>44470</v>
      </c>
      <c r="B4" s="556">
        <f>B3</f>
        <v>1095809</v>
      </c>
      <c r="C4" s="260">
        <f t="shared" ref="C4:C30" si="0">SUM(B4-B3)</f>
        <v>0</v>
      </c>
      <c r="D4" s="302">
        <f>SUM(G4+I4+K4)</f>
        <v>0</v>
      </c>
      <c r="E4" s="302">
        <f>B3+D4</f>
        <v>1095809</v>
      </c>
      <c r="F4" s="560">
        <f>F3</f>
        <v>159392</v>
      </c>
      <c r="G4" s="160">
        <f t="shared" ref="G4:G30" si="1">F4-F3</f>
        <v>0</v>
      </c>
      <c r="H4" s="560">
        <f>H3</f>
        <v>537522</v>
      </c>
      <c r="I4" s="161">
        <f t="shared" ref="I4:I30" si="2">H4-H3</f>
        <v>0</v>
      </c>
      <c r="J4" s="560">
        <f>J3</f>
        <v>398895</v>
      </c>
      <c r="K4" s="162">
        <f t="shared" ref="K4:K30" si="3">J4-J3</f>
        <v>0</v>
      </c>
      <c r="L4" s="291">
        <f t="shared" ref="L4:L13" si="4">SUM(G4*$Y$28)/1507.5</f>
        <v>0</v>
      </c>
      <c r="M4" s="291">
        <f t="shared" ref="M4:M13" si="5">SUM(I4*$Y$27)/1507.5</f>
        <v>0</v>
      </c>
      <c r="N4" s="291">
        <f t="shared" ref="N4:N13" si="6">SUM(K4*$Y$26)/1507.5</f>
        <v>0</v>
      </c>
      <c r="O4" s="291">
        <f>($AC$29/$A$37)/1507.5</f>
        <v>154.80303857058792</v>
      </c>
      <c r="P4" s="292">
        <f>SUM(L4:O4)</f>
        <v>154.80303857058792</v>
      </c>
      <c r="Q4" s="292">
        <f>SUM(-tanks!AX6*tanks!$AU$37)</f>
        <v>3115.0000000000005</v>
      </c>
      <c r="R4" s="292">
        <f>SUM(P4:Q4)</f>
        <v>3269.8030385705883</v>
      </c>
      <c r="S4" s="294">
        <f>SUM(ELEC!N4)</f>
        <v>0</v>
      </c>
      <c r="T4" s="329">
        <f>IF(S4&gt;0,R4/S4,0)</f>
        <v>0</v>
      </c>
      <c r="U4" s="246"/>
      <c r="V4" s="247" t="str">
        <f>'[6]EDl log'!V21</f>
        <v xml:space="preserve">EDL </v>
      </c>
      <c r="W4" s="167">
        <v>44460</v>
      </c>
      <c r="X4" s="169"/>
      <c r="Y4" s="169"/>
      <c r="Z4" s="169" t="s">
        <v>201</v>
      </c>
      <c r="AA4" s="169"/>
      <c r="AB4" s="672"/>
      <c r="AC4" s="673"/>
    </row>
    <row r="5" spans="1:32" ht="20.100000000000001" customHeight="1">
      <c r="A5" s="163">
        <f>ELEC!C5</f>
        <v>44471</v>
      </c>
      <c r="B5" s="626">
        <f t="shared" ref="B5:B34" si="7">B4</f>
        <v>1095809</v>
      </c>
      <c r="C5" s="260">
        <f t="shared" si="0"/>
        <v>0</v>
      </c>
      <c r="D5" s="302">
        <f>SUM(G5+I5+K5)</f>
        <v>0</v>
      </c>
      <c r="E5" s="302">
        <f>B4+D5</f>
        <v>1095809</v>
      </c>
      <c r="F5" s="626">
        <f t="shared" ref="F5:F34" si="8">F4</f>
        <v>159392</v>
      </c>
      <c r="G5" s="160">
        <f t="shared" si="1"/>
        <v>0</v>
      </c>
      <c r="H5" s="626">
        <f t="shared" ref="H5:H34" si="9">H4</f>
        <v>537522</v>
      </c>
      <c r="I5" s="161">
        <f t="shared" si="2"/>
        <v>0</v>
      </c>
      <c r="J5" s="626">
        <f t="shared" ref="J5:J34" si="10">J4</f>
        <v>398895</v>
      </c>
      <c r="K5" s="162">
        <f t="shared" si="3"/>
        <v>0</v>
      </c>
      <c r="L5" s="291">
        <f t="shared" si="4"/>
        <v>0</v>
      </c>
      <c r="M5" s="291">
        <f t="shared" si="5"/>
        <v>0</v>
      </c>
      <c r="N5" s="291">
        <f t="shared" si="6"/>
        <v>0</v>
      </c>
      <c r="O5" s="291">
        <f t="shared" ref="O5:O34" si="11">($AC$29/$A$37)/1507.5</f>
        <v>154.80303857058792</v>
      </c>
      <c r="P5" s="292">
        <f t="shared" ref="P5:P30" si="12">SUM(L5:O5)</f>
        <v>154.80303857058792</v>
      </c>
      <c r="Q5" s="292">
        <f>SUM(-tanks!AX7*tanks!$AU$37)</f>
        <v>0</v>
      </c>
      <c r="R5" s="292">
        <f t="shared" ref="R5:R30" si="13">SUM(P5:Q5)</f>
        <v>154.80303857058792</v>
      </c>
      <c r="S5" s="294">
        <f>SUM(ELEC!N5)</f>
        <v>0</v>
      </c>
      <c r="T5" s="329">
        <f>IF(S5&gt;0,R5/S5,0)</f>
        <v>0</v>
      </c>
      <c r="U5" s="246"/>
      <c r="V5" s="666"/>
      <c r="W5" s="667"/>
      <c r="X5" s="667"/>
      <c r="Y5" s="668"/>
      <c r="Z5" s="26" t="s">
        <v>202</v>
      </c>
      <c r="AA5" s="260">
        <f>'[7]EDl log'!AA22</f>
        <v>5000</v>
      </c>
      <c r="AB5" s="674"/>
      <c r="AC5" s="675"/>
    </row>
    <row r="6" spans="1:32" ht="20.100000000000001" customHeight="1">
      <c r="A6" s="163">
        <f>ELEC!C6</f>
        <v>44472</v>
      </c>
      <c r="B6" s="626">
        <f t="shared" si="7"/>
        <v>1095809</v>
      </c>
      <c r="C6" s="260">
        <f t="shared" si="0"/>
        <v>0</v>
      </c>
      <c r="D6" s="302">
        <f t="shared" ref="D6:D33" si="14">SUM(G6+I6+K6)</f>
        <v>0</v>
      </c>
      <c r="E6" s="302">
        <f t="shared" ref="E6:E30" si="15">B5+D6</f>
        <v>1095809</v>
      </c>
      <c r="F6" s="626">
        <f t="shared" si="8"/>
        <v>159392</v>
      </c>
      <c r="G6" s="160">
        <f t="shared" si="1"/>
        <v>0</v>
      </c>
      <c r="H6" s="626">
        <f t="shared" si="9"/>
        <v>537522</v>
      </c>
      <c r="I6" s="161">
        <f t="shared" si="2"/>
        <v>0</v>
      </c>
      <c r="J6" s="626">
        <f t="shared" si="10"/>
        <v>398895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11"/>
        <v>154.80303857058792</v>
      </c>
      <c r="P6" s="292">
        <f t="shared" si="12"/>
        <v>154.80303857058792</v>
      </c>
      <c r="Q6" s="292">
        <f>SUM(-tanks!AX8*tanks!$AU$37)</f>
        <v>-2152.1233548387063</v>
      </c>
      <c r="R6" s="292">
        <f t="shared" si="13"/>
        <v>-1997.3203162681184</v>
      </c>
      <c r="S6" s="294">
        <f>SUM(ELEC!N6)</f>
        <v>6878</v>
      </c>
      <c r="T6" s="329">
        <f t="shared" ref="T6:T30" si="16">IF(S6&gt;0,R6/S6,0)</f>
        <v>-0.29039260195814459</v>
      </c>
      <c r="V6" s="669"/>
      <c r="W6" s="670"/>
      <c r="X6" s="670"/>
      <c r="Y6" s="671"/>
      <c r="Z6" s="3"/>
      <c r="AA6" s="3"/>
      <c r="AB6" s="674"/>
      <c r="AC6" s="675"/>
    </row>
    <row r="7" spans="1:32" ht="20.100000000000001" customHeight="1">
      <c r="A7" s="163">
        <f>ELEC!C7</f>
        <v>44473</v>
      </c>
      <c r="B7" s="626">
        <v>1096854</v>
      </c>
      <c r="C7" s="260">
        <f t="shared" si="0"/>
        <v>1045</v>
      </c>
      <c r="D7" s="302">
        <f t="shared" si="14"/>
        <v>1044</v>
      </c>
      <c r="E7" s="302">
        <f t="shared" si="15"/>
        <v>1096853</v>
      </c>
      <c r="F7" s="626">
        <v>159394</v>
      </c>
      <c r="G7" s="160">
        <f t="shared" si="1"/>
        <v>2</v>
      </c>
      <c r="H7" s="626">
        <v>538539</v>
      </c>
      <c r="I7" s="161">
        <f t="shared" si="2"/>
        <v>1017</v>
      </c>
      <c r="J7" s="626">
        <v>398920</v>
      </c>
      <c r="K7" s="162">
        <f t="shared" si="3"/>
        <v>25</v>
      </c>
      <c r="L7" s="291">
        <f t="shared" si="4"/>
        <v>0.42454394693200664</v>
      </c>
      <c r="M7" s="291">
        <f t="shared" si="5"/>
        <v>75.558208955223876</v>
      </c>
      <c r="N7" s="291">
        <f t="shared" si="6"/>
        <v>1.3266998341625207</v>
      </c>
      <c r="O7" s="291">
        <f t="shared" si="11"/>
        <v>154.80303857058792</v>
      </c>
      <c r="P7" s="292">
        <f t="shared" si="12"/>
        <v>232.11249130690632</v>
      </c>
      <c r="Q7" s="292">
        <f>SUM(-tanks!AX9*tanks!$AU$37)</f>
        <v>616.7900967741931</v>
      </c>
      <c r="R7" s="292">
        <f t="shared" si="13"/>
        <v>848.90258808109945</v>
      </c>
      <c r="S7" s="294">
        <f>SUM(ELEC!N7)</f>
        <v>2392</v>
      </c>
      <c r="T7" s="329">
        <f t="shared" si="16"/>
        <v>0.35489238632152986</v>
      </c>
      <c r="V7" s="662" t="s">
        <v>203</v>
      </c>
      <c r="W7" s="663"/>
      <c r="X7" s="664" t="s">
        <v>204</v>
      </c>
      <c r="Y7" s="665"/>
      <c r="Z7" s="663"/>
      <c r="AA7" s="26"/>
      <c r="AB7" s="676"/>
      <c r="AC7" s="677"/>
    </row>
    <row r="8" spans="1:32" ht="20.100000000000001" customHeight="1">
      <c r="A8" s="163">
        <f>ELEC!C8</f>
        <v>44474</v>
      </c>
      <c r="B8" s="626">
        <f t="shared" si="7"/>
        <v>1096854</v>
      </c>
      <c r="C8" s="260">
        <f t="shared" si="0"/>
        <v>0</v>
      </c>
      <c r="D8" s="302">
        <f t="shared" si="14"/>
        <v>0</v>
      </c>
      <c r="E8" s="302">
        <f t="shared" si="15"/>
        <v>1096854</v>
      </c>
      <c r="F8" s="626">
        <f t="shared" si="8"/>
        <v>159394</v>
      </c>
      <c r="G8" s="160">
        <f t="shared" si="1"/>
        <v>0</v>
      </c>
      <c r="H8" s="626">
        <f t="shared" si="9"/>
        <v>538539</v>
      </c>
      <c r="I8" s="161">
        <f t="shared" si="2"/>
        <v>0</v>
      </c>
      <c r="J8" s="626">
        <f t="shared" si="10"/>
        <v>398920</v>
      </c>
      <c r="K8" s="162">
        <f>J8-J7</f>
        <v>0</v>
      </c>
      <c r="L8" s="291">
        <f t="shared" si="4"/>
        <v>0</v>
      </c>
      <c r="M8" s="291">
        <f t="shared" si="5"/>
        <v>0</v>
      </c>
      <c r="N8" s="291">
        <f t="shared" si="6"/>
        <v>0</v>
      </c>
      <c r="O8" s="291">
        <f t="shared" si="11"/>
        <v>154.80303857058792</v>
      </c>
      <c r="P8" s="292">
        <f t="shared" si="12"/>
        <v>154.80303857058792</v>
      </c>
      <c r="Q8" s="292">
        <f>SUM(-tanks!AX10*tanks!$AU$37)</f>
        <v>1418.8322580645133</v>
      </c>
      <c r="R8" s="292">
        <f t="shared" si="13"/>
        <v>1573.6352966351012</v>
      </c>
      <c r="S8" s="294">
        <f>SUM(ELEC!N8)</f>
        <v>6443</v>
      </c>
      <c r="T8" s="329">
        <f>IF(S8&gt;0,R8/S8,0)</f>
        <v>0.24423953075199459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5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44475</v>
      </c>
      <c r="B9" s="626">
        <f t="shared" si="7"/>
        <v>1096854</v>
      </c>
      <c r="C9" s="260">
        <f t="shared" si="0"/>
        <v>0</v>
      </c>
      <c r="D9" s="302">
        <f t="shared" si="14"/>
        <v>0</v>
      </c>
      <c r="E9" s="302">
        <f t="shared" si="15"/>
        <v>1096854</v>
      </c>
      <c r="F9" s="626">
        <f t="shared" si="8"/>
        <v>159394</v>
      </c>
      <c r="G9" s="160">
        <f t="shared" si="1"/>
        <v>0</v>
      </c>
      <c r="H9" s="626">
        <f t="shared" si="9"/>
        <v>538539</v>
      </c>
      <c r="I9" s="161">
        <f t="shared" si="2"/>
        <v>0</v>
      </c>
      <c r="J9" s="626">
        <f t="shared" si="10"/>
        <v>398920</v>
      </c>
      <c r="K9" s="162">
        <f>J9-J8</f>
        <v>0</v>
      </c>
      <c r="L9" s="291">
        <f t="shared" si="4"/>
        <v>0</v>
      </c>
      <c r="M9" s="291">
        <f t="shared" si="5"/>
        <v>0</v>
      </c>
      <c r="N9" s="291">
        <f t="shared" si="6"/>
        <v>0</v>
      </c>
      <c r="O9" s="291">
        <f t="shared" si="11"/>
        <v>154.80303857058792</v>
      </c>
      <c r="P9" s="292">
        <f t="shared" si="12"/>
        <v>154.80303857058792</v>
      </c>
      <c r="Q9" s="292">
        <f>SUM(-tanks!AX11*tanks!$AU$37)</f>
        <v>1464.9342580645177</v>
      </c>
      <c r="R9" s="292">
        <f>SUM(P9:Q9)</f>
        <v>1619.7372966351056</v>
      </c>
      <c r="S9" s="294">
        <f>SUM(ELEC!N9)</f>
        <v>7683</v>
      </c>
      <c r="T9" s="329">
        <f t="shared" si="16"/>
        <v>0.21082094190226547</v>
      </c>
      <c r="V9" s="250">
        <f>'[2]EDl log'!V26</f>
        <v>397791</v>
      </c>
      <c r="W9" s="250">
        <f>'[2]EDl log'!W26</f>
        <v>398895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1104</v>
      </c>
      <c r="AB9" s="172">
        <f>'[2]EDl log'!AB26</f>
        <v>88320</v>
      </c>
      <c r="AC9" s="172">
        <f>'[2]EDl log'!AC26</f>
        <v>1033333</v>
      </c>
      <c r="AD9" s="386">
        <f>'[2]EDl log'!AD26</f>
        <v>0.19477769936485531</v>
      </c>
    </row>
    <row r="10" spans="1:32" ht="20.100000000000001" customHeight="1">
      <c r="A10" s="163">
        <f>ELEC!C10</f>
        <v>44476</v>
      </c>
      <c r="B10" s="626">
        <f t="shared" si="7"/>
        <v>1096854</v>
      </c>
      <c r="C10" s="260">
        <f t="shared" si="0"/>
        <v>0</v>
      </c>
      <c r="D10" s="302">
        <f t="shared" si="14"/>
        <v>0</v>
      </c>
      <c r="E10" s="302">
        <f t="shared" si="15"/>
        <v>1096854</v>
      </c>
      <c r="F10" s="626">
        <f t="shared" si="8"/>
        <v>159394</v>
      </c>
      <c r="G10" s="160">
        <f t="shared" si="1"/>
        <v>0</v>
      </c>
      <c r="H10" s="626">
        <f t="shared" si="9"/>
        <v>538539</v>
      </c>
      <c r="I10" s="161">
        <f t="shared" si="2"/>
        <v>0</v>
      </c>
      <c r="J10" s="626">
        <f t="shared" si="10"/>
        <v>398920</v>
      </c>
      <c r="K10" s="162">
        <f t="shared" si="3"/>
        <v>0</v>
      </c>
      <c r="L10" s="291">
        <f t="shared" si="4"/>
        <v>0</v>
      </c>
      <c r="M10" s="291">
        <f t="shared" si="5"/>
        <v>0</v>
      </c>
      <c r="N10" s="291">
        <f t="shared" si="6"/>
        <v>0</v>
      </c>
      <c r="O10" s="291">
        <f t="shared" si="11"/>
        <v>154.80303857058792</v>
      </c>
      <c r="P10" s="292">
        <f t="shared" si="12"/>
        <v>154.80303857058792</v>
      </c>
      <c r="Q10" s="292">
        <f>SUM(-tanks!AX12*tanks!$AU$37)</f>
        <v>1361.717225806452</v>
      </c>
      <c r="R10" s="292">
        <f t="shared" si="13"/>
        <v>1516.5202643770399</v>
      </c>
      <c r="S10" s="294">
        <f>SUM(ELEC!N10)</f>
        <v>5566</v>
      </c>
      <c r="T10" s="329">
        <f t="shared" si="16"/>
        <v>0.27246142011804525</v>
      </c>
      <c r="V10" s="250">
        <f>'[2]EDl log'!V27</f>
        <v>533436</v>
      </c>
      <c r="W10" s="250">
        <f>'[2]EDl log'!W27</f>
        <v>537522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4086</v>
      </c>
      <c r="AB10" s="172">
        <f>'[2]EDl log'!AB27</f>
        <v>457632</v>
      </c>
      <c r="AC10" s="172">
        <f>'[2]EDl log'!AC27</f>
        <v>6200000</v>
      </c>
      <c r="AD10" s="386">
        <f>'[2]EDl log'!AD27</f>
        <v>0.72088920254057864</v>
      </c>
    </row>
    <row r="11" spans="1:32" ht="20.100000000000001" customHeight="1">
      <c r="A11" s="163">
        <f>ELEC!C11</f>
        <v>44477</v>
      </c>
      <c r="B11" s="626">
        <f t="shared" si="7"/>
        <v>1096854</v>
      </c>
      <c r="C11" s="260">
        <f t="shared" si="0"/>
        <v>0</v>
      </c>
      <c r="D11" s="302">
        <f t="shared" si="14"/>
        <v>0</v>
      </c>
      <c r="E11" s="302">
        <f t="shared" si="15"/>
        <v>1096854</v>
      </c>
      <c r="F11" s="626">
        <f t="shared" si="8"/>
        <v>159394</v>
      </c>
      <c r="G11" s="160">
        <f t="shared" si="1"/>
        <v>0</v>
      </c>
      <c r="H11" s="626">
        <f t="shared" si="9"/>
        <v>538539</v>
      </c>
      <c r="I11" s="161">
        <f t="shared" si="2"/>
        <v>0</v>
      </c>
      <c r="J11" s="626">
        <f t="shared" si="10"/>
        <v>398920</v>
      </c>
      <c r="K11" s="162">
        <f t="shared" si="3"/>
        <v>0</v>
      </c>
      <c r="L11" s="291">
        <f t="shared" si="4"/>
        <v>0</v>
      </c>
      <c r="M11" s="291">
        <f t="shared" si="5"/>
        <v>0</v>
      </c>
      <c r="N11" s="291">
        <f t="shared" si="6"/>
        <v>0</v>
      </c>
      <c r="O11" s="291">
        <f t="shared" si="11"/>
        <v>154.80303857058792</v>
      </c>
      <c r="P11" s="292">
        <f t="shared" si="12"/>
        <v>154.80303857058792</v>
      </c>
      <c r="Q11" s="292">
        <f>SUM(-tanks!AX13*tanks!$AU$37)</f>
        <v>0</v>
      </c>
      <c r="R11" s="292">
        <f t="shared" si="13"/>
        <v>154.80303857058792</v>
      </c>
      <c r="S11" s="294">
        <f>SUM(ELEC!N11)</f>
        <v>0</v>
      </c>
      <c r="T11" s="329">
        <f t="shared" si="16"/>
        <v>0</v>
      </c>
      <c r="V11" s="250">
        <f>'[2]EDl log'!V28</f>
        <v>158913</v>
      </c>
      <c r="W11" s="250">
        <f>'[2]EDl log'!W28</f>
        <v>159392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479</v>
      </c>
      <c r="AB11" s="172">
        <f>'[2]EDl log'!AB28</f>
        <v>153280</v>
      </c>
      <c r="AC11" s="172">
        <f>'[2]EDl log'!AC28</f>
        <v>1000</v>
      </c>
      <c r="AD11" s="386">
        <f>'[2]EDl log'!AD28</f>
        <v>8.4509527170077633E-2</v>
      </c>
      <c r="AE11" s="40">
        <f>'[2]EDl log'!$AE$28</f>
        <v>7664</v>
      </c>
      <c r="AF11" s="40">
        <f>'[2]EDl log'!$AF$28</f>
        <v>33940.571428571428</v>
      </c>
    </row>
    <row r="12" spans="1:32" ht="20.100000000000001" customHeight="1">
      <c r="A12" s="163">
        <f>ELEC!C12</f>
        <v>44478</v>
      </c>
      <c r="B12" s="626">
        <f t="shared" si="7"/>
        <v>1096854</v>
      </c>
      <c r="C12" s="260">
        <f t="shared" si="0"/>
        <v>0</v>
      </c>
      <c r="D12" s="302">
        <f t="shared" si="14"/>
        <v>0</v>
      </c>
      <c r="E12" s="302">
        <f t="shared" si="15"/>
        <v>1096854</v>
      </c>
      <c r="F12" s="626">
        <f t="shared" si="8"/>
        <v>159394</v>
      </c>
      <c r="G12" s="160">
        <f t="shared" si="1"/>
        <v>0</v>
      </c>
      <c r="H12" s="626">
        <f t="shared" si="9"/>
        <v>538539</v>
      </c>
      <c r="I12" s="161">
        <f t="shared" si="2"/>
        <v>0</v>
      </c>
      <c r="J12" s="626">
        <f t="shared" si="10"/>
        <v>398920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11"/>
        <v>154.80303857058792</v>
      </c>
      <c r="P12" s="292">
        <f t="shared" si="12"/>
        <v>154.80303857058792</v>
      </c>
      <c r="Q12" s="292">
        <f>SUM(-tanks!AX14*tanks!$AU$37)</f>
        <v>0</v>
      </c>
      <c r="R12" s="292">
        <f t="shared" si="13"/>
        <v>154.80303857058792</v>
      </c>
      <c r="S12" s="294">
        <f>SUM(ELEC!N12)</f>
        <v>0</v>
      </c>
      <c r="T12" s="329">
        <f t="shared" si="16"/>
        <v>0</v>
      </c>
      <c r="V12" s="545"/>
      <c r="W12" s="260"/>
      <c r="X12" s="3"/>
      <c r="Y12" s="172">
        <f>'[2]EDl log'!Y29</f>
        <v>0</v>
      </c>
      <c r="Z12" s="172">
        <f>'[2]EDl log'!Z29</f>
        <v>0</v>
      </c>
      <c r="AA12" s="172">
        <f>'[2]EDl log'!AA29</f>
        <v>5669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44479</v>
      </c>
      <c r="B13" s="626">
        <v>1097486</v>
      </c>
      <c r="C13" s="260">
        <f t="shared" si="0"/>
        <v>632</v>
      </c>
      <c r="D13" s="302">
        <f t="shared" si="14"/>
        <v>632</v>
      </c>
      <c r="E13" s="302">
        <f t="shared" si="15"/>
        <v>1097486</v>
      </c>
      <c r="F13" s="626">
        <v>159394</v>
      </c>
      <c r="G13" s="160">
        <f t="shared" si="1"/>
        <v>0</v>
      </c>
      <c r="H13" s="626">
        <v>539006</v>
      </c>
      <c r="I13" s="161">
        <f t="shared" si="2"/>
        <v>467</v>
      </c>
      <c r="J13" s="626">
        <v>399085</v>
      </c>
      <c r="K13" s="162">
        <f t="shared" si="3"/>
        <v>165</v>
      </c>
      <c r="L13" s="291">
        <f t="shared" si="4"/>
        <v>0</v>
      </c>
      <c r="M13" s="291">
        <f t="shared" si="5"/>
        <v>34.695854063018245</v>
      </c>
      <c r="N13" s="291">
        <f t="shared" si="6"/>
        <v>8.756218905472636</v>
      </c>
      <c r="O13" s="291">
        <f t="shared" si="11"/>
        <v>154.80303857058792</v>
      </c>
      <c r="P13" s="292">
        <f t="shared" si="12"/>
        <v>198.2551115390788</v>
      </c>
      <c r="Q13" s="292">
        <f>SUM(-tanks!AX15*tanks!$AU$37)</f>
        <v>1080.3221935483907</v>
      </c>
      <c r="R13" s="292">
        <f t="shared" si="13"/>
        <v>1278.5773050874695</v>
      </c>
      <c r="S13" s="294">
        <f>SUM(ELEC!N13)</f>
        <v>6438</v>
      </c>
      <c r="T13" s="329">
        <f>IF(S13&gt;0,R13/S13,0)</f>
        <v>0.19859852517668058</v>
      </c>
      <c r="V13" s="545" t="str">
        <f>'[7]EDl log'!V30</f>
        <v>Occ %</v>
      </c>
      <c r="W13" s="561">
        <f>'[9]EDl log'!W30</f>
        <v>0</v>
      </c>
      <c r="X13" s="489"/>
      <c r="Y13" s="172" t="str">
        <f>'[2]EDl log'!Y30</f>
        <v>Per G</v>
      </c>
      <c r="Z13" s="172">
        <f>'[2]EDl log'!Z30</f>
        <v>0</v>
      </c>
      <c r="AA13" s="172">
        <f>'[2]EDl log'!AA30</f>
        <v>0</v>
      </c>
      <c r="AB13" s="172">
        <f>'[2]EDl log'!AB30</f>
        <v>699232</v>
      </c>
      <c r="AC13" s="172">
        <f>'[2]EDl log'!AC30</f>
        <v>0</v>
      </c>
      <c r="AD13" s="172">
        <f>'[2]EDl log'!AD30</f>
        <v>0</v>
      </c>
    </row>
    <row r="14" spans="1:32" ht="20.100000000000001" customHeight="1">
      <c r="A14" s="163">
        <f>ELEC!C14</f>
        <v>44480</v>
      </c>
      <c r="B14" s="626">
        <f t="shared" si="7"/>
        <v>1097486</v>
      </c>
      <c r="C14" s="260">
        <f t="shared" si="0"/>
        <v>0</v>
      </c>
      <c r="D14" s="302">
        <f t="shared" si="14"/>
        <v>0</v>
      </c>
      <c r="E14" s="302">
        <f t="shared" si="15"/>
        <v>1097486</v>
      </c>
      <c r="F14" s="626">
        <f t="shared" si="8"/>
        <v>159394</v>
      </c>
      <c r="G14" s="160">
        <f t="shared" si="1"/>
        <v>0</v>
      </c>
      <c r="H14" s="626">
        <f t="shared" si="9"/>
        <v>539006</v>
      </c>
      <c r="I14" s="161">
        <f t="shared" si="2"/>
        <v>0</v>
      </c>
      <c r="J14" s="626">
        <f t="shared" si="10"/>
        <v>399085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11"/>
        <v>154.80303857058792</v>
      </c>
      <c r="P14" s="292">
        <f>SUM(L14:O14)</f>
        <v>154.80303857058792</v>
      </c>
      <c r="Q14" s="292">
        <f>SUM(-tanks!AX16*tanks!$AU$37)</f>
        <v>601.63712903224985</v>
      </c>
      <c r="R14" s="292">
        <f>SUM(P14:Q14)</f>
        <v>756.44016760283773</v>
      </c>
      <c r="S14" s="294">
        <f>SUM(ELEC!N14)</f>
        <v>7769</v>
      </c>
      <c r="T14" s="329">
        <f>IF(S14&gt;0,R14/S14,0)</f>
        <v>9.7366478002682166E-2</v>
      </c>
      <c r="V14" s="545" t="str">
        <f>'[7]EDl log'!V31</f>
        <v>Gen RH</v>
      </c>
      <c r="W14" s="562">
        <f>'[2]EDl log'!W33</f>
        <v>325</v>
      </c>
      <c r="X14" s="562">
        <f>'[2]EDl log'!X33</f>
        <v>21.666666666666668</v>
      </c>
      <c r="Y14" s="598"/>
      <c r="Z14" s="172">
        <f>'[2]EDl log'!Z31</f>
        <v>0</v>
      </c>
      <c r="AA14" s="172">
        <f>'[2]EDl log'!AA31</f>
        <v>0</v>
      </c>
      <c r="AB14" s="172">
        <f>'[2]EDl log'!AB31</f>
        <v>0</v>
      </c>
      <c r="AC14" s="172">
        <f>'[2]EDl log'!AC31</f>
        <v>0</v>
      </c>
      <c r="AD14" s="172">
        <f>'[2]EDl log'!AD31</f>
        <v>0</v>
      </c>
    </row>
    <row r="15" spans="1:32" ht="20.100000000000001" customHeight="1">
      <c r="A15" s="163">
        <f>ELEC!C15</f>
        <v>44481</v>
      </c>
      <c r="B15" s="626">
        <f t="shared" si="7"/>
        <v>1097486</v>
      </c>
      <c r="C15" s="260">
        <f t="shared" si="0"/>
        <v>0</v>
      </c>
      <c r="D15" s="302">
        <f t="shared" si="14"/>
        <v>0</v>
      </c>
      <c r="E15" s="302">
        <f t="shared" si="15"/>
        <v>1097486</v>
      </c>
      <c r="F15" s="626">
        <f t="shared" si="8"/>
        <v>159394</v>
      </c>
      <c r="G15" s="160">
        <f t="shared" si="1"/>
        <v>0</v>
      </c>
      <c r="H15" s="626">
        <f t="shared" si="9"/>
        <v>539006</v>
      </c>
      <c r="I15" s="161">
        <f t="shared" si="2"/>
        <v>0</v>
      </c>
      <c r="J15" s="626">
        <f t="shared" si="10"/>
        <v>399085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11"/>
        <v>154.80303857058792</v>
      </c>
      <c r="P15" s="292">
        <f>SUM(L15:O15)</f>
        <v>154.80303857058792</v>
      </c>
      <c r="Q15" s="292">
        <f>SUM(-tanks!AX17*tanks!$AU$37)</f>
        <v>1497.9532580645268</v>
      </c>
      <c r="R15" s="292">
        <f>SUM(P15:Q15)</f>
        <v>1652.7562966351147</v>
      </c>
      <c r="S15" s="294">
        <f>SUM(ELEC!N15)</f>
        <v>6157</v>
      </c>
      <c r="T15" s="329">
        <f>IF(S15&gt;0,R15/S15,0)</f>
        <v>0.26843532509909285</v>
      </c>
      <c r="V15" s="545" t="str">
        <f>'[7]EDl log'!V32</f>
        <v>H Deg</v>
      </c>
      <c r="W15" s="250">
        <f>'[2]Degree Days 2020'!$J$81</f>
        <v>-183.00000000000003</v>
      </c>
      <c r="X15" s="250"/>
      <c r="Y15" s="172">
        <f>'[2]EDl log'!Y32</f>
        <v>0</v>
      </c>
      <c r="Z15" s="172">
        <f>'[2]EDl log'!Z32</f>
        <v>0</v>
      </c>
      <c r="AA15" s="172">
        <f>'[2]EDl log'!AA32</f>
        <v>0</v>
      </c>
      <c r="AB15" s="172">
        <f>'[2]EDl log'!AB32</f>
        <v>0</v>
      </c>
      <c r="AC15" s="172">
        <f>'[2]EDl log'!AC32</f>
        <v>0</v>
      </c>
      <c r="AD15" s="172">
        <f>'[2]EDl log'!AD32</f>
        <v>0</v>
      </c>
    </row>
    <row r="16" spans="1:32" ht="20.100000000000001" customHeight="1">
      <c r="A16" s="163">
        <f>ELEC!C16</f>
        <v>44482</v>
      </c>
      <c r="B16" s="626">
        <f t="shared" si="7"/>
        <v>1097486</v>
      </c>
      <c r="C16" s="260">
        <f t="shared" si="0"/>
        <v>0</v>
      </c>
      <c r="D16" s="302">
        <f t="shared" si="14"/>
        <v>0</v>
      </c>
      <c r="E16" s="302">
        <f t="shared" si="15"/>
        <v>1097486</v>
      </c>
      <c r="F16" s="626">
        <f t="shared" si="8"/>
        <v>159394</v>
      </c>
      <c r="G16" s="160">
        <f t="shared" si="1"/>
        <v>0</v>
      </c>
      <c r="H16" s="626">
        <f t="shared" si="9"/>
        <v>539006</v>
      </c>
      <c r="I16" s="161">
        <f t="shared" si="2"/>
        <v>0</v>
      </c>
      <c r="J16" s="626">
        <f t="shared" si="10"/>
        <v>399085</v>
      </c>
      <c r="K16" s="162">
        <f>J16-J15</f>
        <v>0</v>
      </c>
      <c r="L16" s="291">
        <f>SUM(G16*$Y$28)/1507.5</f>
        <v>0</v>
      </c>
      <c r="M16" s="291">
        <f>SUM(I16*$Y$27)/1507.5</f>
        <v>0</v>
      </c>
      <c r="N16" s="291">
        <f>SUM(K16*$Y$26)/1507.5</f>
        <v>0</v>
      </c>
      <c r="O16" s="291">
        <f t="shared" si="11"/>
        <v>154.80303857058792</v>
      </c>
      <c r="P16" s="292">
        <f>SUM(L16:O16)</f>
        <v>154.80303857058792</v>
      </c>
      <c r="Q16" s="292">
        <f>SUM(-tanks!AX18*tanks!$AU$37)</f>
        <v>0</v>
      </c>
      <c r="R16" s="292">
        <f>SUM(P16:Q16)</f>
        <v>154.80303857058792</v>
      </c>
      <c r="S16" s="294">
        <f>SUM(ELEC!N16)</f>
        <v>3381</v>
      </c>
      <c r="T16" s="329">
        <f>IF(S16&gt;0,R16/S16,0)</f>
        <v>4.5786169349478829E-2</v>
      </c>
      <c r="V16" s="545" t="str">
        <f>'[7]EDl log'!V33</f>
        <v>C Deg</v>
      </c>
      <c r="W16" s="250">
        <f>'[2]Degree Days 2020'!$K$81</f>
        <v>176.99999999999997</v>
      </c>
      <c r="X16" s="250"/>
      <c r="Y16" s="172">
        <f>'[2]EDl log'!Y33</f>
        <v>21.666666666666668</v>
      </c>
      <c r="Z16" s="172">
        <f>'[2]EDl log'!Z33</f>
        <v>0</v>
      </c>
      <c r="AA16" s="172">
        <f>'[2]EDl log'!AA33</f>
        <v>0</v>
      </c>
      <c r="AB16" s="172">
        <f>'[2]EDl log'!AB33</f>
        <v>7933565</v>
      </c>
      <c r="AC16" s="172">
        <f>'[2]EDl log'!AC33</f>
        <v>7234333</v>
      </c>
      <c r="AD16" s="172">
        <f>'[2]EDl log'!AD33</f>
        <v>0</v>
      </c>
    </row>
    <row r="17" spans="1:32" ht="20.100000000000001" customHeight="1">
      <c r="A17" s="163">
        <f>ELEC!C17</f>
        <v>44483</v>
      </c>
      <c r="B17" s="626">
        <f t="shared" si="7"/>
        <v>1097486</v>
      </c>
      <c r="C17" s="260">
        <f t="shared" si="0"/>
        <v>0</v>
      </c>
      <c r="D17" s="302">
        <f t="shared" si="14"/>
        <v>0</v>
      </c>
      <c r="E17" s="302">
        <f t="shared" si="15"/>
        <v>1097486</v>
      </c>
      <c r="F17" s="626">
        <f t="shared" si="8"/>
        <v>159394</v>
      </c>
      <c r="G17" s="160">
        <f>F17-F16</f>
        <v>0</v>
      </c>
      <c r="H17" s="626">
        <f t="shared" si="9"/>
        <v>539006</v>
      </c>
      <c r="I17" s="161">
        <f t="shared" si="2"/>
        <v>0</v>
      </c>
      <c r="J17" s="626">
        <f t="shared" si="10"/>
        <v>399085</v>
      </c>
      <c r="K17" s="162">
        <f>J17-J16</f>
        <v>0</v>
      </c>
      <c r="L17" s="291">
        <f>SUM(G17*$Y$28)/1507.5</f>
        <v>0</v>
      </c>
      <c r="M17" s="291">
        <f>SUM(I17*$Y$27)/1507.5</f>
        <v>0</v>
      </c>
      <c r="N17" s="291">
        <f>SUM(K17*$Y$26)/1507.5</f>
        <v>0</v>
      </c>
      <c r="O17" s="291">
        <f t="shared" si="11"/>
        <v>154.80303857058792</v>
      </c>
      <c r="P17" s="292">
        <f>SUM(L17:O17)</f>
        <v>154.80303857058792</v>
      </c>
      <c r="Q17" s="292">
        <f>SUM(-tanks!AX19*tanks!$AU$37)</f>
        <v>0</v>
      </c>
      <c r="R17" s="292">
        <f>SUM(P17:Q17)</f>
        <v>154.80303857058792</v>
      </c>
      <c r="S17" s="294">
        <f>SUM(ELEC!N17)</f>
        <v>0</v>
      </c>
      <c r="T17" s="329">
        <f>IF(S17&gt;0,R17/S17,0)</f>
        <v>0</v>
      </c>
      <c r="V17" s="249"/>
      <c r="W17" s="489"/>
      <c r="X17" s="17"/>
      <c r="Y17" s="422"/>
      <c r="Z17" s="489" t="s">
        <v>413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44484</v>
      </c>
      <c r="B18" s="626">
        <f t="shared" si="7"/>
        <v>1097486</v>
      </c>
      <c r="C18" s="260">
        <f>SUM(B18-B17)</f>
        <v>0</v>
      </c>
      <c r="D18" s="302">
        <f>SUM(G18+I18+K18)</f>
        <v>0</v>
      </c>
      <c r="E18" s="302">
        <f t="shared" si="15"/>
        <v>1097486</v>
      </c>
      <c r="F18" s="626">
        <f t="shared" si="8"/>
        <v>159394</v>
      </c>
      <c r="G18" s="160">
        <f t="shared" si="1"/>
        <v>0</v>
      </c>
      <c r="H18" s="626">
        <f t="shared" si="9"/>
        <v>539006</v>
      </c>
      <c r="I18" s="161">
        <f t="shared" si="2"/>
        <v>0</v>
      </c>
      <c r="J18" s="626">
        <f t="shared" si="10"/>
        <v>399085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11"/>
        <v>154.80303857058792</v>
      </c>
      <c r="P18" s="292">
        <f t="shared" si="12"/>
        <v>154.80303857058792</v>
      </c>
      <c r="Q18" s="292">
        <f>SUM(-tanks!AX20*tanks!$AU$37)</f>
        <v>0</v>
      </c>
      <c r="R18" s="292">
        <f t="shared" si="13"/>
        <v>154.80303857058792</v>
      </c>
      <c r="S18" s="294">
        <f>SUM(ELEC!N18)</f>
        <v>0</v>
      </c>
      <c r="T18" s="329">
        <f t="shared" si="16"/>
        <v>0</v>
      </c>
      <c r="V18" s="226"/>
      <c r="W18" s="227"/>
      <c r="X18" s="227"/>
      <c r="Y18" s="422"/>
      <c r="Z18" s="489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627">
        <f>'[2]EDl log'!$AD$35</f>
        <v>4800.4863968148638</v>
      </c>
    </row>
    <row r="19" spans="1:32" ht="20.100000000000001" customHeight="1" thickBot="1">
      <c r="A19" s="163">
        <f>ELEC!C19</f>
        <v>44485</v>
      </c>
      <c r="B19" s="626">
        <f t="shared" si="7"/>
        <v>1097486</v>
      </c>
      <c r="C19" s="260">
        <f t="shared" si="0"/>
        <v>0</v>
      </c>
      <c r="D19" s="302">
        <f t="shared" si="14"/>
        <v>0</v>
      </c>
      <c r="E19" s="302">
        <f t="shared" si="15"/>
        <v>1097486</v>
      </c>
      <c r="F19" s="626">
        <f t="shared" si="8"/>
        <v>159394</v>
      </c>
      <c r="G19" s="160">
        <f t="shared" si="1"/>
        <v>0</v>
      </c>
      <c r="H19" s="626">
        <f t="shared" si="9"/>
        <v>539006</v>
      </c>
      <c r="I19" s="161">
        <f t="shared" si="2"/>
        <v>0</v>
      </c>
      <c r="J19" s="626">
        <f t="shared" si="10"/>
        <v>399085</v>
      </c>
      <c r="K19" s="162">
        <f t="shared" si="3"/>
        <v>0</v>
      </c>
      <c r="L19" s="291">
        <f t="shared" si="17"/>
        <v>0</v>
      </c>
      <c r="M19" s="291">
        <f t="shared" si="18"/>
        <v>0</v>
      </c>
      <c r="N19" s="291">
        <f t="shared" si="19"/>
        <v>0</v>
      </c>
      <c r="O19" s="291">
        <f t="shared" si="11"/>
        <v>154.80303857058792</v>
      </c>
      <c r="P19" s="292">
        <f t="shared" si="12"/>
        <v>154.80303857058792</v>
      </c>
      <c r="Q19" s="292">
        <f>SUM(-tanks!AX21*tanks!$AU$37)</f>
        <v>0</v>
      </c>
      <c r="R19" s="292">
        <f t="shared" si="13"/>
        <v>154.80303857058792</v>
      </c>
      <c r="S19" s="294">
        <f>SUM(ELEC!N19)</f>
        <v>0</v>
      </c>
      <c r="T19" s="329">
        <f t="shared" si="16"/>
        <v>0</v>
      </c>
      <c r="V19" s="226"/>
      <c r="W19" s="227"/>
      <c r="X19" s="227"/>
      <c r="Y19" s="546"/>
      <c r="Z19" s="546"/>
      <c r="AA19" s="172" t="str">
        <f>'[1]EDl log'!AA36</f>
        <v>$</v>
      </c>
      <c r="AB19" s="172">
        <f>'[2]EDl log'!$AB$36</f>
        <v>5262.7296849087897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44486</v>
      </c>
      <c r="B20" s="626">
        <f t="shared" si="7"/>
        <v>1097486</v>
      </c>
      <c r="C20" s="260">
        <f t="shared" si="0"/>
        <v>0</v>
      </c>
      <c r="D20" s="302">
        <f t="shared" si="14"/>
        <v>0</v>
      </c>
      <c r="E20" s="302">
        <f t="shared" si="15"/>
        <v>1097486</v>
      </c>
      <c r="F20" s="626">
        <f t="shared" si="8"/>
        <v>159394</v>
      </c>
      <c r="G20" s="160">
        <f t="shared" si="1"/>
        <v>0</v>
      </c>
      <c r="H20" s="626">
        <f t="shared" si="9"/>
        <v>539006</v>
      </c>
      <c r="I20" s="161">
        <f t="shared" si="2"/>
        <v>0</v>
      </c>
      <c r="J20" s="626">
        <f t="shared" si="10"/>
        <v>399085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11"/>
        <v>154.80303857058792</v>
      </c>
      <c r="P20" s="292">
        <f t="shared" si="12"/>
        <v>154.80303857058792</v>
      </c>
      <c r="Q20" s="292">
        <f>SUM(-tanks!AX22*tanks!$AU$37)</f>
        <v>0</v>
      </c>
      <c r="R20" s="292">
        <f t="shared" si="13"/>
        <v>154.80303857058792</v>
      </c>
      <c r="S20" s="294">
        <f>SUM(ELEC!N20)</f>
        <v>0</v>
      </c>
      <c r="T20" s="329">
        <f t="shared" si="16"/>
        <v>0</v>
      </c>
      <c r="V20" t="s">
        <v>409</v>
      </c>
      <c r="AB20" s="544"/>
    </row>
    <row r="21" spans="1:32" ht="20.100000000000001" customHeight="1">
      <c r="A21" s="163">
        <f>ELEC!C21</f>
        <v>44487</v>
      </c>
      <c r="B21" s="626">
        <v>1097886</v>
      </c>
      <c r="C21" s="260">
        <f t="shared" si="0"/>
        <v>400</v>
      </c>
      <c r="D21" s="302">
        <f t="shared" si="14"/>
        <v>400</v>
      </c>
      <c r="E21" s="302">
        <f t="shared" si="15"/>
        <v>1097886</v>
      </c>
      <c r="F21" s="626">
        <f t="shared" si="8"/>
        <v>159394</v>
      </c>
      <c r="G21" s="160">
        <f t="shared" si="1"/>
        <v>0</v>
      </c>
      <c r="H21" s="626">
        <v>539318</v>
      </c>
      <c r="I21" s="161">
        <f t="shared" si="2"/>
        <v>312</v>
      </c>
      <c r="J21" s="626">
        <v>399173</v>
      </c>
      <c r="K21" s="162">
        <f t="shared" si="3"/>
        <v>88</v>
      </c>
      <c r="L21" s="291">
        <f t="shared" si="17"/>
        <v>0</v>
      </c>
      <c r="M21" s="291">
        <f t="shared" si="18"/>
        <v>23.180099502487561</v>
      </c>
      <c r="N21" s="291">
        <f t="shared" si="19"/>
        <v>4.669983416252073</v>
      </c>
      <c r="O21" s="291">
        <f t="shared" si="11"/>
        <v>154.80303857058792</v>
      </c>
      <c r="P21" s="292">
        <f t="shared" si="12"/>
        <v>182.65312148932756</v>
      </c>
      <c r="Q21" s="292">
        <f>SUM(-tanks!AX23*tanks!$AU$37)</f>
        <v>1953.1753387096758</v>
      </c>
      <c r="R21" s="292">
        <f t="shared" si="13"/>
        <v>2135.8284601990035</v>
      </c>
      <c r="S21" s="294">
        <f>SUM(ELEC!N21)</f>
        <v>9746</v>
      </c>
      <c r="T21" s="329">
        <f t="shared" si="16"/>
        <v>0.21914923663031025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72"/>
      <c r="AC21" s="673"/>
    </row>
    <row r="22" spans="1:32" ht="20.100000000000001" customHeight="1">
      <c r="A22" s="163">
        <f>ELEC!C22</f>
        <v>44488</v>
      </c>
      <c r="B22" s="626">
        <f t="shared" si="7"/>
        <v>1097886</v>
      </c>
      <c r="C22" s="260">
        <f t="shared" si="0"/>
        <v>0</v>
      </c>
      <c r="D22" s="302">
        <f t="shared" si="14"/>
        <v>0</v>
      </c>
      <c r="E22" s="302">
        <f t="shared" si="15"/>
        <v>1097886</v>
      </c>
      <c r="F22" s="626">
        <f t="shared" si="8"/>
        <v>159394</v>
      </c>
      <c r="G22" s="160">
        <f t="shared" si="1"/>
        <v>0</v>
      </c>
      <c r="H22" s="626">
        <f t="shared" si="9"/>
        <v>539318</v>
      </c>
      <c r="I22" s="161">
        <f t="shared" si="2"/>
        <v>0</v>
      </c>
      <c r="J22" s="626">
        <f t="shared" si="10"/>
        <v>399173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11"/>
        <v>154.80303857058792</v>
      </c>
      <c r="P22" s="292">
        <f t="shared" si="12"/>
        <v>154.80303857058792</v>
      </c>
      <c r="Q22" s="292">
        <f>SUM(-tanks!AX24*tanks!$AU$37)</f>
        <v>1332.0242419354872</v>
      </c>
      <c r="R22" s="292">
        <f t="shared" si="13"/>
        <v>1486.8272805060751</v>
      </c>
      <c r="S22" s="294">
        <f>SUM(ELEC!N22)</f>
        <v>6669</v>
      </c>
      <c r="T22" s="329">
        <f t="shared" si="16"/>
        <v>0.22294606095457717</v>
      </c>
      <c r="V22" s="678"/>
      <c r="W22" s="679"/>
      <c r="X22" s="679"/>
      <c r="Y22" s="680"/>
      <c r="Z22" s="26" t="s">
        <v>202</v>
      </c>
      <c r="AA22" s="26">
        <v>5000</v>
      </c>
      <c r="AB22" s="674"/>
      <c r="AC22" s="675"/>
    </row>
    <row r="23" spans="1:32" ht="20.100000000000001" customHeight="1">
      <c r="A23" s="163">
        <f>ELEC!C23</f>
        <v>44489</v>
      </c>
      <c r="B23" s="626">
        <v>1098106</v>
      </c>
      <c r="C23" s="260">
        <f t="shared" si="0"/>
        <v>220</v>
      </c>
      <c r="D23" s="302">
        <f t="shared" si="14"/>
        <v>221</v>
      </c>
      <c r="E23" s="302">
        <f t="shared" si="15"/>
        <v>1098107</v>
      </c>
      <c r="F23" s="626">
        <v>159394</v>
      </c>
      <c r="G23" s="160">
        <f t="shared" si="1"/>
        <v>0</v>
      </c>
      <c r="H23" s="626">
        <v>539446</v>
      </c>
      <c r="I23" s="161">
        <f t="shared" si="2"/>
        <v>128</v>
      </c>
      <c r="J23" s="626">
        <v>399266</v>
      </c>
      <c r="K23" s="162">
        <f t="shared" si="3"/>
        <v>93</v>
      </c>
      <c r="L23" s="291">
        <f t="shared" si="17"/>
        <v>0</v>
      </c>
      <c r="M23" s="291">
        <f t="shared" si="18"/>
        <v>9.5097844112769483</v>
      </c>
      <c r="N23" s="291">
        <f t="shared" si="19"/>
        <v>4.9353233830845769</v>
      </c>
      <c r="O23" s="291">
        <f t="shared" si="11"/>
        <v>154.80303857058792</v>
      </c>
      <c r="P23" s="292">
        <f t="shared" si="12"/>
        <v>169.24814636494943</v>
      </c>
      <c r="Q23" s="292">
        <f>SUM(-tanks!AX25*tanks!$AU$37)</f>
        <v>1337.4202258064474</v>
      </c>
      <c r="R23" s="292">
        <f t="shared" si="13"/>
        <v>1506.6683721713969</v>
      </c>
      <c r="S23" s="294">
        <f>SUM(ELEC!N23)</f>
        <v>5877</v>
      </c>
      <c r="T23" s="329">
        <f t="shared" si="16"/>
        <v>0.25636691716375648</v>
      </c>
      <c r="V23" s="681"/>
      <c r="W23" s="682"/>
      <c r="X23" s="682"/>
      <c r="Y23" s="683"/>
      <c r="Z23" s="684"/>
      <c r="AA23" s="685"/>
      <c r="AB23" s="674"/>
      <c r="AC23" s="675"/>
    </row>
    <row r="24" spans="1:32" ht="20.100000000000001" customHeight="1">
      <c r="A24" s="163">
        <f>ELEC!C24</f>
        <v>44490</v>
      </c>
      <c r="B24" s="626">
        <f t="shared" si="7"/>
        <v>1098106</v>
      </c>
      <c r="C24" s="260">
        <f t="shared" si="0"/>
        <v>0</v>
      </c>
      <c r="D24" s="302">
        <f t="shared" si="14"/>
        <v>0</v>
      </c>
      <c r="E24" s="302">
        <f t="shared" si="15"/>
        <v>1098106</v>
      </c>
      <c r="F24" s="626">
        <f t="shared" si="8"/>
        <v>159394</v>
      </c>
      <c r="G24" s="160">
        <f t="shared" si="1"/>
        <v>0</v>
      </c>
      <c r="H24" s="626">
        <f t="shared" si="9"/>
        <v>539446</v>
      </c>
      <c r="I24" s="161">
        <f t="shared" si="2"/>
        <v>0</v>
      </c>
      <c r="J24" s="626">
        <f t="shared" si="10"/>
        <v>399266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11"/>
        <v>154.80303857058792</v>
      </c>
      <c r="P24" s="292">
        <f t="shared" si="12"/>
        <v>154.80303857058792</v>
      </c>
      <c r="Q24" s="292">
        <f>SUM(-tanks!AX26*tanks!$AU$37)</f>
        <v>1258.9222258064519</v>
      </c>
      <c r="R24" s="292">
        <f t="shared" si="13"/>
        <v>1413.7252643770398</v>
      </c>
      <c r="S24" s="294">
        <f>SUM(ELEC!N24)</f>
        <v>6112</v>
      </c>
      <c r="T24" s="329">
        <f t="shared" si="16"/>
        <v>0.23130321733917536</v>
      </c>
      <c r="V24" s="686" t="s">
        <v>203</v>
      </c>
      <c r="W24" s="687"/>
      <c r="X24" s="688" t="s">
        <v>204</v>
      </c>
      <c r="Y24" s="689"/>
      <c r="Z24" s="690"/>
      <c r="AA24" s="170"/>
      <c r="AB24" s="676"/>
      <c r="AC24" s="677"/>
    </row>
    <row r="25" spans="1:32" ht="20.100000000000001" customHeight="1">
      <c r="A25" s="163">
        <f>ELEC!C25</f>
        <v>44491</v>
      </c>
      <c r="B25" s="626">
        <f t="shared" si="7"/>
        <v>1098106</v>
      </c>
      <c r="C25" s="260">
        <f t="shared" si="0"/>
        <v>0</v>
      </c>
      <c r="D25" s="302">
        <f t="shared" si="14"/>
        <v>0</v>
      </c>
      <c r="E25" s="302">
        <f t="shared" si="15"/>
        <v>1098106</v>
      </c>
      <c r="F25" s="626">
        <f t="shared" si="8"/>
        <v>159394</v>
      </c>
      <c r="G25" s="160">
        <f t="shared" si="1"/>
        <v>0</v>
      </c>
      <c r="H25" s="626">
        <f t="shared" si="9"/>
        <v>539446</v>
      </c>
      <c r="I25" s="161">
        <f t="shared" si="2"/>
        <v>0</v>
      </c>
      <c r="J25" s="626">
        <f t="shared" si="10"/>
        <v>399266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11"/>
        <v>154.80303857058792</v>
      </c>
      <c r="P25" s="292">
        <f t="shared" si="12"/>
        <v>154.80303857058792</v>
      </c>
      <c r="Q25" s="292">
        <f>SUM(-tanks!AX27*tanks!$AU$37)</f>
        <v>6451.1650000000009</v>
      </c>
      <c r="R25" s="292">
        <f t="shared" si="13"/>
        <v>6605.9680385705888</v>
      </c>
      <c r="S25" s="294">
        <f>SUM(ELEC!N25)</f>
        <v>610</v>
      </c>
      <c r="T25" s="329">
        <f t="shared" si="16"/>
        <v>10.829455800935392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44492</v>
      </c>
      <c r="B26" s="626">
        <f t="shared" si="7"/>
        <v>1098106</v>
      </c>
      <c r="C26" s="260">
        <f t="shared" si="0"/>
        <v>0</v>
      </c>
      <c r="D26" s="302">
        <f t="shared" si="14"/>
        <v>0</v>
      </c>
      <c r="E26" s="302">
        <f t="shared" si="15"/>
        <v>1098106</v>
      </c>
      <c r="F26" s="626">
        <f t="shared" si="8"/>
        <v>159394</v>
      </c>
      <c r="G26" s="160">
        <f t="shared" si="1"/>
        <v>0</v>
      </c>
      <c r="H26" s="626">
        <f t="shared" si="9"/>
        <v>539446</v>
      </c>
      <c r="I26" s="161">
        <f t="shared" si="2"/>
        <v>0</v>
      </c>
      <c r="J26" s="626">
        <f t="shared" si="10"/>
        <v>399266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11"/>
        <v>154.80303857058792</v>
      </c>
      <c r="P26" s="292">
        <f t="shared" si="12"/>
        <v>154.80303857058792</v>
      </c>
      <c r="Q26" s="292">
        <f>SUM(-tanks!AX28*tanks!$AU$37)</f>
        <v>0</v>
      </c>
      <c r="R26" s="292">
        <f t="shared" si="13"/>
        <v>154.80303857058792</v>
      </c>
      <c r="S26" s="294">
        <f>SUM(ELEC!N26)</f>
        <v>0</v>
      </c>
      <c r="T26" s="329">
        <f t="shared" si="16"/>
        <v>0</v>
      </c>
      <c r="V26" s="250">
        <f>W9</f>
        <v>398895</v>
      </c>
      <c r="W26" s="170">
        <f>J33</f>
        <v>399615</v>
      </c>
      <c r="X26" s="172" t="s">
        <v>199</v>
      </c>
      <c r="Y26" s="172">
        <v>80</v>
      </c>
      <c r="Z26" s="172">
        <v>1</v>
      </c>
      <c r="AA26" s="331">
        <f>(W26-V26)*Z26</f>
        <v>720</v>
      </c>
      <c r="AB26" s="331">
        <f>AA26*Y26</f>
        <v>57600</v>
      </c>
      <c r="AC26" s="245">
        <f>AC9</f>
        <v>1033333</v>
      </c>
      <c r="AD26" s="488">
        <f>SUM(K36)</f>
        <v>0.21991447770311548</v>
      </c>
    </row>
    <row r="27" spans="1:32" ht="20.100000000000001" customHeight="1">
      <c r="A27" s="163">
        <f>ELEC!C27</f>
        <v>44493</v>
      </c>
      <c r="B27" s="626">
        <f t="shared" si="7"/>
        <v>1098106</v>
      </c>
      <c r="C27" s="260">
        <f t="shared" si="0"/>
        <v>0</v>
      </c>
      <c r="D27" s="302">
        <f t="shared" si="14"/>
        <v>0</v>
      </c>
      <c r="E27" s="302">
        <f t="shared" si="15"/>
        <v>1098106</v>
      </c>
      <c r="F27" s="626">
        <f t="shared" si="8"/>
        <v>159394</v>
      </c>
      <c r="G27" s="160">
        <f t="shared" si="1"/>
        <v>0</v>
      </c>
      <c r="H27" s="626">
        <f t="shared" si="9"/>
        <v>539446</v>
      </c>
      <c r="I27" s="161">
        <f t="shared" si="2"/>
        <v>0</v>
      </c>
      <c r="J27" s="626">
        <f t="shared" si="10"/>
        <v>399266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11"/>
        <v>154.80303857058792</v>
      </c>
      <c r="P27" s="292">
        <f t="shared" si="12"/>
        <v>154.80303857058792</v>
      </c>
      <c r="Q27" s="292">
        <f>SUM(-tanks!AX29*tanks!$AU$37)</f>
        <v>-6159.4000322580623</v>
      </c>
      <c r="R27" s="292">
        <f t="shared" si="13"/>
        <v>-6004.5969936874744</v>
      </c>
      <c r="S27" s="294">
        <f>SUM(ELEC!N27)</f>
        <v>6232</v>
      </c>
      <c r="T27" s="329">
        <f t="shared" si="16"/>
        <v>-0.96351042902558959</v>
      </c>
      <c r="V27" s="250">
        <f>W10</f>
        <v>537522</v>
      </c>
      <c r="W27" s="170">
        <f>H33</f>
        <v>540073</v>
      </c>
      <c r="X27" s="172" t="s">
        <v>212</v>
      </c>
      <c r="Y27" s="172">
        <v>112</v>
      </c>
      <c r="Z27" s="172">
        <v>1</v>
      </c>
      <c r="AA27" s="331">
        <f>(W27-V27)*Z27</f>
        <v>2551</v>
      </c>
      <c r="AB27" s="331">
        <f>SUM(AA27*Y27)</f>
        <v>285712</v>
      </c>
      <c r="AC27" s="245">
        <f>AC10</f>
        <v>6200000</v>
      </c>
      <c r="AD27" s="488">
        <f>SUM(I36)</f>
        <v>0.77916921197312161</v>
      </c>
    </row>
    <row r="28" spans="1:32" ht="20.100000000000001" customHeight="1">
      <c r="A28" s="163">
        <f>ELEC!C28</f>
        <v>44494</v>
      </c>
      <c r="B28" s="626">
        <f t="shared" si="7"/>
        <v>1098106</v>
      </c>
      <c r="C28" s="260">
        <f t="shared" si="0"/>
        <v>0</v>
      </c>
      <c r="D28" s="302">
        <f t="shared" si="14"/>
        <v>0</v>
      </c>
      <c r="E28" s="302">
        <f>B27+D28</f>
        <v>1098106</v>
      </c>
      <c r="F28" s="626">
        <f t="shared" si="8"/>
        <v>159394</v>
      </c>
      <c r="G28" s="160">
        <f t="shared" si="1"/>
        <v>0</v>
      </c>
      <c r="H28" s="626">
        <f t="shared" si="9"/>
        <v>539446</v>
      </c>
      <c r="I28" s="161">
        <f t="shared" si="2"/>
        <v>0</v>
      </c>
      <c r="J28" s="626">
        <f t="shared" si="10"/>
        <v>399266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11"/>
        <v>154.80303857058792</v>
      </c>
      <c r="P28" s="292">
        <f t="shared" si="12"/>
        <v>154.80303857058792</v>
      </c>
      <c r="Q28" s="292">
        <f>SUM(-tanks!AX30*tanks!$AU$37)</f>
        <v>1089.6671935483816</v>
      </c>
      <c r="R28" s="292">
        <f t="shared" si="13"/>
        <v>1244.4702321189695</v>
      </c>
      <c r="S28" s="294">
        <f>SUM(ELEC!N28)</f>
        <v>5784</v>
      </c>
      <c r="T28" s="329">
        <f t="shared" si="16"/>
        <v>0.2151573706983004</v>
      </c>
      <c r="V28" s="250">
        <f>W11</f>
        <v>159392</v>
      </c>
      <c r="W28" s="170">
        <f>F33</f>
        <v>159394</v>
      </c>
      <c r="X28" s="172" t="s">
        <v>197</v>
      </c>
      <c r="Y28" s="172">
        <v>320</v>
      </c>
      <c r="Z28" s="172">
        <v>1</v>
      </c>
      <c r="AA28" s="331">
        <f>(W28-V28)*Z28</f>
        <v>2</v>
      </c>
      <c r="AB28" s="331">
        <f>SUM(AA28*Y28)</f>
        <v>640</v>
      </c>
      <c r="AC28" s="245">
        <f>AC11</f>
        <v>1000</v>
      </c>
      <c r="AD28" s="488">
        <f>SUM(G36)</f>
        <v>6.1087354917532084E-4</v>
      </c>
      <c r="AE28" s="40">
        <f>SUM(AB28*5%)</f>
        <v>32</v>
      </c>
      <c r="AF28" s="82">
        <f>SUM(AE28/7)*31</f>
        <v>141.71428571428569</v>
      </c>
    </row>
    <row r="29" spans="1:32" ht="20.100000000000001" customHeight="1">
      <c r="A29" s="163">
        <f>ELEC!C29</f>
        <v>44495</v>
      </c>
      <c r="B29" s="626">
        <v>1099083</v>
      </c>
      <c r="C29" s="260">
        <f t="shared" si="0"/>
        <v>977</v>
      </c>
      <c r="D29" s="302">
        <f t="shared" si="14"/>
        <v>976</v>
      </c>
      <c r="E29" s="302">
        <f>B28+D29</f>
        <v>1099082</v>
      </c>
      <c r="F29" s="626">
        <v>159394</v>
      </c>
      <c r="G29" s="160">
        <f t="shared" si="1"/>
        <v>0</v>
      </c>
      <c r="H29" s="626">
        <v>540073</v>
      </c>
      <c r="I29" s="161">
        <f t="shared" si="2"/>
        <v>627</v>
      </c>
      <c r="J29" s="626">
        <v>399615</v>
      </c>
      <c r="K29" s="162">
        <f t="shared" si="3"/>
        <v>349</v>
      </c>
      <c r="L29" s="291">
        <f t="shared" si="17"/>
        <v>0</v>
      </c>
      <c r="M29" s="291">
        <f t="shared" si="18"/>
        <v>46.583084577114427</v>
      </c>
      <c r="N29" s="291">
        <f t="shared" si="19"/>
        <v>18.52072968490879</v>
      </c>
      <c r="O29" s="291">
        <f t="shared" si="11"/>
        <v>154.80303857058792</v>
      </c>
      <c r="P29" s="292">
        <f t="shared" si="12"/>
        <v>219.90685283261115</v>
      </c>
      <c r="Q29" s="292">
        <f>SUM(-tanks!AX31*tanks!$AU$37)</f>
        <v>1719.5402903225793</v>
      </c>
      <c r="R29" s="292">
        <f t="shared" si="13"/>
        <v>1939.4471431551904</v>
      </c>
      <c r="S29" s="294">
        <f>SUM(ELEC!N29)</f>
        <v>7303</v>
      </c>
      <c r="T29" s="329">
        <f t="shared" si="16"/>
        <v>0.26556855308163635</v>
      </c>
      <c r="V29" s="213"/>
      <c r="W29" s="214"/>
      <c r="X29" s="214"/>
      <c r="Y29" s="215"/>
      <c r="Z29" s="3"/>
      <c r="AA29" s="331">
        <f>SUM(AA26:AA28)</f>
        <v>3273</v>
      </c>
      <c r="AB29" s="331"/>
      <c r="AC29" s="245">
        <f>SUM(AC26:AC28)</f>
        <v>7234333</v>
      </c>
    </row>
    <row r="30" spans="1:32" ht="20.100000000000001" customHeight="1">
      <c r="A30" s="163">
        <f>ELEC!C30</f>
        <v>44496</v>
      </c>
      <c r="B30" s="626">
        <f t="shared" si="7"/>
        <v>1099083</v>
      </c>
      <c r="C30" s="260">
        <f t="shared" si="0"/>
        <v>0</v>
      </c>
      <c r="D30" s="302">
        <f t="shared" si="14"/>
        <v>0</v>
      </c>
      <c r="E30" s="302">
        <f t="shared" si="15"/>
        <v>1099083</v>
      </c>
      <c r="F30" s="626">
        <f t="shared" si="8"/>
        <v>159394</v>
      </c>
      <c r="G30" s="160">
        <f t="shared" si="1"/>
        <v>0</v>
      </c>
      <c r="H30" s="626">
        <f t="shared" si="9"/>
        <v>540073</v>
      </c>
      <c r="I30" s="161">
        <f t="shared" si="2"/>
        <v>0</v>
      </c>
      <c r="J30" s="626">
        <f t="shared" si="10"/>
        <v>399615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11"/>
        <v>154.80303857058792</v>
      </c>
      <c r="P30" s="292">
        <f t="shared" si="12"/>
        <v>154.80303857058792</v>
      </c>
      <c r="Q30" s="292">
        <f>SUM(-tanks!AX32*tanks!$AU$37)</f>
        <v>0</v>
      </c>
      <c r="R30" s="292">
        <f t="shared" si="13"/>
        <v>154.80303857058792</v>
      </c>
      <c r="S30" s="294">
        <f>SUM(ELEC!N30)</f>
        <v>0</v>
      </c>
      <c r="T30" s="329">
        <f t="shared" si="16"/>
        <v>0</v>
      </c>
      <c r="V30" s="216" t="s">
        <v>315</v>
      </c>
      <c r="W30" s="434">
        <f>'General information '!F36</f>
        <v>0</v>
      </c>
      <c r="X30" s="217"/>
      <c r="Y30" s="218" t="s">
        <v>329</v>
      </c>
      <c r="Z30" s="3"/>
      <c r="AA30" s="331"/>
      <c r="AB30" s="331">
        <f>SUM(AB26:AB29)</f>
        <v>343952</v>
      </c>
      <c r="AC30" s="245"/>
    </row>
    <row r="31" spans="1:32" ht="20.100000000000001" customHeight="1">
      <c r="A31" s="163">
        <f>ELEC!C31</f>
        <v>44497</v>
      </c>
      <c r="B31" s="626">
        <f t="shared" si="7"/>
        <v>1099083</v>
      </c>
      <c r="C31" s="260">
        <f>SUM(B31-B30)</f>
        <v>0</v>
      </c>
      <c r="D31" s="302">
        <f t="shared" si="14"/>
        <v>0</v>
      </c>
      <c r="E31" s="302">
        <f>B30+D31</f>
        <v>1099083</v>
      </c>
      <c r="F31" s="626">
        <f t="shared" si="8"/>
        <v>159394</v>
      </c>
      <c r="G31" s="160">
        <f>F31-F30</f>
        <v>0</v>
      </c>
      <c r="H31" s="626">
        <f t="shared" si="9"/>
        <v>540073</v>
      </c>
      <c r="I31" s="161">
        <f>H31-H30</f>
        <v>0</v>
      </c>
      <c r="J31" s="626">
        <f t="shared" si="10"/>
        <v>399615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11"/>
        <v>154.80303857058792</v>
      </c>
      <c r="P31" s="292">
        <f>SUM(L31:O31)</f>
        <v>154.80303857058792</v>
      </c>
      <c r="Q31" s="292">
        <f>SUM(-tanks!AX33*tanks!$AU$37)</f>
        <v>0</v>
      </c>
      <c r="R31" s="292">
        <f>SUM(P31:Q31)</f>
        <v>154.80303857058792</v>
      </c>
      <c r="S31" s="294">
        <f>SUM(ELEC!N31)</f>
        <v>0</v>
      </c>
      <c r="T31" s="329">
        <f>IF(S31&gt;0,R31/S31,0)</f>
        <v>0</v>
      </c>
      <c r="V31" s="216"/>
      <c r="W31" s="531"/>
      <c r="X31" s="217"/>
      <c r="Y31" s="218"/>
      <c r="Z31" s="3"/>
      <c r="AA31" s="331"/>
      <c r="AB31" s="331"/>
      <c r="AC31" s="245"/>
    </row>
    <row r="32" spans="1:32" ht="20.100000000000001" customHeight="1">
      <c r="A32" s="163">
        <f>ELEC!C32</f>
        <v>44498</v>
      </c>
      <c r="B32" s="626">
        <f t="shared" si="7"/>
        <v>1099083</v>
      </c>
      <c r="C32" s="260">
        <f>SUM(B32-B31)</f>
        <v>0</v>
      </c>
      <c r="D32" s="302">
        <f t="shared" si="14"/>
        <v>0</v>
      </c>
      <c r="E32" s="302">
        <f>B31+D32</f>
        <v>1099083</v>
      </c>
      <c r="F32" s="626">
        <f t="shared" si="8"/>
        <v>159394</v>
      </c>
      <c r="G32" s="160">
        <f>F32-F31</f>
        <v>0</v>
      </c>
      <c r="H32" s="626">
        <f t="shared" si="9"/>
        <v>540073</v>
      </c>
      <c r="I32" s="161">
        <f>H32-H31</f>
        <v>0</v>
      </c>
      <c r="J32" s="626">
        <f t="shared" si="10"/>
        <v>399615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11"/>
        <v>154.80303857058792</v>
      </c>
      <c r="P32" s="292">
        <f>SUM(L32:O32)</f>
        <v>154.80303857058792</v>
      </c>
      <c r="Q32" s="292">
        <f>SUM(-tanks!AX34*tanks!$AU$37)</f>
        <v>0</v>
      </c>
      <c r="R32" s="292">
        <f>SUM(P32:Q32)</f>
        <v>154.80303857058792</v>
      </c>
      <c r="S32" s="294">
        <f>SUM(ELEC!N32)</f>
        <v>0</v>
      </c>
      <c r="T32" s="329">
        <f>IF(S32&gt;0,R32/S32,0)</f>
        <v>0</v>
      </c>
      <c r="V32" s="216"/>
      <c r="W32" s="531"/>
      <c r="X32" s="217"/>
      <c r="Y32" s="218"/>
      <c r="Z32" s="3"/>
      <c r="AA32" s="331"/>
      <c r="AB32" s="331"/>
      <c r="AC32" s="245"/>
    </row>
    <row r="33" spans="1:32" ht="20.100000000000001" customHeight="1">
      <c r="A33" s="163">
        <f>ELEC!C33</f>
        <v>44499</v>
      </c>
      <c r="B33" s="626">
        <f t="shared" si="7"/>
        <v>1099083</v>
      </c>
      <c r="C33" s="260">
        <f>SUM(B33-B32)</f>
        <v>0</v>
      </c>
      <c r="D33" s="302">
        <f t="shared" si="14"/>
        <v>0</v>
      </c>
      <c r="E33" s="302">
        <f>B32+D33</f>
        <v>1099083</v>
      </c>
      <c r="F33" s="626">
        <f t="shared" si="8"/>
        <v>159394</v>
      </c>
      <c r="G33" s="160">
        <f>F33-F32</f>
        <v>0</v>
      </c>
      <c r="H33" s="626">
        <f t="shared" si="9"/>
        <v>540073</v>
      </c>
      <c r="I33" s="161">
        <f>H33-H32</f>
        <v>0</v>
      </c>
      <c r="J33" s="626">
        <f t="shared" si="10"/>
        <v>399615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11"/>
        <v>154.80303857058792</v>
      </c>
      <c r="P33" s="292">
        <f>SUM(L33:O33)</f>
        <v>154.80303857058792</v>
      </c>
      <c r="Q33" s="292">
        <f>SUM(-tanks!AX35*tanks!$AU$37)</f>
        <v>0</v>
      </c>
      <c r="R33" s="292">
        <f>SUM(P33:Q33)</f>
        <v>154.80303857058792</v>
      </c>
      <c r="S33" s="294">
        <f>SUM(ELEC!N33)</f>
        <v>0</v>
      </c>
      <c r="T33" s="329">
        <f>IF(S33&gt;0,R33/S33,0)</f>
        <v>0</v>
      </c>
      <c r="V33" s="216" t="s">
        <v>316</v>
      </c>
      <c r="W33" s="562">
        <f>'Utility Cost '!B18</f>
        <v>159</v>
      </c>
      <c r="X33" s="222">
        <f>SUM(W33/A35)</f>
        <v>31.8</v>
      </c>
      <c r="Y33" s="256">
        <f>SUM(X33/1)</f>
        <v>31.8</v>
      </c>
      <c r="Z33" s="3"/>
      <c r="AA33" s="3"/>
      <c r="AB33" s="521">
        <f>SUM(AB30+AC33)</f>
        <v>7578285</v>
      </c>
      <c r="AC33" s="245">
        <f>SUM(AC29)</f>
        <v>7234333</v>
      </c>
    </row>
    <row r="34" spans="1:32" ht="20.100000000000001" customHeight="1">
      <c r="A34" s="163">
        <f>ELEC!C34</f>
        <v>44500</v>
      </c>
      <c r="B34" s="626">
        <f t="shared" si="7"/>
        <v>1099083</v>
      </c>
      <c r="C34" s="260">
        <f>SUM(B34-B33)</f>
        <v>0</v>
      </c>
      <c r="D34" s="302">
        <f t="shared" ref="D34" si="20">SUM(G34+I34+K34)</f>
        <v>0</v>
      </c>
      <c r="E34" s="302">
        <f>B33+D34</f>
        <v>1099083</v>
      </c>
      <c r="F34" s="626">
        <f t="shared" si="8"/>
        <v>159394</v>
      </c>
      <c r="G34" s="160">
        <f>F34-F33</f>
        <v>0</v>
      </c>
      <c r="H34" s="626">
        <f t="shared" si="9"/>
        <v>540073</v>
      </c>
      <c r="I34" s="161">
        <f>H34-H33</f>
        <v>0</v>
      </c>
      <c r="J34" s="626">
        <f t="shared" si="10"/>
        <v>399615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11"/>
        <v>154.80303857058792</v>
      </c>
      <c r="P34" s="292">
        <f>SUM(L34:O34)</f>
        <v>154.80303857058792</v>
      </c>
      <c r="Q34" s="292">
        <f>SUM(-tanks!AX36*tanks!$AU$37)</f>
        <v>0</v>
      </c>
      <c r="R34" s="292">
        <f>SUM(P34:Q34)</f>
        <v>154.80303857058792</v>
      </c>
      <c r="S34" s="294">
        <f>SUM(ELEC!N34)</f>
        <v>0</v>
      </c>
      <c r="T34" s="329">
        <f>IF(S34&gt;0,R34/S34,0)</f>
        <v>0</v>
      </c>
      <c r="V34" s="216" t="s">
        <v>316</v>
      </c>
      <c r="W34" s="562"/>
      <c r="X34" s="222"/>
      <c r="Y34" s="256"/>
      <c r="Z34" s="3"/>
      <c r="AA34" s="3"/>
      <c r="AB34" s="521">
        <f>SUM(AB31+AC34)</f>
        <v>0</v>
      </c>
      <c r="AC34" s="245">
        <f>SUM(AC30)</f>
        <v>0</v>
      </c>
    </row>
    <row r="35" spans="1:32" ht="15.75" thickBot="1">
      <c r="A35" s="518">
        <f>A37-COUNTIF(C4:C34,0)</f>
        <v>5</v>
      </c>
      <c r="C35" s="173">
        <f>SUM(C4:C34)/A35</f>
        <v>654.79999999999995</v>
      </c>
      <c r="D35" s="173"/>
      <c r="E35" s="173"/>
      <c r="F35" s="589"/>
      <c r="G35" s="589">
        <f>SUM(G4:G34)/A35</f>
        <v>0.4</v>
      </c>
      <c r="H35" s="173"/>
      <c r="I35" s="173">
        <f>SUM(I4:I34)/A35</f>
        <v>510.2</v>
      </c>
      <c r="K35" s="173">
        <f>SUM(K4:K34)/A35</f>
        <v>144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0"/>
      <c r="AD35" s="563">
        <f>AC33/1507</f>
        <v>4800.4863968148638</v>
      </c>
    </row>
    <row r="36" spans="1:32" ht="15.75" thickBot="1">
      <c r="A36" s="210"/>
      <c r="C36" s="212">
        <f>SUM(G36:K36)</f>
        <v>0.99969456322541239</v>
      </c>
      <c r="G36" s="225">
        <f>IF(C35&gt;0,G35/C35,0)</f>
        <v>6.1087354917532084E-4</v>
      </c>
      <c r="H36" s="212"/>
      <c r="I36" s="225">
        <f>SUM(I35/C35)</f>
        <v>0.77916921197312161</v>
      </c>
      <c r="J36" s="212"/>
      <c r="K36" s="225">
        <f>SUM(K35/C35)</f>
        <v>0.21991447770311548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1">
        <f>SUM(AB33/1507.5)</f>
        <v>5027.0547263681592</v>
      </c>
      <c r="AC36" s="552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47"/>
      <c r="AA37" s="547"/>
      <c r="AB37" s="548"/>
      <c r="AC37" s="549"/>
    </row>
    <row r="38" spans="1:32">
      <c r="V38" s="217"/>
      <c r="W38" s="82"/>
      <c r="Z38" s="40"/>
      <c r="AA38" s="287"/>
      <c r="AB38" s="289">
        <f>SUM(AB36)</f>
        <v>5027.0547263681592</v>
      </c>
    </row>
    <row r="39" spans="1:32">
      <c r="V39" s="217"/>
      <c r="W39" s="82"/>
      <c r="X39" s="522"/>
      <c r="Z39" s="289"/>
      <c r="AA39" s="288"/>
      <c r="AB39" s="288"/>
    </row>
    <row r="40" spans="1:32">
      <c r="V40" s="17"/>
      <c r="W40" s="82"/>
      <c r="X40" s="522"/>
      <c r="Y40" s="82"/>
      <c r="Z40" s="289"/>
      <c r="AA40" s="101"/>
      <c r="AB40" s="341"/>
    </row>
    <row r="41" spans="1:32" ht="18.75">
      <c r="W41" s="82"/>
      <c r="Z41" s="271"/>
      <c r="AA41" s="288"/>
      <c r="AB41" s="340"/>
    </row>
    <row r="42" spans="1:32">
      <c r="D42" s="501"/>
      <c r="E42" s="501"/>
      <c r="F42" s="501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4"/>
      <c r="AE44" s="17"/>
      <c r="AF44" s="17"/>
    </row>
    <row r="45" spans="1:32">
      <c r="V45" s="523"/>
      <c r="W45" s="524"/>
      <c r="X45" s="17"/>
      <c r="Y45" s="17"/>
      <c r="Z45" s="525"/>
      <c r="AA45" s="17"/>
      <c r="AB45" s="691"/>
      <c r="AC45" s="691"/>
      <c r="AD45" s="564"/>
      <c r="AE45" s="17"/>
      <c r="AF45" s="17"/>
    </row>
    <row r="46" spans="1:32">
      <c r="V46" s="691"/>
      <c r="W46" s="691"/>
      <c r="X46" s="691"/>
      <c r="Y46" s="691"/>
      <c r="Z46" s="525"/>
      <c r="AA46" s="525"/>
      <c r="AB46" s="691"/>
      <c r="AC46" s="691"/>
      <c r="AD46" s="564"/>
      <c r="AE46" s="17"/>
      <c r="AF46" s="17"/>
    </row>
    <row r="47" spans="1:32">
      <c r="V47" s="691"/>
      <c r="W47" s="691"/>
      <c r="X47" s="691"/>
      <c r="Y47" s="691"/>
      <c r="Z47" s="691"/>
      <c r="AA47" s="691"/>
      <c r="AB47" s="691"/>
      <c r="AC47" s="691"/>
      <c r="AD47" s="564"/>
      <c r="AE47" s="17"/>
      <c r="AF47" s="17"/>
    </row>
    <row r="48" spans="1:32">
      <c r="V48" s="692"/>
      <c r="W48" s="692"/>
      <c r="X48" s="693"/>
      <c r="Y48" s="693"/>
      <c r="Z48" s="693"/>
      <c r="AA48" s="526"/>
      <c r="AB48" s="691"/>
      <c r="AC48" s="691"/>
      <c r="AD48" s="564"/>
      <c r="AE48" s="17"/>
      <c r="AF48" s="17"/>
    </row>
    <row r="49" spans="22:32">
      <c r="V49" s="523"/>
      <c r="W49" s="523"/>
      <c r="X49" s="523"/>
      <c r="Y49" s="523"/>
      <c r="Z49" s="523"/>
      <c r="AA49" s="523"/>
      <c r="AB49" s="523"/>
      <c r="AC49" s="527"/>
      <c r="AD49" s="564"/>
      <c r="AE49" s="17"/>
      <c r="AF49" s="17"/>
    </row>
    <row r="50" spans="22:32">
      <c r="V50" s="526"/>
      <c r="W50" s="526"/>
      <c r="X50" s="528"/>
      <c r="Y50" s="528"/>
      <c r="Z50" s="528"/>
      <c r="AA50" s="73"/>
      <c r="AB50" s="73"/>
      <c r="AC50" s="73"/>
      <c r="AD50" s="564"/>
      <c r="AE50" s="17"/>
      <c r="AF50" s="17"/>
    </row>
    <row r="51" spans="22:32">
      <c r="V51" s="526"/>
      <c r="W51" s="526"/>
      <c r="X51" s="528"/>
      <c r="Y51" s="528"/>
      <c r="Z51" s="528"/>
      <c r="AA51" s="73"/>
      <c r="AB51" s="73"/>
      <c r="AC51" s="73"/>
      <c r="AD51" s="564"/>
      <c r="AE51" s="17"/>
      <c r="AF51" s="17"/>
    </row>
    <row r="52" spans="22:32">
      <c r="V52" s="526"/>
      <c r="W52" s="526"/>
      <c r="X52" s="528"/>
      <c r="Y52" s="528"/>
      <c r="Z52" s="528"/>
      <c r="AA52" s="73"/>
      <c r="AB52" s="73"/>
      <c r="AC52" s="73"/>
      <c r="AD52" s="564"/>
      <c r="AE52" s="529"/>
      <c r="AF52" s="53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4"/>
      <c r="AE53" s="17"/>
      <c r="AF53" s="17"/>
    </row>
    <row r="54" spans="22:32">
      <c r="V54" s="217"/>
      <c r="W54" s="531"/>
      <c r="X54" s="217"/>
      <c r="Y54" s="217"/>
      <c r="Z54" s="17"/>
      <c r="AA54" s="73"/>
      <c r="AB54" s="263"/>
      <c r="AC54" s="73"/>
      <c r="AD54" s="564"/>
      <c r="AE54" s="17"/>
      <c r="AF54" s="17"/>
    </row>
    <row r="55" spans="22:32">
      <c r="V55" s="217"/>
      <c r="W55" s="217"/>
      <c r="X55" s="222"/>
      <c r="Y55" s="532"/>
      <c r="Z55" s="17"/>
      <c r="AA55" s="17"/>
      <c r="AB55" s="73"/>
      <c r="AC55" s="73"/>
      <c r="AD55" s="564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4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4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4"/>
      <c r="AE58" s="17"/>
      <c r="AF58" s="17"/>
    </row>
    <row r="59" spans="22:32">
      <c r="V59" s="17"/>
      <c r="W59" s="17"/>
      <c r="X59" s="17"/>
      <c r="Y59" s="17"/>
      <c r="Z59" s="17"/>
      <c r="AA59" s="533"/>
      <c r="AB59" s="534"/>
      <c r="AC59" s="535"/>
      <c r="AD59" s="564"/>
      <c r="AE59" s="17"/>
      <c r="AF59" s="17"/>
    </row>
    <row r="60" spans="22:32">
      <c r="V60" s="17"/>
      <c r="W60" s="17"/>
      <c r="X60" s="17"/>
      <c r="Y60" s="17"/>
      <c r="Z60" s="17"/>
      <c r="AA60" s="536"/>
      <c r="AB60" s="534"/>
      <c r="AC60" s="535"/>
      <c r="AD60" s="564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4"/>
      <c r="AC61" s="535"/>
      <c r="AD61" s="564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37"/>
      <c r="AC62" s="17"/>
      <c r="AD62" s="564"/>
      <c r="AE62" s="17"/>
      <c r="AF62" s="17"/>
    </row>
    <row r="63" spans="22:32">
      <c r="V63" s="217"/>
      <c r="W63" s="530"/>
      <c r="X63" s="17"/>
      <c r="Y63" s="17"/>
      <c r="Z63" s="529"/>
      <c r="AA63" s="538"/>
      <c r="AB63" s="528"/>
      <c r="AC63" s="17"/>
      <c r="AD63" s="564"/>
      <c r="AE63" s="17"/>
      <c r="AF63" s="17"/>
    </row>
    <row r="64" spans="22:32">
      <c r="V64" s="217"/>
      <c r="W64" s="530"/>
      <c r="X64" s="17"/>
      <c r="Y64" s="17"/>
      <c r="Z64" s="414"/>
      <c r="AA64" s="528"/>
      <c r="AB64" s="528"/>
      <c r="AC64" s="17"/>
      <c r="AD64" s="564"/>
      <c r="AE64" s="17"/>
      <c r="AF64" s="17"/>
    </row>
    <row r="65" spans="22:32">
      <c r="V65" s="17"/>
      <c r="W65" s="530"/>
      <c r="X65" s="17"/>
      <c r="Y65" s="530"/>
      <c r="Z65" s="414"/>
      <c r="AA65" s="528"/>
      <c r="AB65" s="539"/>
      <c r="AC65" s="17"/>
      <c r="AD65" s="564"/>
      <c r="AE65" s="17"/>
      <c r="AF65" s="17"/>
    </row>
    <row r="66" spans="22:32" ht="18.75">
      <c r="V66" s="17"/>
      <c r="W66" s="530"/>
      <c r="X66" s="17"/>
      <c r="Y66" s="17"/>
      <c r="Z66" s="540"/>
      <c r="AA66" s="528"/>
      <c r="AB66" s="541"/>
      <c r="AC66" s="17"/>
      <c r="AD66" s="564"/>
      <c r="AE66" s="17"/>
      <c r="AF66" s="17"/>
    </row>
    <row r="67" spans="22:32">
      <c r="V67" s="17"/>
      <c r="W67" s="530"/>
      <c r="X67" s="17"/>
      <c r="Y67" s="17"/>
      <c r="Z67" s="73"/>
      <c r="AA67" s="17"/>
      <c r="AB67" s="17"/>
      <c r="AC67" s="17"/>
      <c r="AD67" s="564"/>
      <c r="AE67" s="17"/>
      <c r="AF67" s="17"/>
    </row>
    <row r="68" spans="22:32">
      <c r="V68" s="17"/>
      <c r="W68" s="17"/>
      <c r="X68" s="17"/>
      <c r="Y68" s="17"/>
      <c r="Z68" s="528"/>
      <c r="AA68" s="17"/>
      <c r="AB68" s="17"/>
      <c r="AC68" s="17"/>
      <c r="AD68" s="564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4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4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4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4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4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4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4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4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4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4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4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4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1" activePane="bottomLeft" state="frozen"/>
      <selection pane="bottomLeft" activeCell="F30" sqref="F30"/>
    </sheetView>
  </sheetViews>
  <sheetFormatPr defaultRowHeight="15"/>
  <cols>
    <col min="1" max="1" width="11.7109375" style="471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4" t="s">
        <v>193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6"/>
    </row>
    <row r="2" spans="1:15" ht="15.75" customHeight="1" thickBot="1">
      <c r="A2" s="697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9"/>
    </row>
    <row r="3" spans="1:15" ht="9" customHeight="1" thickBot="1">
      <c r="A3" s="46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9"/>
      <c r="B4" s="149" t="s">
        <v>385</v>
      </c>
      <c r="C4" s="150" t="s">
        <v>158</v>
      </c>
      <c r="D4" s="147" t="s">
        <v>160</v>
      </c>
      <c r="E4" s="151" t="s">
        <v>159</v>
      </c>
      <c r="F4" s="48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0">
        <f>ELEC!C4</f>
        <v>44470</v>
      </c>
      <c r="B5" s="37"/>
      <c r="C5" s="37"/>
      <c r="D5" s="26">
        <f t="shared" ref="D5:D11" si="0">(C5+B5)/2</f>
        <v>0</v>
      </c>
      <c r="E5" s="333"/>
      <c r="F5" s="336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9">
        <f t="shared" ref="K5:K25" si="2">+J5+H5</f>
        <v>0</v>
      </c>
      <c r="L5" s="3"/>
      <c r="M5" s="3"/>
      <c r="N5" s="155"/>
      <c r="O5" s="3"/>
    </row>
    <row r="6" spans="1:15">
      <c r="A6" s="470">
        <f>ELEC!C5</f>
        <v>44471</v>
      </c>
      <c r="B6" s="37"/>
      <c r="C6" s="37"/>
      <c r="D6" s="26">
        <f t="shared" si="0"/>
        <v>0</v>
      </c>
      <c r="E6" s="333"/>
      <c r="F6" s="336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9">
        <f t="shared" si="2"/>
        <v>0</v>
      </c>
      <c r="L6" s="3"/>
      <c r="M6" s="3"/>
      <c r="N6" s="155"/>
      <c r="O6" s="3"/>
    </row>
    <row r="7" spans="1:15">
      <c r="A7" s="470">
        <f>ELEC!C6</f>
        <v>44472</v>
      </c>
      <c r="B7" s="37">
        <v>28</v>
      </c>
      <c r="C7" s="37">
        <v>24</v>
      </c>
      <c r="D7" s="26">
        <f t="shared" si="0"/>
        <v>26</v>
      </c>
      <c r="E7" s="333">
        <v>0.63</v>
      </c>
      <c r="F7" s="333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170"/>
      <c r="N7" s="155"/>
      <c r="O7" s="3"/>
    </row>
    <row r="8" spans="1:15">
      <c r="A8" s="470">
        <f>ELEC!C7</f>
        <v>44473</v>
      </c>
      <c r="B8" s="37">
        <v>28</v>
      </c>
      <c r="C8" s="37">
        <v>23</v>
      </c>
      <c r="D8" s="26">
        <f>(C8+B8)/2</f>
        <v>25.5</v>
      </c>
      <c r="E8" s="386">
        <v>0.6</v>
      </c>
      <c r="F8" s="38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9">
        <f>+J8+H8</f>
        <v>0</v>
      </c>
      <c r="L8" s="3"/>
      <c r="M8" s="3"/>
      <c r="N8" s="155"/>
      <c r="O8" s="3"/>
    </row>
    <row r="9" spans="1:15">
      <c r="A9" s="470">
        <f>ELEC!C8</f>
        <v>44474</v>
      </c>
      <c r="B9" s="37">
        <v>28</v>
      </c>
      <c r="C9" s="37">
        <v>23</v>
      </c>
      <c r="D9" s="26">
        <f t="shared" si="0"/>
        <v>25.5</v>
      </c>
      <c r="E9" s="347">
        <v>0.49</v>
      </c>
      <c r="F9" s="333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9">
        <f t="shared" si="2"/>
        <v>0</v>
      </c>
      <c r="L9" s="3"/>
      <c r="M9" s="3"/>
      <c r="N9" s="155"/>
      <c r="O9" s="3"/>
    </row>
    <row r="10" spans="1:15">
      <c r="A10" s="470">
        <f>ELEC!C9</f>
        <v>44475</v>
      </c>
      <c r="B10" s="37">
        <v>28</v>
      </c>
      <c r="C10" s="37">
        <v>23</v>
      </c>
      <c r="D10" s="26">
        <f t="shared" si="0"/>
        <v>25.5</v>
      </c>
      <c r="E10" s="386">
        <v>0.46</v>
      </c>
      <c r="F10" s="38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>+J10+H10</f>
        <v>0</v>
      </c>
      <c r="L10" s="3"/>
      <c r="M10" s="3"/>
      <c r="N10" s="155"/>
      <c r="O10" s="3"/>
    </row>
    <row r="11" spans="1:15">
      <c r="A11" s="470">
        <f>ELEC!C10</f>
        <v>44476</v>
      </c>
      <c r="B11" s="37">
        <v>28</v>
      </c>
      <c r="C11" s="37">
        <v>22</v>
      </c>
      <c r="D11" s="26">
        <f t="shared" si="0"/>
        <v>25</v>
      </c>
      <c r="E11" s="386">
        <v>0.46</v>
      </c>
      <c r="F11" s="38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 t="shared" si="2"/>
        <v>0</v>
      </c>
      <c r="L11" s="3"/>
      <c r="M11" s="3"/>
      <c r="N11" s="155"/>
      <c r="O11" s="3"/>
    </row>
    <row r="12" spans="1:15">
      <c r="A12" s="470">
        <f>ELEC!C11</f>
        <v>44477</v>
      </c>
      <c r="B12" s="37"/>
      <c r="C12" s="37"/>
      <c r="D12" s="26">
        <f>(C12+B12)/2</f>
        <v>0</v>
      </c>
      <c r="E12" s="347"/>
      <c r="F12" s="38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0">
        <f>ELEC!C12</f>
        <v>44478</v>
      </c>
      <c r="B13" s="37"/>
      <c r="C13" s="37"/>
      <c r="D13" s="26">
        <f t="shared" ref="D13:D32" si="3">(C13+B13)/2</f>
        <v>0</v>
      </c>
      <c r="E13" s="333"/>
      <c r="F13" s="38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0">
        <f>ELEC!C13</f>
        <v>44479</v>
      </c>
      <c r="B14" s="37">
        <v>29</v>
      </c>
      <c r="C14" s="37">
        <v>23</v>
      </c>
      <c r="D14" s="26">
        <f t="shared" si="3"/>
        <v>26</v>
      </c>
      <c r="E14" s="333">
        <v>0.66</v>
      </c>
      <c r="F14" s="333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9">
        <f>+J14+H14</f>
        <v>0</v>
      </c>
      <c r="L14" s="3"/>
      <c r="M14" s="3"/>
      <c r="N14" s="155"/>
      <c r="O14" s="3"/>
    </row>
    <row r="15" spans="1:15">
      <c r="A15" s="470">
        <f>ELEC!C14</f>
        <v>44480</v>
      </c>
      <c r="B15" s="37">
        <v>27</v>
      </c>
      <c r="C15" s="37">
        <v>23</v>
      </c>
      <c r="D15" s="26">
        <f t="shared" si="3"/>
        <v>25</v>
      </c>
      <c r="E15" s="333">
        <v>0.73</v>
      </c>
      <c r="F15" s="333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0">
        <f>ELEC!C15</f>
        <v>44481</v>
      </c>
      <c r="B16" s="37">
        <v>28</v>
      </c>
      <c r="C16" s="37">
        <v>22</v>
      </c>
      <c r="D16" s="26">
        <f t="shared" si="3"/>
        <v>25</v>
      </c>
      <c r="E16" s="333">
        <v>0.67</v>
      </c>
      <c r="F16" s="333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 t="shared" si="2"/>
        <v>0</v>
      </c>
      <c r="L16" s="3"/>
      <c r="M16" s="3"/>
      <c r="N16" s="155"/>
      <c r="O16" s="3"/>
    </row>
    <row r="17" spans="1:15">
      <c r="A17" s="470">
        <f>ELEC!C16</f>
        <v>44482</v>
      </c>
      <c r="B17" s="37"/>
      <c r="C17" s="37"/>
      <c r="D17" s="26">
        <f t="shared" si="3"/>
        <v>0</v>
      </c>
      <c r="E17" s="419"/>
      <c r="F17" s="333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0">
        <f>ELEC!C17</f>
        <v>44483</v>
      </c>
      <c r="B18" s="37"/>
      <c r="C18" s="37"/>
      <c r="D18" s="26">
        <f t="shared" si="3"/>
        <v>0</v>
      </c>
      <c r="E18" s="333"/>
      <c r="F18" s="333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0">
        <f>ELEC!C18</f>
        <v>44484</v>
      </c>
      <c r="B19" s="37"/>
      <c r="C19" s="37"/>
      <c r="D19" s="26">
        <f t="shared" si="3"/>
        <v>0</v>
      </c>
      <c r="E19" s="333"/>
      <c r="F19" s="333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0">
        <f>ELEC!C19</f>
        <v>44485</v>
      </c>
      <c r="B20" s="37"/>
      <c r="C20" s="37"/>
      <c r="D20" s="26">
        <f>(C20+B20)/2</f>
        <v>0</v>
      </c>
      <c r="E20" s="333"/>
      <c r="F20" s="38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0">
        <f>ELEC!C20</f>
        <v>44486</v>
      </c>
      <c r="B21" s="37"/>
      <c r="C21" s="37"/>
      <c r="D21" s="26">
        <f t="shared" si="3"/>
        <v>0</v>
      </c>
      <c r="E21" s="333"/>
      <c r="F21" s="38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0">
        <f>ELEC!C21</f>
        <v>44487</v>
      </c>
      <c r="B22" s="37">
        <v>26</v>
      </c>
      <c r="C22" s="37">
        <v>22</v>
      </c>
      <c r="D22" s="26">
        <f>(C22+B22)/2</f>
        <v>24</v>
      </c>
      <c r="E22" s="333">
        <v>0.59</v>
      </c>
      <c r="F22" s="38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0">
        <f>ELEC!C22</f>
        <v>44488</v>
      </c>
      <c r="B23" s="37">
        <v>26</v>
      </c>
      <c r="C23" s="37">
        <v>22</v>
      </c>
      <c r="D23" s="26">
        <f>(C23+B23)/2</f>
        <v>24</v>
      </c>
      <c r="E23" s="386">
        <v>0.62</v>
      </c>
      <c r="F23" s="333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0">
        <f>ELEC!C23</f>
        <v>44489</v>
      </c>
      <c r="B24" s="37">
        <v>26</v>
      </c>
      <c r="C24" s="37">
        <v>21</v>
      </c>
      <c r="D24" s="26">
        <f t="shared" si="3"/>
        <v>23.5</v>
      </c>
      <c r="E24" s="333">
        <v>0.46</v>
      </c>
      <c r="F24" s="333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0">
        <f>ELEC!C24</f>
        <v>44490</v>
      </c>
      <c r="B25" s="37">
        <v>27</v>
      </c>
      <c r="C25" s="37">
        <v>21</v>
      </c>
      <c r="D25" s="26">
        <f t="shared" si="3"/>
        <v>24</v>
      </c>
      <c r="E25" s="333">
        <v>0.48</v>
      </c>
      <c r="F25" s="333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0">
        <f>ELEC!C25</f>
        <v>44491</v>
      </c>
      <c r="B26" s="37"/>
      <c r="C26" s="37"/>
      <c r="D26" s="26">
        <f t="shared" si="3"/>
        <v>0</v>
      </c>
      <c r="E26" s="386"/>
      <c r="F26" s="333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>+J26+H26+I26</f>
        <v>0</v>
      </c>
      <c r="L26" s="3"/>
      <c r="M26" s="3"/>
      <c r="N26" s="155"/>
      <c r="O26" s="3"/>
    </row>
    <row r="27" spans="1:15">
      <c r="A27" s="470">
        <f>ELEC!C26</f>
        <v>44492</v>
      </c>
      <c r="B27" s="37"/>
      <c r="C27" s="37"/>
      <c r="D27" s="26">
        <f t="shared" si="3"/>
        <v>0</v>
      </c>
      <c r="E27" s="386"/>
      <c r="F27" s="333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 t="shared" ref="K27:K32" si="5">+J27+H27+I27</f>
        <v>0</v>
      </c>
      <c r="L27" s="3"/>
      <c r="M27" s="3"/>
      <c r="N27" s="155"/>
      <c r="O27" s="3"/>
    </row>
    <row r="28" spans="1:15">
      <c r="A28" s="470">
        <f>ELEC!C27</f>
        <v>44493</v>
      </c>
      <c r="B28" s="37">
        <v>26</v>
      </c>
      <c r="C28" s="37">
        <v>21</v>
      </c>
      <c r="D28" s="26">
        <f t="shared" si="3"/>
        <v>23.5</v>
      </c>
      <c r="E28" s="333">
        <v>0.61</v>
      </c>
      <c r="F28" s="333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si="5"/>
        <v>0</v>
      </c>
      <c r="L28" s="3"/>
      <c r="M28" s="3"/>
      <c r="N28" s="155"/>
      <c r="O28" s="3"/>
    </row>
    <row r="29" spans="1:15">
      <c r="A29" s="470">
        <f>ELEC!C28</f>
        <v>44494</v>
      </c>
      <c r="B29" s="37">
        <v>25</v>
      </c>
      <c r="C29" s="37">
        <v>21</v>
      </c>
      <c r="D29" s="26">
        <f t="shared" si="3"/>
        <v>23</v>
      </c>
      <c r="E29" s="333">
        <v>0.62</v>
      </c>
      <c r="F29" s="38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0">
        <f>ELEC!C29</f>
        <v>44495</v>
      </c>
      <c r="B30" s="37">
        <v>26</v>
      </c>
      <c r="C30" s="37">
        <v>21</v>
      </c>
      <c r="D30" s="26">
        <f t="shared" si="3"/>
        <v>23.5</v>
      </c>
      <c r="E30" s="335">
        <v>0.59</v>
      </c>
      <c r="F30" s="275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0">
        <f>ELEC!C30</f>
        <v>44496</v>
      </c>
      <c r="B31" s="37"/>
      <c r="C31" s="37"/>
      <c r="D31" s="274">
        <f>(C31+B31)/2</f>
        <v>0</v>
      </c>
      <c r="E31" s="334"/>
      <c r="F31" s="33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0">
        <f>ELEC!C31</f>
        <v>44497</v>
      </c>
      <c r="B32" s="37"/>
      <c r="C32" s="37"/>
      <c r="D32" s="26">
        <f t="shared" si="3"/>
        <v>0</v>
      </c>
      <c r="E32" s="333"/>
      <c r="F32" s="335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0">
        <f>ELEC!C32</f>
        <v>44498</v>
      </c>
      <c r="B33" s="37"/>
      <c r="C33" s="37"/>
      <c r="D33" s="26">
        <f>(C33+B33)/2</f>
        <v>0</v>
      </c>
      <c r="E33" s="386"/>
      <c r="F33" s="335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9">
        <f>+J33+H33+I33</f>
        <v>0</v>
      </c>
      <c r="L33" s="3"/>
      <c r="M33" s="3"/>
      <c r="N33" s="155"/>
      <c r="O33" s="3"/>
    </row>
    <row r="34" spans="1:15">
      <c r="A34" s="470">
        <f>ELEC!C33</f>
        <v>44499</v>
      </c>
      <c r="B34" s="37"/>
      <c r="C34" s="37"/>
      <c r="D34" s="26">
        <f>(C34+B34)/2</f>
        <v>0</v>
      </c>
      <c r="E34" s="386"/>
      <c r="F34" s="335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0">
        <f>ELEC!C34</f>
        <v>44500</v>
      </c>
      <c r="B35" s="37"/>
      <c r="C35" s="37"/>
      <c r="D35" s="26">
        <f>(C35+B35)/2</f>
        <v>0</v>
      </c>
      <c r="E35" s="386"/>
      <c r="F35" s="335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D36" s="257"/>
      <c r="F36" s="512">
        <f>AVERAGE(F5:F35)</f>
        <v>0</v>
      </c>
      <c r="G36" s="203">
        <f>SUM(G5:G35)</f>
        <v>0</v>
      </c>
    </row>
    <row r="37" spans="1:15">
      <c r="D37" s="257">
        <f>SUM(D5:D35)/'EDl log'!A35</f>
        <v>73.8</v>
      </c>
      <c r="F37" s="211"/>
    </row>
    <row r="40" spans="1:15">
      <c r="I40" s="403" t="s">
        <v>314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10</v>
      </c>
      <c r="G2" s="3">
        <f>WATER!C5+WATER!H5</f>
        <v>0</v>
      </c>
      <c r="H2" s="3">
        <f>WATER!L5</f>
        <v>2</v>
      </c>
      <c r="I2" s="15">
        <f>WATER!BC5+WATER!BD5+WATER!BE6-Sheet1!G2</f>
        <v>41.299999999999983</v>
      </c>
      <c r="J2" s="9">
        <f>'B5'!A4</f>
        <v>44469</v>
      </c>
    </row>
    <row r="3" spans="1:10">
      <c r="A3" s="3">
        <f>ELEC!T5+ELEC!X3+ELEC!AB5</f>
        <v>8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44470</v>
      </c>
    </row>
    <row r="4" spans="1:10">
      <c r="A4" s="3">
        <f>ELEC!T6+ELEC!X6+ELEC!AB6</f>
        <v>8</v>
      </c>
      <c r="B4" s="3">
        <f>ELEC!AF6</f>
        <v>2052</v>
      </c>
      <c r="C4" s="3">
        <f>ELEC!N6</f>
        <v>6878</v>
      </c>
      <c r="D4" s="3">
        <f t="shared" si="0"/>
        <v>262.00000000183354</v>
      </c>
      <c r="E4" s="3">
        <f>ELEC!Q6</f>
        <v>6615.9999999981665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-6.7999999999999687</v>
      </c>
      <c r="J4" s="9">
        <f>'B5'!A6</f>
        <v>44471</v>
      </c>
    </row>
    <row r="5" spans="1:10">
      <c r="A5" s="3">
        <f>ELEC!T7+ELEC!X7+ELEC!AB7</f>
        <v>3</v>
      </c>
      <c r="B5" s="3">
        <f>ELEC!AF7</f>
        <v>781</v>
      </c>
      <c r="C5" s="3">
        <f>ELEC!N7</f>
        <v>2392</v>
      </c>
      <c r="D5" s="3">
        <f t="shared" si="0"/>
        <v>-1105.9999999995925</v>
      </c>
      <c r="E5" s="3">
        <f>ELEC!Q7</f>
        <v>3497.9999999995925</v>
      </c>
      <c r="F5" s="3">
        <f>GEN!Z5</f>
        <v>9</v>
      </c>
      <c r="G5" s="3">
        <f>WATER!C8+WATER!H8</f>
        <v>0</v>
      </c>
      <c r="H5" s="3">
        <f>WATER!L8</f>
        <v>2</v>
      </c>
      <c r="I5" s="15">
        <f>WATER!BC8+WATER!BD8+WATER!BE9-Sheet1!G5</f>
        <v>1.6000000000000227</v>
      </c>
      <c r="J5" s="9">
        <f>'B5'!A7</f>
        <v>44472</v>
      </c>
    </row>
    <row r="6" spans="1:10">
      <c r="A6" s="3">
        <f>ELEC!T8+ELEC!X8+ELEC!AB8</f>
        <v>7</v>
      </c>
      <c r="B6" s="3">
        <f>ELEC!AF8</f>
        <v>1490</v>
      </c>
      <c r="C6" s="3">
        <f>ELEC!N8</f>
        <v>6443</v>
      </c>
      <c r="D6" s="3">
        <f t="shared" si="0"/>
        <v>6443</v>
      </c>
      <c r="E6" s="3">
        <f>ELEC!Q25</f>
        <v>0</v>
      </c>
      <c r="F6" s="3">
        <f>GEN!Z6</f>
        <v>6</v>
      </c>
      <c r="G6" s="3">
        <f>WATER!C9+WATER!H9</f>
        <v>70</v>
      </c>
      <c r="H6" s="3">
        <f>WATER!L9</f>
        <v>2</v>
      </c>
      <c r="I6" s="15">
        <f>WATER!BC9+WATER!BD9+WATER!BE10-Sheet1!G6</f>
        <v>-83.90000000000002</v>
      </c>
      <c r="J6" s="9">
        <f>'B5'!A8</f>
        <v>44473</v>
      </c>
    </row>
    <row r="7" spans="1:10">
      <c r="A7" s="3">
        <f>ELEC!T9+ELEC!X9+ELEC!AB9</f>
        <v>7</v>
      </c>
      <c r="B7" s="3">
        <f>ELEC!AF9</f>
        <v>1770</v>
      </c>
      <c r="C7" s="3">
        <f>ELEC!N9</f>
        <v>7683</v>
      </c>
      <c r="D7" s="3">
        <f t="shared" si="0"/>
        <v>54.99999999938882</v>
      </c>
      <c r="E7" s="3">
        <f>ELEC!Q9</f>
        <v>7628.0000000006112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-34.899999999999991</v>
      </c>
      <c r="J7" s="9">
        <f>'B5'!A9</f>
        <v>44474</v>
      </c>
    </row>
    <row r="8" spans="1:10">
      <c r="A8" s="3">
        <f>ELEC!T10+ELEC!X10+ELEC!AB10</f>
        <v>5</v>
      </c>
      <c r="B8" s="3">
        <f>ELEC!AF10</f>
        <v>1350</v>
      </c>
      <c r="C8" s="3">
        <f>ELEC!N10</f>
        <v>5566</v>
      </c>
      <c r="D8" s="3">
        <f t="shared" si="0"/>
        <v>112.99999999866122</v>
      </c>
      <c r="E8" s="3">
        <f>ELEC!Q10</f>
        <v>5453.0000000013388</v>
      </c>
      <c r="F8" s="3">
        <f>GEN!Z8</f>
        <v>13</v>
      </c>
      <c r="G8" s="3">
        <f>WATER!C11+WATER!H11</f>
        <v>0</v>
      </c>
      <c r="H8" s="3">
        <f>WATER!L11</f>
        <v>2</v>
      </c>
      <c r="I8" s="15">
        <f>WATER!BC11+WATER!BD11+WATER!BE12-Sheet1!G8</f>
        <v>-15.899999999999949</v>
      </c>
      <c r="J8" s="9">
        <f>'B5'!A10</f>
        <v>44475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9</v>
      </c>
      <c r="G9" s="3">
        <f>WATER!C12+WATER!H12</f>
        <v>73</v>
      </c>
      <c r="H9" s="3">
        <f>WATER!L12</f>
        <v>0</v>
      </c>
      <c r="I9" s="15">
        <f>WATER!BC12+WATER!BD12+WATER!BE13-Sheet1!G9</f>
        <v>-81.699999999999989</v>
      </c>
      <c r="J9" s="9">
        <f>'B5'!A11</f>
        <v>44476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44477</v>
      </c>
    </row>
    <row r="11" spans="1:10">
      <c r="A11" s="3">
        <f>ELEC!T13+ELEC!X13+ELEC!AB13</f>
        <v>7</v>
      </c>
      <c r="B11" s="3">
        <f>ELEC!AF13</f>
        <v>1618</v>
      </c>
      <c r="C11" s="3">
        <f>ELEC!N13</f>
        <v>6438</v>
      </c>
      <c r="D11" s="3">
        <f t="shared" si="0"/>
        <v>-16.999999998108251</v>
      </c>
      <c r="E11" s="3">
        <f>ELEC!Q13</f>
        <v>6454.9999999981083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-15.599999999999994</v>
      </c>
      <c r="J11" s="9">
        <f>'B5'!A13</f>
        <v>44478</v>
      </c>
    </row>
    <row r="12" spans="1:10">
      <c r="A12" s="3">
        <f>ELEC!T14+ELEC!X14+ELEC!AB14</f>
        <v>7</v>
      </c>
      <c r="B12" s="3">
        <f>ELEC!AF14</f>
        <v>2008</v>
      </c>
      <c r="C12" s="3">
        <f>ELEC!N14</f>
        <v>7769</v>
      </c>
      <c r="D12" s="3">
        <f t="shared" si="0"/>
        <v>-81.000000002182787</v>
      </c>
      <c r="E12" s="3">
        <f>ELEC!Q14</f>
        <v>7850.0000000021828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5.6999999999999886</v>
      </c>
      <c r="J12" s="9">
        <f>'B5'!A14</f>
        <v>44479</v>
      </c>
    </row>
    <row r="13" spans="1:10">
      <c r="A13" s="3">
        <f>ELEC!T15+ELEC!X15+ELEC!AB15</f>
        <v>7</v>
      </c>
      <c r="B13" s="3">
        <f>ELEC!AF15</f>
        <v>1792</v>
      </c>
      <c r="C13" s="3">
        <f>ELEC!N15</f>
        <v>6157</v>
      </c>
      <c r="D13" s="3">
        <f t="shared" si="0"/>
        <v>-699.9999999999709</v>
      </c>
      <c r="E13" s="3">
        <f>ELEC!Q15</f>
        <v>6856.9999999999709</v>
      </c>
      <c r="F13" s="3">
        <f>GEN!Z13</f>
        <v>12</v>
      </c>
      <c r="G13" s="3">
        <f>WATER!C16+WATER!H16</f>
        <v>0</v>
      </c>
      <c r="H13" s="3">
        <f>WATER!L16</f>
        <v>1</v>
      </c>
      <c r="I13" s="15">
        <f>WATER!BC16+WATER!BD16+WATER!BE17-Sheet1!G13</f>
        <v>-41.400000000000063</v>
      </c>
      <c r="J13" s="9">
        <f>'B5'!A15</f>
        <v>44480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3381</v>
      </c>
      <c r="D14" s="3">
        <f t="shared" si="0"/>
        <v>3381</v>
      </c>
      <c r="E14" s="3">
        <f>ELEC!Q16</f>
        <v>0</v>
      </c>
      <c r="F14" s="3">
        <f>GEN!Z14</f>
        <v>10</v>
      </c>
      <c r="G14" s="3">
        <f>WATER!C17+WATER!H17</f>
        <v>84</v>
      </c>
      <c r="H14" s="3">
        <f>WATER!L17</f>
        <v>2</v>
      </c>
      <c r="I14" s="15">
        <f>WATER!BC17+WATER!BD17+WATER!BE18-Sheet1!G14</f>
        <v>-92.700000000000045</v>
      </c>
      <c r="J14" s="9">
        <f>'B5'!A16</f>
        <v>44481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44482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44483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44484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44485</v>
      </c>
    </row>
    <row r="19" spans="1:10">
      <c r="A19" s="3">
        <f>ELEC!T21+ELEC!X21+ELEC!AB21</f>
        <v>9</v>
      </c>
      <c r="B19" s="3">
        <f>ELEC!AF21</f>
        <v>2351</v>
      </c>
      <c r="C19" s="3">
        <f>ELEC!N21</f>
        <v>9746</v>
      </c>
      <c r="D19" s="3">
        <f t="shared" si="0"/>
        <v>444.00000000032014</v>
      </c>
      <c r="E19" s="3">
        <f>ELEC!Q21</f>
        <v>9301.9999999996799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-34.199999999999989</v>
      </c>
      <c r="J19" s="9">
        <f>'B5'!A21</f>
        <v>44486</v>
      </c>
    </row>
    <row r="20" spans="1:10">
      <c r="A20" s="3">
        <f>ELEC!T22+ELEC!X22+ELEC!AB22</f>
        <v>7</v>
      </c>
      <c r="B20" s="3">
        <f>ELEC!AF22</f>
        <v>1537</v>
      </c>
      <c r="C20" s="3">
        <f>ELEC!N22</f>
        <v>6669</v>
      </c>
      <c r="D20" s="3">
        <f t="shared" si="0"/>
        <v>16.000000001571607</v>
      </c>
      <c r="E20" s="3">
        <f>ELEC!Q22</f>
        <v>6652.9999999984284</v>
      </c>
      <c r="F20" s="3">
        <f>GEN!Z20</f>
        <v>15</v>
      </c>
      <c r="G20" s="3">
        <f>WATER!C23+WATER!H23</f>
        <v>29</v>
      </c>
      <c r="H20" s="3">
        <f>WATER!L23</f>
        <v>2</v>
      </c>
      <c r="I20" s="15">
        <f>WATER!BC23+WATER!BD23+WATER!BE24-Sheet1!G20</f>
        <v>-63.199999999999989</v>
      </c>
      <c r="J20" s="9">
        <f>'B5'!A22</f>
        <v>44487</v>
      </c>
    </row>
    <row r="21" spans="1:10">
      <c r="A21" s="3">
        <f>ELEC!T23+ELEC!X23+ELEC!AB23</f>
        <v>2</v>
      </c>
      <c r="B21" s="3">
        <f>ELEC!AF23</f>
        <v>502</v>
      </c>
      <c r="C21" s="3">
        <f>ELEC!N23</f>
        <v>5877</v>
      </c>
      <c r="D21" s="3">
        <f t="shared" si="0"/>
        <v>-86.999999999941792</v>
      </c>
      <c r="E21" s="3">
        <f>ELEC!Q23</f>
        <v>5963.9999999999418</v>
      </c>
      <c r="F21" s="3">
        <f>GEN!Z21</f>
        <v>11</v>
      </c>
      <c r="G21" s="3">
        <f>WATER!C24+WATER!H24</f>
        <v>68</v>
      </c>
      <c r="H21" s="3">
        <f>WATER!L24</f>
        <v>1</v>
      </c>
      <c r="I21" s="15">
        <f>WATER!BC24+WATER!BD24+WATER!BE25-Sheet1!G21</f>
        <v>-17.899999999999977</v>
      </c>
      <c r="J21" s="9">
        <f>'B5'!A23</f>
        <v>44488</v>
      </c>
    </row>
    <row r="22" spans="1:10">
      <c r="A22" s="3">
        <f>ELEC!T24+ELEC!X24+ELEC!AB24</f>
        <v>8</v>
      </c>
      <c r="B22" s="3">
        <f>ELEC!AF24</f>
        <v>1925</v>
      </c>
      <c r="C22" s="3">
        <f>ELEC!N24</f>
        <v>6112</v>
      </c>
      <c r="D22" s="3">
        <f t="shared" si="0"/>
        <v>-290.00000000186265</v>
      </c>
      <c r="E22" s="3">
        <f>ELEC!Q24</f>
        <v>6402.0000000018626</v>
      </c>
      <c r="F22" s="3">
        <f>GEN!Z22</f>
        <v>10</v>
      </c>
      <c r="G22" s="3">
        <f>WATER!C25+WATER!H25</f>
        <v>0</v>
      </c>
      <c r="H22" s="3">
        <f>WATER!L25</f>
        <v>0</v>
      </c>
      <c r="I22" s="15">
        <f>WATER!BC25+WATER!BD25+WATER!BE26-Sheet1!G22</f>
        <v>-15.499999999999972</v>
      </c>
      <c r="J22" s="9">
        <f>'B5'!A24</f>
        <v>44489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610</v>
      </c>
      <c r="D23" s="3">
        <f t="shared" si="0"/>
        <v>610</v>
      </c>
      <c r="E23" s="3">
        <f>ELEC!Q25</f>
        <v>0</v>
      </c>
      <c r="F23" s="3">
        <f>GEN!Z23</f>
        <v>11</v>
      </c>
      <c r="G23" s="3">
        <f>WATER!C26+WATER!H26</f>
        <v>0</v>
      </c>
      <c r="H23" s="3">
        <f>WATER!L26</f>
        <v>3</v>
      </c>
      <c r="I23" s="15">
        <f>WATER!BC26+WATER!BD26+WATER!BE27-Sheet1!G23</f>
        <v>-11.599999999999966</v>
      </c>
      <c r="J23" s="9">
        <f>'B5'!A25</f>
        <v>44490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44491</v>
      </c>
    </row>
    <row r="25" spans="1:10">
      <c r="A25" s="3">
        <f>ELEC!T27+ELEC!X27+ELEC!AB27</f>
        <v>5</v>
      </c>
      <c r="B25" s="3">
        <f>ELEC!AF27</f>
        <v>1310</v>
      </c>
      <c r="C25" s="3">
        <f>ELEC!N27</f>
        <v>6232</v>
      </c>
      <c r="D25" s="3">
        <f t="shared" si="0"/>
        <v>833.00000000238651</v>
      </c>
      <c r="E25" s="3">
        <f>ELEC!Q27</f>
        <v>5398.9999999976135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-24.80000000000004</v>
      </c>
      <c r="J25" s="9">
        <f>'B5'!A27</f>
        <v>44492</v>
      </c>
    </row>
    <row r="26" spans="1:10">
      <c r="A26" s="3">
        <f>ELEC!T28+ELEC!X28+ELEC!AB28</f>
        <v>6</v>
      </c>
      <c r="B26" s="3">
        <f>ELEC!AF28</f>
        <v>1223</v>
      </c>
      <c r="C26" s="3">
        <f>ELEC!N28</f>
        <v>5784</v>
      </c>
      <c r="D26" s="3">
        <f t="shared" si="0"/>
        <v>-315.00000000197906</v>
      </c>
      <c r="E26" s="3">
        <f>ELEC!Q28</f>
        <v>6099.0000000019791</v>
      </c>
      <c r="F26" s="3">
        <f>GEN!Z26</f>
        <v>9</v>
      </c>
      <c r="G26" s="3">
        <f>WATER!C29+WATER!H29</f>
        <v>0</v>
      </c>
      <c r="H26" s="3">
        <f>WATER!L29</f>
        <v>1</v>
      </c>
      <c r="I26" s="15">
        <f>WATER!BC29+WATER!BD29+WATER!BE30-Sheet1!G26</f>
        <v>-33.500000000000028</v>
      </c>
      <c r="J26" s="9">
        <f>'B5'!A28</f>
        <v>44493</v>
      </c>
    </row>
    <row r="27" spans="1:10">
      <c r="A27" s="3">
        <f>ELEC!T29+ELEC!X29+ELEC!AB29</f>
        <v>5</v>
      </c>
      <c r="B27" s="3">
        <f>ELEC!AF29</f>
        <v>1237</v>
      </c>
      <c r="C27" s="3">
        <f>ELEC!N29</f>
        <v>7303</v>
      </c>
      <c r="D27" s="3">
        <f t="shared" si="0"/>
        <v>28.999999998748535</v>
      </c>
      <c r="E27" s="3">
        <f>ELEC!Q29</f>
        <v>7274.0000000012515</v>
      </c>
      <c r="F27" s="3">
        <f>GEN!Z27</f>
        <v>11</v>
      </c>
      <c r="G27" s="3">
        <f>WATER!C30+WATER!H30</f>
        <v>0</v>
      </c>
      <c r="H27" s="3">
        <f>WATER!L30</f>
        <v>0</v>
      </c>
      <c r="I27" s="15">
        <f>WATER!BC30+WATER!BD30+WATER!BE31-Sheet1!G27</f>
        <v>8.5000000000000284</v>
      </c>
      <c r="J27" s="9">
        <f>'B5'!A29</f>
        <v>44494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13</v>
      </c>
      <c r="G28" s="3">
        <f>WATER!C31+WATER!H31</f>
        <v>0</v>
      </c>
      <c r="H28" s="3">
        <f>WATER!L31</f>
        <v>2</v>
      </c>
      <c r="I28" s="15">
        <f>WATER!BC31+WATER!BD31+WATER!BE32-Sheet1!G28</f>
        <v>-9.7999999999999829</v>
      </c>
      <c r="J28" s="9">
        <f>'B5'!A30</f>
        <v>44495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44496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44497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6"/>
      <c r="B1" s="704" t="s">
        <v>119</v>
      </c>
      <c r="C1" s="704" t="s">
        <v>118</v>
      </c>
      <c r="D1" s="708" t="s">
        <v>113</v>
      </c>
      <c r="E1" s="708" t="s">
        <v>114</v>
      </c>
      <c r="F1" s="709" t="s">
        <v>120</v>
      </c>
      <c r="G1" s="710" t="s">
        <v>75</v>
      </c>
      <c r="H1" s="701" t="s">
        <v>115</v>
      </c>
      <c r="I1" s="702" t="s">
        <v>116</v>
      </c>
      <c r="J1" s="701" t="s">
        <v>117</v>
      </c>
      <c r="K1" s="700" t="s">
        <v>121</v>
      </c>
      <c r="L1" s="700" t="s">
        <v>122</v>
      </c>
      <c r="M1" s="700" t="s">
        <v>123</v>
      </c>
      <c r="N1" s="700" t="s">
        <v>124</v>
      </c>
    </row>
    <row r="2" spans="1:14">
      <c r="A2" s="707"/>
      <c r="B2" s="705"/>
      <c r="C2" s="705"/>
      <c r="D2" s="708"/>
      <c r="E2" s="708"/>
      <c r="F2" s="709"/>
      <c r="G2" s="710"/>
      <c r="H2" s="701"/>
      <c r="I2" s="703"/>
      <c r="J2" s="701"/>
      <c r="K2" s="700"/>
      <c r="L2" s="700"/>
      <c r="M2" s="700"/>
      <c r="N2" s="70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44470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2</v>
      </c>
      <c r="G5" s="78">
        <f>WATER!BG5</f>
        <v>-19.000000000000014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44471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44472</v>
      </c>
      <c r="B7" s="76">
        <f>'B5'!V7</f>
        <v>81</v>
      </c>
      <c r="C7" s="76">
        <f>'B5'!AH7</f>
        <v>0</v>
      </c>
      <c r="D7" s="76">
        <f>GEN!AI5</f>
        <v>1702.8523206746338</v>
      </c>
      <c r="E7" s="239">
        <f t="shared" si="0"/>
        <v>1783.8523206746338</v>
      </c>
      <c r="F7" s="75">
        <f>WATER!L7</f>
        <v>0</v>
      </c>
      <c r="G7" s="78">
        <f>WATER!BG7</f>
        <v>0</v>
      </c>
      <c r="H7" s="79">
        <f>ELEC!AF6</f>
        <v>2052</v>
      </c>
      <c r="I7" s="79">
        <f>ELEC!Q6</f>
        <v>6615.9999999981665</v>
      </c>
      <c r="J7" s="79">
        <f>ELEC!R6</f>
        <v>262.00000000183354</v>
      </c>
      <c r="K7" s="3"/>
      <c r="L7" s="3"/>
      <c r="M7" s="3"/>
      <c r="N7" s="3"/>
    </row>
    <row r="8" spans="1:14">
      <c r="A8" s="63">
        <f>'B5'!A8</f>
        <v>44473</v>
      </c>
      <c r="B8" s="76">
        <f>'B5'!V8</f>
        <v>0</v>
      </c>
      <c r="C8" s="76">
        <f>'B5'!AH8</f>
        <v>0</v>
      </c>
      <c r="D8" s="76">
        <f>GEN!AI6</f>
        <v>900.32911392394578</v>
      </c>
      <c r="E8" s="239">
        <f t="shared" si="0"/>
        <v>900.32911392394578</v>
      </c>
      <c r="F8" s="75">
        <f>WATER!L8</f>
        <v>2</v>
      </c>
      <c r="G8" s="78">
        <f>WATER!BG8</f>
        <v>-6.7999999999999687</v>
      </c>
      <c r="H8" s="79">
        <f>ELEC!AF7</f>
        <v>781</v>
      </c>
      <c r="I8" s="79">
        <f>ELEC!Q7</f>
        <v>3497.9999999995925</v>
      </c>
      <c r="J8" s="79">
        <f>ELEC!R7</f>
        <v>-1105.9999999995925</v>
      </c>
      <c r="K8" s="3"/>
      <c r="L8" s="3"/>
      <c r="M8" s="3"/>
      <c r="N8" s="3"/>
    </row>
    <row r="9" spans="1:14">
      <c r="A9" s="63">
        <f>'B5'!A9</f>
        <v>44474</v>
      </c>
      <c r="B9" s="76">
        <f>'B5'!V9</f>
        <v>106</v>
      </c>
      <c r="C9" s="76">
        <f>'B5'!AH9</f>
        <v>0</v>
      </c>
      <c r="D9" s="76">
        <f>GEN!AI7</f>
        <v>1576.219409282648</v>
      </c>
      <c r="E9" s="239">
        <f t="shared" si="0"/>
        <v>1682.219409282648</v>
      </c>
      <c r="F9" s="75">
        <f>WATER!L9</f>
        <v>2</v>
      </c>
      <c r="G9" s="78">
        <f>WATER!BG9</f>
        <v>20.099999999999994</v>
      </c>
      <c r="H9" s="79">
        <f>ELEC!AF8</f>
        <v>1490</v>
      </c>
      <c r="I9" s="79">
        <f>ELEC!Q8</f>
        <v>6123.9999999997963</v>
      </c>
      <c r="J9" s="79">
        <f>ELEC!R8</f>
        <v>319.00000000020373</v>
      </c>
      <c r="K9" s="3"/>
      <c r="L9" s="3"/>
      <c r="M9" s="3"/>
      <c r="N9" s="3"/>
    </row>
    <row r="10" spans="1:14">
      <c r="A10" s="63">
        <f>'B5'!A10</f>
        <v>44475</v>
      </c>
      <c r="B10" s="76">
        <f>'B5'!V10</f>
        <v>102</v>
      </c>
      <c r="C10" s="76">
        <f>'B5'!AH10</f>
        <v>0</v>
      </c>
      <c r="D10" s="76">
        <f>GEN!AI8</f>
        <v>1963.3248945149253</v>
      </c>
      <c r="E10" s="239">
        <f t="shared" si="0"/>
        <v>2065.3248945149253</v>
      </c>
      <c r="F10" s="75">
        <f>WATER!L10</f>
        <v>0</v>
      </c>
      <c r="G10" s="78">
        <f>WATER!BG10</f>
        <v>-20.500000000000014</v>
      </c>
      <c r="H10" s="79">
        <f>ELEC!AF9</f>
        <v>1770</v>
      </c>
      <c r="I10" s="79">
        <f>ELEC!Q9</f>
        <v>7628.0000000006112</v>
      </c>
      <c r="J10" s="79">
        <f>ELEC!R9</f>
        <v>54.99999999938882</v>
      </c>
      <c r="K10" s="3"/>
      <c r="L10" s="3"/>
      <c r="M10" s="3"/>
      <c r="N10" s="3"/>
    </row>
    <row r="11" spans="1:14">
      <c r="A11" s="63">
        <f>'B5'!A11</f>
        <v>44476</v>
      </c>
      <c r="B11" s="76">
        <f>'B5'!V11</f>
        <v>31</v>
      </c>
      <c r="C11" s="76">
        <f>'B5'!AH11</f>
        <v>0</v>
      </c>
      <c r="D11" s="76">
        <f>GEN!AI9</f>
        <v>1403.514767932834</v>
      </c>
      <c r="E11" s="239">
        <f t="shared" si="0"/>
        <v>1434.514767932834</v>
      </c>
      <c r="F11" s="75">
        <f>WATER!L11</f>
        <v>2</v>
      </c>
      <c r="G11" s="78">
        <f>WATER!BG11</f>
        <v>-15.299999999999969</v>
      </c>
      <c r="H11" s="79">
        <f>ELEC!AF10</f>
        <v>1350</v>
      </c>
      <c r="I11" s="79">
        <f>ELEC!Q10</f>
        <v>5453.0000000013388</v>
      </c>
      <c r="J11" s="79">
        <f>ELEC!R10</f>
        <v>112.99999999866122</v>
      </c>
      <c r="K11" s="3"/>
      <c r="L11" s="3"/>
      <c r="M11" s="3"/>
      <c r="N11" s="3"/>
    </row>
    <row r="12" spans="1:14">
      <c r="A12" s="63">
        <f>'B5'!A12</f>
        <v>44477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-8.6999999999999886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44478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44479</v>
      </c>
      <c r="B14" s="76">
        <f>'B5'!V14</f>
        <v>106</v>
      </c>
      <c r="C14" s="76">
        <f>'B5'!AH14</f>
        <v>0</v>
      </c>
      <c r="D14" s="76">
        <f>GEN!AI12</f>
        <v>1661.4135021092179</v>
      </c>
      <c r="E14" s="239">
        <f t="shared" si="0"/>
        <v>1767.4135021092179</v>
      </c>
      <c r="F14" s="75">
        <f>WATER!L14</f>
        <v>0</v>
      </c>
      <c r="G14" s="78">
        <f>WATER!BG14</f>
        <v>0</v>
      </c>
      <c r="H14" s="79">
        <f>ELEC!AF13</f>
        <v>1618</v>
      </c>
      <c r="I14" s="79">
        <f>ELEC!Q13</f>
        <v>6454.9999999981083</v>
      </c>
      <c r="J14" s="79">
        <f>ELEC!R13</f>
        <v>-16.999999998108251</v>
      </c>
      <c r="K14" s="3"/>
      <c r="L14" s="3"/>
      <c r="M14" s="3"/>
      <c r="N14" s="3"/>
    </row>
    <row r="15" spans="1:14">
      <c r="A15" s="63">
        <f>'B5'!A15</f>
        <v>44480</v>
      </c>
      <c r="B15" s="76">
        <f>'B5'!V15</f>
        <v>64</v>
      </c>
      <c r="C15" s="76">
        <f>'B5'!AH15</f>
        <v>0</v>
      </c>
      <c r="D15" s="76">
        <f>GEN!AI13</f>
        <v>2020.4641350216591</v>
      </c>
      <c r="E15" s="239">
        <f t="shared" si="0"/>
        <v>2084.4641350216589</v>
      </c>
      <c r="F15" s="75">
        <f>WATER!L15</f>
        <v>3</v>
      </c>
      <c r="G15" s="78">
        <f>WATER!BG15</f>
        <v>-15.599999999999994</v>
      </c>
      <c r="H15" s="79">
        <f>ELEC!AF14</f>
        <v>2008</v>
      </c>
      <c r="I15" s="79">
        <f>ELEC!Q14</f>
        <v>7850.0000000021828</v>
      </c>
      <c r="J15" s="79">
        <f>ELEC!R14</f>
        <v>-81.000000002182787</v>
      </c>
      <c r="K15" s="3"/>
      <c r="L15" s="3"/>
      <c r="M15" s="3"/>
      <c r="N15" s="3"/>
    </row>
    <row r="16" spans="1:14">
      <c r="A16" s="63">
        <f>'B5'!A16</f>
        <v>44481</v>
      </c>
      <c r="B16" s="76">
        <f>'B5'!V16</f>
        <v>49</v>
      </c>
      <c r="C16" s="76">
        <f>'B5'!AH16</f>
        <v>0</v>
      </c>
      <c r="D16" s="76">
        <f>GEN!AI14</f>
        <v>1764.881856540077</v>
      </c>
      <c r="E16" s="239">
        <f t="shared" si="0"/>
        <v>1813.881856540077</v>
      </c>
      <c r="F16" s="75">
        <f>WATER!L16</f>
        <v>1</v>
      </c>
      <c r="G16" s="78">
        <f>WATER!BG16</f>
        <v>21.299999999999983</v>
      </c>
      <c r="H16" s="79">
        <f>ELEC!AF15</f>
        <v>1792</v>
      </c>
      <c r="I16" s="79">
        <f>ELEC!Q15</f>
        <v>6856.9999999999709</v>
      </c>
      <c r="J16" s="79">
        <f>ELEC!R15</f>
        <v>-699.9999999999709</v>
      </c>
      <c r="K16" s="3"/>
      <c r="L16" s="3"/>
      <c r="M16" s="3"/>
      <c r="N16" s="3"/>
    </row>
    <row r="17" spans="1:14">
      <c r="A17" s="63">
        <f>'B5'!A17</f>
        <v>44482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2</v>
      </c>
      <c r="G17" s="78">
        <f>WATER!BG17</f>
        <v>-25.80000000000004</v>
      </c>
      <c r="H17" s="79">
        <f>ELEC!AF16</f>
        <v>0</v>
      </c>
      <c r="I17" s="79">
        <f>ELEC!Q16</f>
        <v>0</v>
      </c>
      <c r="J17" s="79">
        <f>ELEC!R16</f>
        <v>3381</v>
      </c>
      <c r="K17" s="3"/>
      <c r="L17" s="3"/>
      <c r="M17" s="3"/>
      <c r="N17" s="3"/>
    </row>
    <row r="18" spans="1:14">
      <c r="A18" s="63">
        <f>'B5'!A18</f>
        <v>44483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44484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44485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44486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44487</v>
      </c>
      <c r="B22" s="76">
        <f>'B5'!V22</f>
        <v>120</v>
      </c>
      <c r="C22" s="76">
        <f>'B5'!AH22</f>
        <v>0</v>
      </c>
      <c r="D22" s="76">
        <f>GEN!AI20</f>
        <v>2394.1856540083568</v>
      </c>
      <c r="E22" s="239">
        <f t="shared" si="0"/>
        <v>2514.1856540083568</v>
      </c>
      <c r="F22" s="75">
        <f>WATER!L22</f>
        <v>0</v>
      </c>
      <c r="G22" s="78">
        <f>WATER!BG22</f>
        <v>0</v>
      </c>
      <c r="H22" s="79">
        <f>ELEC!AF21</f>
        <v>2351</v>
      </c>
      <c r="I22" s="79">
        <f>ELEC!Q21</f>
        <v>9301.9999999996799</v>
      </c>
      <c r="J22" s="79">
        <f>ELEC!R21</f>
        <v>444.00000000032014</v>
      </c>
      <c r="K22" s="3"/>
      <c r="L22" s="3"/>
      <c r="M22" s="3"/>
      <c r="N22" s="3"/>
    </row>
    <row r="23" spans="1:14">
      <c r="A23" s="63">
        <f>'B5'!A23</f>
        <v>44488</v>
      </c>
      <c r="B23" s="76">
        <f>'B5'!V23</f>
        <v>127</v>
      </c>
      <c r="C23" s="76">
        <f>'B5'!AH23</f>
        <v>0</v>
      </c>
      <c r="D23" s="76">
        <f>GEN!AI21</f>
        <v>1712.375527425756</v>
      </c>
      <c r="E23" s="239">
        <f t="shared" si="0"/>
        <v>1839.375527425756</v>
      </c>
      <c r="F23" s="75">
        <f>WATER!L23</f>
        <v>2</v>
      </c>
      <c r="G23" s="78">
        <f>WATER!BG23</f>
        <v>-34.199999999999989</v>
      </c>
      <c r="H23" s="79">
        <f>ELEC!AF22</f>
        <v>1537</v>
      </c>
      <c r="I23" s="79">
        <f>ELEC!Q22</f>
        <v>6652.9999999984284</v>
      </c>
      <c r="J23" s="79">
        <f>ELEC!R22</f>
        <v>16.000000001571607</v>
      </c>
      <c r="K23" s="3"/>
      <c r="L23" s="3"/>
      <c r="M23" s="3"/>
      <c r="N23" s="3"/>
    </row>
    <row r="24" spans="1:14">
      <c r="A24" s="63">
        <f>'B5'!A24</f>
        <v>44489</v>
      </c>
      <c r="B24" s="76">
        <f>'B5'!V24</f>
        <v>0</v>
      </c>
      <c r="C24" s="76">
        <f>'B5'!AH24</f>
        <v>0</v>
      </c>
      <c r="D24" s="76">
        <f>GEN!AI22</f>
        <v>1535.0379746835295</v>
      </c>
      <c r="E24" s="239">
        <f t="shared" si="0"/>
        <v>1535.0379746835295</v>
      </c>
      <c r="F24" s="75">
        <f>WATER!L24</f>
        <v>1</v>
      </c>
      <c r="G24" s="78">
        <f>WATER!BG24</f>
        <v>0</v>
      </c>
      <c r="H24" s="79">
        <f>ELEC!AF23</f>
        <v>502</v>
      </c>
      <c r="I24" s="79">
        <f>ELEC!Q23</f>
        <v>5963.9999999999418</v>
      </c>
      <c r="J24" s="79">
        <f>ELEC!R23</f>
        <v>-5963.9999999999418</v>
      </c>
      <c r="K24" s="3"/>
      <c r="L24" s="3"/>
      <c r="M24" s="3"/>
      <c r="N24" s="3"/>
    </row>
    <row r="25" spans="1:14">
      <c r="A25" s="63">
        <f>'B5'!A25</f>
        <v>44490</v>
      </c>
      <c r="B25" s="76">
        <f>'B5'!V25</f>
        <v>126</v>
      </c>
      <c r="C25" s="76">
        <f>'B5'!AH25</f>
        <v>0</v>
      </c>
      <c r="D25" s="76">
        <f>GEN!AI23</f>
        <v>1647.7721518992137</v>
      </c>
      <c r="E25" s="239">
        <f t="shared" si="0"/>
        <v>1773.7721518992137</v>
      </c>
      <c r="F25" s="75">
        <f>WATER!L25</f>
        <v>0</v>
      </c>
      <c r="G25" s="78">
        <f>WATER!BG25</f>
        <v>-3.9000000000000057</v>
      </c>
      <c r="H25" s="79">
        <f>ELEC!AF24</f>
        <v>1925</v>
      </c>
      <c r="I25" s="79">
        <f>ELEC!Q24</f>
        <v>6402.0000000018626</v>
      </c>
      <c r="J25" s="79">
        <f>ELEC!R24</f>
        <v>-290.00000000186265</v>
      </c>
      <c r="K25" s="3"/>
      <c r="L25" s="3"/>
      <c r="M25" s="3"/>
      <c r="N25" s="3"/>
    </row>
    <row r="26" spans="1:14">
      <c r="A26" s="63">
        <f>'B5'!A26</f>
        <v>44491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3</v>
      </c>
      <c r="G26" s="78">
        <f>WATER!BG26</f>
        <v>-11.599999999999966</v>
      </c>
      <c r="H26" s="79">
        <f>ELEC!AF25</f>
        <v>0</v>
      </c>
      <c r="I26" s="79">
        <f>ELEC!Q25</f>
        <v>0</v>
      </c>
      <c r="J26" s="79">
        <f>ELEC!R25</f>
        <v>610</v>
      </c>
      <c r="K26" s="3"/>
      <c r="L26" s="3"/>
      <c r="M26" s="3"/>
      <c r="N26" s="3"/>
    </row>
    <row r="27" spans="1:14">
      <c r="A27" s="63">
        <f>'B5'!A27</f>
        <v>44492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44493</v>
      </c>
      <c r="B28" s="76">
        <f>'B5'!V28</f>
        <v>73</v>
      </c>
      <c r="C28" s="76">
        <f>'B5'!AH28</f>
        <v>0</v>
      </c>
      <c r="D28" s="76">
        <f>GEN!AI26</f>
        <v>1389.6160337546601</v>
      </c>
      <c r="E28" s="239">
        <f t="shared" si="0"/>
        <v>1462.6160337546601</v>
      </c>
      <c r="F28" s="75">
        <f>WATER!L28</f>
        <v>0</v>
      </c>
      <c r="G28" s="78">
        <f>WATER!BG28</f>
        <v>0</v>
      </c>
      <c r="H28" s="79">
        <f>ELEC!AF27</f>
        <v>1310</v>
      </c>
      <c r="I28" s="79">
        <f>ELEC!Q27</f>
        <v>5398.9999999976135</v>
      </c>
      <c r="J28" s="79">
        <f>ELEC!R27</f>
        <v>833.00000000238651</v>
      </c>
      <c r="K28" s="3"/>
      <c r="L28" s="3"/>
      <c r="M28" s="3"/>
      <c r="N28" s="3"/>
    </row>
    <row r="29" spans="1:14">
      <c r="A29" s="63">
        <f>'B5'!A29</f>
        <v>44494</v>
      </c>
      <c r="B29" s="76">
        <f>'B5'!V29</f>
        <v>91</v>
      </c>
      <c r="C29" s="76">
        <f>'B5'!AH29</f>
        <v>0</v>
      </c>
      <c r="D29" s="76">
        <f>GEN!AI27</f>
        <v>1569.7848101270918</v>
      </c>
      <c r="E29" s="77">
        <f t="shared" si="0"/>
        <v>1660.7848101270918</v>
      </c>
      <c r="F29" s="75">
        <f>WATER!L29</f>
        <v>1</v>
      </c>
      <c r="G29" s="78">
        <f>WATER!BG29</f>
        <v>-24.80000000000004</v>
      </c>
      <c r="H29" s="79">
        <f>ELEC!AF28</f>
        <v>1223</v>
      </c>
      <c r="I29" s="79">
        <f>ELEC!Q28</f>
        <v>6099.0000000019791</v>
      </c>
      <c r="J29" s="79">
        <f>ELEC!R28</f>
        <v>-315.00000000197906</v>
      </c>
      <c r="K29" s="3"/>
      <c r="L29" s="3"/>
      <c r="M29" s="3"/>
      <c r="N29" s="3"/>
    </row>
    <row r="30" spans="1:14">
      <c r="A30" s="63">
        <f>'B5'!A30</f>
        <v>44495</v>
      </c>
      <c r="B30" s="76">
        <f>'B5'!V30</f>
        <v>0</v>
      </c>
      <c r="C30" s="76">
        <f>'B5'!AH30</f>
        <v>0</v>
      </c>
      <c r="D30" s="76">
        <f>GEN!AI28</f>
        <v>1872.2109704644572</v>
      </c>
      <c r="E30" s="77">
        <f t="shared" si="0"/>
        <v>1872.2109704644572</v>
      </c>
      <c r="F30" s="75">
        <f>WATER!L30</f>
        <v>0</v>
      </c>
      <c r="G30" s="78">
        <f>WATER!BG30</f>
        <v>-8.6999999999999886</v>
      </c>
      <c r="H30" s="79">
        <f>ELEC!AF29</f>
        <v>1237</v>
      </c>
      <c r="I30" s="79">
        <f>ELEC!Q29</f>
        <v>7274.0000000012515</v>
      </c>
      <c r="J30" s="79">
        <f>ELEC!R29</f>
        <v>28.999999998748535</v>
      </c>
      <c r="K30" s="3"/>
      <c r="L30" s="3"/>
      <c r="M30" s="3"/>
      <c r="N30" s="3"/>
    </row>
    <row r="31" spans="1:14">
      <c r="A31" s="63">
        <f>'B5'!A31</f>
        <v>44496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2</v>
      </c>
      <c r="G31" s="78">
        <f>WATER!BG31</f>
        <v>17.200000000000017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44497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1" t="s">
        <v>151</v>
      </c>
      <c r="U3" s="71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B31" sqref="B31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6" customWidth="1"/>
    <col min="12" max="12" width="26.42578125" bestFit="1" customWidth="1"/>
    <col min="14" max="14" width="14.28515625" customWidth="1"/>
  </cols>
  <sheetData>
    <row r="1" spans="1:18" ht="39.75" customHeight="1" thickBot="1">
      <c r="A1" s="712" t="s">
        <v>51</v>
      </c>
      <c r="B1" s="724" t="s">
        <v>317</v>
      </c>
      <c r="C1" s="725"/>
      <c r="D1" s="727"/>
      <c r="E1" s="724" t="s">
        <v>318</v>
      </c>
      <c r="F1" s="725"/>
      <c r="G1" s="726"/>
      <c r="H1" s="721" t="s">
        <v>323</v>
      </c>
      <c r="I1" s="718" t="s">
        <v>324</v>
      </c>
      <c r="J1" s="715" t="s">
        <v>43</v>
      </c>
    </row>
    <row r="2" spans="1:18" ht="38.25" thickBot="1">
      <c r="A2" s="713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2"/>
      <c r="I2" s="719"/>
      <c r="J2" s="716"/>
    </row>
    <row r="3" spans="1:18" ht="24" customHeight="1" thickBot="1">
      <c r="A3" s="714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3"/>
      <c r="I3" s="720"/>
      <c r="J3" s="717"/>
    </row>
    <row r="4" spans="1:18" ht="19.5" thickBot="1">
      <c r="A4" s="240"/>
      <c r="B4" s="491"/>
      <c r="C4" s="491"/>
      <c r="D4" s="491"/>
      <c r="E4" s="491"/>
      <c r="F4" s="491"/>
      <c r="G4" s="491"/>
      <c r="H4" s="606">
        <v>0</v>
      </c>
      <c r="I4" s="607"/>
      <c r="J4" s="608"/>
      <c r="L4" s="3"/>
      <c r="M4" s="3" t="s">
        <v>387</v>
      </c>
      <c r="N4" s="3" t="s">
        <v>388</v>
      </c>
      <c r="O4" s="3" t="s">
        <v>389</v>
      </c>
    </row>
    <row r="5" spans="1:18" ht="16.5" customHeight="1" thickBot="1">
      <c r="A5" s="490">
        <f>'[2]Swimming Pool quality check '!$A$35</f>
        <v>44469</v>
      </c>
      <c r="B5" s="609">
        <f>'[2]Swimming Pool quality check '!B35</f>
        <v>2.2000000000000002</v>
      </c>
      <c r="C5" s="609">
        <f>'[2]Swimming Pool quality check '!C35</f>
        <v>7.9</v>
      </c>
      <c r="D5" s="609">
        <f>'[2]Swimming Pool quality check '!D35</f>
        <v>0</v>
      </c>
      <c r="E5" s="609">
        <f>'[2]Swimming Pool quality check '!E35</f>
        <v>0</v>
      </c>
      <c r="F5" s="609">
        <f>'[2]Swimming Pool quality check '!F35</f>
        <v>0</v>
      </c>
      <c r="G5" s="609">
        <f>'[2]Swimming Pool quality check '!G35</f>
        <v>0</v>
      </c>
      <c r="H5" s="609">
        <f>'[2]Swimming Pool quality check '!H35</f>
        <v>6884</v>
      </c>
      <c r="I5" s="610">
        <f>'[10]Swimming Pool quality check '!I36</f>
        <v>0</v>
      </c>
      <c r="J5" s="611">
        <f>'[11]Swimming Pool quality check '!J36</f>
        <v>0.33333333333333398</v>
      </c>
      <c r="K5" s="399">
        <v>0</v>
      </c>
      <c r="L5" s="516">
        <f>A5</f>
        <v>44469</v>
      </c>
      <c r="M5" s="492">
        <v>6541</v>
      </c>
      <c r="N5" s="492">
        <f>'[7]Swimming Pool quality check '!N36</f>
        <v>642</v>
      </c>
      <c r="O5" s="492">
        <f>'[7]Swimming Pool quality check '!O36</f>
        <v>6836</v>
      </c>
    </row>
    <row r="6" spans="1:18" ht="15.75" customHeight="1" thickBot="1">
      <c r="A6" s="490">
        <f>ELEC!C4</f>
        <v>44470</v>
      </c>
      <c r="B6" s="250"/>
      <c r="C6" s="605"/>
      <c r="D6" s="170"/>
      <c r="E6" s="170"/>
      <c r="F6" s="170"/>
      <c r="G6" s="170"/>
      <c r="H6" s="555">
        <f>H5</f>
        <v>6884</v>
      </c>
      <c r="I6" s="492">
        <f>H6-H5</f>
        <v>0</v>
      </c>
      <c r="J6" s="473">
        <v>0.29166666666666669</v>
      </c>
      <c r="L6" s="99">
        <f t="shared" ref="L6:L33" si="0">A6</f>
        <v>44470</v>
      </c>
      <c r="M6" s="3">
        <f>M5</f>
        <v>6541</v>
      </c>
      <c r="N6" s="492"/>
      <c r="O6" s="492">
        <f>M6+N6</f>
        <v>6541</v>
      </c>
    </row>
    <row r="7" spans="1:18" ht="15.75" thickBot="1">
      <c r="A7" s="490">
        <f>ELEC!C5</f>
        <v>44471</v>
      </c>
      <c r="B7" s="250"/>
      <c r="C7" s="605"/>
      <c r="D7" s="614"/>
      <c r="E7" s="170"/>
      <c r="F7" s="170"/>
      <c r="G7" s="170"/>
      <c r="H7" s="555">
        <f t="shared" ref="H7:H36" si="1">H6</f>
        <v>6884</v>
      </c>
      <c r="I7" s="492">
        <f>H7-H6</f>
        <v>0</v>
      </c>
      <c r="J7" s="474">
        <v>0.29166666666666669</v>
      </c>
      <c r="L7" s="99">
        <f t="shared" si="0"/>
        <v>44471</v>
      </c>
      <c r="M7" s="3">
        <f t="shared" ref="M7:M36" si="2">M6</f>
        <v>6541</v>
      </c>
      <c r="N7" s="492"/>
      <c r="O7" s="492">
        <f t="shared" ref="O7:O33" si="3">M7+N7</f>
        <v>6541</v>
      </c>
    </row>
    <row r="8" spans="1:18" ht="15.75" thickBot="1">
      <c r="A8" s="490">
        <f>ELEC!C6</f>
        <v>44472</v>
      </c>
      <c r="B8" s="615">
        <v>2</v>
      </c>
      <c r="C8" s="472">
        <v>8.4</v>
      </c>
      <c r="D8" s="170">
        <v>0</v>
      </c>
      <c r="E8" s="170">
        <v>0</v>
      </c>
      <c r="F8" s="170">
        <v>0</v>
      </c>
      <c r="G8" s="555">
        <v>0</v>
      </c>
      <c r="H8" s="555">
        <v>6886</v>
      </c>
      <c r="I8" s="492">
        <f t="shared" ref="I8:I33" si="4">H8-H7</f>
        <v>2</v>
      </c>
      <c r="J8" s="474">
        <v>0.29166666666666669</v>
      </c>
      <c r="L8" s="99">
        <f t="shared" si="0"/>
        <v>44472</v>
      </c>
      <c r="M8" s="3">
        <f t="shared" si="2"/>
        <v>6541</v>
      </c>
      <c r="N8" s="492"/>
      <c r="O8" s="492">
        <f t="shared" si="3"/>
        <v>6541</v>
      </c>
    </row>
    <row r="9" spans="1:18" ht="15.75" thickBot="1">
      <c r="A9" s="490">
        <f>ELEC!C7</f>
        <v>44473</v>
      </c>
      <c r="B9" s="250">
        <v>1.5</v>
      </c>
      <c r="C9" s="602">
        <v>7.8</v>
      </c>
      <c r="D9" s="170">
        <v>0</v>
      </c>
      <c r="E9" s="170">
        <v>0</v>
      </c>
      <c r="F9" s="170">
        <v>0</v>
      </c>
      <c r="G9" s="555">
        <v>0</v>
      </c>
      <c r="H9" s="555">
        <v>6888</v>
      </c>
      <c r="I9" s="492">
        <f t="shared" si="4"/>
        <v>2</v>
      </c>
      <c r="J9" s="474">
        <v>0.25</v>
      </c>
      <c r="L9" s="99">
        <f t="shared" si="0"/>
        <v>44473</v>
      </c>
      <c r="M9" s="3">
        <f t="shared" si="2"/>
        <v>6541</v>
      </c>
      <c r="N9" s="492"/>
      <c r="O9" s="492">
        <f t="shared" si="3"/>
        <v>6541</v>
      </c>
    </row>
    <row r="10" spans="1:18" ht="15.75" thickBot="1">
      <c r="A10" s="490">
        <f>ELEC!C8</f>
        <v>44474</v>
      </c>
      <c r="B10" s="250"/>
      <c r="C10" s="616"/>
      <c r="D10" s="614"/>
      <c r="E10" s="170"/>
      <c r="F10" s="170"/>
      <c r="G10" s="170"/>
      <c r="H10" s="555">
        <f t="shared" si="1"/>
        <v>6888</v>
      </c>
      <c r="I10" s="492">
        <f t="shared" si="4"/>
        <v>0</v>
      </c>
      <c r="J10" s="474">
        <v>0.29166666666666669</v>
      </c>
      <c r="L10" s="99">
        <f t="shared" si="0"/>
        <v>44474</v>
      </c>
      <c r="M10" s="3">
        <f t="shared" si="2"/>
        <v>6541</v>
      </c>
      <c r="N10" s="492"/>
      <c r="O10" s="492">
        <f t="shared" si="3"/>
        <v>6541</v>
      </c>
    </row>
    <row r="11" spans="1:18" ht="15.75" thickBot="1">
      <c r="A11" s="490">
        <f>ELEC!C9</f>
        <v>44475</v>
      </c>
      <c r="B11" s="250">
        <v>2.2000000000000002</v>
      </c>
      <c r="C11" s="617">
        <v>7.9</v>
      </c>
      <c r="D11" s="614">
        <v>0</v>
      </c>
      <c r="E11" s="170">
        <v>0</v>
      </c>
      <c r="F11" s="170">
        <v>0</v>
      </c>
      <c r="G11" s="170">
        <v>0</v>
      </c>
      <c r="H11" s="555">
        <v>6890</v>
      </c>
      <c r="I11" s="492">
        <f t="shared" si="4"/>
        <v>2</v>
      </c>
      <c r="J11" s="474">
        <v>0.29166666666666669</v>
      </c>
      <c r="L11" s="99">
        <f t="shared" si="0"/>
        <v>44475</v>
      </c>
      <c r="M11" s="3">
        <f t="shared" si="2"/>
        <v>6541</v>
      </c>
      <c r="N11" s="492"/>
      <c r="O11" s="492">
        <f t="shared" si="3"/>
        <v>6541</v>
      </c>
    </row>
    <row r="12" spans="1:18" ht="16.5" thickBot="1">
      <c r="A12" s="490">
        <f>ELEC!C10</f>
        <v>44476</v>
      </c>
      <c r="B12" s="250">
        <v>2.5</v>
      </c>
      <c r="C12" s="617">
        <v>7.8</v>
      </c>
      <c r="D12" s="614">
        <v>0</v>
      </c>
      <c r="E12" s="170">
        <v>0</v>
      </c>
      <c r="F12" s="170">
        <v>0</v>
      </c>
      <c r="G12" s="170">
        <v>0</v>
      </c>
      <c r="H12" s="555">
        <f t="shared" si="1"/>
        <v>6890</v>
      </c>
      <c r="I12" s="492">
        <f t="shared" si="4"/>
        <v>0</v>
      </c>
      <c r="J12" s="474">
        <v>0.29166666666666669</v>
      </c>
      <c r="L12" s="99">
        <f t="shared" si="0"/>
        <v>44476</v>
      </c>
      <c r="M12" s="3">
        <f t="shared" si="2"/>
        <v>6541</v>
      </c>
      <c r="N12" s="492"/>
      <c r="O12" s="492">
        <f t="shared" si="3"/>
        <v>6541</v>
      </c>
      <c r="P12" s="428"/>
      <c r="Q12" s="350"/>
      <c r="R12" s="350"/>
    </row>
    <row r="13" spans="1:18" ht="15.75" thickBot="1">
      <c r="A13" s="490">
        <f>ELEC!C11</f>
        <v>44477</v>
      </c>
      <c r="B13" s="250"/>
      <c r="C13" s="618"/>
      <c r="D13" s="614"/>
      <c r="E13" s="170"/>
      <c r="F13" s="170"/>
      <c r="G13" s="170"/>
      <c r="H13" s="555">
        <f t="shared" si="1"/>
        <v>6890</v>
      </c>
      <c r="I13" s="492">
        <f t="shared" si="4"/>
        <v>0</v>
      </c>
      <c r="J13" s="474">
        <v>0.29166666666666669</v>
      </c>
      <c r="L13" s="99">
        <f t="shared" si="0"/>
        <v>44477</v>
      </c>
      <c r="M13" s="3">
        <f t="shared" si="2"/>
        <v>6541</v>
      </c>
      <c r="N13" s="492"/>
      <c r="O13" s="492">
        <f t="shared" si="3"/>
        <v>6541</v>
      </c>
    </row>
    <row r="14" spans="1:18" ht="15.75" thickBot="1">
      <c r="A14" s="490">
        <f>ELEC!C12</f>
        <v>44478</v>
      </c>
      <c r="B14" s="250"/>
      <c r="C14" s="602"/>
      <c r="D14" s="614"/>
      <c r="E14" s="170"/>
      <c r="F14" s="170"/>
      <c r="G14" s="170"/>
      <c r="H14" s="555">
        <f t="shared" si="1"/>
        <v>6890</v>
      </c>
      <c r="I14" s="492">
        <f t="shared" si="4"/>
        <v>0</v>
      </c>
      <c r="J14" s="474">
        <v>0.29166666666666669</v>
      </c>
      <c r="L14" s="99">
        <f t="shared" si="0"/>
        <v>44478</v>
      </c>
      <c r="M14" s="3">
        <f t="shared" si="2"/>
        <v>6541</v>
      </c>
      <c r="N14" s="492"/>
      <c r="O14" s="492">
        <f t="shared" si="3"/>
        <v>6541</v>
      </c>
    </row>
    <row r="15" spans="1:18" ht="15.75" thickBot="1">
      <c r="A15" s="490">
        <f>ELEC!C13</f>
        <v>44479</v>
      </c>
      <c r="B15" s="517">
        <v>1.1000000000000001</v>
      </c>
      <c r="C15" s="602">
        <v>8.4</v>
      </c>
      <c r="D15" s="602">
        <v>0</v>
      </c>
      <c r="E15" s="602">
        <v>0</v>
      </c>
      <c r="F15" s="602">
        <v>0</v>
      </c>
      <c r="G15" s="634">
        <v>0</v>
      </c>
      <c r="H15" s="555">
        <v>6893</v>
      </c>
      <c r="I15" s="492">
        <f t="shared" si="4"/>
        <v>3</v>
      </c>
      <c r="J15" s="474">
        <v>0.29166666666666669</v>
      </c>
      <c r="L15" s="99">
        <f t="shared" si="0"/>
        <v>44479</v>
      </c>
      <c r="M15" s="3">
        <f t="shared" si="2"/>
        <v>6541</v>
      </c>
      <c r="N15" s="492"/>
      <c r="O15" s="492">
        <f t="shared" si="3"/>
        <v>6541</v>
      </c>
    </row>
    <row r="16" spans="1:18" ht="15.75" thickBot="1">
      <c r="A16" s="490">
        <f>ELEC!C14</f>
        <v>44480</v>
      </c>
      <c r="B16" s="517">
        <v>3</v>
      </c>
      <c r="C16" s="602">
        <v>8</v>
      </c>
      <c r="D16" s="602"/>
      <c r="E16" s="602"/>
      <c r="F16" s="602"/>
      <c r="G16" s="602"/>
      <c r="H16" s="555">
        <v>6894</v>
      </c>
      <c r="I16" s="492">
        <f t="shared" si="4"/>
        <v>1</v>
      </c>
      <c r="J16" s="474">
        <v>0.29166666666666669</v>
      </c>
      <c r="L16" s="99">
        <f t="shared" si="0"/>
        <v>44480</v>
      </c>
      <c r="M16" s="3">
        <f t="shared" si="2"/>
        <v>6541</v>
      </c>
      <c r="N16" s="492"/>
      <c r="O16" s="492">
        <f t="shared" si="3"/>
        <v>6541</v>
      </c>
    </row>
    <row r="17" spans="1:15" ht="15.75" thickBot="1">
      <c r="A17" s="490">
        <f>ELEC!C15</f>
        <v>44481</v>
      </c>
      <c r="B17" s="250">
        <v>2.5</v>
      </c>
      <c r="C17" s="602">
        <v>7.8</v>
      </c>
      <c r="D17" s="170"/>
      <c r="E17" s="170"/>
      <c r="F17" s="602"/>
      <c r="G17" s="602"/>
      <c r="H17" s="555">
        <v>6896</v>
      </c>
      <c r="I17" s="492">
        <f t="shared" si="4"/>
        <v>2</v>
      </c>
      <c r="J17" s="474">
        <v>0.29166666666666669</v>
      </c>
      <c r="L17" s="99">
        <f t="shared" si="0"/>
        <v>44481</v>
      </c>
      <c r="M17" s="3">
        <f t="shared" si="2"/>
        <v>6541</v>
      </c>
      <c r="N17" s="492"/>
      <c r="O17" s="492">
        <f t="shared" si="3"/>
        <v>6541</v>
      </c>
    </row>
    <row r="18" spans="1:15" ht="15.75" thickBot="1">
      <c r="A18" s="490">
        <f>ELEC!C16</f>
        <v>44482</v>
      </c>
      <c r="B18" s="250"/>
      <c r="C18" s="602"/>
      <c r="D18" s="170"/>
      <c r="E18" s="170"/>
      <c r="F18" s="602"/>
      <c r="G18" s="601"/>
      <c r="H18" s="555">
        <f t="shared" si="1"/>
        <v>6896</v>
      </c>
      <c r="I18" s="492">
        <f t="shared" si="4"/>
        <v>0</v>
      </c>
      <c r="J18" s="474">
        <v>0.29166666666666669</v>
      </c>
      <c r="L18" s="99">
        <f t="shared" si="0"/>
        <v>44482</v>
      </c>
      <c r="M18" s="3">
        <f t="shared" si="2"/>
        <v>6541</v>
      </c>
      <c r="N18" s="492"/>
      <c r="O18" s="492">
        <f t="shared" si="3"/>
        <v>6541</v>
      </c>
    </row>
    <row r="19" spans="1:15" ht="15.75" thickBot="1">
      <c r="A19" s="490">
        <f>ELEC!C17</f>
        <v>44483</v>
      </c>
      <c r="B19" s="250"/>
      <c r="C19" s="602"/>
      <c r="D19" s="170"/>
      <c r="E19" s="170"/>
      <c r="F19" s="602"/>
      <c r="G19" s="601"/>
      <c r="H19" s="555">
        <f t="shared" si="1"/>
        <v>6896</v>
      </c>
      <c r="I19" s="492">
        <f t="shared" si="4"/>
        <v>0</v>
      </c>
      <c r="J19" s="474">
        <v>0.29166666666666669</v>
      </c>
      <c r="L19" s="99">
        <f t="shared" si="0"/>
        <v>44483</v>
      </c>
      <c r="M19" s="3">
        <f t="shared" si="2"/>
        <v>6541</v>
      </c>
      <c r="N19" s="492"/>
      <c r="O19" s="492">
        <f t="shared" si="3"/>
        <v>6541</v>
      </c>
    </row>
    <row r="20" spans="1:15" ht="15.75" thickBot="1">
      <c r="A20" s="490">
        <f>ELEC!C18</f>
        <v>44484</v>
      </c>
      <c r="B20" s="250"/>
      <c r="C20" s="602"/>
      <c r="D20" s="170"/>
      <c r="E20" s="170"/>
      <c r="F20" s="602"/>
      <c r="G20" s="601"/>
      <c r="H20" s="555">
        <f t="shared" si="1"/>
        <v>6896</v>
      </c>
      <c r="I20" s="492">
        <f t="shared" si="4"/>
        <v>0</v>
      </c>
      <c r="J20" s="474">
        <v>0.29166666666666669</v>
      </c>
      <c r="L20" s="99">
        <f t="shared" si="0"/>
        <v>44484</v>
      </c>
      <c r="M20" s="3">
        <f t="shared" si="2"/>
        <v>6541</v>
      </c>
      <c r="N20" s="492"/>
      <c r="O20" s="492">
        <f t="shared" si="3"/>
        <v>6541</v>
      </c>
    </row>
    <row r="21" spans="1:15" ht="15.75" thickBot="1">
      <c r="A21" s="490">
        <f>ELEC!C19</f>
        <v>44485</v>
      </c>
      <c r="B21" s="250"/>
      <c r="C21" s="602"/>
      <c r="D21" s="170"/>
      <c r="E21" s="170"/>
      <c r="F21" s="602"/>
      <c r="G21" s="601"/>
      <c r="H21" s="555">
        <f t="shared" si="1"/>
        <v>6896</v>
      </c>
      <c r="I21" s="492">
        <f t="shared" si="4"/>
        <v>0</v>
      </c>
      <c r="J21" s="554" t="s">
        <v>412</v>
      </c>
      <c r="L21" s="99">
        <f t="shared" si="0"/>
        <v>44485</v>
      </c>
      <c r="M21" s="3">
        <f t="shared" si="2"/>
        <v>6541</v>
      </c>
      <c r="N21" s="492"/>
      <c r="O21" s="492">
        <f t="shared" si="3"/>
        <v>6541</v>
      </c>
    </row>
    <row r="22" spans="1:15" ht="15.75" thickBot="1">
      <c r="A22" s="490">
        <f>ELEC!C20</f>
        <v>44486</v>
      </c>
      <c r="B22" s="250"/>
      <c r="C22" s="602"/>
      <c r="D22" s="600"/>
      <c r="E22" s="602"/>
      <c r="F22" s="602"/>
      <c r="G22" s="599"/>
      <c r="H22" s="555">
        <f t="shared" si="1"/>
        <v>6896</v>
      </c>
      <c r="I22" s="492">
        <f t="shared" si="4"/>
        <v>0</v>
      </c>
      <c r="J22" s="474">
        <v>0.29166666666666669</v>
      </c>
      <c r="L22" s="99">
        <f t="shared" si="0"/>
        <v>44486</v>
      </c>
      <c r="M22" s="3">
        <f t="shared" si="2"/>
        <v>6541</v>
      </c>
      <c r="N22" s="492"/>
      <c r="O22" s="492">
        <f t="shared" si="3"/>
        <v>6541</v>
      </c>
    </row>
    <row r="23" spans="1:15" ht="15.75" thickBot="1">
      <c r="A23" s="490">
        <f>ELEC!C21</f>
        <v>44487</v>
      </c>
      <c r="B23" s="250">
        <v>1.5</v>
      </c>
      <c r="C23" s="602">
        <v>7.9</v>
      </c>
      <c r="D23" s="600">
        <v>0</v>
      </c>
      <c r="E23" s="602">
        <v>0</v>
      </c>
      <c r="F23" s="602">
        <v>0</v>
      </c>
      <c r="G23" s="599">
        <v>0</v>
      </c>
      <c r="H23" s="555">
        <v>6898</v>
      </c>
      <c r="I23" s="492">
        <f t="shared" si="4"/>
        <v>2</v>
      </c>
      <c r="J23" s="474">
        <v>0.29166666666666669</v>
      </c>
      <c r="L23" s="99">
        <f t="shared" si="0"/>
        <v>44487</v>
      </c>
      <c r="M23" s="3">
        <f t="shared" si="2"/>
        <v>6541</v>
      </c>
      <c r="N23" s="492"/>
      <c r="O23" s="492">
        <f t="shared" si="3"/>
        <v>6541</v>
      </c>
    </row>
    <row r="24" spans="1:15" ht="15.75" thickBot="1">
      <c r="A24" s="490">
        <f>ELEC!C22</f>
        <v>44488</v>
      </c>
      <c r="B24" s="250">
        <v>1.5</v>
      </c>
      <c r="C24" s="602">
        <v>7.8</v>
      </c>
      <c r="D24" s="600">
        <v>0</v>
      </c>
      <c r="E24" s="602">
        <v>0</v>
      </c>
      <c r="F24" s="602">
        <v>0</v>
      </c>
      <c r="G24" s="601">
        <v>0</v>
      </c>
      <c r="H24" s="555">
        <v>6899</v>
      </c>
      <c r="I24" s="492">
        <f t="shared" si="4"/>
        <v>1</v>
      </c>
      <c r="J24" s="474">
        <v>0.29166666666666702</v>
      </c>
      <c r="L24" s="99">
        <f t="shared" si="0"/>
        <v>44488</v>
      </c>
      <c r="M24" s="3">
        <f t="shared" si="2"/>
        <v>6541</v>
      </c>
      <c r="N24" s="492"/>
      <c r="O24" s="492">
        <f t="shared" si="3"/>
        <v>6541</v>
      </c>
    </row>
    <row r="25" spans="1:15" ht="15.75" thickBot="1">
      <c r="A25" s="490">
        <f>ELEC!C23</f>
        <v>44489</v>
      </c>
      <c r="B25" s="250">
        <v>2.1</v>
      </c>
      <c r="C25" s="602">
        <v>7.8</v>
      </c>
      <c r="D25" s="600"/>
      <c r="E25" s="602"/>
      <c r="F25" s="602"/>
      <c r="G25" s="601"/>
      <c r="H25" s="555">
        <f t="shared" si="1"/>
        <v>6899</v>
      </c>
      <c r="I25" s="492">
        <f t="shared" si="4"/>
        <v>0</v>
      </c>
      <c r="J25" s="474">
        <v>0.29166666666666702</v>
      </c>
      <c r="L25" s="99">
        <f t="shared" si="0"/>
        <v>44489</v>
      </c>
      <c r="M25" s="3">
        <f t="shared" si="2"/>
        <v>6541</v>
      </c>
      <c r="N25" s="492"/>
      <c r="O25" s="492">
        <f t="shared" si="3"/>
        <v>6541</v>
      </c>
    </row>
    <row r="26" spans="1:15" ht="15.75" thickBot="1">
      <c r="A26" s="490">
        <f>ELEC!C24</f>
        <v>44490</v>
      </c>
      <c r="B26" s="250">
        <v>2.2000000000000002</v>
      </c>
      <c r="C26" s="622">
        <v>7.9</v>
      </c>
      <c r="D26" s="620">
        <v>0</v>
      </c>
      <c r="E26" s="622">
        <v>0</v>
      </c>
      <c r="F26" s="622">
        <v>0</v>
      </c>
      <c r="G26" s="621">
        <v>0</v>
      </c>
      <c r="H26" s="555">
        <v>6902</v>
      </c>
      <c r="I26" s="492">
        <f t="shared" si="4"/>
        <v>3</v>
      </c>
      <c r="J26" s="474">
        <v>0.29166666666666702</v>
      </c>
      <c r="L26" s="99">
        <f t="shared" si="0"/>
        <v>44490</v>
      </c>
      <c r="M26" s="3">
        <f t="shared" si="2"/>
        <v>6541</v>
      </c>
      <c r="N26" s="492"/>
      <c r="O26" s="492">
        <f t="shared" si="3"/>
        <v>6541</v>
      </c>
    </row>
    <row r="27" spans="1:15" ht="15.75" thickBot="1">
      <c r="A27" s="490">
        <f>ELEC!C25</f>
        <v>44491</v>
      </c>
      <c r="B27" s="250"/>
      <c r="C27" s="625"/>
      <c r="D27" s="623"/>
      <c r="E27" s="625"/>
      <c r="F27" s="625"/>
      <c r="G27" s="624"/>
      <c r="H27" s="555">
        <f t="shared" si="1"/>
        <v>6902</v>
      </c>
      <c r="I27" s="492">
        <f t="shared" si="4"/>
        <v>0</v>
      </c>
      <c r="J27" s="474">
        <v>0.29166666666666702</v>
      </c>
      <c r="L27" s="99">
        <f t="shared" si="0"/>
        <v>44491</v>
      </c>
      <c r="M27" s="3">
        <f t="shared" si="2"/>
        <v>6541</v>
      </c>
      <c r="N27" s="492"/>
      <c r="O27" s="492">
        <f t="shared" si="3"/>
        <v>6541</v>
      </c>
    </row>
    <row r="28" spans="1:15" ht="15.75" thickBot="1">
      <c r="A28" s="490">
        <f>ELEC!C26</f>
        <v>44492</v>
      </c>
      <c r="B28" s="250"/>
      <c r="C28" s="625"/>
      <c r="D28" s="623"/>
      <c r="E28" s="625"/>
      <c r="F28" s="625"/>
      <c r="G28" s="624"/>
      <c r="H28" s="555">
        <f t="shared" si="1"/>
        <v>6902</v>
      </c>
      <c r="I28" s="492">
        <f t="shared" si="4"/>
        <v>0</v>
      </c>
      <c r="J28" s="475">
        <v>0.29166666666666702</v>
      </c>
      <c r="L28" s="99">
        <f t="shared" si="0"/>
        <v>44492</v>
      </c>
      <c r="M28" s="3">
        <f t="shared" si="2"/>
        <v>6541</v>
      </c>
      <c r="N28" s="492"/>
      <c r="O28" s="492">
        <f t="shared" si="3"/>
        <v>6541</v>
      </c>
    </row>
    <row r="29" spans="1:15" ht="15.75" thickBot="1">
      <c r="A29" s="490">
        <f>ELEC!C27</f>
        <v>44493</v>
      </c>
      <c r="B29" s="250">
        <v>1.3</v>
      </c>
      <c r="C29" s="602">
        <v>8.6</v>
      </c>
      <c r="D29" s="600">
        <v>0</v>
      </c>
      <c r="E29" s="602">
        <v>0</v>
      </c>
      <c r="F29" s="602">
        <v>0</v>
      </c>
      <c r="G29" s="599">
        <v>0</v>
      </c>
      <c r="H29" s="555">
        <v>6903</v>
      </c>
      <c r="I29" s="492">
        <f t="shared" si="4"/>
        <v>1</v>
      </c>
      <c r="J29" s="474">
        <v>0.29166666666666702</v>
      </c>
      <c r="L29" s="99">
        <f t="shared" si="0"/>
        <v>44493</v>
      </c>
      <c r="M29" s="3">
        <f t="shared" si="2"/>
        <v>6541</v>
      </c>
      <c r="N29" s="492"/>
      <c r="O29" s="492">
        <f t="shared" si="3"/>
        <v>6541</v>
      </c>
    </row>
    <row r="30" spans="1:15" ht="15.75" thickBot="1">
      <c r="A30" s="490">
        <f>ELEC!C28</f>
        <v>44494</v>
      </c>
      <c r="B30" s="250">
        <v>1.3</v>
      </c>
      <c r="C30" s="602">
        <v>8.6</v>
      </c>
      <c r="D30" s="600">
        <v>0</v>
      </c>
      <c r="E30" s="602">
        <v>0</v>
      </c>
      <c r="F30" s="602">
        <v>0</v>
      </c>
      <c r="G30" s="170">
        <v>0</v>
      </c>
      <c r="H30" s="555">
        <f t="shared" si="1"/>
        <v>6903</v>
      </c>
      <c r="I30" s="492">
        <f t="shared" si="4"/>
        <v>0</v>
      </c>
      <c r="J30" s="474">
        <v>0.29166666666666702</v>
      </c>
      <c r="L30" s="99">
        <f t="shared" si="0"/>
        <v>44494</v>
      </c>
      <c r="M30" s="3">
        <f t="shared" si="2"/>
        <v>6541</v>
      </c>
      <c r="N30" s="492"/>
      <c r="O30" s="492">
        <f t="shared" si="3"/>
        <v>6541</v>
      </c>
    </row>
    <row r="31" spans="1:15" ht="15.75" thickBot="1">
      <c r="A31" s="490">
        <f>ELEC!C29</f>
        <v>44495</v>
      </c>
      <c r="B31" s="250">
        <v>1.2</v>
      </c>
      <c r="C31" s="170">
        <v>8.6</v>
      </c>
      <c r="D31" s="170">
        <v>0</v>
      </c>
      <c r="E31" s="170">
        <v>0</v>
      </c>
      <c r="F31" s="170">
        <v>0</v>
      </c>
      <c r="G31" s="170">
        <v>0</v>
      </c>
      <c r="H31" s="555">
        <v>6905</v>
      </c>
      <c r="I31" s="492">
        <f t="shared" si="4"/>
        <v>2</v>
      </c>
      <c r="J31" s="474">
        <v>0.29166666666666702</v>
      </c>
      <c r="L31" s="99">
        <f t="shared" si="0"/>
        <v>44495</v>
      </c>
      <c r="M31" s="3">
        <f t="shared" si="2"/>
        <v>6541</v>
      </c>
      <c r="N31" s="492"/>
      <c r="O31" s="492">
        <f t="shared" si="3"/>
        <v>6541</v>
      </c>
    </row>
    <row r="32" spans="1:15" ht="15.75" thickBot="1">
      <c r="A32" s="490">
        <f>ELEC!C30</f>
        <v>44496</v>
      </c>
      <c r="B32" s="250"/>
      <c r="C32" s="170"/>
      <c r="D32" s="170"/>
      <c r="E32" s="170"/>
      <c r="F32" s="170"/>
      <c r="G32" s="492"/>
      <c r="H32" s="555">
        <f t="shared" si="1"/>
        <v>6905</v>
      </c>
      <c r="I32" s="492">
        <f t="shared" si="4"/>
        <v>0</v>
      </c>
      <c r="J32" s="474">
        <v>0.29166666666666702</v>
      </c>
      <c r="L32" s="99">
        <f t="shared" si="0"/>
        <v>44496</v>
      </c>
      <c r="M32" s="3">
        <f t="shared" si="2"/>
        <v>6541</v>
      </c>
      <c r="N32" s="492"/>
      <c r="O32" s="492">
        <v>6879</v>
      </c>
    </row>
    <row r="33" spans="1:15" ht="15.75" thickBot="1">
      <c r="A33" s="490">
        <f>ELEC!C31</f>
        <v>44497</v>
      </c>
      <c r="B33" s="250"/>
      <c r="C33" s="170"/>
      <c r="D33" s="170"/>
      <c r="E33" s="170"/>
      <c r="F33" s="170"/>
      <c r="G33" s="492"/>
      <c r="H33" s="555">
        <f t="shared" si="1"/>
        <v>6905</v>
      </c>
      <c r="I33" s="492">
        <f t="shared" si="4"/>
        <v>0</v>
      </c>
      <c r="J33" s="474">
        <v>0.29166666666666702</v>
      </c>
      <c r="L33" s="99">
        <f t="shared" si="0"/>
        <v>44497</v>
      </c>
      <c r="M33" s="3">
        <f t="shared" si="2"/>
        <v>6541</v>
      </c>
      <c r="N33" s="492"/>
      <c r="O33" s="492">
        <f t="shared" si="3"/>
        <v>6541</v>
      </c>
    </row>
    <row r="34" spans="1:15" ht="15.75" thickBot="1">
      <c r="A34" s="490">
        <f>ELEC!C32</f>
        <v>44498</v>
      </c>
      <c r="B34" s="250"/>
      <c r="C34" s="170"/>
      <c r="D34" s="170"/>
      <c r="E34" s="170"/>
      <c r="F34" s="170"/>
      <c r="G34" s="492"/>
      <c r="H34" s="555">
        <f t="shared" si="1"/>
        <v>6905</v>
      </c>
      <c r="I34" s="492">
        <f>H34-H33</f>
        <v>0</v>
      </c>
      <c r="J34" s="474">
        <v>0.33333333333333398</v>
      </c>
      <c r="L34" s="99">
        <f>A34</f>
        <v>44498</v>
      </c>
      <c r="M34" s="3">
        <f t="shared" si="2"/>
        <v>6541</v>
      </c>
      <c r="N34" s="492"/>
      <c r="O34" s="492">
        <f>M34+N34</f>
        <v>6541</v>
      </c>
    </row>
    <row r="35" spans="1:15" ht="15.75" thickBot="1">
      <c r="A35" s="490">
        <f>ELEC!C33</f>
        <v>44499</v>
      </c>
      <c r="B35" s="250"/>
      <c r="C35" s="170"/>
      <c r="D35" s="170"/>
      <c r="E35" s="170"/>
      <c r="F35" s="170"/>
      <c r="G35" s="492"/>
      <c r="H35" s="555">
        <f t="shared" si="1"/>
        <v>6905</v>
      </c>
      <c r="I35" s="492">
        <f>H35-H34</f>
        <v>0</v>
      </c>
      <c r="J35" s="474">
        <v>0.375000000000001</v>
      </c>
      <c r="L35" s="99">
        <f>A35</f>
        <v>44499</v>
      </c>
      <c r="M35" s="3">
        <f t="shared" si="2"/>
        <v>6541</v>
      </c>
      <c r="N35" s="492"/>
      <c r="O35" s="492">
        <f>M35+N35</f>
        <v>6541</v>
      </c>
    </row>
    <row r="36" spans="1:15" ht="15.75" thickBot="1">
      <c r="A36" s="490">
        <f>ELEC!C34</f>
        <v>44500</v>
      </c>
      <c r="B36" s="604"/>
      <c r="C36" s="612"/>
      <c r="D36" s="612"/>
      <c r="E36" s="612"/>
      <c r="F36" s="612"/>
      <c r="G36" s="613"/>
      <c r="H36" s="555">
        <f t="shared" si="1"/>
        <v>6905</v>
      </c>
      <c r="I36" s="492">
        <f>H36-H35</f>
        <v>0</v>
      </c>
      <c r="J36" s="474">
        <v>0.41666666666666802</v>
      </c>
      <c r="L36" s="99">
        <f>A36</f>
        <v>44500</v>
      </c>
      <c r="M36" s="3">
        <f t="shared" si="2"/>
        <v>6541</v>
      </c>
      <c r="N36" s="492"/>
      <c r="O36" s="49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K78" sqref="K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9" t="s">
        <v>161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</row>
    <row r="2" spans="1:28" ht="19.5">
      <c r="A2" s="740"/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</row>
    <row r="3" spans="1:28" ht="19.5">
      <c r="A3" s="740" t="s">
        <v>162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W3" s="740"/>
      <c r="X3" s="74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0" t="s">
        <v>406</v>
      </c>
      <c r="B5" s="740"/>
      <c r="C5" s="740"/>
      <c r="D5" s="740"/>
      <c r="E5" s="740"/>
      <c r="F5" s="740"/>
      <c r="G5" s="740"/>
      <c r="H5" s="740"/>
      <c r="I5" s="740"/>
      <c r="J5" s="740"/>
      <c r="K5" s="740"/>
      <c r="L5" s="740"/>
      <c r="M5" s="740"/>
      <c r="N5" s="740"/>
      <c r="O5" s="740"/>
      <c r="P5" s="740"/>
      <c r="Q5" s="740"/>
      <c r="R5" s="740"/>
      <c r="S5" s="740"/>
      <c r="T5" s="740"/>
      <c r="U5" s="740"/>
      <c r="V5" s="740"/>
      <c r="W5" s="740"/>
      <c r="X5" s="740"/>
    </row>
    <row r="6" spans="1:28" ht="15.75" thickBot="1">
      <c r="A6" s="741"/>
      <c r="B6" s="741"/>
      <c r="C6" s="741"/>
      <c r="D6" s="741"/>
      <c r="E6" s="741"/>
      <c r="F6" s="741"/>
      <c r="G6" s="741"/>
      <c r="H6" s="741"/>
      <c r="I6" s="741"/>
      <c r="J6" s="741"/>
      <c r="K6" s="741"/>
      <c r="L6" s="741"/>
      <c r="M6" s="741"/>
      <c r="N6" s="741"/>
      <c r="O6" s="741"/>
      <c r="P6" s="741"/>
      <c r="Q6" s="741"/>
      <c r="R6" s="741"/>
      <c r="S6" s="741"/>
      <c r="T6" s="741"/>
      <c r="U6" s="741"/>
      <c r="V6" s="741"/>
      <c r="W6" s="741"/>
      <c r="X6" s="741"/>
    </row>
    <row r="7" spans="1:28" ht="15.75" thickBot="1">
      <c r="A7" s="729" t="s">
        <v>163</v>
      </c>
      <c r="B7" s="730"/>
      <c r="C7" s="731" t="s">
        <v>164</v>
      </c>
      <c r="D7" s="732"/>
      <c r="E7" s="732"/>
      <c r="F7" s="732"/>
      <c r="G7" s="732"/>
      <c r="H7" s="732"/>
      <c r="I7" s="732"/>
      <c r="J7" s="732"/>
      <c r="K7" s="73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'[12]Degree Days 2020'!B10</f>
        <v>20</v>
      </c>
      <c r="C10" s="267">
        <f>'[12]Degree Days 2020'!C10</f>
        <v>15</v>
      </c>
      <c r="D10" s="267">
        <f>'[12]Degree Days 2020'!D10</f>
        <v>-0.80000000000000071</v>
      </c>
      <c r="E10" s="267">
        <f>'[12]Degree Days 2020'!E10</f>
        <v>1</v>
      </c>
      <c r="F10" s="267">
        <f>'[12]Degree Days 2020'!F10</f>
        <v>21</v>
      </c>
      <c r="G10" s="267">
        <f>'[12]Degree Days 2020'!G10</f>
        <v>16</v>
      </c>
      <c r="H10" s="267">
        <f>'[12]Degree Days 2020'!H10</f>
        <v>0.19999999999999929</v>
      </c>
      <c r="I10" s="267">
        <f>'[12]Degree Days 2020'!I10</f>
        <v>1</v>
      </c>
      <c r="J10" s="267">
        <f>'[12]Degree Days 2020'!J10</f>
        <v>18</v>
      </c>
      <c r="K10" s="267">
        <f>'[12]Degree Days 2020'!K10</f>
        <v>14</v>
      </c>
      <c r="L10" s="267">
        <f>'[12]Degree Days 2020'!L10</f>
        <v>-2.3000000000000007</v>
      </c>
      <c r="M10" s="267">
        <f>'[13]Degree Days 2020'!M10</f>
        <v>1</v>
      </c>
      <c r="N10" s="267">
        <f>'[14]General information '!B6</f>
        <v>17</v>
      </c>
      <c r="O10" s="267">
        <f>'[14]General information '!C6</f>
        <v>12</v>
      </c>
      <c r="P10" s="267">
        <f>(N10+O10)/2-18.3</f>
        <v>-3.8000000000000007</v>
      </c>
      <c r="Q10" s="513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3">
        <v>1</v>
      </c>
      <c r="V10" s="267">
        <f>'[9]Degree Days 2020'!V10</f>
        <v>27</v>
      </c>
      <c r="W10" s="267">
        <f>'[9]Degree Days 2020'!W10</f>
        <v>21</v>
      </c>
      <c r="X10" s="267">
        <f>(V10+W10)/2-18.3</f>
        <v>5.6999999999999993</v>
      </c>
      <c r="Z10" t="s">
        <v>165</v>
      </c>
      <c r="AA10" s="267">
        <f>'[12]Degree Days 2020'!AA10</f>
        <v>-92.59999999999998</v>
      </c>
      <c r="AB10" s="267">
        <f>'[12]Degree Days 2020'!AB10</f>
        <v>2.7999999999999936</v>
      </c>
    </row>
    <row r="11" spans="1:28">
      <c r="A11" s="117">
        <v>2</v>
      </c>
      <c r="B11" s="267">
        <f>'[12]Degree Days 2020'!B11</f>
        <v>21</v>
      </c>
      <c r="C11" s="267">
        <f>'[12]Degree Days 2020'!C11</f>
        <v>15</v>
      </c>
      <c r="D11" s="267">
        <f>'[12]Degree Days 2020'!D11</f>
        <v>-0.30000000000000071</v>
      </c>
      <c r="E11" s="267">
        <f>'[12]Degree Days 2020'!E11</f>
        <v>2</v>
      </c>
      <c r="F11" s="267">
        <f>'[12]Degree Days 2020'!F11</f>
        <v>23</v>
      </c>
      <c r="G11" s="267">
        <f>'[12]Degree Days 2020'!G11</f>
        <v>17</v>
      </c>
      <c r="H11" s="267">
        <f>'[12]Degree Days 2020'!H11</f>
        <v>1.6999999999999993</v>
      </c>
      <c r="I11" s="267">
        <f>'[12]Degree Days 2020'!I11</f>
        <v>2</v>
      </c>
      <c r="J11" s="267">
        <f>'[12]Degree Days 2020'!J11</f>
        <v>18</v>
      </c>
      <c r="K11" s="267">
        <f>'[12]Degree Days 2020'!K11</f>
        <v>13</v>
      </c>
      <c r="L11" s="267">
        <f>'[12]Degree Days 2020'!L11</f>
        <v>-2.8000000000000007</v>
      </c>
      <c r="M11" s="267">
        <f>'[13]Degree Days 2020'!M11</f>
        <v>2</v>
      </c>
      <c r="N11" s="267">
        <f>'[14]General information '!B7</f>
        <v>15</v>
      </c>
      <c r="O11" s="267">
        <f>'[14]General information '!C7</f>
        <v>12</v>
      </c>
      <c r="P11" s="267">
        <f t="shared" ref="P11:P39" si="0">(N11+O11)/2-18.3</f>
        <v>-4.8000000000000007</v>
      </c>
      <c r="Q11" s="513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3">
        <v>2</v>
      </c>
      <c r="V11" s="267">
        <f>'[9]Degree Days 2020'!V11</f>
        <v>26</v>
      </c>
      <c r="W11" s="267">
        <f>'[9]Degree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'[12]Degree Days 2020'!AA11</f>
        <v>-75.899999999999977</v>
      </c>
      <c r="AB11" s="267">
        <f>'[12]Degree Days 2020'!AB11</f>
        <v>6.4999999999999964</v>
      </c>
    </row>
    <row r="12" spans="1:28">
      <c r="A12" s="117">
        <v>3</v>
      </c>
      <c r="B12" s="267">
        <f>'[12]Degree Days 2020'!B12</f>
        <v>21</v>
      </c>
      <c r="C12" s="267">
        <f>'[12]Degree Days 2020'!C12</f>
        <v>16</v>
      </c>
      <c r="D12" s="267">
        <f>'[12]Degree Days 2020'!D12</f>
        <v>0.19999999999999929</v>
      </c>
      <c r="E12" s="267">
        <f>'[12]Degree Days 2020'!E12</f>
        <v>3</v>
      </c>
      <c r="F12" s="267">
        <f>'[12]Degree Days 2020'!F12</f>
        <v>20</v>
      </c>
      <c r="G12" s="267">
        <f>'[12]Degree Days 2020'!G12</f>
        <v>15</v>
      </c>
      <c r="H12" s="267">
        <f>'[12]Degree Days 2020'!H12</f>
        <v>-0.80000000000000071</v>
      </c>
      <c r="I12" s="267">
        <f>'[12]Degree Days 2020'!I12</f>
        <v>3</v>
      </c>
      <c r="J12" s="267">
        <f>'[12]Degree Days 2020'!J12</f>
        <v>18</v>
      </c>
      <c r="K12" s="267">
        <f>'[12]Degree Days 2020'!K12</f>
        <v>13</v>
      </c>
      <c r="L12" s="267">
        <f>'[12]Degree Days 2020'!L12</f>
        <v>-2.8000000000000007</v>
      </c>
      <c r="M12" s="267">
        <f>'[13]Degree Days 2020'!M12</f>
        <v>3</v>
      </c>
      <c r="N12" s="267">
        <f>'[14]General information '!B8</f>
        <v>19</v>
      </c>
      <c r="O12" s="267">
        <f>'[14]General information '!C8</f>
        <v>15</v>
      </c>
      <c r="P12" s="267">
        <f t="shared" si="0"/>
        <v>-1.3000000000000007</v>
      </c>
      <c r="Q12" s="513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3">
        <v>3</v>
      </c>
      <c r="V12" s="267">
        <f>'[9]Degree Days 2020'!V12</f>
        <v>26</v>
      </c>
      <c r="W12" s="267">
        <f>'[9]Degree Days 2020'!W12</f>
        <v>23</v>
      </c>
      <c r="X12" s="267">
        <f t="shared" si="2"/>
        <v>6.1999999999999993</v>
      </c>
      <c r="Z12" t="s">
        <v>170</v>
      </c>
      <c r="AA12" s="267">
        <f>'[12]Degree Days 2020'!AA12</f>
        <v>-56.899999999999991</v>
      </c>
      <c r="AB12" s="267">
        <f>'[12]Degree Days 2020'!AB12</f>
        <v>11.499999999999996</v>
      </c>
    </row>
    <row r="13" spans="1:28">
      <c r="A13" s="117">
        <v>4</v>
      </c>
      <c r="B13" s="267">
        <f>'[12]Degree Days 2020'!B13</f>
        <v>22</v>
      </c>
      <c r="C13" s="267">
        <f>'[12]Degree Days 2020'!C13</f>
        <v>15</v>
      </c>
      <c r="D13" s="267">
        <f>'[12]Degree Days 2020'!D13</f>
        <v>0.19999999999999929</v>
      </c>
      <c r="E13" s="267">
        <f>'[12]Degree Days 2020'!E13</f>
        <v>4</v>
      </c>
      <c r="F13" s="267">
        <f>'[12]Degree Days 2020'!F13</f>
        <v>20</v>
      </c>
      <c r="G13" s="267">
        <f>'[12]Degree Days 2020'!G13</f>
        <v>15</v>
      </c>
      <c r="H13" s="267">
        <f>'[12]Degree Days 2020'!H13</f>
        <v>-0.80000000000000071</v>
      </c>
      <c r="I13" s="267">
        <f>'[12]Degree Days 2020'!I13</f>
        <v>4</v>
      </c>
      <c r="J13" s="267">
        <f>'[12]Degree Days 2020'!J13</f>
        <v>18</v>
      </c>
      <c r="K13" s="267">
        <f>'[12]Degree Days 2020'!K13</f>
        <v>13</v>
      </c>
      <c r="L13" s="267">
        <f>'[12]Degree Days 2020'!L13</f>
        <v>-2.8000000000000007</v>
      </c>
      <c r="M13" s="267">
        <f>'[13]Degree Days 2020'!M13</f>
        <v>4</v>
      </c>
      <c r="N13" s="267">
        <f>'[14]General information '!B9</f>
        <v>18</v>
      </c>
      <c r="O13" s="267">
        <f>'[14]General information '!C9</f>
        <v>15</v>
      </c>
      <c r="P13" s="267">
        <f t="shared" si="0"/>
        <v>-1.8000000000000007</v>
      </c>
      <c r="Q13" s="513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3">
        <v>4</v>
      </c>
      <c r="V13" s="267">
        <f>'[9]Degree Days 2020'!V13</f>
        <v>27</v>
      </c>
      <c r="W13" s="267">
        <f>'[9]Degree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'[12]Degree Days 2020'!B14</f>
        <v>22</v>
      </c>
      <c r="C14" s="267">
        <f>'[12]Degree Days 2020'!C14</f>
        <v>16</v>
      </c>
      <c r="D14" s="267">
        <f>'[12]Degree Days 2020'!D14</f>
        <v>0.69999999999999929</v>
      </c>
      <c r="E14" s="267">
        <f>'[12]Degree Days 2020'!E14</f>
        <v>5</v>
      </c>
      <c r="F14" s="267">
        <f>'[12]Degree Days 2020'!F14</f>
        <v>20</v>
      </c>
      <c r="G14" s="267">
        <f>'[12]Degree Days 2020'!G14</f>
        <v>15</v>
      </c>
      <c r="H14" s="267">
        <f>'[12]Degree Days 2020'!H14</f>
        <v>-0.80000000000000071</v>
      </c>
      <c r="I14" s="267">
        <f>'[12]Degree Days 2020'!I14</f>
        <v>5</v>
      </c>
      <c r="J14" s="267">
        <f>'[12]Degree Days 2020'!J14</f>
        <v>19</v>
      </c>
      <c r="K14" s="267">
        <f>'[12]Degree Days 2020'!K14</f>
        <v>12</v>
      </c>
      <c r="L14" s="267">
        <f>'[12]Degree Days 2020'!L14</f>
        <v>-2.8000000000000007</v>
      </c>
      <c r="M14" s="267">
        <f>'[13]Degree Days 2020'!M14</f>
        <v>5</v>
      </c>
      <c r="N14" s="267">
        <f>'[14]General information '!B10</f>
        <v>19</v>
      </c>
      <c r="O14" s="267">
        <f>'[14]General information '!C10</f>
        <v>15</v>
      </c>
      <c r="P14" s="267">
        <f t="shared" si="0"/>
        <v>-1.3000000000000007</v>
      </c>
      <c r="Q14" s="513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3">
        <v>5</v>
      </c>
      <c r="V14" s="267">
        <f>'[9]Degree Days 2020'!V14</f>
        <v>26</v>
      </c>
      <c r="W14" s="267">
        <f>'[9]Degree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'[12]Degree Days 2020'!B15</f>
        <v>22</v>
      </c>
      <c r="C15" s="267">
        <f>'[12]Degree Days 2020'!C15</f>
        <v>15</v>
      </c>
      <c r="D15" s="267">
        <f>'[12]Degree Days 2020'!D15</f>
        <v>0.19999999999999929</v>
      </c>
      <c r="E15" s="267">
        <f>'[12]Degree Days 2020'!E15</f>
        <v>6</v>
      </c>
      <c r="F15" s="267">
        <f>'[12]Degree Days 2020'!F15</f>
        <v>19</v>
      </c>
      <c r="G15" s="267">
        <f>'[12]Degree Days 2020'!G15</f>
        <v>15</v>
      </c>
      <c r="H15" s="267">
        <f>'[12]Degree Days 2020'!H15</f>
        <v>-1.3000000000000007</v>
      </c>
      <c r="I15" s="267">
        <f>'[12]Degree Days 2020'!I15</f>
        <v>6</v>
      </c>
      <c r="J15" s="267">
        <f>'[12]Degree Days 2020'!J15</f>
        <v>18</v>
      </c>
      <c r="K15" s="267">
        <f>'[12]Degree Days 2020'!K15</f>
        <v>14</v>
      </c>
      <c r="L15" s="267">
        <f>'[12]Degree Days 2020'!L15</f>
        <v>-2.3000000000000007</v>
      </c>
      <c r="M15" s="267">
        <f>'[13]Degree Days 2020'!M15</f>
        <v>6</v>
      </c>
      <c r="N15" s="267">
        <f>'[14]General information '!B11</f>
        <v>30</v>
      </c>
      <c r="O15" s="267">
        <f>'[14]General information '!C11</f>
        <v>15</v>
      </c>
      <c r="P15" s="267">
        <f t="shared" si="0"/>
        <v>4.1999999999999993</v>
      </c>
      <c r="Q15" s="513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3">
        <v>6</v>
      </c>
      <c r="V15" s="267">
        <f>'[9]Degree Days 2020'!V15</f>
        <v>26</v>
      </c>
      <c r="W15" s="267">
        <f>'[9]Degree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'[12]Degree Days 2020'!B16</f>
        <v>20</v>
      </c>
      <c r="C16" s="267">
        <f>'[12]Degree Days 2020'!C16</f>
        <v>14</v>
      </c>
      <c r="D16" s="267">
        <f>'[12]Degree Days 2020'!D16</f>
        <v>-1.3000000000000007</v>
      </c>
      <c r="E16" s="267">
        <f>'[12]Degree Days 2020'!E16</f>
        <v>7</v>
      </c>
      <c r="F16" s="267">
        <f>'[12]Degree Days 2020'!F16</f>
        <v>21</v>
      </c>
      <c r="G16" s="267">
        <f>'[12]Degree Days 2020'!G16</f>
        <v>17</v>
      </c>
      <c r="H16" s="267">
        <f>'[12]Degree Days 2020'!H16</f>
        <v>0.69999999999999929</v>
      </c>
      <c r="I16" s="267">
        <f>'[12]Degree Days 2020'!I16</f>
        <v>7</v>
      </c>
      <c r="J16" s="267">
        <f>'[12]Degree Days 2020'!J16</f>
        <v>19</v>
      </c>
      <c r="K16" s="267">
        <f>'[12]Degree Days 2020'!K16</f>
        <v>14</v>
      </c>
      <c r="L16" s="267">
        <f>'[12]Degree Days 2020'!L16</f>
        <v>-1.8000000000000007</v>
      </c>
      <c r="M16" s="267">
        <f>'[13]Degree Days 2020'!M16</f>
        <v>7</v>
      </c>
      <c r="N16" s="267">
        <f>'[14]General information '!B12</f>
        <v>24</v>
      </c>
      <c r="O16" s="267">
        <f>'[14]General information '!C12</f>
        <v>19</v>
      </c>
      <c r="P16" s="267">
        <f t="shared" si="0"/>
        <v>3.1999999999999993</v>
      </c>
      <c r="Q16" s="513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3">
        <v>7</v>
      </c>
      <c r="V16" s="267">
        <f>'[9]Degree Days 2020'!V16</f>
        <v>27</v>
      </c>
      <c r="W16" s="267">
        <f>'[9]Degree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'[12]Degree Days 2020'!B17</f>
        <v>21</v>
      </c>
      <c r="C17" s="267">
        <f>'[12]Degree Days 2020'!C17</f>
        <v>14</v>
      </c>
      <c r="D17" s="267">
        <f>'[12]Degree Days 2020'!D17</f>
        <v>-0.80000000000000071</v>
      </c>
      <c r="E17" s="267">
        <f>'[12]Degree Days 2020'!E17</f>
        <v>8</v>
      </c>
      <c r="F17" s="267">
        <f>'[12]Degree Days 2020'!F17</f>
        <v>23</v>
      </c>
      <c r="G17" s="267">
        <f>'[12]Degree Days 2020'!G17</f>
        <v>19</v>
      </c>
      <c r="H17" s="267">
        <f>'[12]Degree Days 2020'!H17</f>
        <v>2.6999999999999993</v>
      </c>
      <c r="I17" s="267">
        <f>'[12]Degree Days 2020'!I17</f>
        <v>8</v>
      </c>
      <c r="J17" s="267">
        <f>'[12]Degree Days 2020'!J17</f>
        <v>20</v>
      </c>
      <c r="K17" s="267">
        <f>'[12]Degree Days 2020'!K17</f>
        <v>16</v>
      </c>
      <c r="L17" s="267">
        <f>'[12]Degree Days 2020'!L17</f>
        <v>-0.30000000000000071</v>
      </c>
      <c r="M17" s="267">
        <f>'[13]Degree Days 2020'!M17</f>
        <v>8</v>
      </c>
      <c r="N17" s="267">
        <f>'[14]General information '!B13</f>
        <v>20</v>
      </c>
      <c r="O17" s="267">
        <f>'[14]General information '!C13</f>
        <v>17</v>
      </c>
      <c r="P17" s="267">
        <f t="shared" si="0"/>
        <v>0.19999999999999929</v>
      </c>
      <c r="Q17" s="513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3">
        <v>8</v>
      </c>
      <c r="V17" s="267">
        <f>'[9]Degree Days 2020'!V17</f>
        <v>27</v>
      </c>
      <c r="W17" s="267">
        <f>'[9]Degree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'[12]Degree Days 2020'!B18</f>
        <v>22</v>
      </c>
      <c r="C18" s="267">
        <f>'[12]Degree Days 2020'!C18</f>
        <v>15</v>
      </c>
      <c r="D18" s="267">
        <f>'[12]Degree Days 2020'!D18</f>
        <v>0.19999999999999929</v>
      </c>
      <c r="E18" s="267">
        <f>'[12]Degree Days 2020'!E18</f>
        <v>9</v>
      </c>
      <c r="F18" s="267">
        <f>'[12]Degree Days 2020'!F18</f>
        <v>21</v>
      </c>
      <c r="G18" s="267">
        <f>'[12]Degree Days 2020'!G18</f>
        <v>18</v>
      </c>
      <c r="H18" s="267">
        <f>'[12]Degree Days 2020'!H18</f>
        <v>1.1999999999999993</v>
      </c>
      <c r="I18" s="267">
        <f>'[12]Degree Days 2020'!I18</f>
        <v>9</v>
      </c>
      <c r="J18" s="267">
        <f>'[12]Degree Days 2020'!J18</f>
        <v>23</v>
      </c>
      <c r="K18" s="267">
        <f>'[12]Degree Days 2020'!K18</f>
        <v>17</v>
      </c>
      <c r="L18" s="267">
        <f>'[12]Degree Days 2020'!L18</f>
        <v>1.6999999999999993</v>
      </c>
      <c r="M18" s="267">
        <f>'[13]Degree Days 2020'!M18</f>
        <v>9</v>
      </c>
      <c r="N18" s="267">
        <f>'[14]General information '!B14</f>
        <v>20</v>
      </c>
      <c r="O18" s="267">
        <f>'[14]General information '!C14</f>
        <v>16</v>
      </c>
      <c r="P18" s="267">
        <f t="shared" si="0"/>
        <v>-0.30000000000000071</v>
      </c>
      <c r="Q18" s="513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3">
        <v>9</v>
      </c>
      <c r="V18" s="267">
        <f>'[9]Degree Days 2020'!V18</f>
        <v>27</v>
      </c>
      <c r="W18" s="267">
        <f>'[9]Degree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'[12]Degree Days 2020'!B19</f>
        <v>22</v>
      </c>
      <c r="C19" s="267">
        <f>'[12]Degree Days 2020'!C19</f>
        <v>15</v>
      </c>
      <c r="D19" s="267">
        <f>'[12]Degree Days 2020'!D19</f>
        <v>0.19999999999999929</v>
      </c>
      <c r="E19" s="267">
        <f>'[12]Degree Days 2020'!E19</f>
        <v>10</v>
      </c>
      <c r="F19" s="267">
        <f>'[12]Degree Days 2020'!F19</f>
        <v>19</v>
      </c>
      <c r="G19" s="267">
        <f>'[12]Degree Days 2020'!G19</f>
        <v>14</v>
      </c>
      <c r="H19" s="267">
        <f>'[12]Degree Days 2020'!H19</f>
        <v>-1.8000000000000007</v>
      </c>
      <c r="I19" s="267">
        <f>'[12]Degree Days 2020'!I19</f>
        <v>10</v>
      </c>
      <c r="J19" s="267">
        <f>'[12]Degree Days 2020'!J19</f>
        <v>19</v>
      </c>
      <c r="K19" s="267">
        <f>'[12]Degree Days 2020'!K19</f>
        <v>13</v>
      </c>
      <c r="L19" s="267">
        <f>'[12]Degree Days 2020'!L19</f>
        <v>-2.3000000000000007</v>
      </c>
      <c r="M19" s="267">
        <f>'[13]Degree Days 2020'!M19</f>
        <v>10</v>
      </c>
      <c r="N19" s="267">
        <f>'[14]General information '!B15</f>
        <v>16</v>
      </c>
      <c r="O19" s="267">
        <f>'[14]General information '!C15</f>
        <v>14</v>
      </c>
      <c r="P19" s="267">
        <f t="shared" si="0"/>
        <v>-3.3000000000000007</v>
      </c>
      <c r="Q19" s="513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3">
        <v>10</v>
      </c>
      <c r="V19" s="267">
        <f>'[9]Degree Days 2020'!V19</f>
        <v>27</v>
      </c>
      <c r="W19" s="267">
        <f>'[9]Degree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'[12]Degree Days 2020'!B20</f>
        <v>22</v>
      </c>
      <c r="C20" s="267">
        <f>'[12]Degree Days 2020'!C20</f>
        <v>16</v>
      </c>
      <c r="D20" s="267">
        <f>'[12]Degree Days 2020'!D20</f>
        <v>0.69999999999999929</v>
      </c>
      <c r="E20" s="267">
        <f>'[12]Degree Days 2020'!E20</f>
        <v>11</v>
      </c>
      <c r="F20" s="267">
        <f>'[12]Degree Days 2020'!F20</f>
        <v>18</v>
      </c>
      <c r="G20" s="267">
        <f>'[12]Degree Days 2020'!G20</f>
        <v>13</v>
      </c>
      <c r="H20" s="267">
        <f>'[12]Degree Days 2020'!H20</f>
        <v>-2.8000000000000007</v>
      </c>
      <c r="I20" s="267">
        <f>'[12]Degree Days 2020'!I20</f>
        <v>11</v>
      </c>
      <c r="J20" s="267">
        <f>'[12]Degree Days 2020'!J20</f>
        <v>17</v>
      </c>
      <c r="K20" s="267">
        <f>'[12]Degree Days 2020'!K20</f>
        <v>12</v>
      </c>
      <c r="L20" s="267">
        <f>'[12]Degree Days 2020'!L20</f>
        <v>-3.8000000000000007</v>
      </c>
      <c r="M20" s="267">
        <f>'[13]Degree Days 2020'!M20</f>
        <v>11</v>
      </c>
      <c r="N20" s="267">
        <f>'[14]General information '!B16</f>
        <v>17</v>
      </c>
      <c r="O20" s="267">
        <f>'[14]General information '!C16</f>
        <v>12</v>
      </c>
      <c r="P20" s="267">
        <f t="shared" si="0"/>
        <v>-3.8000000000000007</v>
      </c>
      <c r="Q20" s="513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3">
        <v>11</v>
      </c>
      <c r="V20" s="267">
        <f>'[9]Degree Days 2020'!V20</f>
        <v>27</v>
      </c>
      <c r="W20" s="267">
        <f>'[9]Degree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'[12]Degree Days 2020'!B21</f>
        <v>24</v>
      </c>
      <c r="C21" s="267">
        <f>'[12]Degree Days 2020'!C21</f>
        <v>13</v>
      </c>
      <c r="D21" s="267">
        <f>'[12]Degree Days 2020'!D21</f>
        <v>0.19999999999999929</v>
      </c>
      <c r="E21" s="267">
        <f>'[12]Degree Days 2020'!E21</f>
        <v>12</v>
      </c>
      <c r="F21" s="267">
        <f>'[12]Degree Days 2020'!F21</f>
        <v>18</v>
      </c>
      <c r="G21" s="267">
        <f>'[12]Degree Days 2020'!G21</f>
        <v>13</v>
      </c>
      <c r="H21" s="267">
        <f>'[12]Degree Days 2020'!H21</f>
        <v>-2.8000000000000007</v>
      </c>
      <c r="I21" s="267">
        <f>'[12]Degree Days 2020'!I21</f>
        <v>12</v>
      </c>
      <c r="J21" s="267">
        <f>'[12]Degree Days 2020'!J21</f>
        <v>18</v>
      </c>
      <c r="K21" s="267">
        <f>'[12]Degree Days 2020'!K21</f>
        <v>13</v>
      </c>
      <c r="L21" s="267">
        <f>'[12]Degree Days 2020'!L21</f>
        <v>-2.8000000000000007</v>
      </c>
      <c r="M21" s="267">
        <f>'[13]Degree Days 2020'!M21</f>
        <v>12</v>
      </c>
      <c r="N21" s="267">
        <f>'[14]General information '!B17</f>
        <v>16</v>
      </c>
      <c r="O21" s="267">
        <f>'[14]General information '!C17</f>
        <v>13</v>
      </c>
      <c r="P21" s="267">
        <f t="shared" si="0"/>
        <v>-3.8000000000000007</v>
      </c>
      <c r="Q21" s="513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3">
        <v>12</v>
      </c>
      <c r="V21" s="267">
        <f>'[9]Degree Days 2020'!V21</f>
        <v>27</v>
      </c>
      <c r="W21" s="267">
        <f>'[9]Degree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'[12]Degree Days 2020'!B22</f>
        <v>18</v>
      </c>
      <c r="C22" s="267">
        <f>'[12]Degree Days 2020'!C22</f>
        <v>12</v>
      </c>
      <c r="D22" s="267">
        <f>'[12]Degree Days 2020'!D22</f>
        <v>-3.3000000000000007</v>
      </c>
      <c r="E22" s="267">
        <f>'[12]Degree Days 2020'!E22</f>
        <v>13</v>
      </c>
      <c r="F22" s="267">
        <f>'[12]Degree Days 2020'!F22</f>
        <v>19</v>
      </c>
      <c r="G22" s="267">
        <f>'[12]Degree Days 2020'!G22</f>
        <v>14</v>
      </c>
      <c r="H22" s="267">
        <f>'[12]Degree Days 2020'!H22</f>
        <v>-1.8000000000000007</v>
      </c>
      <c r="I22" s="267">
        <f>'[12]Degree Days 2020'!I22</f>
        <v>13</v>
      </c>
      <c r="J22" s="267">
        <f>'[12]Degree Days 2020'!J22</f>
        <v>18</v>
      </c>
      <c r="K22" s="267">
        <f>'[12]Degree Days 2020'!K22</f>
        <v>16</v>
      </c>
      <c r="L22" s="267">
        <f>'[12]Degree Days 2020'!L22</f>
        <v>-1.3000000000000007</v>
      </c>
      <c r="M22" s="267">
        <f>'[13]Degree Days 2020'!M22</f>
        <v>13</v>
      </c>
      <c r="N22" s="267">
        <f>'[14]General information '!B18</f>
        <v>18</v>
      </c>
      <c r="O22" s="267">
        <f>'[14]General information '!C18</f>
        <v>11</v>
      </c>
      <c r="P22" s="267">
        <f t="shared" si="0"/>
        <v>-3.8000000000000007</v>
      </c>
      <c r="Q22" s="513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3">
        <v>13</v>
      </c>
      <c r="V22" s="267">
        <f>'[9]Degree Days 2020'!V22</f>
        <v>26</v>
      </c>
      <c r="W22" s="267">
        <f>'[9]Degree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'[12]Degree Days 2020'!B23</f>
        <v>17</v>
      </c>
      <c r="C23" s="267">
        <f>'[12]Degree Days 2020'!C23</f>
        <v>12</v>
      </c>
      <c r="D23" s="267">
        <f>'[12]Degree Days 2020'!D23</f>
        <v>-3.8000000000000007</v>
      </c>
      <c r="E23" s="267">
        <f>'[12]Degree Days 2020'!E23</f>
        <v>14</v>
      </c>
      <c r="F23" s="267">
        <f>'[12]Degree Days 2020'!F23</f>
        <v>18</v>
      </c>
      <c r="G23" s="267">
        <f>'[12]Degree Days 2020'!G23</f>
        <v>13</v>
      </c>
      <c r="H23" s="267">
        <f>'[12]Degree Days 2020'!H23</f>
        <v>-2.8000000000000007</v>
      </c>
      <c r="I23" s="267">
        <f>'[12]Degree Days 2020'!I23</f>
        <v>14</v>
      </c>
      <c r="J23" s="267">
        <f>'[12]Degree Days 2020'!J23</f>
        <v>19</v>
      </c>
      <c r="K23" s="267">
        <f>'[12]Degree Days 2020'!K23</f>
        <v>15</v>
      </c>
      <c r="L23" s="267">
        <f>'[12]Degree Days 2020'!L23</f>
        <v>-1.3000000000000007</v>
      </c>
      <c r="M23" s="267">
        <f>'[13]Degree Days 2020'!M23</f>
        <v>14</v>
      </c>
      <c r="N23" s="267">
        <f>'[14]General information '!B19</f>
        <v>20</v>
      </c>
      <c r="O23" s="267">
        <f>'[14]General information '!C19</f>
        <v>12</v>
      </c>
      <c r="P23" s="267">
        <f t="shared" si="0"/>
        <v>-2.3000000000000007</v>
      </c>
      <c r="Q23" s="513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3">
        <v>14</v>
      </c>
      <c r="V23" s="267">
        <f>'[9]Degree Days 2020'!V23</f>
        <v>26</v>
      </c>
      <c r="W23" s="267">
        <f>'[9]Degree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'[12]Degree Days 2020'!B24</f>
        <v>19</v>
      </c>
      <c r="C24" s="267">
        <f>'[12]Degree Days 2020'!C24</f>
        <v>13</v>
      </c>
      <c r="D24" s="267">
        <f>'[12]Degree Days 2020'!D24</f>
        <v>-2.3000000000000007</v>
      </c>
      <c r="E24" s="267">
        <f>'[12]Degree Days 2020'!E24</f>
        <v>15</v>
      </c>
      <c r="F24" s="267">
        <f>'[12]Degree Days 2020'!F24</f>
        <v>18</v>
      </c>
      <c r="G24" s="267">
        <f>'[12]Degree Days 2020'!G24</f>
        <v>12</v>
      </c>
      <c r="H24" s="267">
        <f>'[12]Degree Days 2020'!H24</f>
        <v>-3.3000000000000007</v>
      </c>
      <c r="I24" s="267">
        <f>'[12]Degree Days 2020'!I24</f>
        <v>15</v>
      </c>
      <c r="J24" s="267">
        <f>'[12]Degree Days 2020'!J24</f>
        <v>19</v>
      </c>
      <c r="K24" s="267">
        <f>'[12]Degree Days 2020'!K24</f>
        <v>15</v>
      </c>
      <c r="L24" s="267">
        <f>'[12]Degree Days 2020'!L24</f>
        <v>-1.3000000000000007</v>
      </c>
      <c r="M24" s="267">
        <f>'[13]Degree Days 2020'!M24</f>
        <v>15</v>
      </c>
      <c r="N24" s="267">
        <f>'[14]General information '!B20</f>
        <v>24</v>
      </c>
      <c r="O24" s="267">
        <f>'[14]General information '!C20</f>
        <v>14</v>
      </c>
      <c r="P24" s="267">
        <f t="shared" si="0"/>
        <v>0.69999999999999929</v>
      </c>
      <c r="Q24" s="513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3">
        <v>15</v>
      </c>
      <c r="V24" s="267">
        <f>'[9]Degree Days 2020'!V24</f>
        <v>27</v>
      </c>
      <c r="W24" s="267">
        <f>'[9]Degree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'[12]Degree Days 2020'!B25</f>
        <v>15</v>
      </c>
      <c r="C25" s="267">
        <f>'[12]Degree Days 2020'!C25</f>
        <v>9</v>
      </c>
      <c r="D25" s="267">
        <f>'[12]Degree Days 2020'!D25</f>
        <v>-6.3000000000000007</v>
      </c>
      <c r="E25" s="267">
        <f>'[12]Degree Days 2020'!E25</f>
        <v>16</v>
      </c>
      <c r="F25" s="267">
        <f>'[12]Degree Days 2020'!F25</f>
        <v>11</v>
      </c>
      <c r="G25" s="267">
        <f>'[12]Degree Days 2020'!G25</f>
        <v>7</v>
      </c>
      <c r="H25" s="267">
        <f>'[12]Degree Days 2020'!H25</f>
        <v>-9.3000000000000007</v>
      </c>
      <c r="I25" s="267">
        <f>'[12]Degree Days 2020'!I25</f>
        <v>16</v>
      </c>
      <c r="J25" s="267">
        <f>'[12]Degree Days 2020'!J25</f>
        <v>19</v>
      </c>
      <c r="K25" s="267">
        <f>'[12]Degree Days 2020'!K25</f>
        <v>14</v>
      </c>
      <c r="L25" s="267">
        <f>'[12]Degree Days 2020'!L25</f>
        <v>-1.8000000000000007</v>
      </c>
      <c r="M25" s="267">
        <f>'[13]Degree Days 2020'!M25</f>
        <v>16</v>
      </c>
      <c r="N25" s="267">
        <f>'[14]General information '!B21</f>
        <v>26</v>
      </c>
      <c r="O25" s="267">
        <f>'[14]General information '!C21</f>
        <v>17</v>
      </c>
      <c r="P25" s="267">
        <f t="shared" si="0"/>
        <v>3.1999999999999993</v>
      </c>
      <c r="Q25" s="513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3">
        <v>16</v>
      </c>
      <c r="V25" s="267">
        <f>'[9]Degree Days 2020'!V25</f>
        <v>27</v>
      </c>
      <c r="W25" s="267">
        <f>'[9]Degree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'[12]Degree Days 2020'!B26</f>
        <v>15</v>
      </c>
      <c r="C26" s="267">
        <f>'[12]Degree Days 2020'!C26</f>
        <v>12</v>
      </c>
      <c r="D26" s="267">
        <f>'[12]Degree Days 2020'!D26</f>
        <v>-4.8000000000000007</v>
      </c>
      <c r="E26" s="267">
        <f>'[12]Degree Days 2020'!E26</f>
        <v>17</v>
      </c>
      <c r="F26" s="267">
        <f>'[12]Degree Days 2020'!F26</f>
        <v>13</v>
      </c>
      <c r="G26" s="267">
        <f>'[12]Degree Days 2020'!G26</f>
        <v>7</v>
      </c>
      <c r="H26" s="267">
        <f>'[12]Degree Days 2020'!H26</f>
        <v>-8.3000000000000007</v>
      </c>
      <c r="I26" s="267">
        <f>'[12]Degree Days 2020'!I26</f>
        <v>17</v>
      </c>
      <c r="J26" s="267">
        <f>'[12]Degree Days 2020'!J26</f>
        <v>20</v>
      </c>
      <c r="K26" s="267">
        <f>'[12]Degree Days 2020'!K26</f>
        <v>15</v>
      </c>
      <c r="L26" s="267">
        <f>'[12]Degree Days 2020'!L26</f>
        <v>-0.80000000000000071</v>
      </c>
      <c r="M26" s="267">
        <f>'[13]Degree Days 2020'!M26</f>
        <v>17</v>
      </c>
      <c r="N26" s="267">
        <f>'[14]General information '!B22</f>
        <v>27</v>
      </c>
      <c r="O26" s="267">
        <f>'[14]General information '!C22</f>
        <v>17</v>
      </c>
      <c r="P26" s="267">
        <f t="shared" si="0"/>
        <v>3.6999999999999993</v>
      </c>
      <c r="Q26" s="513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3">
        <v>17</v>
      </c>
      <c r="V26" s="267">
        <f>'[9]Degree Days 2020'!V26</f>
        <v>26</v>
      </c>
      <c r="W26" s="267">
        <f>'[9]Degree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'[12]Degree Days 2020'!B27</f>
        <v>14</v>
      </c>
      <c r="C27" s="267">
        <f>'[12]Degree Days 2020'!C27</f>
        <v>8</v>
      </c>
      <c r="D27" s="267">
        <f>'[12]Degree Days 2020'!D27</f>
        <v>-7.3000000000000007</v>
      </c>
      <c r="E27" s="267">
        <f>'[12]Degree Days 2020'!E27</f>
        <v>18</v>
      </c>
      <c r="F27" s="267">
        <f>'[12]Degree Days 2020'!F27</f>
        <v>13</v>
      </c>
      <c r="G27" s="267">
        <f>'[12]Degree Days 2020'!G27</f>
        <v>7</v>
      </c>
      <c r="H27" s="267">
        <f>'[12]Degree Days 2020'!H27</f>
        <v>-8.3000000000000007</v>
      </c>
      <c r="I27" s="267">
        <f>'[12]Degree Days 2020'!I27</f>
        <v>18</v>
      </c>
      <c r="J27" s="267">
        <f>'[12]Degree Days 2020'!J27</f>
        <v>20</v>
      </c>
      <c r="K27" s="267">
        <f>'[12]Degree Days 2020'!K27</f>
        <v>15</v>
      </c>
      <c r="L27" s="267">
        <f>'[12]Degree Days 2020'!L27</f>
        <v>-0.80000000000000071</v>
      </c>
      <c r="M27" s="267">
        <f>'[13]Degree Days 2020'!M27</f>
        <v>18</v>
      </c>
      <c r="N27" s="267">
        <f>'[14]General information '!B23</f>
        <v>32</v>
      </c>
      <c r="O27" s="267">
        <f>'[14]General information '!C23</f>
        <v>19</v>
      </c>
      <c r="P27" s="267">
        <f t="shared" si="0"/>
        <v>7.1999999999999993</v>
      </c>
      <c r="Q27" s="513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3">
        <v>18</v>
      </c>
      <c r="V27" s="267">
        <f>'[9]Degree Days 2020'!V27</f>
        <v>27</v>
      </c>
      <c r="W27" s="267">
        <f>'[9]Degree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'[12]Degree Days 2020'!B28</f>
        <v>17</v>
      </c>
      <c r="C28" s="267">
        <f>'[12]Degree Days 2020'!C28</f>
        <v>10</v>
      </c>
      <c r="D28" s="267">
        <f>'[12]Degree Days 2020'!D28</f>
        <v>-4.8000000000000007</v>
      </c>
      <c r="E28" s="267">
        <f>'[12]Degree Days 2020'!E28</f>
        <v>19</v>
      </c>
      <c r="F28" s="267">
        <f>'[12]Degree Days 2020'!F28</f>
        <v>14</v>
      </c>
      <c r="G28" s="267">
        <f>'[12]Degree Days 2020'!G28</f>
        <v>7</v>
      </c>
      <c r="H28" s="267">
        <f>'[12]Degree Days 2020'!H28</f>
        <v>-7.8000000000000007</v>
      </c>
      <c r="I28" s="267">
        <f>'[12]Degree Days 2020'!I28</f>
        <v>19</v>
      </c>
      <c r="J28" s="267">
        <f>'[12]Degree Days 2020'!J28</f>
        <v>19</v>
      </c>
      <c r="K28" s="267">
        <f>'[12]Degree Days 2020'!K28</f>
        <v>17</v>
      </c>
      <c r="L28" s="267">
        <f>'[12]Degree Days 2020'!L28</f>
        <v>-0.30000000000000071</v>
      </c>
      <c r="M28" s="267">
        <f>'[13]Degree Days 2020'!M28</f>
        <v>19</v>
      </c>
      <c r="N28" s="267">
        <f>'[14]General information '!B24</f>
        <v>33</v>
      </c>
      <c r="O28" s="267">
        <f>'[14]General information '!C24</f>
        <v>24</v>
      </c>
      <c r="P28" s="267">
        <f t="shared" si="0"/>
        <v>10.199999999999999</v>
      </c>
      <c r="Q28" s="513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3">
        <v>19</v>
      </c>
      <c r="V28" s="267">
        <f>'[9]Degree Days 2020'!V28</f>
        <v>28</v>
      </c>
      <c r="W28" s="267">
        <f>'[9]Degree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'[12]Degree Days 2020'!B29</f>
        <v>17</v>
      </c>
      <c r="C29" s="267">
        <f>'[12]Degree Days 2020'!C29</f>
        <v>10</v>
      </c>
      <c r="D29" s="267">
        <f>'[12]Degree Days 2020'!D29</f>
        <v>-4.8000000000000007</v>
      </c>
      <c r="E29" s="267">
        <f>'[12]Degree Days 2020'!E29</f>
        <v>20</v>
      </c>
      <c r="F29" s="267">
        <f>'[12]Degree Days 2020'!F29</f>
        <v>19</v>
      </c>
      <c r="G29" s="267">
        <f>'[12]Degree Days 2020'!G29</f>
        <v>14</v>
      </c>
      <c r="H29" s="267">
        <f>'[12]Degree Days 2020'!H29</f>
        <v>-1.8000000000000007</v>
      </c>
      <c r="I29" s="267">
        <f>'[12]Degree Days 2020'!I29</f>
        <v>20</v>
      </c>
      <c r="J29" s="267">
        <f>'[12]Degree Days 2020'!J29</f>
        <v>21</v>
      </c>
      <c r="K29" s="267">
        <f>'[12]Degree Days 2020'!K29</f>
        <v>18</v>
      </c>
      <c r="L29" s="267">
        <f>'[12]Degree Days 2020'!L29</f>
        <v>1.1999999999999993</v>
      </c>
      <c r="M29" s="267">
        <f>'[13]Degree Days 2020'!M29</f>
        <v>20</v>
      </c>
      <c r="N29" s="267">
        <f>'[14]General information '!B25</f>
        <v>22</v>
      </c>
      <c r="O29" s="267">
        <f>'[14]General information '!C25</f>
        <v>15</v>
      </c>
      <c r="P29" s="267">
        <f t="shared" si="0"/>
        <v>0.19999999999999929</v>
      </c>
      <c r="Q29" s="513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3">
        <v>20</v>
      </c>
      <c r="V29" s="267">
        <f>'[9]Degree Days 2020'!V29</f>
        <v>27</v>
      </c>
      <c r="W29" s="267">
        <f>'[9]Degree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'[12]Degree Days 2020'!B30</f>
        <v>16</v>
      </c>
      <c r="C30" s="267">
        <f>'[12]Degree Days 2020'!C30</f>
        <v>9</v>
      </c>
      <c r="D30" s="267">
        <f>'[12]Degree Days 2020'!D30</f>
        <v>-5.8000000000000007</v>
      </c>
      <c r="E30" s="267">
        <f>'[12]Degree Days 2020'!E30</f>
        <v>21</v>
      </c>
      <c r="F30" s="267">
        <f>'[12]Degree Days 2020'!F30</f>
        <v>18</v>
      </c>
      <c r="G30" s="267">
        <f>'[12]Degree Days 2020'!G30</f>
        <v>13</v>
      </c>
      <c r="H30" s="267">
        <f>'[12]Degree Days 2020'!H30</f>
        <v>-2.8000000000000007</v>
      </c>
      <c r="I30" s="267">
        <f>'[12]Degree Days 2020'!I30</f>
        <v>21</v>
      </c>
      <c r="J30" s="267">
        <f>'[12]Degree Days 2020'!J30</f>
        <v>23</v>
      </c>
      <c r="K30" s="267">
        <f>'[12]Degree Days 2020'!K30</f>
        <v>14</v>
      </c>
      <c r="L30" s="267">
        <f>'[12]Degree Days 2020'!L30</f>
        <v>0.19999999999999929</v>
      </c>
      <c r="M30" s="267">
        <f>'[13]Degree Days 2020'!M30</f>
        <v>21</v>
      </c>
      <c r="N30" s="267">
        <f>'[14]General information '!B26</f>
        <v>21</v>
      </c>
      <c r="O30" s="267">
        <f>'[14]General information '!C26</f>
        <v>17</v>
      </c>
      <c r="P30" s="267">
        <f t="shared" si="0"/>
        <v>0.69999999999999929</v>
      </c>
      <c r="Q30" s="513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3">
        <v>21</v>
      </c>
      <c r="V30" s="267">
        <f>'[9]Degree Days 2020'!V30</f>
        <v>27</v>
      </c>
      <c r="W30" s="267">
        <f>'[9]Degree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'[12]Degree Days 2020'!B31</f>
        <v>17</v>
      </c>
      <c r="C31" s="267">
        <f>'[12]Degree Days 2020'!C31</f>
        <v>10</v>
      </c>
      <c r="D31" s="267">
        <f>'[12]Degree Days 2020'!D31</f>
        <v>-4.8000000000000007</v>
      </c>
      <c r="E31" s="267">
        <f>'[12]Degree Days 2020'!E31</f>
        <v>22</v>
      </c>
      <c r="F31" s="267">
        <f>'[12]Degree Days 2020'!F31</f>
        <v>21</v>
      </c>
      <c r="G31" s="267">
        <f>'[12]Degree Days 2020'!G31</f>
        <v>12</v>
      </c>
      <c r="H31" s="267">
        <f>'[12]Degree Days 2020'!H31</f>
        <v>-1.8000000000000007</v>
      </c>
      <c r="I31" s="267">
        <f>'[12]Degree Days 2020'!I31</f>
        <v>22</v>
      </c>
      <c r="J31" s="267">
        <f>'[12]Degree Days 2020'!J31</f>
        <v>26</v>
      </c>
      <c r="K31" s="267">
        <f>'[12]Degree Days 2020'!K31</f>
        <v>14</v>
      </c>
      <c r="L31" s="267">
        <f>'[12]Degree Days 2020'!L31</f>
        <v>1.6999999999999993</v>
      </c>
      <c r="M31" s="267">
        <f>'[13]Degree Days 2020'!M31</f>
        <v>22</v>
      </c>
      <c r="N31" s="267">
        <f>'[14]General information '!B27</f>
        <v>21</v>
      </c>
      <c r="O31" s="267">
        <f>'[14]General information '!C27</f>
        <v>18</v>
      </c>
      <c r="P31" s="267">
        <f t="shared" si="0"/>
        <v>1.1999999999999993</v>
      </c>
      <c r="Q31" s="513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3">
        <v>22</v>
      </c>
      <c r="V31" s="267">
        <f>'[9]Degree Days 2020'!V31</f>
        <v>26</v>
      </c>
      <c r="W31" s="267">
        <f>'[9]Degree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'[12]Degree Days 2020'!B32</f>
        <v>18</v>
      </c>
      <c r="C32" s="267">
        <f>'[12]Degree Days 2020'!C32</f>
        <v>12</v>
      </c>
      <c r="D32" s="267">
        <f>'[12]Degree Days 2020'!D32</f>
        <v>-3.3000000000000007</v>
      </c>
      <c r="E32" s="267">
        <f>'[12]Degree Days 2020'!E32</f>
        <v>23</v>
      </c>
      <c r="F32" s="267">
        <f>'[12]Degree Days 2020'!F32</f>
        <v>19</v>
      </c>
      <c r="G32" s="267">
        <f>'[12]Degree Days 2020'!G32</f>
        <v>13</v>
      </c>
      <c r="H32" s="267">
        <f>'[12]Degree Days 2020'!H32</f>
        <v>-2.3000000000000007</v>
      </c>
      <c r="I32" s="267">
        <f>'[12]Degree Days 2020'!I32</f>
        <v>23</v>
      </c>
      <c r="J32" s="267">
        <f>'[12]Degree Days 2020'!J32</f>
        <v>33</v>
      </c>
      <c r="K32" s="267">
        <f>'[12]Degree Days 2020'!K32</f>
        <v>17</v>
      </c>
      <c r="L32" s="267">
        <f>'[12]Degree Days 2020'!L32</f>
        <v>6.6999999999999993</v>
      </c>
      <c r="M32" s="267">
        <f>'[13]Degree Days 2020'!M32</f>
        <v>23</v>
      </c>
      <c r="N32" s="267">
        <f>'[14]General information '!B28</f>
        <v>20</v>
      </c>
      <c r="O32" s="267">
        <f>'[14]General information '!C28</f>
        <v>18</v>
      </c>
      <c r="P32" s="267">
        <f t="shared" si="0"/>
        <v>0.69999999999999929</v>
      </c>
      <c r="Q32" s="513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3">
        <v>23</v>
      </c>
      <c r="V32" s="267">
        <f>'[9]Degree Days 2020'!V32</f>
        <v>28</v>
      </c>
      <c r="W32" s="267">
        <f>'[9]Degree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'[12]Degree Days 2020'!B33</f>
        <v>17</v>
      </c>
      <c r="C33" s="267">
        <f>'[12]Degree Days 2020'!C33</f>
        <v>11</v>
      </c>
      <c r="D33" s="267">
        <f>'[12]Degree Days 2020'!D33</f>
        <v>-4.3000000000000007</v>
      </c>
      <c r="E33" s="267">
        <f>'[12]Degree Days 2020'!E33</f>
        <v>24</v>
      </c>
      <c r="F33" s="267">
        <f>'[12]Degree Days 2020'!F33</f>
        <v>19</v>
      </c>
      <c r="G33" s="267">
        <f>'[12]Degree Days 2020'!G33</f>
        <v>12</v>
      </c>
      <c r="H33" s="267">
        <f>'[12]Degree Days 2020'!H33</f>
        <v>-2.8000000000000007</v>
      </c>
      <c r="I33" s="267">
        <f>'[12]Degree Days 2020'!I33</f>
        <v>24</v>
      </c>
      <c r="J33" s="267">
        <f>'[12]Degree Days 2020'!J33</f>
        <v>15</v>
      </c>
      <c r="K33" s="267">
        <f>'[12]Degree Days 2020'!K33</f>
        <v>12</v>
      </c>
      <c r="L33" s="267">
        <f>'[12]Degree Days 2020'!L33</f>
        <v>-4.8000000000000007</v>
      </c>
      <c r="M33" s="267">
        <f>'[13]Degree Days 2020'!M33</f>
        <v>24</v>
      </c>
      <c r="N33" s="267">
        <f>'[14]General information '!B29</f>
        <v>24</v>
      </c>
      <c r="O33" s="267">
        <f>'[14]General information '!C29</f>
        <v>18</v>
      </c>
      <c r="P33" s="267">
        <f t="shared" si="0"/>
        <v>2.6999999999999993</v>
      </c>
      <c r="Q33" s="513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3">
        <v>24</v>
      </c>
      <c r="V33" s="267">
        <f>'[9]Degree Days 2020'!V33</f>
        <v>28</v>
      </c>
      <c r="W33" s="267">
        <f>'[9]Degree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'[12]Degree Days 2020'!B34</f>
        <v>21</v>
      </c>
      <c r="C34" s="267">
        <f>'[12]Degree Days 2020'!C34</f>
        <v>12</v>
      </c>
      <c r="D34" s="267">
        <f>'[12]Degree Days 2020'!D34</f>
        <v>-1.8000000000000007</v>
      </c>
      <c r="E34" s="267">
        <f>'[12]Degree Days 2020'!E34</f>
        <v>25</v>
      </c>
      <c r="F34" s="267">
        <f>'[12]Degree Days 2020'!F34</f>
        <v>18</v>
      </c>
      <c r="G34" s="267">
        <f>'[12]Degree Days 2020'!G34</f>
        <v>13</v>
      </c>
      <c r="H34" s="267">
        <f>'[12]Degree Days 2020'!H34</f>
        <v>-2.8000000000000007</v>
      </c>
      <c r="I34" s="267">
        <f>'[12]Degree Days 2020'!I34</f>
        <v>25</v>
      </c>
      <c r="J34" s="267">
        <f>'[12]Degree Days 2020'!J34</f>
        <v>15</v>
      </c>
      <c r="K34" s="267">
        <f>'[12]Degree Days 2020'!K34</f>
        <v>12</v>
      </c>
      <c r="L34" s="267">
        <f>'[12]Degree Days 2020'!L34</f>
        <v>-4.8000000000000007</v>
      </c>
      <c r="M34" s="267">
        <f>'[13]Degree Days 2020'!M34</f>
        <v>25</v>
      </c>
      <c r="N34" s="267">
        <f>'[14]General information '!B30</f>
        <v>23</v>
      </c>
      <c r="O34" s="267">
        <f>'[14]General information '!C30</f>
        <v>18</v>
      </c>
      <c r="P34" s="267">
        <f t="shared" si="0"/>
        <v>2.1999999999999993</v>
      </c>
      <c r="Q34" s="513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3">
        <v>25</v>
      </c>
      <c r="V34" s="267">
        <f>'[9]Degree Days 2020'!V34</f>
        <v>29</v>
      </c>
      <c r="W34" s="267">
        <f>'[9]Degree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'[12]Degree Days 2020'!B35</f>
        <v>18</v>
      </c>
      <c r="C35" s="267">
        <f>'[12]Degree Days 2020'!C35</f>
        <v>11</v>
      </c>
      <c r="D35" s="267">
        <f>'[12]Degree Days 2020'!D35</f>
        <v>-3.8000000000000007</v>
      </c>
      <c r="E35" s="267">
        <f>'[12]Degree Days 2020'!E35</f>
        <v>26</v>
      </c>
      <c r="F35" s="267">
        <f>'[12]Degree Days 2020'!F35</f>
        <v>18</v>
      </c>
      <c r="G35" s="267">
        <f>'[12]Degree Days 2020'!G35</f>
        <v>13</v>
      </c>
      <c r="H35" s="267">
        <f>'[12]Degree Days 2020'!H35</f>
        <v>-2.8000000000000007</v>
      </c>
      <c r="I35" s="267">
        <f>'[12]Degree Days 2020'!I35</f>
        <v>26</v>
      </c>
      <c r="J35" s="267">
        <f>'[12]Degree Days 2020'!J35</f>
        <v>16</v>
      </c>
      <c r="K35" s="267">
        <f>'[12]Degree Days 2020'!K35</f>
        <v>10</v>
      </c>
      <c r="L35" s="267">
        <f>'[12]Degree Days 2020'!L35</f>
        <v>-5.3000000000000007</v>
      </c>
      <c r="M35" s="267">
        <f>'[13]Degree Days 2020'!M35</f>
        <v>26</v>
      </c>
      <c r="N35" s="267">
        <f>'[14]General information '!B31</f>
        <v>22</v>
      </c>
      <c r="O35" s="267">
        <f>'[14]General information '!C31</f>
        <v>16</v>
      </c>
      <c r="P35" s="267">
        <f t="shared" si="0"/>
        <v>0.69999999999999929</v>
      </c>
      <c r="Q35" s="513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3">
        <v>26</v>
      </c>
      <c r="V35" s="267">
        <f>'[9]Degree Days 2020'!V35</f>
        <v>30</v>
      </c>
      <c r="W35" s="267">
        <f>'[9]Degree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'[12]Degree Days 2020'!B36</f>
        <v>14</v>
      </c>
      <c r="C36" s="267">
        <f>'[12]Degree Days 2020'!C36</f>
        <v>10</v>
      </c>
      <c r="D36" s="267">
        <f>'[12]Degree Days 2020'!D36</f>
        <v>-6.3000000000000007</v>
      </c>
      <c r="E36" s="267">
        <f>'[12]Degree Days 2020'!E36</f>
        <v>27</v>
      </c>
      <c r="F36" s="267">
        <f>'[12]Degree Days 2020'!F36</f>
        <v>18</v>
      </c>
      <c r="G36" s="267">
        <f>'[12]Degree Days 2020'!G36</f>
        <v>13</v>
      </c>
      <c r="H36" s="267">
        <f>'[12]Degree Days 2020'!H36</f>
        <v>-2.8000000000000007</v>
      </c>
      <c r="I36" s="267">
        <f>'[12]Degree Days 2020'!I36</f>
        <v>27</v>
      </c>
      <c r="J36" s="267">
        <f>'[12]Degree Days 2020'!J36</f>
        <v>17</v>
      </c>
      <c r="K36" s="267">
        <f>'[12]Degree Days 2020'!K36</f>
        <v>11</v>
      </c>
      <c r="L36" s="267">
        <f>'[12]Degree Days 2020'!L36</f>
        <v>-4.3000000000000007</v>
      </c>
      <c r="M36" s="267">
        <f>'[13]Degree Days 2020'!M36</f>
        <v>27</v>
      </c>
      <c r="N36" s="267">
        <f>'[14]General information '!B32</f>
        <v>22</v>
      </c>
      <c r="O36" s="267">
        <f>'[14]General information '!C32</f>
        <v>18</v>
      </c>
      <c r="P36" s="267">
        <f t="shared" si="0"/>
        <v>1.6999999999999993</v>
      </c>
      <c r="Q36" s="513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3">
        <v>27</v>
      </c>
      <c r="V36" s="267">
        <f>'[9]Degree Days 2020'!V36</f>
        <v>30</v>
      </c>
      <c r="W36" s="267">
        <f>'[9]Degree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'[12]Degree Days 2020'!B37</f>
        <v>14</v>
      </c>
      <c r="C37" s="267">
        <f>'[12]Degree Days 2020'!C37</f>
        <v>10</v>
      </c>
      <c r="D37" s="267">
        <f>'[12]Degree Days 2020'!D37</f>
        <v>-6.3000000000000007</v>
      </c>
      <c r="E37" s="267">
        <f>'[12]Degree Days 2020'!E37</f>
        <v>28</v>
      </c>
      <c r="F37" s="267">
        <f>'[12]Degree Days 2020'!F37</f>
        <v>17</v>
      </c>
      <c r="G37" s="267">
        <f>'[12]Degree Days 2020'!G37</f>
        <v>13</v>
      </c>
      <c r="H37" s="267">
        <f>'[12]Degree Days 2020'!H37</f>
        <v>-3.3000000000000007</v>
      </c>
      <c r="I37" s="267">
        <f>'[12]Degree Days 2020'!I37</f>
        <v>28</v>
      </c>
      <c r="J37" s="267">
        <f>'[12]Degree Days 2020'!J37</f>
        <v>17</v>
      </c>
      <c r="K37" s="267">
        <f>'[12]Degree Days 2020'!K37</f>
        <v>13</v>
      </c>
      <c r="L37" s="267">
        <f>'[12]Degree Days 2020'!L37</f>
        <v>-3.3000000000000007</v>
      </c>
      <c r="M37" s="267">
        <f>'[13]Degree Days 2020'!M37</f>
        <v>28</v>
      </c>
      <c r="N37" s="267">
        <f>'[14]General information '!B33</f>
        <v>26</v>
      </c>
      <c r="O37" s="267">
        <f>'[14]General information '!C33</f>
        <v>16</v>
      </c>
      <c r="P37" s="267">
        <f t="shared" si="0"/>
        <v>2.6999999999999993</v>
      </c>
      <c r="Q37" s="513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3">
        <v>28</v>
      </c>
      <c r="V37" s="267">
        <f>'[9]Degree Days 2020'!V37</f>
        <v>31</v>
      </c>
      <c r="W37" s="267">
        <f>'[9]Degree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'[12]Degree Days 2020'!B38</f>
        <v>16</v>
      </c>
      <c r="C38" s="267">
        <f>'[12]Degree Days 2020'!C38</f>
        <v>12</v>
      </c>
      <c r="D38" s="267">
        <f>'[12]Degree Days 2020'!D38</f>
        <v>-4.3000000000000007</v>
      </c>
      <c r="E38" s="267"/>
      <c r="F38" s="267"/>
      <c r="G38" s="267"/>
      <c r="H38" s="267"/>
      <c r="I38" s="267">
        <f>'[12]Degree Days 2020'!I38</f>
        <v>29</v>
      </c>
      <c r="J38" s="267">
        <f>'[12]Degree Days 2020'!J38</f>
        <v>17</v>
      </c>
      <c r="K38" s="267">
        <f>'[12]Degree Days 2020'!K38</f>
        <v>14</v>
      </c>
      <c r="L38" s="267">
        <f>'[12]Degree Days 2020'!L38</f>
        <v>-2.8000000000000007</v>
      </c>
      <c r="M38" s="267">
        <f>'[13]Degree Days 2020'!M38</f>
        <v>29</v>
      </c>
      <c r="N38" s="267">
        <f>'[14]General information '!B34</f>
        <v>29</v>
      </c>
      <c r="O38" s="267">
        <f>'[14]General information '!C34</f>
        <v>18</v>
      </c>
      <c r="P38" s="267">
        <f t="shared" si="0"/>
        <v>5.1999999999999993</v>
      </c>
      <c r="Q38" s="513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3">
        <v>29</v>
      </c>
      <c r="V38" s="267">
        <f>'[9]Degree Days 2020'!V38</f>
        <v>30</v>
      </c>
      <c r="W38" s="267">
        <f>'[9]Degree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'[12]Degree Days 2020'!B39</f>
        <v>10</v>
      </c>
      <c r="C39" s="267">
        <f>'[12]Degree Days 2020'!C39</f>
        <v>4</v>
      </c>
      <c r="D39" s="267">
        <f>'[12]Degree Days 2020'!D39</f>
        <v>-11.3</v>
      </c>
      <c r="E39" s="267"/>
      <c r="F39" s="267"/>
      <c r="G39" s="267"/>
      <c r="H39" s="267"/>
      <c r="I39" s="267">
        <f>'[12]Degree Days 2020'!I39</f>
        <v>30</v>
      </c>
      <c r="J39" s="267">
        <f>'[12]Degree Days 2020'!J39</f>
        <v>19</v>
      </c>
      <c r="K39" s="267">
        <f>'[12]Degree Days 2020'!K39</f>
        <v>13</v>
      </c>
      <c r="L39" s="267">
        <f>'[12]Degree Days 2020'!L39</f>
        <v>-2.3000000000000007</v>
      </c>
      <c r="M39" s="267">
        <f>'[13]Degree Days 2020'!M39</f>
        <v>30</v>
      </c>
      <c r="N39" s="267">
        <f>'[14]General information '!B35</f>
        <v>25</v>
      </c>
      <c r="O39" s="267">
        <f>'[14]General information '!C35</f>
        <v>21</v>
      </c>
      <c r="P39" s="267">
        <f t="shared" si="0"/>
        <v>4.6999999999999993</v>
      </c>
      <c r="Q39" s="513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3">
        <v>30</v>
      </c>
      <c r="V39" s="267">
        <f>'[9]Degree Days 2020'!V39</f>
        <v>0</v>
      </c>
      <c r="W39" s="267">
        <f>'[9]Degree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'[12]Degree Days 2020'!B40</f>
        <v>21</v>
      </c>
      <c r="C40" s="267">
        <f>'[12]Degree Days 2020'!C40</f>
        <v>16</v>
      </c>
      <c r="D40" s="267">
        <f>'[12]Degree Days 2020'!D40</f>
        <v>0.19999999999999929</v>
      </c>
      <c r="E40" s="267"/>
      <c r="F40" s="267"/>
      <c r="G40" s="267"/>
      <c r="H40" s="267"/>
      <c r="I40" s="267">
        <f>'[12]Degree Days 2020'!I40</f>
        <v>31</v>
      </c>
      <c r="J40" s="267">
        <f>'[12]Degree Days 2020'!J40</f>
        <v>18</v>
      </c>
      <c r="K40" s="267">
        <f>'[12]Degree Days 2020'!K40</f>
        <v>13</v>
      </c>
      <c r="L40" s="267">
        <f>'[12]Degree Days 2020'!L40</f>
        <v>-2.8000000000000007</v>
      </c>
      <c r="M40" s="267"/>
      <c r="N40" s="267"/>
      <c r="O40" s="267"/>
      <c r="P40" s="267"/>
      <c r="Q40" s="513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'[15]Degree Days 2020'!B48</f>
        <v>0</v>
      </c>
      <c r="C48" s="267">
        <f>'[15]Degree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'[2]Degree Days 2020'!J48</f>
        <v>30</v>
      </c>
      <c r="K48" s="267">
        <f>'[2]Degree Days 2020'!K48</f>
        <v>26</v>
      </c>
      <c r="L48" s="119">
        <f>(J48+K48)/2-18.3</f>
        <v>9.6999999999999993</v>
      </c>
      <c r="M48" s="117">
        <v>1</v>
      </c>
      <c r="N48" s="267">
        <f>'General information '!B5</f>
        <v>0</v>
      </c>
      <c r="O48" s="267">
        <f>'General information '!C5</f>
        <v>0</v>
      </c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'[15]Degree Days 2020'!B49</f>
        <v>0</v>
      </c>
      <c r="C49" s="267">
        <f>'[15]Degree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'[2]Degree Days 2020'!J49</f>
        <v>31</v>
      </c>
      <c r="K49" s="267">
        <f>'[2]Degree Days 2020'!K49</f>
        <v>26</v>
      </c>
      <c r="L49" s="119">
        <f t="shared" ref="L49:L77" si="6">(J49+K49)/2-18.3</f>
        <v>10.199999999999999</v>
      </c>
      <c r="M49" s="117">
        <v>2</v>
      </c>
      <c r="N49" s="267">
        <f>'General information '!B6</f>
        <v>0</v>
      </c>
      <c r="O49" s="267">
        <f>'General information '!C6</f>
        <v>0</v>
      </c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'[15]Degree Days 2020'!B50</f>
        <v>0</v>
      </c>
      <c r="C50" s="267">
        <f>'[15]Degree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'[2]Degree Days 2020'!J50</f>
        <v>0</v>
      </c>
      <c r="K50" s="267">
        <f>'[2]Degree Days 2020'!K50</f>
        <v>0</v>
      </c>
      <c r="L50" s="119">
        <f t="shared" si="6"/>
        <v>-18.3</v>
      </c>
      <c r="M50" s="117">
        <v>3</v>
      </c>
      <c r="N50" s="267">
        <f>'General information '!B7</f>
        <v>28</v>
      </c>
      <c r="O50" s="267">
        <f>'General information '!C7</f>
        <v>24</v>
      </c>
      <c r="P50" s="119">
        <f t="shared" si="7"/>
        <v>7.6999999999999993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'[15]Degree Days 2020'!B51</f>
        <v>0</v>
      </c>
      <c r="C51" s="267">
        <f>'[15]Degree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'[2]Degree Days 2020'!J51</f>
        <v>0</v>
      </c>
      <c r="K51" s="267">
        <f>'[2]Degree Days 2020'!K51</f>
        <v>0</v>
      </c>
      <c r="L51" s="119">
        <f t="shared" si="6"/>
        <v>-18.3</v>
      </c>
      <c r="M51" s="117">
        <v>4</v>
      </c>
      <c r="N51" s="267">
        <f>'General information '!B8</f>
        <v>28</v>
      </c>
      <c r="O51" s="267">
        <f>'General information '!C8</f>
        <v>23</v>
      </c>
      <c r="P51" s="119">
        <f t="shared" si="7"/>
        <v>7.1999999999999993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'[15]Degree Days 2020'!B52</f>
        <v>30</v>
      </c>
      <c r="C52" s="267">
        <f>'[15]Degree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'[2]Degree Days 2020'!J52</f>
        <v>31</v>
      </c>
      <c r="K52" s="267">
        <f>'[2]Degree Days 2020'!K52</f>
        <v>26</v>
      </c>
      <c r="L52" s="119">
        <f t="shared" si="6"/>
        <v>10.199999999999999</v>
      </c>
      <c r="M52" s="117">
        <v>5</v>
      </c>
      <c r="N52" s="267">
        <f>'General information '!B9</f>
        <v>28</v>
      </c>
      <c r="O52" s="267">
        <f>'General information '!C9</f>
        <v>23</v>
      </c>
      <c r="P52" s="119">
        <f t="shared" si="7"/>
        <v>7.1999999999999993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'[15]Degree Days 2020'!B53</f>
        <v>30</v>
      </c>
      <c r="C53" s="267">
        <f>'[15]Degree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'[2]Degree Days 2020'!J53</f>
        <v>30</v>
      </c>
      <c r="K53" s="267">
        <f>'[2]Degree Days 2020'!K53</f>
        <v>26</v>
      </c>
      <c r="L53" s="119">
        <f t="shared" si="6"/>
        <v>9.6999999999999993</v>
      </c>
      <c r="M53" s="117">
        <v>6</v>
      </c>
      <c r="N53" s="267">
        <f>'General information '!B10</f>
        <v>28</v>
      </c>
      <c r="O53" s="267">
        <f>'General information '!C10</f>
        <v>23</v>
      </c>
      <c r="P53" s="119">
        <f t="shared" si="7"/>
        <v>7.1999999999999993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'[15]Degree Days 2020'!B54</f>
        <v>30</v>
      </c>
      <c r="C54" s="267">
        <f>'[15]Degree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'[2]Degree Days 2020'!J54</f>
        <v>31</v>
      </c>
      <c r="K54" s="267">
        <f>'[2]Degree Days 2020'!K54</f>
        <v>26</v>
      </c>
      <c r="L54" s="119">
        <f t="shared" si="6"/>
        <v>10.199999999999999</v>
      </c>
      <c r="M54" s="117">
        <v>7</v>
      </c>
      <c r="N54" s="267">
        <f>'General information '!B11</f>
        <v>28</v>
      </c>
      <c r="O54" s="267">
        <f>'General information '!C11</f>
        <v>22</v>
      </c>
      <c r="P54" s="119">
        <f t="shared" si="7"/>
        <v>6.6999999999999993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'[15]Degree Days 2020'!B55</f>
        <v>29</v>
      </c>
      <c r="C55" s="267">
        <f>'[15]Degree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'[2]Degree Days 2020'!J55</f>
        <v>29</v>
      </c>
      <c r="K55" s="267">
        <f>'[2]Degree Days 2020'!K55</f>
        <v>25</v>
      </c>
      <c r="L55" s="119">
        <f t="shared" si="6"/>
        <v>8.6999999999999993</v>
      </c>
      <c r="M55" s="117">
        <v>8</v>
      </c>
      <c r="N55" s="267">
        <f>'General information '!B12</f>
        <v>0</v>
      </c>
      <c r="O55" s="267">
        <f>'General information '!C12</f>
        <v>0</v>
      </c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'[15]Degree Days 2020'!B56</f>
        <v>30</v>
      </c>
      <c r="C56" s="267">
        <f>'[15]Degree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'[2]Degree Days 2020'!J56</f>
        <v>29</v>
      </c>
      <c r="K56" s="267">
        <f>'[2]Degree Days 2020'!K56</f>
        <v>25</v>
      </c>
      <c r="L56" s="119">
        <f t="shared" si="6"/>
        <v>8.6999999999999993</v>
      </c>
      <c r="M56" s="117">
        <v>9</v>
      </c>
      <c r="N56" s="267">
        <f>'General information '!B13</f>
        <v>0</v>
      </c>
      <c r="O56" s="267">
        <f>'General information '!C13</f>
        <v>0</v>
      </c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'[15]Degree Days 2020'!B57</f>
        <v>31</v>
      </c>
      <c r="C57" s="267">
        <f>'[15]Degree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'[2]Degree Days 2020'!J57</f>
        <v>0</v>
      </c>
      <c r="K57" s="267">
        <f>'[2]Degree Days 2020'!K57</f>
        <v>0</v>
      </c>
      <c r="L57" s="119">
        <f t="shared" si="6"/>
        <v>-18.3</v>
      </c>
      <c r="M57" s="117">
        <v>10</v>
      </c>
      <c r="N57" s="267">
        <f>'General information '!B14</f>
        <v>29</v>
      </c>
      <c r="O57" s="267">
        <f>'General information '!C14</f>
        <v>23</v>
      </c>
      <c r="P57" s="119">
        <f t="shared" si="7"/>
        <v>7.6999999999999993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'[15]Degree Days 2020'!B58</f>
        <v>30</v>
      </c>
      <c r="C58" s="267">
        <f>'[15]Degree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'[2]Degree Days 2020'!J58</f>
        <v>0</v>
      </c>
      <c r="K58" s="267">
        <f>'[2]Degree Days 2020'!K58</f>
        <v>0</v>
      </c>
      <c r="L58" s="119">
        <f t="shared" si="6"/>
        <v>-18.3</v>
      </c>
      <c r="M58" s="117">
        <v>11</v>
      </c>
      <c r="N58" s="267">
        <f>'General information '!B15</f>
        <v>27</v>
      </c>
      <c r="O58" s="267">
        <f>'General information '!C15</f>
        <v>23</v>
      </c>
      <c r="P58" s="119">
        <f t="shared" si="7"/>
        <v>6.6999999999999993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'[15]Degree Days 2020'!B59</f>
        <v>31</v>
      </c>
      <c r="C59" s="267">
        <f>'[15]Degree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'[2]Degree Days 2020'!J59</f>
        <v>0</v>
      </c>
      <c r="K59" s="267">
        <f>'[2]Degree Days 2020'!K59</f>
        <v>0</v>
      </c>
      <c r="L59" s="119">
        <f t="shared" si="6"/>
        <v>-18.3</v>
      </c>
      <c r="M59" s="117">
        <v>12</v>
      </c>
      <c r="N59" s="267">
        <f>'General information '!B16</f>
        <v>28</v>
      </c>
      <c r="O59" s="267">
        <f>'General information '!C16</f>
        <v>22</v>
      </c>
      <c r="P59" s="119">
        <f t="shared" si="7"/>
        <v>6.6999999999999993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'[15]Degree Days 2020'!B60</f>
        <v>31</v>
      </c>
      <c r="C60" s="267">
        <f>'[15]Degree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'[2]Degree Days 2020'!J60</f>
        <v>29</v>
      </c>
      <c r="K60" s="267">
        <f>'[2]Degree Days 2020'!K60</f>
        <v>25</v>
      </c>
      <c r="L60" s="119">
        <f t="shared" si="6"/>
        <v>8.6999999999999993</v>
      </c>
      <c r="M60" s="117">
        <v>13</v>
      </c>
      <c r="N60" s="267">
        <f>'General information '!B17</f>
        <v>0</v>
      </c>
      <c r="O60" s="267">
        <f>'General information '!C17</f>
        <v>0</v>
      </c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'[15]Degree Days 2020'!B61</f>
        <v>30</v>
      </c>
      <c r="C61" s="267">
        <f>'[15]Degree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'[2]Degree Days 2020'!J61</f>
        <v>30</v>
      </c>
      <c r="K61" s="267">
        <f>'[2]Degree Days 2020'!K61</f>
        <v>25</v>
      </c>
      <c r="L61" s="119">
        <f t="shared" si="6"/>
        <v>9.1999999999999993</v>
      </c>
      <c r="M61" s="117">
        <v>14</v>
      </c>
      <c r="N61" s="267">
        <f>'General information '!B18</f>
        <v>0</v>
      </c>
      <c r="O61" s="267">
        <f>'General information '!C18</f>
        <v>0</v>
      </c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'[15]Degree Days 2020'!B62</f>
        <v>28</v>
      </c>
      <c r="C62" s="267">
        <f>'[15]Degree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'[2]Degree Days 2020'!J62</f>
        <v>29</v>
      </c>
      <c r="K62" s="267">
        <f>'[2]Degree Days 2020'!K62</f>
        <v>24</v>
      </c>
      <c r="L62" s="119">
        <f t="shared" si="6"/>
        <v>8.1999999999999993</v>
      </c>
      <c r="M62" s="117">
        <v>15</v>
      </c>
      <c r="N62" s="267">
        <f>'General information '!B19</f>
        <v>0</v>
      </c>
      <c r="O62" s="267">
        <f>'General information '!C19</f>
        <v>0</v>
      </c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'[15]Degree Days 2020'!B63</f>
        <v>30</v>
      </c>
      <c r="C63" s="267">
        <f>'[15]Degree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'[2]Degree Days 2020'!J63</f>
        <v>30</v>
      </c>
      <c r="K63" s="267">
        <f>'[2]Degree Days 2020'!K63</f>
        <v>26</v>
      </c>
      <c r="L63" s="119">
        <f t="shared" si="6"/>
        <v>9.6999999999999993</v>
      </c>
      <c r="M63" s="117">
        <v>16</v>
      </c>
      <c r="N63" s="267">
        <f>'General information '!B20</f>
        <v>0</v>
      </c>
      <c r="O63" s="267">
        <f>'General information '!C20</f>
        <v>0</v>
      </c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'[15]Degree Days 2020'!B64</f>
        <v>30</v>
      </c>
      <c r="C64" s="267">
        <f>'[15]Degree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'[2]Degree Days 2020'!J64</f>
        <v>28</v>
      </c>
      <c r="K64" s="267">
        <f>'[2]Degree Days 2020'!K64</f>
        <v>23</v>
      </c>
      <c r="L64" s="119">
        <f t="shared" si="6"/>
        <v>7.1999999999999993</v>
      </c>
      <c r="M64" s="117">
        <v>17</v>
      </c>
      <c r="N64" s="267">
        <f>'General information '!B21</f>
        <v>0</v>
      </c>
      <c r="O64" s="267">
        <f>'General information '!C21</f>
        <v>0</v>
      </c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'[15]Degree Days 2020'!B65</f>
        <v>30</v>
      </c>
      <c r="C65" s="267">
        <f>'[15]Degree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'[2]Degree Days 2020'!J65</f>
        <v>0</v>
      </c>
      <c r="K65" s="267">
        <f>'[2]Degree Days 2020'!K65</f>
        <v>0</v>
      </c>
      <c r="L65" s="119">
        <f t="shared" si="6"/>
        <v>-18.3</v>
      </c>
      <c r="M65" s="117">
        <v>18</v>
      </c>
      <c r="N65" s="267">
        <f>'General information '!B22</f>
        <v>26</v>
      </c>
      <c r="O65" s="267">
        <f>'General information '!C22</f>
        <v>22</v>
      </c>
      <c r="P65" s="119">
        <f t="shared" si="7"/>
        <v>5.6999999999999993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'[15]Degree Days 2020'!B66</f>
        <v>31</v>
      </c>
      <c r="C66" s="267">
        <f>'[15]Degree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'[2]Degree Days 2020'!J66</f>
        <v>29</v>
      </c>
      <c r="K66" s="267">
        <f>'[2]Degree Days 2020'!K66</f>
        <v>24</v>
      </c>
      <c r="L66" s="119">
        <f t="shared" si="6"/>
        <v>8.1999999999999993</v>
      </c>
      <c r="M66" s="117">
        <v>19</v>
      </c>
      <c r="N66" s="267">
        <f>'General information '!B23</f>
        <v>26</v>
      </c>
      <c r="O66" s="267">
        <f>'General information '!C23</f>
        <v>22</v>
      </c>
      <c r="P66" s="119">
        <f t="shared" si="7"/>
        <v>5.6999999999999993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'[15]Degree Days 2020'!B67</f>
        <v>31</v>
      </c>
      <c r="C67" s="267">
        <f>'[15]Degree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'[2]Degree Days 2020'!J67</f>
        <v>29</v>
      </c>
      <c r="K67" s="267">
        <f>'[2]Degree Days 2020'!K67</f>
        <v>25</v>
      </c>
      <c r="L67" s="119">
        <f t="shared" si="6"/>
        <v>8.6999999999999993</v>
      </c>
      <c r="M67" s="117">
        <v>20</v>
      </c>
      <c r="N67" s="267">
        <f>'General information '!B24</f>
        <v>26</v>
      </c>
      <c r="O67" s="267">
        <f>'General information '!C24</f>
        <v>21</v>
      </c>
      <c r="P67" s="119">
        <f t="shared" si="7"/>
        <v>5.1999999999999993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'[15]Degree Days 2020'!B68</f>
        <v>31</v>
      </c>
      <c r="C68" s="267">
        <f>'[15]Degree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'[2]Degree Days 2020'!J68</f>
        <v>30</v>
      </c>
      <c r="K68" s="267">
        <f>'[2]Degree Days 2020'!K68</f>
        <v>25</v>
      </c>
      <c r="L68" s="119">
        <f t="shared" si="6"/>
        <v>9.1999999999999993</v>
      </c>
      <c r="M68" s="117">
        <v>21</v>
      </c>
      <c r="N68" s="267">
        <f>'General information '!B25</f>
        <v>27</v>
      </c>
      <c r="O68" s="267">
        <f>'General information '!C25</f>
        <v>21</v>
      </c>
      <c r="P68" s="119">
        <f t="shared" si="7"/>
        <v>5.6999999999999993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'[15]Degree Days 2020'!B69</f>
        <v>0</v>
      </c>
      <c r="C69" s="267">
        <f>'[15]Degree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'[2]Degree Days 2020'!J69</f>
        <v>31</v>
      </c>
      <c r="K69" s="267">
        <f>'[2]Degree Days 2020'!K69</f>
        <v>25</v>
      </c>
      <c r="L69" s="119">
        <f t="shared" si="6"/>
        <v>9.6999999999999993</v>
      </c>
      <c r="M69" s="117">
        <v>22</v>
      </c>
      <c r="N69" s="267">
        <f>'General information '!B26</f>
        <v>0</v>
      </c>
      <c r="O69" s="267">
        <f>'General information '!C26</f>
        <v>0</v>
      </c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'[15]Degree Days 2020'!B70</f>
        <v>0</v>
      </c>
      <c r="C70" s="267">
        <f>'[15]Degree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'[2]Degree Days 2020'!J70</f>
        <v>0</v>
      </c>
      <c r="K70" s="267">
        <f>'[2]Degree Days 2020'!K70</f>
        <v>0</v>
      </c>
      <c r="L70" s="119">
        <f t="shared" si="6"/>
        <v>-18.3</v>
      </c>
      <c r="M70" s="117">
        <v>23</v>
      </c>
      <c r="N70" s="267">
        <f>'General information '!B27</f>
        <v>0</v>
      </c>
      <c r="O70" s="267">
        <f>'General information '!C27</f>
        <v>0</v>
      </c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'[15]Degree Days 2020'!B71</f>
        <v>0</v>
      </c>
      <c r="C71" s="267">
        <f>'[15]Degree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'[2]Degree Days 2020'!J71</f>
        <v>0</v>
      </c>
      <c r="K71" s="267">
        <f>'[2]Degree Days 2020'!K71</f>
        <v>0</v>
      </c>
      <c r="L71" s="119">
        <f t="shared" si="6"/>
        <v>-18.3</v>
      </c>
      <c r="M71" s="117">
        <v>24</v>
      </c>
      <c r="N71" s="267">
        <f>'General information '!B28</f>
        <v>26</v>
      </c>
      <c r="O71" s="267">
        <f>'General information '!C28</f>
        <v>21</v>
      </c>
      <c r="P71" s="119">
        <f t="shared" si="7"/>
        <v>5.1999999999999993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'[15]Degree Days 2020'!B72</f>
        <v>0</v>
      </c>
      <c r="C72" s="267">
        <f>'[15]Degree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'[2]Degree Days 2020'!J72</f>
        <v>0</v>
      </c>
      <c r="K72" s="267">
        <f>'[2]Degree Days 2020'!K72</f>
        <v>0</v>
      </c>
      <c r="L72" s="119">
        <f t="shared" si="6"/>
        <v>-18.3</v>
      </c>
      <c r="M72" s="117">
        <v>25</v>
      </c>
      <c r="N72" s="267">
        <f>'General information '!B29</f>
        <v>25</v>
      </c>
      <c r="O72" s="267">
        <f>'General information '!C29</f>
        <v>21</v>
      </c>
      <c r="P72" s="119">
        <f t="shared" si="7"/>
        <v>4.6999999999999993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'[15]Degree Days 2020'!B73</f>
        <v>0</v>
      </c>
      <c r="C73" s="267">
        <f>'[15]Degree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'[2]Degree Days 2020'!J73</f>
        <v>28</v>
      </c>
      <c r="K73" s="267">
        <f>'[2]Degree Days 2020'!K73</f>
        <v>23</v>
      </c>
      <c r="L73" s="119">
        <f t="shared" si="6"/>
        <v>7.1999999999999993</v>
      </c>
      <c r="M73" s="117">
        <v>26</v>
      </c>
      <c r="N73" s="267">
        <f>'General information '!B30</f>
        <v>26</v>
      </c>
      <c r="O73" s="267">
        <f>'General information '!C30</f>
        <v>21</v>
      </c>
      <c r="P73" s="119">
        <f t="shared" si="7"/>
        <v>5.1999999999999993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'[15]Degree Days 2020'!B74</f>
        <v>31</v>
      </c>
      <c r="C74" s="267">
        <f>'[15]Degree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'[2]Degree Days 2020'!J74</f>
        <v>0</v>
      </c>
      <c r="K74" s="267">
        <f>'[2]Degree Days 2020'!K74</f>
        <v>0</v>
      </c>
      <c r="L74" s="119">
        <f t="shared" si="6"/>
        <v>-18.3</v>
      </c>
      <c r="M74" s="117">
        <v>27</v>
      </c>
      <c r="N74" s="267">
        <f>'General information '!B31</f>
        <v>0</v>
      </c>
      <c r="O74" s="267">
        <f>'General information '!C31</f>
        <v>0</v>
      </c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'[15]Degree Days 2020'!B75</f>
        <v>32</v>
      </c>
      <c r="C75" s="267">
        <f>'[15]Degree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'[2]Degree Days 2020'!J75</f>
        <v>28</v>
      </c>
      <c r="K75" s="267">
        <f>'[2]Degree Days 2020'!K75</f>
        <v>24</v>
      </c>
      <c r="L75" s="119">
        <f t="shared" si="6"/>
        <v>7.6999999999999993</v>
      </c>
      <c r="M75" s="117">
        <v>28</v>
      </c>
      <c r="N75" s="267">
        <f>'General information '!B32</f>
        <v>0</v>
      </c>
      <c r="O75" s="267">
        <f>'General information '!C32</f>
        <v>0</v>
      </c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'[15]Degree Days 2020'!B76</f>
        <v>32</v>
      </c>
      <c r="C76" s="267">
        <f>'[15]Degree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'[2]Degree Days 2020'!J76</f>
        <v>28</v>
      </c>
      <c r="K76" s="267">
        <f>'[2]Degree Days 2020'!K76</f>
        <v>25</v>
      </c>
      <c r="L76" s="119">
        <f t="shared" si="6"/>
        <v>8.1999999999999993</v>
      </c>
      <c r="M76" s="117">
        <v>29</v>
      </c>
      <c r="N76" s="267">
        <f>'General information '!B33</f>
        <v>0</v>
      </c>
      <c r="O76" s="267">
        <f>'General information '!C33</f>
        <v>0</v>
      </c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'[15]Degree Days 2020'!B77</f>
        <v>31</v>
      </c>
      <c r="C77" s="267">
        <f>'[15]Degree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'[2]Degree Days 2020'!J77</f>
        <v>28</v>
      </c>
      <c r="K77" s="267">
        <f>'[2]Degree Days 2020'!K77</f>
        <v>24</v>
      </c>
      <c r="L77" s="119">
        <f t="shared" si="6"/>
        <v>7.6999999999999993</v>
      </c>
      <c r="M77" s="117">
        <v>30</v>
      </c>
      <c r="N77" s="267">
        <f>'General information '!B34</f>
        <v>0</v>
      </c>
      <c r="O77" s="267">
        <f>'General information '!C34</f>
        <v>0</v>
      </c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'[15]Degree Days 2020'!B78</f>
        <v>31</v>
      </c>
      <c r="C78" s="267">
        <f>'[15]Degree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>
        <f>'General information '!B35</f>
        <v>0</v>
      </c>
      <c r="O78" s="267">
        <f>'General information '!C35</f>
        <v>0</v>
      </c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-292.80000000000007</v>
      </c>
      <c r="O81" s="119">
        <f>SUMIF(P48:P78,"&gt;0")</f>
        <v>94.500000000000028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4" t="s">
        <v>174</v>
      </c>
      <c r="O84" s="734" t="s">
        <v>175</v>
      </c>
      <c r="P84" s="134"/>
      <c r="T84" s="134"/>
      <c r="X84" s="134"/>
    </row>
    <row r="85" spans="1:24" ht="20.25" thickBot="1">
      <c r="D85" s="134"/>
      <c r="I85" s="736" t="s">
        <v>182</v>
      </c>
      <c r="J85" s="737"/>
      <c r="K85" s="737"/>
      <c r="L85" s="737"/>
      <c r="N85" s="735"/>
      <c r="O85" s="735"/>
      <c r="P85" s="134"/>
      <c r="R85" s="17"/>
      <c r="S85" s="17"/>
      <c r="T85" s="140"/>
      <c r="U85" s="141"/>
      <c r="X85" s="134"/>
    </row>
    <row r="86" spans="1:24" ht="18.75" thickBot="1">
      <c r="D86" s="134"/>
      <c r="I86" s="738" t="s">
        <v>183</v>
      </c>
      <c r="J86" s="738"/>
      <c r="K86" s="738"/>
      <c r="L86" s="738"/>
      <c r="N86" s="142">
        <f>B43+F43+J43+N43+R43+V43+B81+F81+J81+N81+R81+V81</f>
        <v>-2331.5000000000005</v>
      </c>
      <c r="O86" s="142">
        <f>C43+G43+K43+O43+S43+W43+C81+G81+K81+O81+S81+W81</f>
        <v>1101.4999999999998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8"/>
      <c r="C88" s="728"/>
      <c r="D88" s="728"/>
      <c r="E88" s="728"/>
      <c r="F88" s="728"/>
      <c r="G88" s="728"/>
      <c r="H88" s="728"/>
      <c r="I88" s="728"/>
      <c r="J88" s="728"/>
      <c r="K88" s="728"/>
      <c r="L88" s="728"/>
      <c r="M88" s="728"/>
      <c r="N88" s="728"/>
      <c r="O88" s="728"/>
      <c r="P88" s="728"/>
      <c r="Q88" s="728"/>
      <c r="R88" s="728"/>
      <c r="S88" s="728"/>
      <c r="T88" s="728"/>
      <c r="U88" s="728"/>
      <c r="V88" s="728"/>
      <c r="W88" s="72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E17" sqref="E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2" t="s">
        <v>215</v>
      </c>
      <c r="B2" s="742"/>
      <c r="C2" s="742"/>
      <c r="D2" s="742"/>
      <c r="E2" s="742"/>
      <c r="F2" s="742"/>
      <c r="G2" s="742"/>
      <c r="H2" s="742"/>
      <c r="I2" s="742"/>
    </row>
    <row r="3" spans="1:11">
      <c r="A3" s="193">
        <v>44473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5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1"/>
    </row>
    <row r="6" spans="1:11">
      <c r="A6" s="184" t="s">
        <v>216</v>
      </c>
      <c r="B6" s="343">
        <f>WATER!C37</f>
        <v>0</v>
      </c>
      <c r="C6" s="322">
        <v>1.66</v>
      </c>
      <c r="D6" s="184">
        <f>SUM(C6*B6)*D4</f>
        <v>0</v>
      </c>
      <c r="E6" s="42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3">
        <v>0</v>
      </c>
      <c r="J6" s="271"/>
    </row>
    <row r="7" spans="1:11">
      <c r="A7" s="184" t="s">
        <v>217</v>
      </c>
      <c r="B7" s="343">
        <f>WATER!H37</f>
        <v>324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1403.3870967741937</v>
      </c>
      <c r="G7" s="493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4">
        <f>tanks!AT37</f>
        <v>24735</v>
      </c>
      <c r="C8" s="478">
        <f>SUM(tanks!AU37)</f>
        <v>0.62300000000000011</v>
      </c>
      <c r="D8" s="191">
        <f>SUM(B8*C8)*D4</f>
        <v>23230431.787500005</v>
      </c>
      <c r="E8" s="192">
        <f>SUM(D8/D4/F4)</f>
        <v>3081.9810000000007</v>
      </c>
      <c r="F8" s="192">
        <f>SUM(E8*F4)</f>
        <v>15409.905000000002</v>
      </c>
      <c r="G8" s="595">
        <f>E8*$G$4</f>
        <v>95541.411000000022</v>
      </c>
      <c r="H8" s="189">
        <v>30289.9</v>
      </c>
      <c r="I8" s="192">
        <f>'[16]Budget 2021'!$K$14</f>
        <v>30289.884387096768</v>
      </c>
      <c r="J8" s="271"/>
    </row>
    <row r="9" spans="1:11">
      <c r="A9" s="2" t="s">
        <v>411</v>
      </c>
      <c r="B9" s="345">
        <f>'B5'!AV36</f>
        <v>0</v>
      </c>
      <c r="C9" s="342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3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6">
        <f>'EDl log'!AA29</f>
        <v>3273</v>
      </c>
      <c r="C10" s="181"/>
      <c r="D10" s="183">
        <f>'EDl log'!AB33</f>
        <v>7578285</v>
      </c>
      <c r="E10" s="182">
        <f>SUM(D10/D4/F4)</f>
        <v>1005.4109452736318</v>
      </c>
      <c r="F10" s="182">
        <f>SUM(E10*F4)</f>
        <v>5027.0547263681592</v>
      </c>
      <c r="G10" s="493">
        <f>E10*$G$4</f>
        <v>31167.739303482587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0">
        <f>SUM(E6:E11)</f>
        <v>4368.0693646284708</v>
      </c>
      <c r="F12" s="180">
        <f>SUM(F6:F10)</f>
        <v>21840.346823142354</v>
      </c>
      <c r="G12" s="179">
        <f>SUM(G6:G10)</f>
        <v>134909.1503034826</v>
      </c>
      <c r="H12" s="179">
        <f>SUM(H6:H11)</f>
        <v>57990.9</v>
      </c>
      <c r="I12" s="221">
        <f>SUM(I6:I11)</f>
        <v>57990.884387096768</v>
      </c>
      <c r="J12" s="271"/>
    </row>
    <row r="13" spans="1:11" ht="30">
      <c r="A13" s="3"/>
      <c r="B13" s="175" t="s">
        <v>225</v>
      </c>
      <c r="C13" s="412" t="s">
        <v>382</v>
      </c>
      <c r="D13" s="412" t="s">
        <v>386</v>
      </c>
      <c r="E13" s="412" t="s">
        <v>383</v>
      </c>
      <c r="F13" s="412" t="s">
        <v>407</v>
      </c>
      <c r="G13" s="414"/>
      <c r="H13" s="17"/>
      <c r="I13" s="17"/>
      <c r="J13" s="17"/>
    </row>
    <row r="14" spans="1:11">
      <c r="A14" s="439" t="s">
        <v>301</v>
      </c>
      <c r="B14" s="97">
        <f>'Degree Days 2020'!K81</f>
        <v>176.99999999999997</v>
      </c>
      <c r="C14" s="425">
        <f>'[17]Utility Cost '!B14</f>
        <v>246.49999999999986</v>
      </c>
      <c r="D14" s="170"/>
      <c r="E14" s="425">
        <f>B14-C14</f>
        <v>-69.499999999999886</v>
      </c>
      <c r="F14" s="492">
        <v>0</v>
      </c>
      <c r="G14" s="414"/>
      <c r="H14" s="415">
        <f>SUM(G12-H12)</f>
        <v>76918.250303482608</v>
      </c>
      <c r="I14" s="415">
        <f>SUM(G12-I12)</f>
        <v>76918.265916385833</v>
      </c>
    </row>
    <row r="15" spans="1:11">
      <c r="A15" s="439" t="s">
        <v>302</v>
      </c>
      <c r="B15" s="97">
        <f>'Degree Days 2020'!J81</f>
        <v>-183.00000000000003</v>
      </c>
      <c r="C15" s="425">
        <f>'[17]Utility Cost '!B15</f>
        <v>-1.8000000000000007</v>
      </c>
      <c r="D15" s="170"/>
      <c r="E15" s="425">
        <f>B15-C15</f>
        <v>-181.20000000000002</v>
      </c>
      <c r="F15" s="492">
        <v>0</v>
      </c>
      <c r="G15" s="414"/>
      <c r="H15" s="17"/>
      <c r="I15" s="17"/>
      <c r="J15" s="17"/>
    </row>
    <row r="16" spans="1:11">
      <c r="A16" s="439" t="s">
        <v>303</v>
      </c>
      <c r="B16" s="543">
        <f>'General information '!D37</f>
        <v>73.8</v>
      </c>
      <c r="C16" s="425">
        <f>'[17]Utility Cost '!B16</f>
        <v>25.661290322580644</v>
      </c>
      <c r="D16" s="424"/>
      <c r="E16" s="629">
        <f>B16-C16</f>
        <v>48.138709677419357</v>
      </c>
      <c r="F16" s="511">
        <v>0</v>
      </c>
      <c r="G16" s="414"/>
      <c r="H16" s="17"/>
      <c r="I16" s="17"/>
      <c r="J16" s="17"/>
    </row>
    <row r="17" spans="1:10">
      <c r="A17" s="503" t="s">
        <v>315</v>
      </c>
      <c r="B17" s="506">
        <f>'General information '!F36</f>
        <v>0</v>
      </c>
      <c r="C17" s="425">
        <f>'[17]Utility Cost '!B17</f>
        <v>0</v>
      </c>
      <c r="D17" s="466">
        <v>0</v>
      </c>
      <c r="E17" s="505">
        <f>B17-C17</f>
        <v>0</v>
      </c>
      <c r="F17" s="509">
        <f>B17-D17</f>
        <v>0</v>
      </c>
      <c r="G17" s="17"/>
      <c r="H17" s="17"/>
      <c r="I17" s="17"/>
      <c r="J17" s="17"/>
    </row>
    <row r="18" spans="1:10">
      <c r="A18" s="504" t="s">
        <v>384</v>
      </c>
      <c r="B18" s="508">
        <f>GEN!Z34</f>
        <v>159</v>
      </c>
      <c r="C18" s="425">
        <f>'[17]Utility Cost '!B18</f>
        <v>103</v>
      </c>
      <c r="D18" s="422">
        <f>'[18]Other Fuel Calculation 2021'!$G$116</f>
        <v>202.66666666666666</v>
      </c>
      <c r="E18" s="507">
        <f>B18-C18</f>
        <v>56</v>
      </c>
      <c r="F18" s="510">
        <f>B18-D18</f>
        <v>-43.666666666666657</v>
      </c>
    </row>
    <row r="19" spans="1:10">
      <c r="A19" s="504" t="s">
        <v>408</v>
      </c>
      <c r="B19" s="502">
        <f>SUM(B18/$F$4)</f>
        <v>31.8</v>
      </c>
      <c r="C19" s="628">
        <f>'[17]Utility Cost '!B19</f>
        <v>3.3225806451612905</v>
      </c>
      <c r="D19" s="423"/>
      <c r="E19" s="423"/>
      <c r="F19" s="49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7" t="s">
        <v>377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2021-10-27T06:48:46Z</dcterms:modified>
</cp:coreProperties>
</file>