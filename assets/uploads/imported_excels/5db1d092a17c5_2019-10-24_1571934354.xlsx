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G2" i="1" l="1"/>
  <c r="G3" i="1"/>
  <c r="G4" i="1"/>
  <c r="G5" i="1"/>
  <c r="G9" i="1"/>
  <c r="G10" i="1"/>
  <c r="I8" i="1"/>
  <c r="I9" i="1"/>
  <c r="G8" i="1"/>
  <c r="E8" i="1"/>
  <c r="L32" i="1" l="1"/>
  <c r="K32" i="1"/>
  <c r="I32" i="1"/>
  <c r="G32" i="1"/>
  <c r="E32" i="1"/>
  <c r="B32" i="1"/>
  <c r="B32" i="3"/>
  <c r="I3" i="1"/>
  <c r="I4" i="1"/>
  <c r="I5" i="1"/>
  <c r="I6" i="1"/>
  <c r="I7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<sst xmlns="http://schemas.openxmlformats.org/spreadsheetml/2006/main" count="108" uniqueCount="33">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</sst>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26" sqref="E26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v>2019</v>
      </c>
      <c r="E2" s="20">
        <f>Submetering!E3</f>
        <v>9011.25</v>
      </c>
      <c r="F2" s="16">
        <v>0.12</v>
      </c>
      <c r="G2" s="20">
        <f>Submetering!F3+Submetering!G3</f>
        <v>218.14034010691591</v>
      </c>
      <c r="H2" s="16">
        <v>0.71</v>
      </c>
      <c r="I2" s="20">
        <f>Submetering!J3+Submetering!I3+Submetering!H3</f>
        <v>103.065</v>
      </c>
      <c r="J2" s="16">
        <v>2.3196172978505634</v>
      </c>
      <c r="K2" s="20">
        <f>Submetering!K2</f>
        <v>101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10</v>
      </c>
      <c r="D3" s="9">
        <v>2019</v>
      </c>
      <c r="E3" s="20">
        <f>Submetering!E4</f>
        <v>8928</v>
      </c>
      <c r="F3" s="16">
        <v>0.12</v>
      </c>
      <c r="G3" s="20">
        <f>Submetering!F4+Submetering!G4</f>
        <v>216.71236898102805</v>
      </c>
      <c r="H3" s="16">
        <v>0.71</v>
      </c>
      <c r="I3" s="20">
        <f>Submetering!J4+Submetering!I4+Submetering!H4</f>
        <v>83.081000000000003</v>
      </c>
      <c r="J3" s="16">
        <v>2.3196172978505634</v>
      </c>
      <c r="K3" s="20">
        <f>Submetering!K3</f>
        <v>76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10</v>
      </c>
      <c r="D4" s="9">
        <v>2019</v>
      </c>
      <c r="E4" s="20">
        <f>Submetering!E5</f>
        <v>8930.25</v>
      </c>
      <c r="F4" s="16">
        <v>0.12</v>
      </c>
      <c r="G4" s="20">
        <f>Submetering!F5+Submetering!G5</f>
        <v>213.32950307532712</v>
      </c>
      <c r="H4" s="16">
        <v>0.71</v>
      </c>
      <c r="I4" s="20">
        <f>Submetering!J5+Submetering!I5+Submetering!H5</f>
        <v>93.325999999999993</v>
      </c>
      <c r="J4" s="16">
        <v>2.3196172978505634</v>
      </c>
      <c r="K4" s="20">
        <f>Submetering!K4</f>
        <v>73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10</v>
      </c>
      <c r="D5" s="9">
        <v>2019</v>
      </c>
      <c r="E5" s="20">
        <f>Submetering!E6</f>
        <v>9092.25</v>
      </c>
      <c r="F5" s="16">
        <v>0.12</v>
      </c>
      <c r="G5" s="20">
        <f>Submetering!F6+Submetering!G6</f>
        <v>213.71649957112152</v>
      </c>
      <c r="H5" s="16">
        <v>0.71</v>
      </c>
      <c r="I5" s="20">
        <f>Submetering!J6+Submetering!I6+Submetering!H6</f>
        <v>88.942999999999998</v>
      </c>
      <c r="J5" s="16">
        <v>2.3196172978505634</v>
      </c>
      <c r="K5" s="20">
        <f>Submetering!K5</f>
        <v>79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10</v>
      </c>
      <c r="D6" s="9">
        <v>2019</v>
      </c>
      <c r="E6" s="20">
        <f>Submetering!E7</f>
        <v>9036</v>
      </c>
      <c r="F6" s="16">
        <v>0.12</v>
      </c>
      <c r="G6" s="20">
        <f>Submetering!F7+Submetering!G7</f>
        <v>213.07867563644862</v>
      </c>
      <c r="H6" s="16">
        <v>0.71</v>
      </c>
      <c r="I6" s="20">
        <f>Submetering!J7+Submetering!I7+Submetering!H7</f>
        <v>83.257000000000005</v>
      </c>
      <c r="J6" s="16">
        <v>2.3196172978505634</v>
      </c>
      <c r="K6" s="20">
        <f>Submetering!K6</f>
        <v>78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10</v>
      </c>
      <c r="D7" s="9">
        <v>2019</v>
      </c>
      <c r="E7" s="20">
        <f>Submetering!E8</f>
        <v>9173.25</v>
      </c>
      <c r="F7" s="16">
        <v>0.12</v>
      </c>
      <c r="G7" s="20">
        <f>Submetering!F8+Submetering!G8</f>
        <v>213.11179729579442</v>
      </c>
      <c r="H7" s="16">
        <v>0.71</v>
      </c>
      <c r="I7" s="20">
        <f>Submetering!J8+Submetering!I8+Submetering!H8</f>
        <v>97.513999999999996</v>
      </c>
      <c r="J7" s="16">
        <v>2.3196172978505634</v>
      </c>
      <c r="K7" s="20">
        <f>Submetering!K7</f>
        <v>72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10</v>
      </c>
      <c r="D8" s="9">
        <v>2019</v>
      </c>
      <c r="E8" s="20">
        <f>Submetering!E9</f>
        <v>9378</v>
      </c>
      <c r="F8" s="16">
        <v>0.12</v>
      </c>
      <c r="G8" s="20">
        <f>Submetering!F9+Submetering!G9</f>
        <v>212.63368777168225</v>
      </c>
      <c r="H8" s="16">
        <v>0.71</v>
      </c>
      <c r="I8" s="20">
        <f>Submetering!J9+Submetering!I9+Submetering!H9</f>
        <v>95.13</v>
      </c>
      <c r="J8" s="16">
        <v>2.3196172978505634</v>
      </c>
      <c r="K8" s="20">
        <f>Submetering!K8</f>
        <v>97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10</v>
      </c>
      <c r="D9" s="9">
        <v>2019</v>
      </c>
      <c r="E9" s="20">
        <f>Submetering!E9</f>
        <v>9378</v>
      </c>
      <c r="F9" s="16">
        <v>0.12</v>
      </c>
      <c r="G9" s="20">
        <f>Submetering!F10+Submetering!G10</f>
        <v>172.47091455495328</v>
      </c>
      <c r="H9" s="16">
        <v>0.71</v>
      </c>
      <c r="I9" s="20">
        <f>Submetering!J10+Submetering!I10+Submetering!H10</f>
        <v>91.686000000000007</v>
      </c>
      <c r="J9" s="16">
        <v>2.3196172978505634</v>
      </c>
      <c r="K9" s="20">
        <f>Submetering!K9</f>
        <v>111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10</v>
      </c>
      <c r="D10" s="9">
        <v>2019</v>
      </c>
      <c r="E10" s="20">
        <f>Submetering!E10</f>
        <v>9418.5</v>
      </c>
      <c r="F10" s="16">
        <v>0.12</v>
      </c>
      <c r="G10" s="20">
        <f>Submetering!F11+Submetering!G11</f>
        <v>129.84830037719627</v>
      </c>
      <c r="H10" s="16">
        <v>0.71</v>
      </c>
      <c r="I10" s="20">
        <f>Submetering!J10+Submetering!I10+Submetering!H10</f>
        <v>91.686000000000007</v>
      </c>
      <c r="J10" s="16">
        <v>2.3196172978505634</v>
      </c>
      <c r="K10" s="20">
        <f>Submetering!K10</f>
        <v>107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10</v>
      </c>
      <c r="D11" s="9">
        <v>2019</v>
      </c>
      <c r="E11" s="20">
        <f>Submetering!E11</f>
        <v>9402.75</v>
      </c>
      <c r="F11" s="16">
        <v>0.12</v>
      </c>
      <c r="G11" s="20">
        <f>Submetering!F11+Submetering!G11</f>
        <v>129.84830037719627</v>
      </c>
      <c r="H11" s="16">
        <v>0.71</v>
      </c>
      <c r="I11" s="20">
        <f>Submetering!J11+Submetering!I11+Submetering!H11</f>
        <v>93.248000000000005</v>
      </c>
      <c r="J11" s="16">
        <v>2.3196172978505634</v>
      </c>
      <c r="K11" s="20">
        <f>Submetering!K11</f>
        <v>104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10</v>
      </c>
      <c r="D12" s="9">
        <v>2019</v>
      </c>
      <c r="E12" s="20">
        <f>Submetering!E12</f>
        <v>9657</v>
      </c>
      <c r="F12" s="16">
        <v>0.12</v>
      </c>
      <c r="G12" s="20">
        <f>Submetering!F12+Submetering!G12</f>
        <v>174.87615803439255</v>
      </c>
      <c r="H12" s="16">
        <v>0.71</v>
      </c>
      <c r="I12" s="20">
        <f>Submetering!J12+Submetering!I12+Submetering!H12</f>
        <v>101.18</v>
      </c>
      <c r="J12" s="16">
        <v>2.3196172978505634</v>
      </c>
      <c r="K12" s="20">
        <f>Submetering!K12</f>
        <v>80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10</v>
      </c>
      <c r="D13" s="9">
        <v>2019</v>
      </c>
      <c r="E13" s="20">
        <f>Submetering!E13</f>
        <v>9389.25</v>
      </c>
      <c r="F13" s="16">
        <v>0.12</v>
      </c>
      <c r="G13" s="20">
        <f>Submetering!F13+Submetering!G13</f>
        <v>130.76941923233645</v>
      </c>
      <c r="H13" s="16">
        <v>0.71</v>
      </c>
      <c r="I13" s="20">
        <f>Submetering!J13+Submetering!I13+Submetering!H13</f>
        <v>91.113</v>
      </c>
      <c r="J13" s="16">
        <v>2.3196172978505634</v>
      </c>
      <c r="K13" s="20">
        <f>Submetering!K13</f>
        <v>72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10</v>
      </c>
      <c r="D14" s="9">
        <v>2019</v>
      </c>
      <c r="E14" s="20">
        <f>Submetering!E14</f>
        <v>9661.5</v>
      </c>
      <c r="F14" s="16">
        <v>0.12</v>
      </c>
      <c r="G14" s="20">
        <f>Submetering!F14+Submetering!G14</f>
        <v>93.414375543925246</v>
      </c>
      <c r="H14" s="16">
        <v>0.71</v>
      </c>
      <c r="I14" s="20">
        <f>Submetering!J14+Submetering!I14+Submetering!H14</f>
        <v>79.551999999999992</v>
      </c>
      <c r="J14" s="16">
        <v>2.3196172978505634</v>
      </c>
      <c r="K14" s="20">
        <f>Submetering!K14</f>
        <v>59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10</v>
      </c>
      <c r="D15" s="9">
        <v>2019</v>
      </c>
      <c r="E15" s="20">
        <f>Submetering!E15</f>
        <v>10019.25</v>
      </c>
      <c r="F15" s="16">
        <v>0.12</v>
      </c>
      <c r="G15" s="20">
        <f>Submetering!F15+Submetering!G15</f>
        <v>156.01230871411218</v>
      </c>
      <c r="H15" s="16">
        <v>0.71</v>
      </c>
      <c r="I15" s="20">
        <f>Submetering!J15+Submetering!I15+Submetering!H15</f>
        <v>98.075999999999993</v>
      </c>
      <c r="J15" s="16">
        <v>2.3196172978505634</v>
      </c>
      <c r="K15" s="20">
        <f>Submetering!K15</f>
        <v>99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10</v>
      </c>
      <c r="D16" s="9">
        <v>2019</v>
      </c>
      <c r="E16" s="20">
        <f>Submetering!E16</f>
        <v>9501.75</v>
      </c>
      <c r="F16" s="16">
        <v>0.12</v>
      </c>
      <c r="G16" s="20">
        <f>Submetering!F16+Submetering!G16</f>
        <v>125.68892875897197</v>
      </c>
      <c r="H16" s="16">
        <v>0.71</v>
      </c>
      <c r="I16" s="20">
        <f>Submetering!J16+Submetering!I16+Submetering!H16</f>
        <v>95.581999999999994</v>
      </c>
      <c r="J16" s="16">
        <v>2.3196172978505634</v>
      </c>
      <c r="K16" s="20">
        <f>Submetering!K16</f>
        <v>115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10</v>
      </c>
      <c r="D17" s="9">
        <v>2019</v>
      </c>
      <c r="E17" s="20">
        <f>Submetering!E17</f>
        <v>9092.25</v>
      </c>
      <c r="F17" s="16">
        <v>0.12</v>
      </c>
      <c r="G17" s="20">
        <f>Submetering!F17+Submetering!G17</f>
        <v>171.19002857635516</v>
      </c>
      <c r="H17" s="16">
        <v>0.71</v>
      </c>
      <c r="I17" s="20">
        <f>Submetering!J17+Submetering!I17+Submetering!H17</f>
        <v>97.83</v>
      </c>
      <c r="J17" s="16">
        <v>2.3196172978505634</v>
      </c>
      <c r="K17" s="20">
        <f>Submetering!K17</f>
        <v>115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10</v>
      </c>
      <c r="D18" s="9">
        <v>2019</v>
      </c>
      <c r="E18" s="20">
        <f>Submetering!E18</f>
        <v>9443.25</v>
      </c>
      <c r="F18" s="16">
        <v>0.12</v>
      </c>
      <c r="G18" s="20">
        <f>Submetering!F18+Submetering!G18</f>
        <v>178.60934650495329</v>
      </c>
      <c r="H18" s="16">
        <v>0.71</v>
      </c>
      <c r="I18" s="20">
        <f>Submetering!J18+Submetering!I18+Submetering!H18</f>
        <v>92.102000000000004</v>
      </c>
      <c r="J18" s="16">
        <v>2.3196172978505634</v>
      </c>
      <c r="K18" s="20">
        <f>Submetering!K18</f>
        <v>112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10</v>
      </c>
      <c r="D19" s="9">
        <v>2019</v>
      </c>
      <c r="E19" s="20">
        <f>Submetering!E19</f>
        <v>9330.75</v>
      </c>
      <c r="F19" s="16">
        <v>0.12</v>
      </c>
      <c r="G19" s="20">
        <f>Submetering!F19+Submetering!G19</f>
        <v>197.90652701700935</v>
      </c>
      <c r="H19" s="16">
        <v>0.71</v>
      </c>
      <c r="I19" s="20">
        <f>Submetering!J19+Submetering!I19+Submetering!H19</f>
        <v>93.191000000000003</v>
      </c>
      <c r="J19" s="16">
        <v>2.3196172978505634</v>
      </c>
      <c r="K19" s="20">
        <f>Submetering!K19</f>
        <v>61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10</v>
      </c>
      <c r="D20" s="9">
        <v>2019</v>
      </c>
      <c r="E20" s="20">
        <f>Submetering!E20</f>
        <v>9004.5</v>
      </c>
      <c r="F20" s="16">
        <v>0.12</v>
      </c>
      <c r="G20" s="20">
        <f>Submetering!F20+Submetering!G20</f>
        <v>110.4063373317757</v>
      </c>
      <c r="H20" s="16">
        <v>0.71</v>
      </c>
      <c r="I20" s="20">
        <f>Submetering!J20+Submetering!I20+Submetering!H20</f>
        <v>78.137</v>
      </c>
      <c r="J20" s="16">
        <v>2.3196172978505634</v>
      </c>
      <c r="K20" s="20">
        <f>Submetering!K20</f>
        <v>54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10</v>
      </c>
      <c r="D21" s="9">
        <v>2019</v>
      </c>
      <c r="E21" s="20">
        <f>Submetering!E21</f>
        <v>8732.25</v>
      </c>
      <c r="F21" s="16">
        <v>0.12</v>
      </c>
      <c r="G21" s="20">
        <f>Submetering!F21+Submetering!G21</f>
        <v>129.35834192355142</v>
      </c>
      <c r="H21" s="16">
        <v>0.71</v>
      </c>
      <c r="I21" s="20">
        <f>Submetering!J21+Submetering!I21+Submetering!H21</f>
        <v>72.108000000000004</v>
      </c>
      <c r="J21" s="16">
        <v>2.3196172978505634</v>
      </c>
      <c r="K21" s="20">
        <f>Submetering!K21</f>
        <v>51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10</v>
      </c>
      <c r="D22" s="9">
        <v>2019</v>
      </c>
      <c r="E22" s="20">
        <f>Submetering!E22</f>
        <v>8678.25</v>
      </c>
      <c r="F22" s="16">
        <v>0.12</v>
      </c>
      <c r="G22" s="20">
        <f>Submetering!F22+Submetering!G22</f>
        <v>142.5473049873832</v>
      </c>
      <c r="H22" s="16">
        <v>0.71</v>
      </c>
      <c r="I22" s="20">
        <f>Submetering!J22+Submetering!I22+Submetering!H22</f>
        <v>73.018000000000001</v>
      </c>
      <c r="J22" s="16">
        <v>2.3196172978505634</v>
      </c>
      <c r="K22" s="20">
        <f>Submetering!K22</f>
        <v>49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10</v>
      </c>
      <c r="D23" s="9">
        <v>2019</v>
      </c>
      <c r="E23" s="20">
        <f>Submetering!E23</f>
        <v>8532</v>
      </c>
      <c r="F23" s="16">
        <v>0.12</v>
      </c>
      <c r="G23" s="20">
        <f>Submetering!F23+Submetering!G23</f>
        <v>156.56578382495329</v>
      </c>
      <c r="H23" s="16">
        <v>0.71</v>
      </c>
      <c r="I23" s="20">
        <f>Submetering!J23+Submetering!I23+Submetering!H23</f>
        <v>73.099000000000004</v>
      </c>
      <c r="J23" s="16">
        <v>2.3196172978505634</v>
      </c>
      <c r="K23" s="20">
        <f>Submetering!K23</f>
        <v>67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10</v>
      </c>
      <c r="D24" s="9">
        <v>2019</v>
      </c>
      <c r="E24" s="20">
        <f>Submetering!E24</f>
        <v>8671.5</v>
      </c>
      <c r="F24" s="16">
        <v>0.12</v>
      </c>
      <c r="G24" s="20">
        <f>Submetering!F24+Submetering!G24</f>
        <v>197.09633008719629</v>
      </c>
      <c r="H24" s="16">
        <v>0.71</v>
      </c>
      <c r="I24" s="20">
        <f>Submetering!J24+Submetering!I24+Submetering!H24</f>
        <v>72.241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10</v>
      </c>
      <c r="D25" s="9">
        <v>2019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10</v>
      </c>
      <c r="D26" s="9">
        <v>2019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10</v>
      </c>
      <c r="D27" s="9">
        <v>2019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10</v>
      </c>
      <c r="D28" s="9">
        <v>2019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10</v>
      </c>
      <c r="D29" s="9">
        <v>2019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10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10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10</v>
      </c>
      <c r="D32" s="9">
        <v>2019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4" sqref="K24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10</v>
      </c>
      <c r="D2" s="6">
        <v>2019</v>
      </c>
      <c r="E2" s="20">
        <v>9330.75</v>
      </c>
      <c r="F2" s="20">
        <v>197.14304935794394</v>
      </c>
      <c r="G2" s="20">
        <v>18.02</v>
      </c>
      <c r="H2" s="20">
        <v>10.239000000000001</v>
      </c>
      <c r="I2" s="20">
        <v>52</v>
      </c>
      <c r="J2" s="20">
        <v>29</v>
      </c>
      <c r="K2" s="20">
        <v>101</v>
      </c>
    </row>
    <row r="3" spans="1:12" x14ac:dyDescent="0.25">
      <c r="A3" s="17" t="s">
        <v>32</v>
      </c>
      <c r="B3" s="6">
        <f>B2+1</f>
        <v>2</v>
      </c>
      <c r="C3" s="6">
        <v>10</v>
      </c>
      <c r="D3" s="6">
        <v>2019</v>
      </c>
      <c r="E3" s="20">
        <v>9011.25</v>
      </c>
      <c r="F3" s="20">
        <v>197.14304935794394</v>
      </c>
      <c r="G3" s="20">
        <v>20.997290748971963</v>
      </c>
      <c r="H3" s="20">
        <v>10.065</v>
      </c>
      <c r="I3" s="20">
        <v>58</v>
      </c>
      <c r="J3" s="20">
        <v>35</v>
      </c>
      <c r="K3" s="20">
        <v>76</v>
      </c>
    </row>
    <row r="4" spans="1:12" x14ac:dyDescent="0.25">
      <c r="A4" s="17" t="s">
        <v>32</v>
      </c>
      <c r="B4" s="6">
        <f t="shared" ref="B4:B32" si="0">B3+1</f>
        <v>3</v>
      </c>
      <c r="C4" s="6">
        <v>10</v>
      </c>
      <c r="D4" s="6">
        <v>2019</v>
      </c>
      <c r="E4" s="20">
        <v>8928</v>
      </c>
      <c r="F4" s="20">
        <v>197.14304935794394</v>
      </c>
      <c r="G4" s="20">
        <v>19.569319623084112</v>
      </c>
      <c r="H4" s="20">
        <v>8.0809999999999995</v>
      </c>
      <c r="I4" s="20">
        <v>43</v>
      </c>
      <c r="J4" s="20">
        <v>32</v>
      </c>
      <c r="K4" s="20">
        <v>73</v>
      </c>
    </row>
    <row r="5" spans="1:12" x14ac:dyDescent="0.25">
      <c r="A5" s="17" t="s">
        <v>32</v>
      </c>
      <c r="B5" s="6">
        <f t="shared" si="0"/>
        <v>4</v>
      </c>
      <c r="C5" s="6">
        <v>10</v>
      </c>
      <c r="D5" s="6">
        <v>2019</v>
      </c>
      <c r="E5" s="20">
        <v>8930.25</v>
      </c>
      <c r="F5" s="20">
        <v>197.14304935794394</v>
      </c>
      <c r="G5" s="20">
        <v>16.186453717383181</v>
      </c>
      <c r="H5" s="20">
        <v>7.3259999999999996</v>
      </c>
      <c r="I5" s="20">
        <v>56</v>
      </c>
      <c r="J5" s="20">
        <v>30</v>
      </c>
      <c r="K5" s="20">
        <v>79</v>
      </c>
    </row>
    <row r="6" spans="1:12" x14ac:dyDescent="0.25">
      <c r="A6" s="17" t="s">
        <v>32</v>
      </c>
      <c r="B6" s="6">
        <f t="shared" si="0"/>
        <v>5</v>
      </c>
      <c r="C6" s="6">
        <v>10</v>
      </c>
      <c r="D6" s="6">
        <v>2019</v>
      </c>
      <c r="E6" s="20">
        <v>9092.25</v>
      </c>
      <c r="F6" s="20">
        <v>197.14304935794394</v>
      </c>
      <c r="G6" s="20">
        <v>16.573450213177573</v>
      </c>
      <c r="H6" s="20">
        <v>6.9429999999999996</v>
      </c>
      <c r="I6" s="20">
        <v>53</v>
      </c>
      <c r="J6" s="20">
        <v>29</v>
      </c>
      <c r="K6" s="20">
        <v>78</v>
      </c>
    </row>
    <row r="7" spans="1:12" x14ac:dyDescent="0.25">
      <c r="A7" s="17" t="s">
        <v>32</v>
      </c>
      <c r="B7" s="6">
        <f t="shared" si="0"/>
        <v>6</v>
      </c>
      <c r="C7" s="6">
        <v>10</v>
      </c>
      <c r="D7" s="6">
        <v>2019</v>
      </c>
      <c r="E7" s="20">
        <v>9036</v>
      </c>
      <c r="F7" s="20">
        <v>197.14304935794394</v>
      </c>
      <c r="G7" s="20">
        <v>15.935626278504675</v>
      </c>
      <c r="H7" s="20">
        <v>7.2569999999999997</v>
      </c>
      <c r="I7" s="20">
        <v>45</v>
      </c>
      <c r="J7" s="20">
        <v>31</v>
      </c>
      <c r="K7" s="20">
        <v>72</v>
      </c>
    </row>
    <row r="8" spans="1:12" x14ac:dyDescent="0.25">
      <c r="A8" s="17" t="s">
        <v>32</v>
      </c>
      <c r="B8" s="6">
        <f t="shared" si="0"/>
        <v>7</v>
      </c>
      <c r="C8" s="6">
        <v>10</v>
      </c>
      <c r="D8" s="6">
        <v>2019</v>
      </c>
      <c r="E8" s="20">
        <v>9173.25</v>
      </c>
      <c r="F8" s="20">
        <v>197.14304935794394</v>
      </c>
      <c r="G8" s="20">
        <v>15.968747937850468</v>
      </c>
      <c r="H8" s="20">
        <v>11.513999999999999</v>
      </c>
      <c r="I8" s="20">
        <v>56</v>
      </c>
      <c r="J8" s="20">
        <v>30</v>
      </c>
      <c r="K8" s="20">
        <v>97</v>
      </c>
    </row>
    <row r="9" spans="1:12" x14ac:dyDescent="0.25">
      <c r="A9" s="17" t="s">
        <v>32</v>
      </c>
      <c r="B9" s="6">
        <f t="shared" si="0"/>
        <v>8</v>
      </c>
      <c r="C9" s="6">
        <v>10</v>
      </c>
      <c r="D9" s="6">
        <v>2019</v>
      </c>
      <c r="E9" s="20">
        <v>9378</v>
      </c>
      <c r="F9" s="20">
        <v>197.14304935794394</v>
      </c>
      <c r="G9" s="20">
        <v>15.490638413738319</v>
      </c>
      <c r="H9" s="20">
        <v>11.13</v>
      </c>
      <c r="I9" s="20">
        <v>52</v>
      </c>
      <c r="J9" s="20">
        <v>32</v>
      </c>
      <c r="K9" s="20">
        <v>111</v>
      </c>
    </row>
    <row r="10" spans="1:12" x14ac:dyDescent="0.25">
      <c r="A10" s="17" t="s">
        <v>32</v>
      </c>
      <c r="B10" s="6">
        <f t="shared" si="0"/>
        <v>9</v>
      </c>
      <c r="C10" s="6">
        <v>10</v>
      </c>
      <c r="D10" s="6">
        <v>2019</v>
      </c>
      <c r="E10" s="20">
        <v>9418.5</v>
      </c>
      <c r="F10" s="20">
        <v>153.76662192897197</v>
      </c>
      <c r="G10" s="20">
        <v>18.70429262598131</v>
      </c>
      <c r="H10" s="20">
        <v>9.6859999999999999</v>
      </c>
      <c r="I10" s="20">
        <v>50</v>
      </c>
      <c r="J10" s="20">
        <v>32</v>
      </c>
      <c r="K10" s="20">
        <v>107</v>
      </c>
    </row>
    <row r="11" spans="1:12" x14ac:dyDescent="0.25">
      <c r="A11" s="17" t="s">
        <v>32</v>
      </c>
      <c r="B11" s="6">
        <f t="shared" si="0"/>
        <v>10</v>
      </c>
      <c r="C11" s="6">
        <v>10</v>
      </c>
      <c r="D11" s="6">
        <v>2019</v>
      </c>
      <c r="E11" s="20">
        <v>9402.75</v>
      </c>
      <c r="F11" s="20">
        <v>112.9212018869159</v>
      </c>
      <c r="G11" s="20">
        <v>16.927098490280375</v>
      </c>
      <c r="H11" s="20">
        <v>7.2480000000000002</v>
      </c>
      <c r="I11" s="20">
        <v>50</v>
      </c>
      <c r="J11" s="20">
        <v>36</v>
      </c>
      <c r="K11" s="20">
        <v>104</v>
      </c>
    </row>
    <row r="12" spans="1:12" x14ac:dyDescent="0.25">
      <c r="A12" s="17" t="s">
        <v>32</v>
      </c>
      <c r="B12" s="6">
        <f t="shared" si="0"/>
        <v>11</v>
      </c>
      <c r="C12" s="6">
        <v>10</v>
      </c>
      <c r="D12" s="6">
        <v>2019</v>
      </c>
      <c r="E12" s="20">
        <v>9657</v>
      </c>
      <c r="F12" s="20">
        <v>160.06532240000001</v>
      </c>
      <c r="G12" s="20">
        <v>14.810835634392525</v>
      </c>
      <c r="H12" s="20">
        <v>7.18</v>
      </c>
      <c r="I12" s="20">
        <v>58</v>
      </c>
      <c r="J12" s="20">
        <v>36</v>
      </c>
      <c r="K12" s="20">
        <v>80</v>
      </c>
    </row>
    <row r="13" spans="1:12" x14ac:dyDescent="0.25">
      <c r="A13" s="17" t="s">
        <v>32</v>
      </c>
      <c r="B13" s="6">
        <f t="shared" si="0"/>
        <v>12</v>
      </c>
      <c r="C13" s="6">
        <v>10</v>
      </c>
      <c r="D13" s="6">
        <v>2019</v>
      </c>
      <c r="E13" s="20">
        <v>9389.25</v>
      </c>
      <c r="F13" s="20">
        <v>115.0070843140187</v>
      </c>
      <c r="G13" s="20">
        <v>15.762334918317759</v>
      </c>
      <c r="H13" s="20">
        <v>7.1130000000000004</v>
      </c>
      <c r="I13" s="20">
        <v>51</v>
      </c>
      <c r="J13" s="20">
        <v>33</v>
      </c>
      <c r="K13" s="20">
        <v>72</v>
      </c>
    </row>
    <row r="14" spans="1:12" x14ac:dyDescent="0.25">
      <c r="A14" s="17" t="s">
        <v>32</v>
      </c>
      <c r="B14" s="6">
        <f t="shared" si="0"/>
        <v>13</v>
      </c>
      <c r="C14" s="6">
        <v>10</v>
      </c>
      <c r="D14" s="6">
        <v>2019</v>
      </c>
      <c r="E14" s="20">
        <v>9661.5</v>
      </c>
      <c r="F14" s="20">
        <v>93.414375543925246</v>
      </c>
      <c r="G14" s="20">
        <v>0</v>
      </c>
      <c r="H14" s="20">
        <v>7.5519999999999996</v>
      </c>
      <c r="I14" s="20">
        <v>42</v>
      </c>
      <c r="J14" s="20">
        <v>30</v>
      </c>
      <c r="K14" s="20">
        <v>59</v>
      </c>
    </row>
    <row r="15" spans="1:12" x14ac:dyDescent="0.25">
      <c r="A15" s="17" t="s">
        <v>32</v>
      </c>
      <c r="B15" s="6">
        <f t="shared" si="0"/>
        <v>14</v>
      </c>
      <c r="C15" s="6">
        <v>10</v>
      </c>
      <c r="D15" s="6">
        <v>2019</v>
      </c>
      <c r="E15" s="20">
        <v>10019.25</v>
      </c>
      <c r="F15" s="20">
        <v>139.70660253831778</v>
      </c>
      <c r="G15" s="20">
        <v>16.305706175794395</v>
      </c>
      <c r="H15" s="20">
        <v>11.076000000000001</v>
      </c>
      <c r="I15" s="20">
        <v>52</v>
      </c>
      <c r="J15" s="20">
        <v>35</v>
      </c>
      <c r="K15" s="20">
        <v>99</v>
      </c>
    </row>
    <row r="16" spans="1:12" x14ac:dyDescent="0.25">
      <c r="A16" s="17" t="s">
        <v>32</v>
      </c>
      <c r="B16" s="6">
        <f t="shared" si="0"/>
        <v>15</v>
      </c>
      <c r="C16" s="6">
        <v>10</v>
      </c>
      <c r="D16" s="6">
        <v>2019</v>
      </c>
      <c r="E16" s="20">
        <v>9501.75</v>
      </c>
      <c r="F16" s="20">
        <v>103.65374191495327</v>
      </c>
      <c r="G16" s="20">
        <v>22.035186844018693</v>
      </c>
      <c r="H16" s="20">
        <v>10.582000000000001</v>
      </c>
      <c r="I16" s="20">
        <v>53</v>
      </c>
      <c r="J16" s="20">
        <v>32</v>
      </c>
      <c r="K16" s="20">
        <v>115</v>
      </c>
    </row>
    <row r="17" spans="1:11" x14ac:dyDescent="0.25">
      <c r="A17" s="17" t="s">
        <v>32</v>
      </c>
      <c r="B17" s="6">
        <f t="shared" si="0"/>
        <v>16</v>
      </c>
      <c r="C17" s="6">
        <v>10</v>
      </c>
      <c r="D17" s="6">
        <v>2019</v>
      </c>
      <c r="E17" s="20">
        <v>9092.25</v>
      </c>
      <c r="F17" s="20">
        <v>156.40206160000002</v>
      </c>
      <c r="G17" s="20">
        <v>14.787966976355142</v>
      </c>
      <c r="H17" s="20">
        <v>8.83</v>
      </c>
      <c r="I17" s="20">
        <v>57</v>
      </c>
      <c r="J17" s="20">
        <v>32</v>
      </c>
      <c r="K17" s="20">
        <v>115</v>
      </c>
    </row>
    <row r="18" spans="1:11" x14ac:dyDescent="0.25">
      <c r="A18" s="17" t="s">
        <v>32</v>
      </c>
      <c r="B18" s="6">
        <f t="shared" si="0"/>
        <v>17</v>
      </c>
      <c r="C18" s="6">
        <v>10</v>
      </c>
      <c r="D18" s="6">
        <v>2019</v>
      </c>
      <c r="E18" s="20">
        <v>9443.25</v>
      </c>
      <c r="F18" s="20">
        <v>163.24948522616825</v>
      </c>
      <c r="G18" s="20">
        <v>15.359861278785047</v>
      </c>
      <c r="H18" s="20">
        <v>7.1020000000000003</v>
      </c>
      <c r="I18" s="20">
        <v>52</v>
      </c>
      <c r="J18" s="20">
        <v>33</v>
      </c>
      <c r="K18" s="20">
        <v>112</v>
      </c>
    </row>
    <row r="19" spans="1:11" x14ac:dyDescent="0.25">
      <c r="A19" s="17" t="s">
        <v>32</v>
      </c>
      <c r="B19" s="6">
        <f t="shared" si="0"/>
        <v>18</v>
      </c>
      <c r="C19" s="6">
        <v>10</v>
      </c>
      <c r="D19" s="6">
        <v>2019</v>
      </c>
      <c r="E19" s="20">
        <v>9330.75</v>
      </c>
      <c r="F19" s="20">
        <v>182.60335631495329</v>
      </c>
      <c r="G19" s="20">
        <v>15.303170702056075</v>
      </c>
      <c r="H19" s="20">
        <v>7.1909999999999998</v>
      </c>
      <c r="I19" s="20">
        <v>54</v>
      </c>
      <c r="J19" s="20">
        <v>32</v>
      </c>
      <c r="K19" s="20">
        <v>61</v>
      </c>
    </row>
    <row r="20" spans="1:11" x14ac:dyDescent="0.25">
      <c r="A20" s="17" t="s">
        <v>32</v>
      </c>
      <c r="B20" s="6">
        <f t="shared" si="0"/>
        <v>19</v>
      </c>
      <c r="C20" s="6">
        <v>10</v>
      </c>
      <c r="D20" s="6">
        <v>2019</v>
      </c>
      <c r="E20" s="20">
        <v>9004.5</v>
      </c>
      <c r="F20" s="20">
        <v>94.358437920560746</v>
      </c>
      <c r="G20" s="20">
        <v>16.047899411214953</v>
      </c>
      <c r="H20" s="20">
        <v>7.1369999999999996</v>
      </c>
      <c r="I20" s="20">
        <v>42</v>
      </c>
      <c r="J20" s="20">
        <v>29</v>
      </c>
      <c r="K20" s="20">
        <v>54</v>
      </c>
    </row>
    <row r="21" spans="1:11" x14ac:dyDescent="0.25">
      <c r="A21" s="17" t="s">
        <v>32</v>
      </c>
      <c r="B21" s="6">
        <f t="shared" si="0"/>
        <v>20</v>
      </c>
      <c r="C21" s="6">
        <v>10</v>
      </c>
      <c r="D21" s="6">
        <v>2019</v>
      </c>
      <c r="E21" s="20">
        <v>8732.25</v>
      </c>
      <c r="F21" s="20">
        <v>113.86335578037385</v>
      </c>
      <c r="G21" s="20">
        <v>15.494986143177572</v>
      </c>
      <c r="H21" s="20">
        <v>7.1079999999999997</v>
      </c>
      <c r="I21" s="20">
        <v>38</v>
      </c>
      <c r="J21" s="20">
        <v>27</v>
      </c>
      <c r="K21" s="20">
        <v>51</v>
      </c>
    </row>
    <row r="22" spans="1:11" x14ac:dyDescent="0.25">
      <c r="A22" s="17" t="s">
        <v>32</v>
      </c>
      <c r="B22" s="6">
        <f t="shared" si="0"/>
        <v>21</v>
      </c>
      <c r="C22" s="6">
        <v>10</v>
      </c>
      <c r="D22" s="6">
        <v>2019</v>
      </c>
      <c r="E22" s="20">
        <v>8678.25</v>
      </c>
      <c r="F22" s="20">
        <v>127.18504251028038</v>
      </c>
      <c r="G22" s="20">
        <v>15.362262477102805</v>
      </c>
      <c r="H22" s="20">
        <v>7.0179999999999998</v>
      </c>
      <c r="I22" s="20">
        <v>37</v>
      </c>
      <c r="J22" s="20">
        <v>29</v>
      </c>
      <c r="K22" s="20">
        <v>49</v>
      </c>
    </row>
    <row r="23" spans="1:11" x14ac:dyDescent="0.25">
      <c r="A23" s="17" t="s">
        <v>32</v>
      </c>
      <c r="B23" s="6">
        <f t="shared" si="0"/>
        <v>22</v>
      </c>
      <c r="C23" s="6">
        <v>10</v>
      </c>
      <c r="D23" s="6">
        <v>2019</v>
      </c>
      <c r="E23" s="20">
        <v>8532</v>
      </c>
      <c r="F23" s="20">
        <v>139.77214042990656</v>
      </c>
      <c r="G23" s="20">
        <v>16.793643395046729</v>
      </c>
      <c r="H23" s="20">
        <v>7.0990000000000002</v>
      </c>
      <c r="I23" s="20">
        <v>40</v>
      </c>
      <c r="J23" s="20">
        <v>26</v>
      </c>
      <c r="K23" s="20">
        <v>67</v>
      </c>
    </row>
    <row r="24" spans="1:11" x14ac:dyDescent="0.25">
      <c r="A24" s="17" t="s">
        <v>32</v>
      </c>
      <c r="B24" s="6">
        <f t="shared" si="0"/>
        <v>23</v>
      </c>
      <c r="C24" s="6">
        <v>10</v>
      </c>
      <c r="D24" s="6">
        <v>2019</v>
      </c>
      <c r="E24" s="20">
        <v>8671.5</v>
      </c>
      <c r="F24" s="20">
        <v>174.94098360654209</v>
      </c>
      <c r="G24" s="20">
        <v>22.15534648065421</v>
      </c>
      <c r="H24" s="20">
        <v>7.2409999999999997</v>
      </c>
      <c r="I24" s="20">
        <v>37</v>
      </c>
      <c r="J24" s="20">
        <v>28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10</v>
      </c>
      <c r="D25" s="6">
        <v>2019</v>
      </c>
      <c r="K25" s="20"/>
    </row>
    <row r="26" spans="1:11" x14ac:dyDescent="0.25">
      <c r="A26" s="17" t="s">
        <v>32</v>
      </c>
      <c r="B26" s="6">
        <f>B25+1</f>
        <v>25</v>
      </c>
      <c r="C26" s="6">
        <v>10</v>
      </c>
      <c r="D26" s="6">
        <v>2019</v>
      </c>
      <c r="K26" s="20"/>
    </row>
    <row r="27" spans="1:11" x14ac:dyDescent="0.25">
      <c r="A27" s="17" t="s">
        <v>32</v>
      </c>
      <c r="B27" s="6">
        <f t="shared" si="0"/>
        <v>26</v>
      </c>
      <c r="C27" s="6">
        <v>10</v>
      </c>
      <c r="D27" s="6">
        <v>2019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10</v>
      </c>
      <c r="D28" s="6">
        <v>2019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10</v>
      </c>
      <c r="D29" s="6">
        <v>2019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10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10</v>
      </c>
      <c r="D31" s="6">
        <v>2019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10</v>
      </c>
      <c r="D32" s="6">
        <v>2019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topLeftCell="A25"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2019-10-24T16:25:25Z</dcterms:modified>
</cp:coreProperties>
</file>