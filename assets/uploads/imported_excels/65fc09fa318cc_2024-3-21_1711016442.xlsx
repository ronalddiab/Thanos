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25hours Dubai/"/>
    </mc:Choice>
  </mc:AlternateContent>
  <xr:revisionPtr revIDLastSave="7" documentId="8_{4961E85D-9028-4FD0-AEF9-5AD080A01D67}" xr6:coauthVersionLast="47" xr6:coauthVersionMax="47" xr10:uidLastSave="{7862ECAB-58FA-4A57-B1E6-D0A855A84649}"/>
  <bookViews>
    <workbookView xWindow="-98" yWindow="-98" windowWidth="19396" windowHeight="10276" tabRatio="500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  <c r="E31" i="2"/>
  <c r="F31" i="2"/>
  <c r="G31" i="2"/>
  <c r="H31" i="2"/>
  <c r="I31" i="2"/>
  <c r="J31" i="2"/>
  <c r="K31" i="2"/>
  <c r="K31" i="1" s="1"/>
  <c r="L31" i="2"/>
  <c r="I31" i="1" s="1"/>
  <c r="M31" i="2"/>
  <c r="G31" i="1" s="1"/>
  <c r="N31" i="2"/>
  <c r="B32" i="2"/>
  <c r="E32" i="2"/>
  <c r="E32" i="1" s="1"/>
  <c r="F32" i="2"/>
  <c r="G32" i="2"/>
  <c r="H32" i="2"/>
  <c r="I32" i="2"/>
  <c r="J32" i="2"/>
  <c r="K32" i="2"/>
  <c r="L32" i="2"/>
  <c r="I32" i="1" s="1"/>
  <c r="M32" i="2"/>
  <c r="G32" i="1" s="1"/>
  <c r="N32" i="2"/>
  <c r="B31" i="1"/>
  <c r="B32" i="1" s="1"/>
  <c r="E31" i="1"/>
  <c r="M31" i="1"/>
  <c r="K32" i="1"/>
  <c r="M32" i="1"/>
  <c r="G7" i="2" l="1"/>
  <c r="M2" i="2"/>
  <c r="K2" i="2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F40" i="36"/>
  <c r="D49" i="36" s="1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F25" i="36"/>
  <c r="K27" i="36" s="1"/>
  <c r="F16" i="36"/>
  <c r="F17" i="36" s="1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F8" i="35"/>
  <c r="F9" i="35" s="1"/>
  <c r="F11" i="35" s="1"/>
  <c r="E22" i="34"/>
  <c r="E18" i="34"/>
  <c r="E17" i="34"/>
  <c r="E16" i="34"/>
  <c r="E15" i="34"/>
  <c r="E14" i="34"/>
  <c r="E13" i="34"/>
  <c r="E10" i="34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D10" i="34" s="1"/>
  <c r="F10" i="34" s="1"/>
  <c r="F11" i="34" s="1"/>
  <c r="G11" i="34" s="1"/>
  <c r="G29" i="34" s="1"/>
  <c r="E7" i="33"/>
  <c r="D7" i="34" s="1"/>
  <c r="E3" i="33"/>
  <c r="B3" i="33"/>
  <c r="E22" i="32"/>
  <c r="E18" i="32"/>
  <c r="D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E3" i="32"/>
  <c r="B3" i="32"/>
  <c r="E22" i="31"/>
  <c r="D22" i="32" s="1"/>
  <c r="E18" i="31"/>
  <c r="D18" i="32" s="1"/>
  <c r="E17" i="31"/>
  <c r="D17" i="32" s="1"/>
  <c r="E16" i="31"/>
  <c r="E15" i="31"/>
  <c r="D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D22" i="30" s="1"/>
  <c r="E18" i="29"/>
  <c r="D18" i="30" s="1"/>
  <c r="E17" i="29"/>
  <c r="D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E16" i="27"/>
  <c r="D16" i="28" s="1"/>
  <c r="E15" i="27"/>
  <c r="D15" i="28" s="1"/>
  <c r="E14" i="27"/>
  <c r="E13" i="27"/>
  <c r="D13" i="28" s="1"/>
  <c r="E10" i="27"/>
  <c r="D10" i="28" s="1"/>
  <c r="E7" i="27"/>
  <c r="D7" i="28" s="1"/>
  <c r="E3" i="27"/>
  <c r="B3" i="27"/>
  <c r="E22" i="26"/>
  <c r="E18" i="26"/>
  <c r="D18" i="27" s="1"/>
  <c r="E17" i="26"/>
  <c r="D17" i="27" s="1"/>
  <c r="E16" i="26"/>
  <c r="D16" i="27" s="1"/>
  <c r="E15" i="26"/>
  <c r="D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E16" i="23"/>
  <c r="D16" i="24" s="1"/>
  <c r="E15" i="23"/>
  <c r="D15" i="24" s="1"/>
  <c r="E14" i="23"/>
  <c r="D14" i="24" s="1"/>
  <c r="E13" i="23"/>
  <c r="D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F14" i="21" s="1"/>
  <c r="E13" i="20"/>
  <c r="D13" i="21" s="1"/>
  <c r="E10" i="20"/>
  <c r="D10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E17" i="17"/>
  <c r="D17" i="18" s="1"/>
  <c r="E16" i="17"/>
  <c r="D16" i="18" s="1"/>
  <c r="E15" i="17"/>
  <c r="D15" i="18" s="1"/>
  <c r="E14" i="17"/>
  <c r="D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D17" i="16"/>
  <c r="E16" i="16"/>
  <c r="D16" i="17" s="1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E16" i="15"/>
  <c r="D16" i="16" s="1"/>
  <c r="E15" i="15"/>
  <c r="D15" i="16" s="1"/>
  <c r="E14" i="15"/>
  <c r="E13" i="15"/>
  <c r="D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E16" i="7"/>
  <c r="E15" i="7"/>
  <c r="D15" i="8" s="1"/>
  <c r="E14" i="7"/>
  <c r="E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D13" i="7" s="1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F22" i="4"/>
  <c r="F31" i="4" s="1"/>
  <c r="F18" i="4"/>
  <c r="D17" i="5"/>
  <c r="F16" i="4"/>
  <c r="D15" i="5"/>
  <c r="F14" i="4"/>
  <c r="D13" i="5"/>
  <c r="D10" i="5"/>
  <c r="F7" i="4"/>
  <c r="F8" i="4" s="1"/>
  <c r="E3" i="4"/>
  <c r="E3" i="34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I27" i="1" s="1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G25" i="1" s="1"/>
  <c r="L25" i="2"/>
  <c r="I25" i="1" s="1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I18" i="1" s="1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G16" i="1" s="1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G7" i="1" s="1"/>
  <c r="L7" i="2"/>
  <c r="I7" i="1" s="1"/>
  <c r="K7" i="2"/>
  <c r="K7" i="1" s="1"/>
  <c r="J7" i="2"/>
  <c r="I7" i="2"/>
  <c r="H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G2" i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F22" i="31" l="1"/>
  <c r="F22" i="30"/>
  <c r="F23" i="30" s="1"/>
  <c r="G23" i="30" s="1"/>
  <c r="G31" i="30" s="1"/>
  <c r="F18" i="33"/>
  <c r="F17" i="32"/>
  <c r="F15" i="27"/>
  <c r="E22" i="1"/>
  <c r="E30" i="1"/>
  <c r="E17" i="1"/>
  <c r="F7" i="33"/>
  <c r="F8" i="33" s="1"/>
  <c r="G8" i="33" s="1"/>
  <c r="G28" i="33" s="1"/>
  <c r="F22" i="13"/>
  <c r="F23" i="13" s="1"/>
  <c r="G23" i="13" s="1"/>
  <c r="G31" i="13" s="1"/>
  <c r="F17" i="24"/>
  <c r="F16" i="18"/>
  <c r="F16" i="23"/>
  <c r="F7" i="15"/>
  <c r="F8" i="15" s="1"/>
  <c r="H25" i="36"/>
  <c r="K25" i="36" s="1"/>
  <c r="K28" i="36" s="1"/>
  <c r="E29" i="1"/>
  <c r="F17" i="8"/>
  <c r="F13" i="16"/>
  <c r="F41" i="36"/>
  <c r="F42" i="36" s="1"/>
  <c r="E49" i="36" s="1"/>
  <c r="F7" i="13"/>
  <c r="F8" i="13" s="1"/>
  <c r="G8" i="13" s="1"/>
  <c r="G28" i="13" s="1"/>
  <c r="F10" i="28"/>
  <c r="F11" i="28" s="1"/>
  <c r="G11" i="28" s="1"/>
  <c r="G29" i="28" s="1"/>
  <c r="F15" i="32"/>
  <c r="F18" i="18"/>
  <c r="F17" i="30"/>
  <c r="G14" i="35"/>
  <c r="F10" i="21"/>
  <c r="F11" i="21" s="1"/>
  <c r="F29" i="21" s="1"/>
  <c r="E23" i="1"/>
  <c r="E24" i="1"/>
  <c r="E25" i="1"/>
  <c r="F13" i="24"/>
  <c r="E18" i="1"/>
  <c r="E26" i="1"/>
  <c r="F15" i="26"/>
  <c r="E19" i="1"/>
  <c r="E27" i="1"/>
  <c r="F14" i="29"/>
  <c r="E20" i="1"/>
  <c r="E28" i="1"/>
  <c r="E21" i="1"/>
  <c r="F17" i="17"/>
  <c r="F14" i="18"/>
  <c r="F17" i="18"/>
  <c r="F13" i="18"/>
  <c r="E16" i="1"/>
  <c r="F16" i="17"/>
  <c r="F15" i="12"/>
  <c r="E12" i="1"/>
  <c r="E13" i="1"/>
  <c r="E14" i="1"/>
  <c r="E11" i="1"/>
  <c r="E15" i="1"/>
  <c r="F13" i="14"/>
  <c r="F22" i="10"/>
  <c r="F23" i="10" s="1"/>
  <c r="G23" i="10" s="1"/>
  <c r="G31" i="10" s="1"/>
  <c r="E7" i="1"/>
  <c r="E10" i="1"/>
  <c r="E9" i="1"/>
  <c r="E8" i="1"/>
  <c r="D47" i="35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23" i="8" s="1"/>
  <c r="G23" i="8" s="1"/>
  <c r="G31" i="8" s="1"/>
  <c r="F18" i="14"/>
  <c r="F18" i="21"/>
  <c r="F13" i="28"/>
  <c r="F13" i="30"/>
  <c r="D22" i="33"/>
  <c r="F22" i="33" s="1"/>
  <c r="F31" i="33" s="1"/>
  <c r="H28" i="36"/>
  <c r="N25" i="36" s="1"/>
  <c r="N28" i="36" s="1"/>
  <c r="D22" i="11"/>
  <c r="F22" i="11" s="1"/>
  <c r="F7" i="9"/>
  <c r="F8" i="9" s="1"/>
  <c r="F10" i="19"/>
  <c r="F11" i="19" s="1"/>
  <c r="F29" i="19" s="1"/>
  <c r="F17" i="26"/>
  <c r="F7" i="34"/>
  <c r="F8" i="34" s="1"/>
  <c r="F28" i="34" s="1"/>
  <c r="F10" i="22"/>
  <c r="F11" i="22" s="1"/>
  <c r="F29" i="22" s="1"/>
  <c r="F17" i="28"/>
  <c r="F22" i="16"/>
  <c r="F31" i="16" s="1"/>
  <c r="F13" i="34"/>
  <c r="F15" i="33"/>
  <c r="M28" i="36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F2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F7" i="24"/>
  <c r="F8" i="24" s="1"/>
  <c r="G8" i="24" s="1"/>
  <c r="G28" i="24" s="1"/>
  <c r="F31" i="8"/>
  <c r="G8" i="4"/>
  <c r="G28" i="4" s="1"/>
  <c r="F28" i="4"/>
  <c r="F28" i="9"/>
  <c r="G8" i="9"/>
  <c r="G28" i="9" s="1"/>
  <c r="F14" i="12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F14" i="31"/>
  <c r="D14" i="32"/>
  <c r="F14" i="32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5"/>
  <c r="D7" i="19"/>
  <c r="F7" i="19" s="1"/>
  <c r="F8" i="19" s="1"/>
  <c r="F7" i="18"/>
  <c r="F8" i="18" s="1"/>
  <c r="F13" i="22"/>
  <c r="D22" i="21"/>
  <c r="F22" i="21" s="1"/>
  <c r="F22" i="20"/>
  <c r="D46" i="36"/>
  <c r="F11" i="36"/>
  <c r="F10" i="36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D16" i="11"/>
  <c r="F16" i="11" s="1"/>
  <c r="D16" i="15"/>
  <c r="F16" i="15" s="1"/>
  <c r="F16" i="14"/>
  <c r="F15" i="22"/>
  <c r="D15" i="23"/>
  <c r="F15" i="2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3" i="31"/>
  <c r="G23" i="31" s="1"/>
  <c r="G31" i="31" s="1"/>
  <c r="F31" i="31"/>
  <c r="F13" i="33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4" i="19"/>
  <c r="D17" i="20"/>
  <c r="F17" i="20" s="1"/>
  <c r="F18" i="22"/>
  <c r="F18" i="24"/>
  <c r="F7" i="26"/>
  <c r="F8" i="26" s="1"/>
  <c r="D15" i="29"/>
  <c r="F15" i="29" s="1"/>
  <c r="F15" i="30"/>
  <c r="F10" i="31"/>
  <c r="F11" i="31" s="1"/>
  <c r="F31" i="35"/>
  <c r="F31" i="36"/>
  <c r="D18" i="11"/>
  <c r="F18" i="11" s="1"/>
  <c r="F10" i="12"/>
  <c r="F11" i="12" s="1"/>
  <c r="F14" i="16"/>
  <c r="F13" i="17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0" i="26"/>
  <c r="F11" i="26" s="1"/>
  <c r="F10" i="27"/>
  <c r="F11" i="27" s="1"/>
  <c r="D16" i="29"/>
  <c r="F16" i="29" s="1"/>
  <c r="F10" i="30"/>
  <c r="F11" i="30" s="1"/>
  <c r="F13" i="31"/>
  <c r="F22" i="36"/>
  <c r="F23" i="22" l="1"/>
  <c r="G23" i="22" s="1"/>
  <c r="G31" i="22" s="1"/>
  <c r="F31" i="13"/>
  <c r="F19" i="33"/>
  <c r="F19" i="29"/>
  <c r="F19" i="18"/>
  <c r="G11" i="22"/>
  <c r="G29" i="22" s="1"/>
  <c r="F29" i="5"/>
  <c r="F28" i="13"/>
  <c r="F23" i="33"/>
  <c r="G23" i="33" s="1"/>
  <c r="G31" i="33" s="1"/>
  <c r="G11" i="21"/>
  <c r="G29" i="21" s="1"/>
  <c r="F19" i="30"/>
  <c r="F30" i="30" s="1"/>
  <c r="F29" i="28"/>
  <c r="F19" i="25"/>
  <c r="F30" i="25" s="1"/>
  <c r="F31" i="10"/>
  <c r="F12" i="36"/>
  <c r="G8" i="34"/>
  <c r="G28" i="34" s="1"/>
  <c r="F29" i="14"/>
  <c r="F19" i="24"/>
  <c r="G19" i="24" s="1"/>
  <c r="G30" i="24" s="1"/>
  <c r="G8" i="29"/>
  <c r="G28" i="29" s="1"/>
  <c r="F19" i="27"/>
  <c r="G19" i="27" s="1"/>
  <c r="G30" i="27" s="1"/>
  <c r="F19" i="28"/>
  <c r="G19" i="28" s="1"/>
  <c r="G30" i="28" s="1"/>
  <c r="G32" i="28" s="1"/>
  <c r="G11" i="19"/>
  <c r="G29" i="19" s="1"/>
  <c r="F19" i="17"/>
  <c r="G19" i="17" s="1"/>
  <c r="G30" i="17" s="1"/>
  <c r="F19" i="16"/>
  <c r="F30" i="16" s="1"/>
  <c r="F19" i="14"/>
  <c r="G19" i="14" s="1"/>
  <c r="G30" i="14" s="1"/>
  <c r="F29" i="17"/>
  <c r="G11" i="7"/>
  <c r="G29" i="7" s="1"/>
  <c r="F19" i="9"/>
  <c r="F30" i="9" s="1"/>
  <c r="F29" i="11"/>
  <c r="F19" i="34"/>
  <c r="G19" i="34" s="1"/>
  <c r="G30" i="34" s="1"/>
  <c r="F19" i="26"/>
  <c r="G19" i="26" s="1"/>
  <c r="G30" i="26" s="1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F19" i="21"/>
  <c r="F30" i="21" s="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23" i="21"/>
  <c r="G23" i="21" s="1"/>
  <c r="G31" i="21" s="1"/>
  <c r="F31" i="21"/>
  <c r="F30" i="34"/>
  <c r="G19" i="18"/>
  <c r="G30" i="18" s="1"/>
  <c r="F30" i="18"/>
  <c r="G19" i="29"/>
  <c r="G30" i="29" s="1"/>
  <c r="F30" i="29"/>
  <c r="G32" i="33"/>
  <c r="F30" i="28"/>
  <c r="G19" i="21"/>
  <c r="G30" i="21" s="1"/>
  <c r="F19" i="11"/>
  <c r="F29" i="25"/>
  <c r="G11" i="25"/>
  <c r="G29" i="25" s="1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F28" i="23"/>
  <c r="G8" i="23"/>
  <c r="G28" i="23" s="1"/>
  <c r="F19" i="22"/>
  <c r="F23" i="18"/>
  <c r="G23" i="18" s="1"/>
  <c r="G31" i="18" s="1"/>
  <c r="F31" i="18"/>
  <c r="F28" i="14"/>
  <c r="G8" i="14"/>
  <c r="G28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F29" i="29"/>
  <c r="F29" i="26"/>
  <c r="G11" i="26"/>
  <c r="G29" i="26" s="1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F14" i="35"/>
  <c r="H15" i="35" s="1"/>
  <c r="E46" i="35"/>
  <c r="F19" i="6"/>
  <c r="L28" i="36"/>
  <c r="F23" i="20"/>
  <c r="G23" i="20" s="1"/>
  <c r="G31" i="20" s="1"/>
  <c r="F31" i="20"/>
  <c r="G19" i="30" l="1"/>
  <c r="G30" i="30" s="1"/>
  <c r="G19" i="25"/>
  <c r="G30" i="25" s="1"/>
  <c r="G32" i="32"/>
  <c r="F30" i="24"/>
  <c r="G32" i="27"/>
  <c r="F30" i="27"/>
  <c r="G32" i="24"/>
  <c r="G32" i="21"/>
  <c r="F30" i="26"/>
  <c r="G32" i="29"/>
  <c r="F30" i="17"/>
  <c r="F30" i="14"/>
  <c r="G19" i="16"/>
  <c r="G30" i="16" s="1"/>
  <c r="G32" i="16" s="1"/>
  <c r="G32" i="14"/>
  <c r="F30" i="12"/>
  <c r="G32" i="9"/>
  <c r="G32" i="25"/>
  <c r="F30" i="32"/>
  <c r="G19" i="4"/>
  <c r="G30" i="4" s="1"/>
  <c r="G32" i="4" s="1"/>
  <c r="F30" i="23"/>
  <c r="G19" i="7"/>
  <c r="G30" i="7" s="1"/>
  <c r="G32" i="7" s="1"/>
  <c r="E50" i="35"/>
  <c r="G19" i="15"/>
  <c r="G30" i="15" s="1"/>
  <c r="G32" i="15" s="1"/>
  <c r="F30" i="15"/>
  <c r="F30" i="13"/>
  <c r="G19" i="13"/>
  <c r="G30" i="13" s="1"/>
  <c r="G32" i="13" s="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G32" i="31" s="1"/>
  <c r="F30" i="10"/>
  <c r="G19" i="10"/>
  <c r="G30" i="10" s="1"/>
  <c r="G32" i="10" s="1"/>
  <c r="G19" i="11"/>
  <c r="G30" i="11" s="1"/>
  <c r="G32" i="11" s="1"/>
  <c r="F30" i="11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9" authorId="0" shapeId="0" xr:uid="{E5F5BCC9-569E-4EDF-BA05-0F6CD4C5099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estimate only, technician did not take the reading
+4.1</t>
        </r>
      </text>
    </comment>
    <comment ref="I29" authorId="0" shapeId="0" xr:uid="{649C96AA-10BA-451B-95DC-49187A114B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+2.1</t>
        </r>
      </text>
    </comment>
    <comment ref="J29" authorId="0" shapeId="0" xr:uid="{CAAEDAFB-AD52-4CB4-A1CC-AAB9236011A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+2.1</t>
        </r>
      </text>
    </comment>
    <comment ref="K29" authorId="0" shapeId="0" xr:uid="{051A1B86-FAC2-447A-BC80-A4767CF781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+1.2</t>
        </r>
      </text>
    </comment>
    <comment ref="L29" authorId="0" shapeId="0" xr:uid="{7E22FDF8-50E1-4122-AF50-2067DC96B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
</t>
        </r>
      </text>
    </comment>
    <comment ref="M29" authorId="0" shapeId="0" xr:uid="{32E27F2E-B2B7-476D-BB6C-5C6CBE1DA91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<sst xmlns="http://schemas.openxmlformats.org/spreadsheetml/2006/main" count="2332" uniqueCount="183">
  <si>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</si>
  <si>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</si>
  <si>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</si>
  <si>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</si>
  <si>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</si>
  <si>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</si>
  <si>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</si>
  <si>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</si>
  <si>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</si>
  <si>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</si>
  <si>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</si>
  <si>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</si>
  <si>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</si>
  <si>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</si>
  <si>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</si>
  <si>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</si>
  <si>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</si>
  <si>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</si>
  <si>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</si>
  <si>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</si>
  <si>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</si>
  <si>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</si>
  <si>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</si>
  <si>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</si>
  <si>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</si>
  <si>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</si>
  <si>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</si>
  <si>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</si>
  <si>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</si>
  <si>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</si>
  <si>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</si>
  <si>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</si>
  <si>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</si>
  <si>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</si>
  <si>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</si>
  <si>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</si>
  <si>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</si>
  <si>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</si>
  <si>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</si>
  <si>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</si>
  <si>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</si>
  <si>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</si>
  <si>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</si>
  <si>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</si>
  <si>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</si>
  <si>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</si>
  <si>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</si>
  <si>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</si>
  <si>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</si>
  <si>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</si>
  <si>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</si>
  <si>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</si>
  <si>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</si>
  <si>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</si>
  <si>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</si>
  <si>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</si>
  <si>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</si>
  <si>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</si>
  <si>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</si>
  <si>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</si>
  <si>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</si>
  <si>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</si>
  <si>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</si>
  <si>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</si>
  <si>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</si>
  <si>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</si>
  <si>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</si>
  <si>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</si>
  <si>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</si>
  <si>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</si>
  <si>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</si>
  <si>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</si>
  <si>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</si>
  <si>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</si>
  <si>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</si>
  <si>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</si>
  <si>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</si>
  <si>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</si>
  <si>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</si>
  <si>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</si>
  <si>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</si>
  <si>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</si>
  <si>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</si>
  <si>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</si>
  <si>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</si>
  <si>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</si>
  <si>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</si>
  <si>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</si>
  <si>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</si>
  <si>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</si>
  <si>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</si>
  <si>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</si>
  <si>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</si>
  <si>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</si>
  <si>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</si>
  <si>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</si>
  <si>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</si>
  <si>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</si>
  <si>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</si>
  <si>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</si>
  <si>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</si>
  <si>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</si>
  <si>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</si>
  <si>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</si>
  <si>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</si>
  <si>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</si>
  <si>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</si>
  <si>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</si>
  <si>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</si>
  <si>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</si>
  <si>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</si>
  <si>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</si>
  <si>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</si>
  <si>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</si>
  <si>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</si>
  <si>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</si>
  <si>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</si>
  <si>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</si>
  <si>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</si>
  <si>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</si>
  <si>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</si>
  <si>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</si>
  <si>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</si>
  <si>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</si>
  <si>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</si>
  <si>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</si>
  <si>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</si>
  <si>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</si>
  <si>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</si>
  <si>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</si>
  <si>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</si>
  <si>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</si>
  <si>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</si>
  <si>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</si>
  <si>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</si>
  <si>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</si>
  <si>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</si>
  <si>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</si>
  <si>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</si>
  <si>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</si>
  <si>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</si>
  <si>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</si>
  <si>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</si>
  <si>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</si>
  <si>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</si>
  <si>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</si>
  <si>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</si>
  <si>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</si>
  <si>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</si>
  <si>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</si>
  <si>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</si>
  <si>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</si>
  <si>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</si>
  <si>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</si>
  <si>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</si>
  <si>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</si>
  <si>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</si>
  <si>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</si>
  <si>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</si>
  <si>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</si>
  <si>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</si>
  <si>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</si>
  <si>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</si>
  <si>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</si>
  <si>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</si>
  <si>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</si>
  <si>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</si>
  <si>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</si>
  <si>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</si>
  <si>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</si>
  <si>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</si>
  <si>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</si>
  <si>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</si>
  <si>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</si>
  <si>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</si>
  <si>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</si>
  <si>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</si>
  <si>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</si>
  <si>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</si>
  <si>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</si>
  <si>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</si>
  <si>
    <t>5pm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</si>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</sst>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</numFmts>
  <fonts count="47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42">
    <xf numFmtId="0" fontId="0" fillId="0" borderId="0" xfId="0"/>
    <xf numFmtId="0" fontId="25" fillId="7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7" borderId="8" xfId="0" applyFont="1" applyFill="1" applyBorder="1" applyAlignment="1">
      <alignment horizontal="center" vertical="center"/>
    </xf>
    <xf numFmtId="49" fontId="8" fillId="7" borderId="8" xfId="0" applyNumberFormat="1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2" fontId="8" fillId="7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7" borderId="8" xfId="0" applyFont="1" applyFill="1" applyBorder="1"/>
    <xf numFmtId="0" fontId="11" fillId="7" borderId="8" xfId="0" applyFont="1" applyFill="1" applyBorder="1"/>
    <xf numFmtId="0" fontId="10" fillId="7" borderId="8" xfId="0" applyFont="1" applyFill="1" applyBorder="1" applyAlignment="1">
      <alignment horizontal="center"/>
    </xf>
    <xf numFmtId="168" fontId="11" fillId="7" borderId="8" xfId="1" applyFont="1" applyFill="1" applyBorder="1" applyAlignment="1" applyProtection="1">
      <alignment horizontal="center" vertical="center"/>
    </xf>
    <xf numFmtId="168" fontId="11" fillId="7" borderId="8" xfId="1" applyFont="1" applyFill="1" applyBorder="1" applyAlignment="1" applyProtection="1">
      <alignment horizontal="center" vertical="center" wrapText="1"/>
    </xf>
    <xf numFmtId="49" fontId="11" fillId="7" borderId="8" xfId="1" applyNumberFormat="1" applyFont="1" applyFill="1" applyBorder="1" applyAlignment="1" applyProtection="1">
      <alignment horizontal="center" vertical="center"/>
    </xf>
    <xf numFmtId="168" fontId="11" fillId="7" borderId="8" xfId="1" applyFont="1" applyFill="1" applyBorder="1" applyProtection="1"/>
    <xf numFmtId="168" fontId="11" fillId="7" borderId="8" xfId="1" applyFont="1" applyFill="1" applyBorder="1" applyAlignment="1" applyProtection="1">
      <alignment horizontal="center"/>
    </xf>
    <xf numFmtId="0" fontId="12" fillId="7" borderId="8" xfId="0" applyFont="1" applyFill="1" applyBorder="1" applyAlignment="1">
      <alignment horizontal="center"/>
    </xf>
    <xf numFmtId="0" fontId="12" fillId="7" borderId="8" xfId="0" applyFont="1" applyFill="1" applyBorder="1"/>
    <xf numFmtId="0" fontId="0" fillId="7" borderId="8" xfId="0" applyFill="1" applyBorder="1" applyAlignment="1">
      <alignment horizontal="center"/>
    </xf>
    <xf numFmtId="0" fontId="0" fillId="7" borderId="8" xfId="0" applyFill="1" applyBorder="1" applyAlignment="1">
      <alignment vertical="center"/>
    </xf>
    <xf numFmtId="0" fontId="0" fillId="7" borderId="8" xfId="0" applyFill="1" applyBorder="1"/>
    <xf numFmtId="168" fontId="13" fillId="7" borderId="8" xfId="1" applyFont="1" applyFill="1" applyBorder="1" applyProtection="1"/>
    <xf numFmtId="168" fontId="14" fillId="7" borderId="8" xfId="1" applyFont="1" applyFill="1" applyBorder="1" applyProtection="1"/>
    <xf numFmtId="4" fontId="15" fillId="7" borderId="8" xfId="1" applyNumberFormat="1" applyFont="1" applyFill="1" applyBorder="1" applyAlignment="1" applyProtection="1">
      <alignment horizontal="center" vertical="center"/>
    </xf>
    <xf numFmtId="168" fontId="15" fillId="7" borderId="8" xfId="1" applyFont="1" applyFill="1" applyBorder="1" applyAlignment="1" applyProtection="1">
      <alignment horizontal="center" vertical="center"/>
    </xf>
    <xf numFmtId="168" fontId="15" fillId="7" borderId="8" xfId="1" applyFont="1" applyFill="1" applyBorder="1" applyProtection="1"/>
    <xf numFmtId="0" fontId="15" fillId="7" borderId="8" xfId="0" applyFont="1" applyFill="1" applyBorder="1" applyAlignment="1">
      <alignment horizontal="center"/>
    </xf>
    <xf numFmtId="4" fontId="16" fillId="7" borderId="8" xfId="1" applyNumberFormat="1" applyFont="1" applyFill="1" applyBorder="1" applyAlignment="1" applyProtection="1">
      <alignment vertical="center"/>
    </xf>
    <xf numFmtId="168" fontId="16" fillId="7" borderId="8" xfId="1" applyFont="1" applyFill="1" applyBorder="1" applyAlignment="1" applyProtection="1">
      <alignment vertical="center"/>
    </xf>
    <xf numFmtId="169" fontId="11" fillId="7" borderId="8" xfId="1" applyNumberFormat="1" applyFont="1" applyFill="1" applyBorder="1" applyProtection="1"/>
    <xf numFmtId="168" fontId="17" fillId="0" borderId="8" xfId="1" applyFont="1" applyBorder="1" applyProtection="1"/>
    <xf numFmtId="0" fontId="15" fillId="7" borderId="8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vertical="center"/>
    </xf>
    <xf numFmtId="0" fontId="15" fillId="7" borderId="8" xfId="0" applyFont="1" applyFill="1" applyBorder="1" applyAlignment="1">
      <alignment horizontal="center" vertical="center" wrapText="1"/>
    </xf>
    <xf numFmtId="168" fontId="17" fillId="7" borderId="8" xfId="1" applyFont="1" applyFill="1" applyBorder="1" applyAlignment="1" applyProtection="1">
      <alignment horizontal="center" vertical="center"/>
    </xf>
    <xf numFmtId="0" fontId="15" fillId="7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7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7" borderId="8" xfId="0" applyFont="1" applyFill="1" applyBorder="1"/>
    <xf numFmtId="168" fontId="11" fillId="0" borderId="8" xfId="1" applyFont="1" applyBorder="1" applyProtection="1"/>
    <xf numFmtId="4" fontId="22" fillId="7" borderId="8" xfId="1" applyNumberFormat="1" applyFont="1" applyFill="1" applyBorder="1" applyAlignment="1" applyProtection="1">
      <alignment horizontal="center" vertical="center"/>
    </xf>
    <xf numFmtId="168" fontId="22" fillId="7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7" borderId="8" xfId="1" applyFont="1" applyFill="1" applyBorder="1" applyProtection="1"/>
    <xf numFmtId="170" fontId="15" fillId="7" borderId="8" xfId="1" applyNumberFormat="1" applyFont="1" applyFill="1" applyBorder="1" applyAlignment="1" applyProtection="1">
      <alignment horizontal="center" vertical="center"/>
    </xf>
    <xf numFmtId="0" fontId="24" fillId="7" borderId="8" xfId="0" applyFont="1" applyFill="1" applyBorder="1"/>
    <xf numFmtId="0" fontId="24" fillId="7" borderId="8" xfId="0" applyFont="1" applyFill="1" applyBorder="1" applyAlignment="1">
      <alignment horizontal="center"/>
    </xf>
    <xf numFmtId="171" fontId="11" fillId="7" borderId="8" xfId="1" applyNumberFormat="1" applyFont="1" applyFill="1" applyBorder="1" applyProtection="1"/>
    <xf numFmtId="169" fontId="20" fillId="7" borderId="8" xfId="1" applyNumberFormat="1" applyFont="1" applyFill="1" applyBorder="1" applyProtection="1"/>
    <xf numFmtId="0" fontId="14" fillId="7" borderId="8" xfId="0" applyFont="1" applyFill="1" applyBorder="1" applyAlignment="1">
      <alignment horizontal="right" vertical="center"/>
    </xf>
    <xf numFmtId="0" fontId="14" fillId="7" borderId="8" xfId="0" applyFont="1" applyFill="1" applyBorder="1" applyAlignment="1">
      <alignment horizontal="center" vertical="center"/>
    </xf>
    <xf numFmtId="168" fontId="20" fillId="7" borderId="8" xfId="1" applyFont="1" applyFill="1" applyBorder="1" applyProtection="1"/>
    <xf numFmtId="168" fontId="11" fillId="7" borderId="8" xfId="0" applyNumberFormat="1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3" fillId="7" borderId="0" xfId="0" applyFont="1" applyFill="1"/>
    <xf numFmtId="0" fontId="25" fillId="7" borderId="0" xfId="0" applyFont="1" applyFill="1" applyAlignment="1">
      <alignment vertical="center"/>
    </xf>
    <xf numFmtId="168" fontId="0" fillId="7" borderId="0" xfId="0" applyNumberFormat="1" applyFill="1"/>
    <xf numFmtId="1" fontId="0" fillId="7" borderId="0" xfId="0" applyNumberFormat="1" applyFill="1" applyAlignment="1">
      <alignment vertical="center"/>
    </xf>
    <xf numFmtId="0" fontId="3" fillId="7" borderId="8" xfId="0" applyFont="1" applyFill="1" applyBorder="1" applyAlignment="1">
      <alignment horizontal="center"/>
    </xf>
    <xf numFmtId="168" fontId="3" fillId="7" borderId="8" xfId="0" applyNumberFormat="1" applyFont="1" applyFill="1" applyBorder="1" applyAlignment="1">
      <alignment horizontal="center"/>
    </xf>
    <xf numFmtId="169" fontId="3" fillId="7" borderId="8" xfId="1" applyNumberFormat="1" applyFont="1" applyFill="1" applyBorder="1" applyAlignment="1" applyProtection="1">
      <alignment horizontal="center"/>
    </xf>
    <xf numFmtId="0" fontId="3" fillId="7" borderId="8" xfId="0" applyFont="1" applyFill="1" applyBorder="1"/>
    <xf numFmtId="168" fontId="3" fillId="7" borderId="8" xfId="0" applyNumberFormat="1" applyFont="1" applyFill="1" applyBorder="1"/>
    <xf numFmtId="49" fontId="8" fillId="7" borderId="8" xfId="0" applyNumberFormat="1" applyFont="1" applyFill="1" applyBorder="1" applyAlignment="1">
      <alignment horizontal="left" vertical="center"/>
    </xf>
    <xf numFmtId="168" fontId="11" fillId="7" borderId="18" xfId="1" applyFont="1" applyFill="1" applyBorder="1" applyAlignment="1" applyProtection="1">
      <alignment horizontal="center" vertical="center"/>
    </xf>
    <xf numFmtId="168" fontId="15" fillId="7" borderId="18" xfId="1" applyFont="1" applyFill="1" applyBorder="1" applyAlignment="1" applyProtection="1">
      <alignment vertical="center"/>
    </xf>
    <xf numFmtId="0" fontId="25" fillId="7" borderId="0" xfId="0" applyFont="1" applyFill="1" applyAlignment="1">
      <alignment horizontal="center" vertical="center"/>
    </xf>
    <xf numFmtId="172" fontId="15" fillId="7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168" fontId="11" fillId="7" borderId="14" xfId="1" applyFont="1" applyFill="1" applyBorder="1" applyAlignment="1" applyProtection="1">
      <alignment horizontal="center" vertical="center" wrapText="1"/>
    </xf>
    <xf numFmtId="0" fontId="10" fillId="7" borderId="8" xfId="0" applyFont="1" applyFill="1" applyBorder="1" applyAlignment="1">
      <alignment horizontal="center" vertical="center"/>
    </xf>
    <xf numFmtId="49" fontId="11" fillId="7" borderId="8" xfId="1" applyNumberFormat="1" applyFont="1" applyFill="1" applyBorder="1" applyAlignment="1" applyProtection="1">
      <alignment horizontal="center" vertical="center" wrapText="1"/>
    </xf>
    <xf numFmtId="0" fontId="12" fillId="7" borderId="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vertical="center"/>
    </xf>
    <xf numFmtId="0" fontId="0" fillId="7" borderId="8" xfId="0" applyFill="1" applyBorder="1" applyAlignment="1">
      <alignment horizontal="center" vertical="center"/>
    </xf>
    <xf numFmtId="168" fontId="13" fillId="7" borderId="8" xfId="1" applyFont="1" applyFill="1" applyBorder="1" applyAlignment="1" applyProtection="1">
      <alignment vertical="center"/>
    </xf>
    <xf numFmtId="168" fontId="15" fillId="7" borderId="8" xfId="1" applyFont="1" applyFill="1" applyBorder="1" applyAlignment="1" applyProtection="1">
      <alignment vertical="center"/>
    </xf>
    <xf numFmtId="168" fontId="26" fillId="7" borderId="8" xfId="1" applyFont="1" applyFill="1" applyBorder="1" applyAlignment="1" applyProtection="1">
      <alignment vertical="center"/>
    </xf>
    <xf numFmtId="168" fontId="11" fillId="7" borderId="8" xfId="1" applyFont="1" applyFill="1" applyBorder="1" applyAlignment="1" applyProtection="1">
      <alignment vertical="center"/>
    </xf>
    <xf numFmtId="173" fontId="11" fillId="7" borderId="8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0" fontId="11" fillId="8" borderId="8" xfId="0" applyFont="1" applyFill="1" applyBorder="1" applyAlignment="1">
      <alignment horizontal="center" vertical="center"/>
    </xf>
    <xf numFmtId="169" fontId="11" fillId="8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8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8" borderId="9" xfId="1" applyNumberFormat="1" applyFont="1" applyFill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9" fontId="20" fillId="9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7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9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7" borderId="8" xfId="0" applyFont="1" applyFill="1" applyBorder="1" applyAlignment="1">
      <alignment vertical="center"/>
    </xf>
    <xf numFmtId="0" fontId="27" fillId="7" borderId="8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29" fillId="7" borderId="8" xfId="0" applyFont="1" applyFill="1" applyBorder="1" applyAlignment="1">
      <alignment horizontal="center" vertical="center"/>
    </xf>
    <xf numFmtId="168" fontId="3" fillId="7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7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vertical="center"/>
    </xf>
    <xf numFmtId="0" fontId="10" fillId="7" borderId="7" xfId="0" applyFont="1" applyFill="1" applyBorder="1" applyAlignment="1">
      <alignment vertical="center"/>
    </xf>
    <xf numFmtId="0" fontId="10" fillId="7" borderId="8" xfId="0" applyFont="1" applyFill="1" applyBorder="1" applyAlignment="1">
      <alignment vertical="center"/>
    </xf>
    <xf numFmtId="0" fontId="12" fillId="7" borderId="7" xfId="0" applyFont="1" applyFill="1" applyBorder="1" applyAlignment="1">
      <alignment horizontal="center" vertical="center"/>
    </xf>
    <xf numFmtId="168" fontId="13" fillId="7" borderId="9" xfId="1" applyFont="1" applyFill="1" applyBorder="1" applyAlignment="1" applyProtection="1">
      <alignment vertical="center"/>
    </xf>
    <xf numFmtId="168" fontId="13" fillId="7" borderId="10" xfId="1" applyFont="1" applyFill="1" applyBorder="1" applyAlignment="1" applyProtection="1">
      <alignment vertical="center"/>
    </xf>
    <xf numFmtId="0" fontId="0" fillId="7" borderId="7" xfId="0" applyFill="1" applyBorder="1" applyAlignment="1">
      <alignment horizontal="center" vertical="center"/>
    </xf>
    <xf numFmtId="168" fontId="15" fillId="7" borderId="9" xfId="1" applyFont="1" applyFill="1" applyBorder="1" applyAlignment="1" applyProtection="1">
      <alignment vertical="center"/>
    </xf>
    <xf numFmtId="168" fontId="15" fillId="7" borderId="10" xfId="1" applyFont="1" applyFill="1" applyBorder="1" applyAlignment="1" applyProtection="1">
      <alignment vertical="center"/>
    </xf>
    <xf numFmtId="168" fontId="11" fillId="7" borderId="9" xfId="1" applyFont="1" applyFill="1" applyBorder="1" applyAlignment="1" applyProtection="1">
      <alignment vertical="center"/>
    </xf>
    <xf numFmtId="168" fontId="11" fillId="7" borderId="10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9" fontId="11" fillId="8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0" fontId="13" fillId="7" borderId="8" xfId="0" applyFont="1" applyFill="1" applyBorder="1" applyAlignment="1">
      <alignment vertical="center"/>
    </xf>
    <xf numFmtId="174" fontId="11" fillId="10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7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8" borderId="8" xfId="0" applyFont="1" applyFill="1" applyBorder="1" applyAlignment="1">
      <alignment horizontal="center" vertical="center" wrapText="1"/>
    </xf>
    <xf numFmtId="168" fontId="11" fillId="8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9" borderId="8" xfId="1" applyFont="1" applyFill="1" applyBorder="1" applyAlignment="1" applyProtection="1">
      <alignment horizontal="center" vertical="center"/>
    </xf>
    <xf numFmtId="169" fontId="20" fillId="9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7" borderId="7" xfId="0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13" fillId="9" borderId="26" xfId="0" applyFont="1" applyFill="1" applyBorder="1" applyAlignment="1">
      <alignment vertical="center"/>
    </xf>
    <xf numFmtId="0" fontId="0" fillId="9" borderId="26" xfId="0" applyFill="1" applyBorder="1" applyAlignment="1">
      <alignment horizontal="center" vertical="center"/>
    </xf>
    <xf numFmtId="168" fontId="22" fillId="9" borderId="26" xfId="1" applyFont="1" applyFill="1" applyBorder="1" applyAlignment="1" applyProtection="1">
      <alignment horizontal="center" vertical="center"/>
    </xf>
    <xf numFmtId="169" fontId="11" fillId="9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7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1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1" borderId="0" xfId="0" applyFont="1" applyFill="1" applyAlignment="1">
      <alignment horizontal="right" vertical="center"/>
    </xf>
    <xf numFmtId="3" fontId="33" fillId="11" borderId="0" xfId="0" applyNumberFormat="1" applyFont="1" applyFill="1" applyAlignment="1">
      <alignment vertical="center"/>
    </xf>
    <xf numFmtId="0" fontId="33" fillId="11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1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2" borderId="25" xfId="0" applyNumberFormat="1" applyFont="1" applyFill="1" applyBorder="1" applyAlignment="1">
      <alignment horizontal="center" vertical="center"/>
    </xf>
    <xf numFmtId="10" fontId="36" fillId="13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4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2" borderId="27" xfId="0" applyNumberFormat="1" applyFont="1" applyFill="1" applyBorder="1" applyAlignment="1">
      <alignment horizontal="center" vertical="center"/>
    </xf>
    <xf numFmtId="3" fontId="36" fillId="13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2" borderId="25" xfId="0" applyNumberFormat="1" applyFont="1" applyFill="1" applyBorder="1" applyAlignment="1">
      <alignment horizontal="center" vertical="center"/>
    </xf>
    <xf numFmtId="3" fontId="36" fillId="13" borderId="1" xfId="0" applyNumberFormat="1" applyFont="1" applyFill="1" applyBorder="1" applyAlignment="1">
      <alignment horizontal="center" vertical="center"/>
    </xf>
    <xf numFmtId="4" fontId="36" fillId="12" borderId="25" xfId="0" applyNumberFormat="1" applyFont="1" applyFill="1" applyBorder="1" applyAlignment="1">
      <alignment horizontal="center" vertical="center"/>
    </xf>
    <xf numFmtId="4" fontId="36" fillId="13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5" borderId="1" xfId="0" applyNumberFormat="1" applyFont="1" applyFill="1" applyBorder="1" applyAlignment="1">
      <alignment horizontal="center" vertical="center"/>
    </xf>
    <xf numFmtId="4" fontId="35" fillId="16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11" fontId="0" fillId="0" borderId="34" xfId="0" applyNumberFormat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7" fontId="0" fillId="0" borderId="14" xfId="0" applyNumberFormat="1" applyBorder="1" applyAlignment="1">
      <alignment horizontal="center" vertical="center"/>
    </xf>
    <xf numFmtId="167" fontId="0" fillId="0" borderId="8" xfId="0" applyNumberForma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167" fontId="0" fillId="0" borderId="34" xfId="0" applyNumberFormat="1" applyBorder="1" applyAlignment="1">
      <alignment horizontal="center" vertical="center"/>
    </xf>
    <xf numFmtId="166" fontId="0" fillId="18" borderId="9" xfId="0" applyNumberFormat="1" applyFill="1" applyBorder="1" applyAlignment="1">
      <alignment horizontal="center" vertical="center"/>
    </xf>
    <xf numFmtId="11" fontId="0" fillId="0" borderId="35" xfId="0" applyNumberFormat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center" vertical="center"/>
    </xf>
    <xf numFmtId="166" fontId="0" fillId="18" borderId="18" xfId="0" applyNumberFormat="1" applyFill="1" applyBorder="1" applyAlignment="1">
      <alignment horizontal="center" vertical="center"/>
    </xf>
    <xf numFmtId="166" fontId="0" fillId="0" borderId="35" xfId="0" applyNumberFormat="1" applyBorder="1" applyAlignment="1">
      <alignment horizontal="center" vertical="center"/>
    </xf>
    <xf numFmtId="166" fontId="0" fillId="0" borderId="37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0" fillId="19" borderId="23" xfId="0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25" fillId="7" borderId="8" xfId="0" applyFont="1" applyFill="1" applyBorder="1" applyAlignment="1">
      <alignment horizontal="center" vertical="center"/>
    </xf>
    <xf numFmtId="168" fontId="11" fillId="7" borderId="8" xfId="1" applyFont="1" applyFill="1" applyBorder="1" applyAlignment="1" applyProtection="1">
      <alignment horizontal="center"/>
    </xf>
    <xf numFmtId="0" fontId="8" fillId="7" borderId="8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168" fontId="11" fillId="7" borderId="14" xfId="1" applyFont="1" applyFill="1" applyBorder="1" applyAlignment="1" applyProtection="1">
      <alignment horizontal="center" vertical="center" wrapText="1"/>
    </xf>
    <xf numFmtId="0" fontId="11" fillId="8" borderId="8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168" fontId="11" fillId="7" borderId="8" xfId="1" applyFont="1" applyFill="1" applyBorder="1" applyAlignment="1" applyProtection="1">
      <alignment horizontal="right" vertical="center" wrapText="1"/>
    </xf>
    <xf numFmtId="0" fontId="11" fillId="9" borderId="8" xfId="0" applyFont="1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7" borderId="15" xfId="1" applyFont="1" applyFill="1" applyBorder="1" applyAlignment="1" applyProtection="1">
      <alignment horizontal="center" vertical="center" wrapText="1"/>
    </xf>
    <xf numFmtId="168" fontId="11" fillId="7" borderId="12" xfId="1" applyFont="1" applyFill="1" applyBorder="1" applyAlignment="1" applyProtection="1">
      <alignment horizontal="center" vertical="center" wrapText="1"/>
    </xf>
    <xf numFmtId="0" fontId="33" fillId="11" borderId="0" xfId="0" applyFont="1" applyFill="1" applyAlignment="1">
      <alignment horizontal="center" vertical="center"/>
    </xf>
    <xf numFmtId="4" fontId="39" fillId="17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7" borderId="8" xfId="0" applyNumberFormat="1" applyFont="1" applyFill="1" applyBorder="1" applyAlignment="1">
      <alignment horizontal="center" vertical="center"/>
    </xf>
    <xf numFmtId="3" fontId="39" fillId="17" borderId="8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abSelected="1" topLeftCell="C27" zoomScaleNormal="100" workbookViewId="0">
      <selection activeCell="J42" sqref="J42"/>
    </sheetView>
  </sheetViews>
  <sheetFormatPr defaultColWidth="11.59765625" defaultRowHeight="14.25"/>
  <cols>
    <col min="1" max="1" width="23" style="2" customWidth="1"/>
    <col min="2" max="2" width="11.59765625" style="2"/>
    <col min="3" max="3" width="11.59765625" style="3"/>
    <col min="4" max="4" width="13.3984375" style="2" customWidth="1"/>
    <col min="5" max="5" width="12.59765625" style="2" customWidth="1"/>
    <col min="6" max="6" width="12.59765625" style="4" customWidth="1"/>
    <col min="7" max="7" width="11.59765625" style="2"/>
    <col min="8" max="8" width="11.59765625" style="4"/>
    <col min="9" max="9" width="11.59765625" style="2"/>
    <col min="10" max="10" width="11.59765625" style="5"/>
    <col min="11" max="11" width="11.59765625" style="270"/>
    <col min="12" max="12" width="11.59765625" style="5"/>
    <col min="13" max="13" width="11.59765625" style="6"/>
    <col min="14" max="16384" width="11.59765625" style="2"/>
  </cols>
  <sheetData>
    <row r="1" spans="1:15" s="7" customFormat="1" ht="57.4" thickBot="1">
      <c r="A1" s="277" t="s">
        <v>0</v>
      </c>
      <c r="B1" s="277" t="s">
        <v>1</v>
      </c>
      <c r="C1" s="278" t="s">
        <v>2</v>
      </c>
      <c r="D1" s="277" t="s">
        <v>3</v>
      </c>
      <c r="E1" s="279" t="s">
        <v>4</v>
      </c>
      <c r="F1" s="280" t="s">
        <v>5</v>
      </c>
      <c r="G1" s="279" t="s">
        <v>6</v>
      </c>
      <c r="H1" s="280" t="s">
        <v>7</v>
      </c>
      <c r="I1" s="279" t="s">
        <v>8</v>
      </c>
      <c r="J1" s="281" t="s">
        <v>177</v>
      </c>
      <c r="K1" s="282" t="s">
        <v>175</v>
      </c>
      <c r="L1" s="281" t="s">
        <v>176</v>
      </c>
      <c r="M1" s="283" t="s">
        <v>9</v>
      </c>
      <c r="N1" s="279" t="s">
        <v>10</v>
      </c>
      <c r="O1" s="7" t="s">
        <v>182</v>
      </c>
    </row>
    <row r="2" spans="1:15" ht="14.65" thickTop="1">
      <c r="A2" s="2" t="s">
        <v>11</v>
      </c>
      <c r="B2" s="2">
        <v>1</v>
      </c>
      <c r="C2" s="3">
        <v>3</v>
      </c>
      <c r="D2" s="2">
        <v>2023</v>
      </c>
      <c r="E2" s="6">
        <f>Submetering!E2+Submetering!F2+Submetering!G2+Submetering!H2+Submetering!I2+Submetering!J2</f>
        <v>17232.000000000917</v>
      </c>
      <c r="F2" s="5">
        <v>0.44</v>
      </c>
      <c r="G2" s="6">
        <f>Submetering!M2</f>
        <v>563.88000000000545</v>
      </c>
      <c r="H2" s="12">
        <v>2.5</v>
      </c>
      <c r="I2" s="6">
        <f>Submetering!L2</f>
        <v>55432.188000000002</v>
      </c>
      <c r="J2" s="5">
        <v>0.06</v>
      </c>
      <c r="K2" s="270">
        <f>Submetering!K2</f>
        <v>8985.1439999995855</v>
      </c>
      <c r="L2" s="5">
        <v>1.1399999999999999</v>
      </c>
      <c r="M2" s="6">
        <f>INT('Daily Meter'!O6*434/100)</f>
        <v>430</v>
      </c>
      <c r="N2" s="2" t="s">
        <v>12</v>
      </c>
      <c r="O2" s="7">
        <v>4.9000000000000004</v>
      </c>
    </row>
    <row r="3" spans="1:15">
      <c r="A3" s="2" t="s">
        <v>11</v>
      </c>
      <c r="B3" s="2">
        <f t="shared" ref="B3:B32" si="0">B2+1</f>
        <v>2</v>
      </c>
      <c r="C3" s="3">
        <v>3</v>
      </c>
      <c r="D3" s="2">
        <v>2023</v>
      </c>
      <c r="E3" s="6">
        <f>Submetering!E3+Submetering!F3+Submetering!G3+Submetering!H3+Submetering!I3+Submetering!J3</f>
        <v>17471.999999999607</v>
      </c>
      <c r="F3" s="5">
        <v>0.44</v>
      </c>
      <c r="G3" s="6">
        <f>Submetering!M3</f>
        <v>542.05000000000007</v>
      </c>
      <c r="H3" s="12">
        <v>2.5</v>
      </c>
      <c r="I3" s="6">
        <f>Submetering!L3</f>
        <v>77429.088000000003</v>
      </c>
      <c r="J3" s="5">
        <v>0.06</v>
      </c>
      <c r="K3" s="270">
        <f>Submetering!K3</f>
        <v>8757.6719999987581</v>
      </c>
      <c r="L3" s="5">
        <v>1.1399999999999999</v>
      </c>
      <c r="M3" s="6">
        <f>INT('Daily Meter'!O7*434/100)</f>
        <v>434</v>
      </c>
      <c r="N3" s="2" t="s">
        <v>12</v>
      </c>
      <c r="O3" s="7">
        <v>5</v>
      </c>
    </row>
    <row r="4" spans="1:15">
      <c r="A4" s="2" t="s">
        <v>11</v>
      </c>
      <c r="B4" s="2">
        <f t="shared" si="0"/>
        <v>3</v>
      </c>
      <c r="C4" s="3">
        <v>3</v>
      </c>
      <c r="D4" s="2">
        <v>2023</v>
      </c>
      <c r="E4" s="6">
        <f>Submetering!E4+Submetering!F4+Submetering!G4+Submetering!H4+Submetering!I4+Submetering!J4</f>
        <v>20063.999999999542</v>
      </c>
      <c r="F4" s="5">
        <v>0.44</v>
      </c>
      <c r="G4" s="6">
        <f>Submetering!M4</f>
        <v>594.58999999998923</v>
      </c>
      <c r="H4" s="12">
        <v>2.5</v>
      </c>
      <c r="I4" s="6">
        <f>Submetering!L4</f>
        <v>78528.933000000005</v>
      </c>
      <c r="J4" s="5">
        <v>0.06</v>
      </c>
      <c r="K4" s="270">
        <f>Submetering!K4</f>
        <v>10549.014000001654</v>
      </c>
      <c r="L4" s="5">
        <v>1.1399999999999999</v>
      </c>
      <c r="M4" s="6">
        <f>INT('Daily Meter'!O8*434/100)</f>
        <v>399</v>
      </c>
      <c r="N4" s="2" t="s">
        <v>12</v>
      </c>
      <c r="O4" s="7">
        <v>5.0999999999999996</v>
      </c>
    </row>
    <row r="5" spans="1:15">
      <c r="A5" s="2" t="s">
        <v>11</v>
      </c>
      <c r="B5" s="2">
        <f t="shared" si="0"/>
        <v>4</v>
      </c>
      <c r="C5" s="3">
        <v>3</v>
      </c>
      <c r="D5" s="2">
        <v>2023</v>
      </c>
      <c r="E5" s="6">
        <f>Submetering!E5+Submetering!F5+Submetering!G5+Submetering!H5+Submetering!I5+Submetering!J5</f>
        <v>15072.000000000589</v>
      </c>
      <c r="F5" s="5">
        <v>0.44</v>
      </c>
      <c r="G5" s="6">
        <f>Submetering!M5</f>
        <v>416.25</v>
      </c>
      <c r="H5" s="12">
        <v>2.5</v>
      </c>
      <c r="I5" s="6">
        <f>Submetering!L5</f>
        <v>53012.528999999995</v>
      </c>
      <c r="J5" s="5">
        <v>0.06</v>
      </c>
      <c r="K5" s="270">
        <f>Submetering!K5</f>
        <v>8416.4639999995852</v>
      </c>
      <c r="L5" s="5">
        <v>1.1399999999999999</v>
      </c>
      <c r="M5" s="6">
        <f>INT('Daily Meter'!O9*434/100)</f>
        <v>399</v>
      </c>
      <c r="N5" s="2" t="s">
        <v>12</v>
      </c>
      <c r="O5" s="7">
        <v>3.8</v>
      </c>
    </row>
    <row r="6" spans="1:15">
      <c r="A6" s="2" t="s">
        <v>11</v>
      </c>
      <c r="B6" s="2">
        <f t="shared" si="0"/>
        <v>5</v>
      </c>
      <c r="C6" s="3">
        <v>3</v>
      </c>
      <c r="D6" s="2">
        <v>2023</v>
      </c>
      <c r="E6" s="6">
        <f>Submetering!E6+Submetering!F6+Submetering!G6+Submetering!H6+Submetering!I6+Submetering!J6</f>
        <v>22079.999999999236</v>
      </c>
      <c r="F6" s="5">
        <v>0.44</v>
      </c>
      <c r="G6" s="6">
        <f>Submetering!M6</f>
        <v>573.13000000000545</v>
      </c>
      <c r="H6" s="12">
        <v>2.5</v>
      </c>
      <c r="I6" s="6">
        <f>Submetering!L6</f>
        <v>75449.366999999998</v>
      </c>
      <c r="J6" s="5">
        <v>0.06</v>
      </c>
      <c r="K6" s="270">
        <f>Submetering!K6</f>
        <v>11572.637999999171</v>
      </c>
      <c r="L6" s="5">
        <v>1.1399999999999999</v>
      </c>
      <c r="M6" s="6">
        <f>INT('Daily Meter'!O10*434/100)</f>
        <v>321</v>
      </c>
      <c r="N6" s="2" t="s">
        <v>12</v>
      </c>
      <c r="O6" s="7">
        <v>4.0999999999999996</v>
      </c>
    </row>
    <row r="7" spans="1:15">
      <c r="A7" s="2" t="s">
        <v>11</v>
      </c>
      <c r="B7" s="2">
        <f t="shared" si="0"/>
        <v>6</v>
      </c>
      <c r="C7" s="3">
        <v>3</v>
      </c>
      <c r="D7" s="2">
        <v>2023</v>
      </c>
      <c r="E7" s="6">
        <f>Submetering!E7+Submetering!F7+Submetering!G7+Submetering!H7+Submetering!I7+Submetering!J7</f>
        <v>12864.000000000196</v>
      </c>
      <c r="F7" s="5">
        <v>0.44</v>
      </c>
      <c r="G7" s="6">
        <f>Submetering!M7</f>
        <v>305.25</v>
      </c>
      <c r="H7" s="12">
        <v>2.5</v>
      </c>
      <c r="I7" s="6">
        <f>Submetering!L7</f>
        <v>43553.862000000001</v>
      </c>
      <c r="J7" s="5">
        <v>0.06</v>
      </c>
      <c r="K7" s="270">
        <f>Submetering!K7</f>
        <v>5487.7620000008274</v>
      </c>
      <c r="L7" s="5">
        <v>1.1399999999999999</v>
      </c>
      <c r="M7" s="6">
        <f>INT('Daily Meter'!O11*434/100)</f>
        <v>401</v>
      </c>
      <c r="N7" s="2" t="s">
        <v>12</v>
      </c>
      <c r="O7" s="2">
        <v>4.3</v>
      </c>
    </row>
    <row r="8" spans="1:15">
      <c r="A8" s="2" t="s">
        <v>11</v>
      </c>
      <c r="B8" s="2">
        <f t="shared" si="0"/>
        <v>7</v>
      </c>
      <c r="C8" s="3">
        <v>3</v>
      </c>
      <c r="D8" s="2">
        <v>2023</v>
      </c>
      <c r="E8" s="6">
        <f>Submetering!E8+Submetering!F8+Submetering!G8+Submetering!H8+Submetering!I8+Submetering!J8</f>
        <v>17856.000000000022</v>
      </c>
      <c r="F8" s="5">
        <v>0.44</v>
      </c>
      <c r="G8" s="6">
        <f>Submetering!M8</f>
        <v>411.8100000000108</v>
      </c>
      <c r="H8" s="12">
        <v>2.5</v>
      </c>
      <c r="I8" s="6">
        <f>Submetering!L8</f>
        <v>72809.739000000001</v>
      </c>
      <c r="J8" s="5">
        <v>0.06</v>
      </c>
      <c r="K8" s="270">
        <f>Submetering!K8</f>
        <v>8558.6339999995853</v>
      </c>
      <c r="L8" s="5">
        <v>1.1399999999999999</v>
      </c>
      <c r="M8" s="6">
        <f>INT('Daily Meter'!O12*434/100)</f>
        <v>426</v>
      </c>
      <c r="N8" s="2" t="s">
        <v>12</v>
      </c>
      <c r="O8" s="2">
        <v>4.5999999999999996</v>
      </c>
    </row>
    <row r="9" spans="1:15">
      <c r="A9" s="2" t="s">
        <v>11</v>
      </c>
      <c r="B9" s="2">
        <f t="shared" si="0"/>
        <v>8</v>
      </c>
      <c r="C9" s="3">
        <v>3</v>
      </c>
      <c r="D9" s="2">
        <v>2023</v>
      </c>
      <c r="E9" s="6">
        <f>Submetering!E9+Submetering!F9+Submetering!G9+Submetering!H9+Submetering!I9+Submetering!J9</f>
        <v>18047.999999999629</v>
      </c>
      <c r="F9" s="5">
        <v>0.44</v>
      </c>
      <c r="G9" s="6">
        <f>Submetering!M9</f>
        <v>472.85999999998387</v>
      </c>
      <c r="H9" s="12">
        <v>2.5</v>
      </c>
      <c r="I9" s="6">
        <f>Submetering!L9</f>
        <v>57191.939999999995</v>
      </c>
      <c r="J9" s="5">
        <v>0.06</v>
      </c>
      <c r="K9" s="270">
        <f>Submetering!K9</f>
        <v>9496.956000000413</v>
      </c>
      <c r="L9" s="5">
        <v>1.1399999999999999</v>
      </c>
      <c r="M9" s="6">
        <f>INT('Daily Meter'!O13*434/100)</f>
        <v>430</v>
      </c>
      <c r="N9" s="2" t="s">
        <v>12</v>
      </c>
      <c r="O9" s="2">
        <v>6</v>
      </c>
    </row>
    <row r="10" spans="1:15">
      <c r="A10" s="2" t="s">
        <v>11</v>
      </c>
      <c r="B10" s="2">
        <f t="shared" si="0"/>
        <v>9</v>
      </c>
      <c r="C10" s="3">
        <v>3</v>
      </c>
      <c r="D10" s="2">
        <v>2023</v>
      </c>
      <c r="E10" s="6">
        <f>Submetering!E10+Submetering!F10+Submetering!G10+Submetering!H10+Submetering!I10+Submetering!J10</f>
        <v>19199.999999999782</v>
      </c>
      <c r="F10" s="5">
        <v>0.44</v>
      </c>
      <c r="G10" s="6">
        <f>Submetering!M10</f>
        <v>582.75</v>
      </c>
      <c r="H10" s="12">
        <v>2.5</v>
      </c>
      <c r="I10" s="6">
        <f>Submetering!L10</f>
        <v>86667.785999999993</v>
      </c>
      <c r="J10" s="5">
        <v>0.06</v>
      </c>
      <c r="K10" s="270">
        <f>Submetering!K10</f>
        <v>9212.6160000004129</v>
      </c>
      <c r="L10" s="5">
        <v>1.1399999999999999</v>
      </c>
      <c r="M10" s="6">
        <f>INT('Daily Meter'!O14*434/100)</f>
        <v>425</v>
      </c>
      <c r="N10" s="2" t="s">
        <v>12</v>
      </c>
      <c r="O10" s="2">
        <v>8</v>
      </c>
    </row>
    <row r="11" spans="1:15">
      <c r="A11" s="2" t="s">
        <v>11</v>
      </c>
      <c r="B11" s="2">
        <f t="shared" si="0"/>
        <v>10</v>
      </c>
      <c r="C11" s="3">
        <v>3</v>
      </c>
      <c r="D11" s="2">
        <v>2023</v>
      </c>
      <c r="E11" s="6">
        <f>Submetering!E11+Submetering!F11+Submetering!G11+Submetering!H11+Submetering!I11+Submetering!J11</f>
        <v>16512.000000000044</v>
      </c>
      <c r="F11" s="5">
        <v>0.44</v>
      </c>
      <c r="G11" s="6">
        <f>Submetering!M11</f>
        <v>297.48000000000542</v>
      </c>
      <c r="H11" s="12">
        <v>2.5</v>
      </c>
      <c r="I11" s="6">
        <f>Submetering!L11</f>
        <v>67530.482999999993</v>
      </c>
      <c r="J11" s="5">
        <v>0.06</v>
      </c>
      <c r="K11" s="270">
        <f>Submetering!K11</f>
        <v>10719.617999999171</v>
      </c>
      <c r="L11" s="5">
        <v>1.1399999999999999</v>
      </c>
      <c r="M11" s="6">
        <f>INT('Daily Meter'!O15*434/100)</f>
        <v>396</v>
      </c>
      <c r="N11" s="2" t="s">
        <v>12</v>
      </c>
      <c r="O11" s="2">
        <v>8.1999999999999993</v>
      </c>
    </row>
    <row r="12" spans="1:15">
      <c r="A12" s="2" t="s">
        <v>11</v>
      </c>
      <c r="B12" s="2">
        <f t="shared" si="0"/>
        <v>11</v>
      </c>
      <c r="C12" s="3">
        <v>3</v>
      </c>
      <c r="D12" s="2">
        <v>2023</v>
      </c>
      <c r="E12" s="6">
        <f>Submetering!E12+Submetering!F12+Submetering!G12+Submetering!H12+Submetering!I12+Submetering!J12</f>
        <v>23280.000000000546</v>
      </c>
      <c r="F12" s="5">
        <v>0.44</v>
      </c>
      <c r="G12" s="6">
        <f>Submetering!M12</f>
        <v>620.11999999999466</v>
      </c>
      <c r="H12" s="12">
        <v>2.5</v>
      </c>
      <c r="I12" s="6">
        <f>Submetering!L12</f>
        <v>54552.311999999998</v>
      </c>
      <c r="J12" s="5">
        <v>0.06</v>
      </c>
      <c r="K12" s="270">
        <f>Submetering!K12</f>
        <v>10748.052000000827</v>
      </c>
      <c r="L12" s="5">
        <v>1.1399999999999999</v>
      </c>
      <c r="M12" s="6">
        <f>INT('Daily Meter'!O16*434/100)</f>
        <v>319</v>
      </c>
      <c r="N12" s="2" t="s">
        <v>12</v>
      </c>
      <c r="O12" s="2">
        <v>8.3000000000000007</v>
      </c>
    </row>
    <row r="13" spans="1:15">
      <c r="A13" s="2" t="s">
        <v>11</v>
      </c>
      <c r="B13" s="2">
        <f t="shared" si="0"/>
        <v>12</v>
      </c>
      <c r="C13" s="3">
        <v>3</v>
      </c>
      <c r="D13" s="2">
        <v>2023</v>
      </c>
      <c r="E13" s="6">
        <f>Submetering!E13+Submetering!F13+Submetering!G13+Submetering!H13+Submetering!I13+Submetering!J13</f>
        <v>13488.000000000175</v>
      </c>
      <c r="F13" s="5">
        <v>0.44</v>
      </c>
      <c r="G13" s="6">
        <f>Submetering!M13</f>
        <v>328.93000000000541</v>
      </c>
      <c r="H13" s="12">
        <v>2.5</v>
      </c>
      <c r="I13" s="6">
        <f>Submetering!L13</f>
        <v>76989.149999999994</v>
      </c>
      <c r="J13" s="5">
        <v>0.06</v>
      </c>
      <c r="K13" s="270">
        <f>Submetering!K13</f>
        <v>7734.0479999991721</v>
      </c>
      <c r="L13" s="5">
        <v>1.1399999999999999</v>
      </c>
      <c r="M13" s="6">
        <f>INT('Daily Meter'!O17*434/100)</f>
        <v>279</v>
      </c>
      <c r="N13" s="2" t="s">
        <v>12</v>
      </c>
      <c r="O13" s="2">
        <v>8.6999999999999993</v>
      </c>
    </row>
    <row r="14" spans="1:15">
      <c r="A14" s="2" t="s">
        <v>11</v>
      </c>
      <c r="B14" s="2">
        <f t="shared" si="0"/>
        <v>13</v>
      </c>
      <c r="C14" s="3">
        <v>3</v>
      </c>
      <c r="D14" s="2">
        <v>2023</v>
      </c>
      <c r="E14" s="6">
        <f>Submetering!E14+Submetering!F14+Submetering!G14+Submetering!H14+Submetering!I14+Submetering!J14</f>
        <v>19535.999999999694</v>
      </c>
      <c r="F14" s="5">
        <v>0.44</v>
      </c>
      <c r="G14" s="6">
        <f>Submetering!M14</f>
        <v>455.1</v>
      </c>
      <c r="H14" s="12">
        <v>2.5</v>
      </c>
      <c r="I14" s="6">
        <f>Submetering!L14</f>
        <v>64670.885999999999</v>
      </c>
      <c r="J14" s="5">
        <v>0.06</v>
      </c>
      <c r="K14" s="270">
        <f>Submetering!K14</f>
        <v>10890.222000000827</v>
      </c>
      <c r="L14" s="5">
        <v>1.1399999999999999</v>
      </c>
      <c r="M14" s="6">
        <f>INT('Daily Meter'!O18*434/100)</f>
        <v>365</v>
      </c>
      <c r="N14" s="2" t="s">
        <v>12</v>
      </c>
      <c r="O14" s="2">
        <v>7.9</v>
      </c>
    </row>
    <row r="15" spans="1:15">
      <c r="A15" s="2" t="s">
        <v>11</v>
      </c>
      <c r="B15" s="2">
        <f t="shared" si="0"/>
        <v>14</v>
      </c>
      <c r="C15" s="3">
        <v>3</v>
      </c>
      <c r="D15" s="2">
        <v>2023</v>
      </c>
      <c r="E15" s="6">
        <f>Submetering!E15+Submetering!F15+Submetering!G15+Submetering!H15+Submetering!I15+Submetering!J15</f>
        <v>19919.999999999563</v>
      </c>
      <c r="F15" s="5">
        <v>0.44</v>
      </c>
      <c r="G15" s="6">
        <f>Submetering!M15</f>
        <v>482.11000000001081</v>
      </c>
      <c r="H15" s="12">
        <v>2.5</v>
      </c>
      <c r="I15" s="6">
        <f>Submetering!L15</f>
        <v>82268.406000000003</v>
      </c>
      <c r="J15" s="5">
        <v>0.06</v>
      </c>
      <c r="K15" s="270">
        <f>Submetering!K15</f>
        <v>11743.241999998758</v>
      </c>
      <c r="L15" s="5">
        <v>1.1399999999999999</v>
      </c>
      <c r="M15" s="6">
        <f>INT('Daily Meter'!O19*434/100)</f>
        <v>389</v>
      </c>
      <c r="N15" s="2" t="s">
        <v>12</v>
      </c>
      <c r="O15" s="2">
        <v>6.2</v>
      </c>
    </row>
    <row r="16" spans="1:15">
      <c r="A16" s="2" t="s">
        <v>11</v>
      </c>
      <c r="B16" s="2">
        <f t="shared" si="0"/>
        <v>15</v>
      </c>
      <c r="C16" s="3">
        <v>3</v>
      </c>
      <c r="D16" s="2">
        <v>2023</v>
      </c>
      <c r="E16" s="6">
        <f>Submetering!E16+Submetering!F16+Submetering!G16+Submetering!H16+Submetering!I16+Submetering!J16</f>
        <v>15072.00000000048</v>
      </c>
      <c r="F16" s="5">
        <v>0.44</v>
      </c>
      <c r="G16" s="6">
        <f>Submetering!M16</f>
        <v>354.45999999998384</v>
      </c>
      <c r="H16" s="12">
        <v>2.5</v>
      </c>
      <c r="I16" s="6">
        <f>Submetering!L16</f>
        <v>31675.536</v>
      </c>
      <c r="J16" s="5">
        <v>0.06</v>
      </c>
      <c r="K16" s="270">
        <f>Submetering!K16</f>
        <v>8046.8220000008268</v>
      </c>
      <c r="L16" s="5">
        <v>1.1399999999999999</v>
      </c>
      <c r="M16" s="6">
        <f>INT('Daily Meter'!O20*434/100)</f>
        <v>417</v>
      </c>
      <c r="N16" s="2" t="s">
        <v>12</v>
      </c>
      <c r="O16" s="2">
        <v>6.5</v>
      </c>
    </row>
    <row r="17" spans="1:15">
      <c r="A17" s="2" t="s">
        <v>11</v>
      </c>
      <c r="B17" s="2">
        <f t="shared" si="0"/>
        <v>16</v>
      </c>
      <c r="C17" s="3">
        <v>3</v>
      </c>
      <c r="D17" s="2">
        <v>2023</v>
      </c>
      <c r="E17" s="6">
        <f>Submetering!E17+Submetering!F17+Submetering!G17+Submetering!H17+Submetering!I17+Submetering!J17</f>
        <v>19487.999999999411</v>
      </c>
      <c r="F17" s="5">
        <v>0.44</v>
      </c>
      <c r="G17" s="6">
        <f>Submetering!M17</f>
        <v>518.37000000002161</v>
      </c>
      <c r="H17" s="12">
        <v>2.5</v>
      </c>
      <c r="I17" s="6">
        <f>Submetering!L17</f>
        <v>90627.228000000003</v>
      </c>
      <c r="J17" s="5">
        <v>0.06</v>
      </c>
      <c r="K17" s="270">
        <f>Submetering!K17</f>
        <v>11572.637999999171</v>
      </c>
      <c r="L17" s="5">
        <v>1.1399999999999999</v>
      </c>
      <c r="M17" s="6">
        <f>INT('Daily Meter'!O21*434/100)</f>
        <v>412</v>
      </c>
      <c r="N17" s="2" t="s">
        <v>12</v>
      </c>
      <c r="O17" s="2">
        <v>6.8</v>
      </c>
    </row>
    <row r="18" spans="1:15">
      <c r="A18" s="2" t="s">
        <v>11</v>
      </c>
      <c r="B18" s="2">
        <f t="shared" si="0"/>
        <v>17</v>
      </c>
      <c r="C18" s="3">
        <v>3</v>
      </c>
      <c r="D18" s="2">
        <v>2023</v>
      </c>
      <c r="E18" s="6">
        <f>Submetering!E18+Submetering!F18+Submetering!G18+Submetering!H18+Submetering!I18+Submetering!J18</f>
        <v>14256.000000001113</v>
      </c>
      <c r="F18" s="5">
        <v>0.44</v>
      </c>
      <c r="G18" s="6">
        <f>Submetering!M18</f>
        <v>352.60999999998387</v>
      </c>
      <c r="H18" s="12">
        <v>2.5</v>
      </c>
      <c r="I18" s="6">
        <f>Submetering!L18</f>
        <v>52572.591</v>
      </c>
      <c r="J18" s="5">
        <v>0.06</v>
      </c>
      <c r="K18" s="270">
        <f>Submetering!K18</f>
        <v>8899.8420000008264</v>
      </c>
      <c r="L18" s="5">
        <v>1.1399999999999999</v>
      </c>
      <c r="M18" s="6">
        <f>INT('Daily Meter'!O22*434/100)</f>
        <v>391</v>
      </c>
      <c r="N18" s="2" t="s">
        <v>12</v>
      </c>
      <c r="O18" s="2">
        <v>4.9000000000000004</v>
      </c>
    </row>
    <row r="19" spans="1:15">
      <c r="A19" s="2" t="s">
        <v>11</v>
      </c>
      <c r="B19" s="2">
        <f t="shared" si="0"/>
        <v>18</v>
      </c>
      <c r="C19" s="3">
        <v>3</v>
      </c>
      <c r="D19" s="2">
        <v>2023</v>
      </c>
      <c r="E19" s="6">
        <f>Submetering!E19+Submetering!F19+Submetering!G19+Submetering!H19+Submetering!I19+Submetering!J19</f>
        <v>18383.999999999105</v>
      </c>
      <c r="F19" s="5">
        <v>0.44</v>
      </c>
      <c r="G19" s="6">
        <f>Submetering!M19</f>
        <v>487.66000000001077</v>
      </c>
      <c r="H19" s="12">
        <v>2.5</v>
      </c>
      <c r="I19" s="6">
        <f>Submetering!L19</f>
        <v>49932.962999999996</v>
      </c>
      <c r="J19" s="5">
        <v>0.06</v>
      </c>
      <c r="K19" s="270">
        <f>Submetering!K19</f>
        <v>9496.956000000413</v>
      </c>
      <c r="L19" s="5">
        <v>1.1399999999999999</v>
      </c>
      <c r="M19" s="6">
        <f>INT('Daily Meter'!O23*434/100)</f>
        <v>384</v>
      </c>
      <c r="N19" s="2" t="s">
        <v>12</v>
      </c>
      <c r="O19" s="2">
        <v>2.8</v>
      </c>
    </row>
    <row r="20" spans="1:15">
      <c r="A20" s="2" t="s">
        <v>11</v>
      </c>
      <c r="B20" s="2">
        <f t="shared" si="0"/>
        <v>19</v>
      </c>
      <c r="C20" s="3">
        <v>3</v>
      </c>
      <c r="D20" s="2">
        <v>2023</v>
      </c>
      <c r="E20" s="6">
        <f>Submetering!E20+Submetering!F20+Submetering!G20+Submetering!H20+Submetering!I20+Submetering!J20</f>
        <v>16992.00000000048</v>
      </c>
      <c r="F20" s="5">
        <v>0.44</v>
      </c>
      <c r="G20" s="6">
        <f>Submetering!M20</f>
        <v>455.83999999998923</v>
      </c>
      <c r="H20" s="12">
        <v>2.5</v>
      </c>
      <c r="I20" s="6">
        <f>Submetering!L20</f>
        <v>82268.406000000003</v>
      </c>
      <c r="J20" s="5">
        <v>0.06</v>
      </c>
      <c r="K20" s="270">
        <f>Submetering!K20</f>
        <v>8729.2379999991717</v>
      </c>
      <c r="L20" s="5">
        <v>1.1399999999999999</v>
      </c>
      <c r="M20" s="6">
        <f>INT('Daily Meter'!O24*434/100)</f>
        <v>270</v>
      </c>
      <c r="N20" s="2" t="s">
        <v>12</v>
      </c>
      <c r="O20" s="2">
        <v>3.2</v>
      </c>
    </row>
    <row r="21" spans="1:15">
      <c r="A21" s="2" t="s">
        <v>11</v>
      </c>
      <c r="B21" s="2">
        <f t="shared" si="0"/>
        <v>20</v>
      </c>
      <c r="C21" s="3">
        <v>3</v>
      </c>
      <c r="D21" s="2">
        <v>2023</v>
      </c>
      <c r="E21" s="6">
        <f>Submetering!E21+Submetering!F21+Submetering!G21+Submetering!H21+Submetering!I21+Submetering!J21</f>
        <v>19295.999999999694</v>
      </c>
      <c r="F21" s="5">
        <v>0.44</v>
      </c>
      <c r="G21" s="6">
        <f>Submetering!M21</f>
        <v>407.36999999999466</v>
      </c>
      <c r="H21" s="12">
        <v>2.5</v>
      </c>
      <c r="I21" s="6">
        <f>Submetering!L21</f>
        <v>43333.892999999996</v>
      </c>
      <c r="J21" s="5">
        <v>0.06</v>
      </c>
      <c r="K21" s="270">
        <f>Submetering!K21</f>
        <v>7620.3120000008266</v>
      </c>
      <c r="L21" s="5">
        <v>1.1399999999999999</v>
      </c>
      <c r="M21" s="6">
        <f>INT('Daily Meter'!O25*434/100)</f>
        <v>284</v>
      </c>
      <c r="N21" s="2" t="s">
        <v>12</v>
      </c>
      <c r="O21" s="2">
        <v>5.4</v>
      </c>
    </row>
    <row r="22" spans="1:15">
      <c r="A22" s="2" t="s">
        <v>11</v>
      </c>
      <c r="B22" s="2">
        <f t="shared" si="0"/>
        <v>21</v>
      </c>
      <c r="C22" s="3">
        <v>3</v>
      </c>
      <c r="D22" s="2">
        <v>2023</v>
      </c>
      <c r="E22" s="6">
        <f>Submetering!E22+Submetering!F22+Submetering!G22+Submetering!H22+Submetering!I22+Submetering!J22</f>
        <v>14928.000000000175</v>
      </c>
      <c r="F22" s="5">
        <v>0.44</v>
      </c>
      <c r="G22" s="6">
        <f>Submetering!M22</f>
        <v>380.36000000001081</v>
      </c>
      <c r="H22" s="12">
        <v>2.5</v>
      </c>
      <c r="I22" s="6">
        <f>Submetering!L22</f>
        <v>36514.853999999999</v>
      </c>
      <c r="J22" s="5">
        <v>0.06</v>
      </c>
      <c r="K22" s="270">
        <f>Submetering!K22</f>
        <v>7876.2179999991722</v>
      </c>
      <c r="L22" s="5">
        <v>1.1399999999999999</v>
      </c>
      <c r="M22" s="6">
        <f>INT('Daily Meter'!O26*434/100)</f>
        <v>262</v>
      </c>
      <c r="N22" s="2" t="s">
        <v>12</v>
      </c>
      <c r="O22" s="2">
        <v>5.9</v>
      </c>
    </row>
    <row r="23" spans="1:15">
      <c r="A23" s="2" t="s">
        <v>11</v>
      </c>
      <c r="B23" s="2">
        <f t="shared" si="0"/>
        <v>22</v>
      </c>
      <c r="C23" s="3">
        <v>3</v>
      </c>
      <c r="D23" s="2">
        <v>2023</v>
      </c>
      <c r="E23" s="6">
        <f>Submetering!E23+Submetering!F23+Submetering!G23+Submetering!H23+Submetering!I23+Submetering!J23</f>
        <v>13775.999999999585</v>
      </c>
      <c r="F23" s="5">
        <v>0.44</v>
      </c>
      <c r="G23" s="6">
        <f>Submetering!M23</f>
        <v>415.51000000001079</v>
      </c>
      <c r="H23" s="12">
        <v>2.5</v>
      </c>
      <c r="I23" s="6">
        <f>Submetering!L23</f>
        <v>54112.373999999996</v>
      </c>
      <c r="J23" s="5">
        <v>0.06</v>
      </c>
      <c r="K23" s="270">
        <f>Submetering!K23</f>
        <v>8245.8599999999988</v>
      </c>
      <c r="L23" s="5">
        <v>1.1399999999999999</v>
      </c>
      <c r="M23" s="6">
        <f>INT('Daily Meter'!O27*434/100)</f>
        <v>218</v>
      </c>
      <c r="N23" s="2" t="s">
        <v>12</v>
      </c>
      <c r="O23" s="2">
        <v>3.7</v>
      </c>
    </row>
    <row r="24" spans="1:15">
      <c r="A24" s="2" t="s">
        <v>11</v>
      </c>
      <c r="B24" s="2">
        <f t="shared" si="0"/>
        <v>23</v>
      </c>
      <c r="C24" s="3">
        <v>3</v>
      </c>
      <c r="D24" s="2">
        <v>2023</v>
      </c>
      <c r="E24" s="6">
        <f>Submetering!E24+Submetering!F24+Submetering!G24+Submetering!H24+Submetering!I24+Submetering!J24</f>
        <v>12912.000000000589</v>
      </c>
      <c r="F24" s="5">
        <v>0.44</v>
      </c>
      <c r="G24" s="6">
        <f>Submetering!M24</f>
        <v>370.36999999999466</v>
      </c>
      <c r="H24" s="12">
        <v>2.5</v>
      </c>
      <c r="I24" s="6">
        <f>Submetering!L24</f>
        <v>73029.707999999999</v>
      </c>
      <c r="J24" s="5">
        <v>0.06</v>
      </c>
      <c r="K24" s="270">
        <f>Submetering!K24</f>
        <v>6994.7639999995854</v>
      </c>
      <c r="L24" s="5">
        <v>1.1399999999999999</v>
      </c>
      <c r="M24" s="6">
        <f>INT('Daily Meter'!O28*434/100)</f>
        <v>216</v>
      </c>
      <c r="N24" s="2" t="s">
        <v>12</v>
      </c>
      <c r="O24" s="2">
        <v>3</v>
      </c>
    </row>
    <row r="25" spans="1:15">
      <c r="A25" s="2" t="s">
        <v>11</v>
      </c>
      <c r="B25" s="2">
        <f t="shared" si="0"/>
        <v>24</v>
      </c>
      <c r="C25" s="3">
        <v>3</v>
      </c>
      <c r="D25" s="2">
        <v>2023</v>
      </c>
      <c r="E25" s="6">
        <f>Submetering!E25+Submetering!F25+Submetering!G25+Submetering!H25+Submetering!I25+Submetering!J25</f>
        <v>17232.000000000044</v>
      </c>
      <c r="F25" s="5">
        <v>0.44</v>
      </c>
      <c r="G25" s="6">
        <f>Submetering!M25</f>
        <v>386.65000000000003</v>
      </c>
      <c r="H25" s="12">
        <v>2.5</v>
      </c>
      <c r="I25" s="6">
        <f>Submetering!L25</f>
        <v>53892.404999999999</v>
      </c>
      <c r="J25" s="5">
        <v>0.06</v>
      </c>
      <c r="K25" s="270">
        <f>Submetering!K25</f>
        <v>6767.2920000008271</v>
      </c>
      <c r="L25" s="5">
        <v>1.1399999999999999</v>
      </c>
      <c r="M25" s="6">
        <f>INT('Daily Meter'!O29*434/100)</f>
        <v>202</v>
      </c>
      <c r="N25" s="2" t="s">
        <v>12</v>
      </c>
      <c r="O25" s="2">
        <v>2.6</v>
      </c>
    </row>
    <row r="26" spans="1:15">
      <c r="A26" s="2" t="s">
        <v>11</v>
      </c>
      <c r="B26" s="2">
        <f t="shared" si="0"/>
        <v>25</v>
      </c>
      <c r="C26" s="3">
        <v>3</v>
      </c>
      <c r="D26" s="2">
        <v>2023</v>
      </c>
      <c r="E26" s="6">
        <f>Submetering!E26+Submetering!F26+Submetering!G26+Submetering!H26+Submetering!I26+Submetering!J26</f>
        <v>17904.000000000087</v>
      </c>
      <c r="F26" s="5">
        <v>0.44</v>
      </c>
      <c r="G26" s="6">
        <f>Submetering!M26</f>
        <v>466.56999999999465</v>
      </c>
      <c r="H26" s="12">
        <v>2.5</v>
      </c>
      <c r="I26" s="6">
        <f>Submetering!L26</f>
        <v>39154.481999999996</v>
      </c>
      <c r="J26" s="5">
        <v>0.06</v>
      </c>
      <c r="K26" s="270">
        <f>Submetering!K26</f>
        <v>8928.2760000004128</v>
      </c>
      <c r="L26" s="5">
        <v>1.1399999999999999</v>
      </c>
      <c r="M26" s="6">
        <f>INT('Daily Meter'!O30*434/100)</f>
        <v>218</v>
      </c>
      <c r="N26" s="2" t="s">
        <v>12</v>
      </c>
      <c r="O26" s="2">
        <v>2.9</v>
      </c>
    </row>
    <row r="27" spans="1:15">
      <c r="A27" s="2" t="s">
        <v>11</v>
      </c>
      <c r="B27" s="2">
        <f t="shared" si="0"/>
        <v>26</v>
      </c>
      <c r="C27" s="3">
        <v>3</v>
      </c>
      <c r="D27" s="2">
        <v>2023</v>
      </c>
      <c r="E27" s="6">
        <f>Submetering!E27+Submetering!F27+Submetering!G27+Submetering!H27+Submetering!I27+Submetering!J27</f>
        <v>11855.999999999149</v>
      </c>
      <c r="F27" s="5">
        <v>0.44</v>
      </c>
      <c r="G27" s="6">
        <f>Submetering!M27</f>
        <v>340.76999999999464</v>
      </c>
      <c r="H27" s="12">
        <v>2.5</v>
      </c>
      <c r="I27" s="6">
        <f>Submetering!L27</f>
        <v>67970.421000000002</v>
      </c>
      <c r="J27" s="5">
        <v>0.06</v>
      </c>
      <c r="K27" s="270">
        <f>Submetering!K27</f>
        <v>6710.4239999995852</v>
      </c>
      <c r="L27" s="5">
        <v>1.1399999999999999</v>
      </c>
      <c r="M27" s="6">
        <f>INT('Daily Meter'!O31*434/100)</f>
        <v>232</v>
      </c>
      <c r="N27" s="2" t="s">
        <v>12</v>
      </c>
      <c r="O27" s="2">
        <v>5.5</v>
      </c>
    </row>
    <row r="28" spans="1:15">
      <c r="A28" s="2" t="s">
        <v>11</v>
      </c>
      <c r="B28" s="2">
        <f t="shared" si="0"/>
        <v>27</v>
      </c>
      <c r="C28" s="3">
        <v>3</v>
      </c>
      <c r="D28" s="2">
        <v>2023</v>
      </c>
      <c r="E28" s="6">
        <f>Submetering!E28+Submetering!F28+Submetering!G28+Submetering!H28+Submetering!I28+Submetering!J28</f>
        <v>19728.000000000393</v>
      </c>
      <c r="F28" s="5">
        <v>0.44</v>
      </c>
      <c r="G28" s="6">
        <f>Submetering!M28</f>
        <v>341.51000000001079</v>
      </c>
      <c r="H28" s="12">
        <v>2.5</v>
      </c>
      <c r="I28" s="6">
        <f>Submetering!L28</f>
        <v>34095.195</v>
      </c>
      <c r="J28" s="5">
        <v>0.06</v>
      </c>
      <c r="K28" s="270">
        <f>Submetering!K28</f>
        <v>7790.9160000004131</v>
      </c>
      <c r="L28" s="5">
        <v>1.1399999999999999</v>
      </c>
      <c r="M28" s="6">
        <f>INT('Daily Meter'!O32*434/100)</f>
        <v>234</v>
      </c>
      <c r="N28" s="2" t="s">
        <v>12</v>
      </c>
      <c r="O28" s="2">
        <v>7.8</v>
      </c>
    </row>
    <row r="29" spans="1:15">
      <c r="A29" s="2" t="s">
        <v>11</v>
      </c>
      <c r="B29" s="2">
        <f t="shared" si="0"/>
        <v>28</v>
      </c>
      <c r="C29" s="3">
        <v>3</v>
      </c>
      <c r="D29" s="2">
        <v>2023</v>
      </c>
      <c r="E29" s="6">
        <f>Submetering!E29+Submetering!F29+Submetering!G29+Submetering!H29+Submetering!I29+Submetering!J29</f>
        <v>16751.999999999607</v>
      </c>
      <c r="F29" s="5">
        <v>0.44</v>
      </c>
      <c r="G29" s="6">
        <f>Submetering!M29</f>
        <v>453.25</v>
      </c>
      <c r="H29" s="12">
        <v>2.5</v>
      </c>
      <c r="I29" s="6">
        <f>Submetering!L29</f>
        <v>38494.574999999997</v>
      </c>
      <c r="J29" s="5">
        <v>0.06</v>
      </c>
      <c r="K29" s="270">
        <f>Submetering!K29</f>
        <v>10179.371999998757</v>
      </c>
      <c r="L29" s="5">
        <v>1.1399999999999999</v>
      </c>
      <c r="M29" s="6">
        <f>INT('Daily Meter'!O33*434/100)</f>
        <v>217</v>
      </c>
      <c r="N29" s="2" t="s">
        <v>12</v>
      </c>
      <c r="O29" s="2">
        <v>5.6</v>
      </c>
    </row>
    <row r="30" spans="1:15">
      <c r="A30" s="2" t="s">
        <v>11</v>
      </c>
      <c r="B30" s="2">
        <f t="shared" si="0"/>
        <v>29</v>
      </c>
      <c r="C30" s="3">
        <v>3</v>
      </c>
      <c r="D30" s="2">
        <v>2023</v>
      </c>
      <c r="E30" s="6">
        <f>Submetering!E30+Submetering!F30+Submetering!G30+Submetering!H30+Submetering!I30+Submetering!J30</f>
        <v>12720.000000001091</v>
      </c>
      <c r="F30" s="5">
        <v>0.44</v>
      </c>
      <c r="G30" s="6">
        <f>Submetering!M30</f>
        <v>318.93999999998925</v>
      </c>
      <c r="H30" s="12">
        <v>2.5</v>
      </c>
      <c r="I30" s="6">
        <f>Submetering!L30</f>
        <v>20237.148000000001</v>
      </c>
      <c r="J30" s="5">
        <v>0.06</v>
      </c>
      <c r="K30" s="270">
        <f>Submetering!K30</f>
        <v>6397.65</v>
      </c>
      <c r="L30" s="5">
        <v>1.1399999999999999</v>
      </c>
      <c r="M30" s="6">
        <f>INT('Daily Meter'!O34*434/100)</f>
        <v>192</v>
      </c>
      <c r="N30" s="2" t="s">
        <v>12</v>
      </c>
      <c r="O30" s="2">
        <v>4.4000000000000004</v>
      </c>
    </row>
    <row r="31" spans="1:15">
      <c r="A31" s="2" t="s">
        <v>11</v>
      </c>
      <c r="B31" s="2">
        <f t="shared" si="0"/>
        <v>30</v>
      </c>
      <c r="C31" s="3">
        <v>3</v>
      </c>
      <c r="D31" s="2">
        <v>2023</v>
      </c>
      <c r="E31" s="6">
        <f>Submetering!E31+Submetering!F31+Submetering!G31+Submetering!H31+Submetering!I31+Submetering!J31</f>
        <v>17375.999999999149</v>
      </c>
      <c r="F31" s="5">
        <v>0.44</v>
      </c>
      <c r="G31" s="6">
        <f>Submetering!M31</f>
        <v>381.84000000001618</v>
      </c>
      <c r="H31" s="12">
        <v>2.5</v>
      </c>
      <c r="I31" s="6">
        <f>Submetering!L31</f>
        <v>3739.473</v>
      </c>
      <c r="J31" s="5">
        <v>0.06</v>
      </c>
      <c r="K31" s="270">
        <f>Submetering!K31</f>
        <v>8388.0299999999988</v>
      </c>
      <c r="L31" s="5">
        <v>1.1399999999999999</v>
      </c>
      <c r="M31" s="6">
        <f>INT('Daily Meter'!O35*434/100)</f>
        <v>193</v>
      </c>
      <c r="O31" s="2">
        <v>3.2</v>
      </c>
    </row>
    <row r="32" spans="1:15">
      <c r="A32" s="2" t="s">
        <v>11</v>
      </c>
      <c r="B32" s="2">
        <f t="shared" si="0"/>
        <v>31</v>
      </c>
      <c r="C32" s="3">
        <v>3</v>
      </c>
      <c r="D32" s="2">
        <v>2023</v>
      </c>
      <c r="E32" s="6">
        <f>Submetering!E32+Submetering!F32+Submetering!G32+Submetering!H32+Submetering!I32+Submetering!J32</f>
        <v>17424.000000000306</v>
      </c>
      <c r="F32" s="5">
        <v>0.44</v>
      </c>
      <c r="G32" s="6">
        <f>Submetering!M32</f>
        <v>452.13999999998924</v>
      </c>
      <c r="H32" s="12">
        <v>2.5</v>
      </c>
      <c r="I32" s="6">
        <f>Submetering!L32</f>
        <v>13858.047</v>
      </c>
      <c r="J32" s="5">
        <v>0.06</v>
      </c>
      <c r="K32" s="270">
        <f>Submetering!K32</f>
        <v>8558.6339999995853</v>
      </c>
      <c r="L32" s="5">
        <v>1.1399999999999999</v>
      </c>
      <c r="M32" s="6">
        <f>INT('Daily Meter'!O36*434/100)</f>
        <v>219</v>
      </c>
      <c r="O32" s="2">
        <v>3.5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2"/>
  <sheetViews>
    <sheetView topLeftCell="A24" zoomScaleNormal="100" workbookViewId="0">
      <selection activeCell="A30" sqref="A30:A32"/>
    </sheetView>
  </sheetViews>
  <sheetFormatPr defaultColWidth="11.59765625" defaultRowHeight="14.25"/>
  <cols>
    <col min="1" max="1" width="23" style="2" customWidth="1"/>
    <col min="2" max="2" width="11.59765625" style="2"/>
    <col min="3" max="3" width="11.59765625" style="3"/>
    <col min="4" max="4" width="13.3984375" style="2" customWidth="1"/>
    <col min="5" max="5" width="12.59765625" style="2" customWidth="1"/>
    <col min="6" max="6" width="12.59765625" style="4" customWidth="1"/>
    <col min="7" max="8" width="11.59765625" style="2"/>
    <col min="9" max="9" width="11.59765625" style="4"/>
    <col min="10" max="13" width="11.59765625" style="2"/>
    <col min="14" max="14" width="11.59765625" style="6"/>
    <col min="15" max="15" width="11.59765625" style="2"/>
  </cols>
  <sheetData>
    <row r="1" spans="1:15" s="13" customFormat="1" ht="28.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>
      <c r="A2" s="2" t="s">
        <v>11</v>
      </c>
      <c r="B2" s="2">
        <v>1</v>
      </c>
      <c r="C2" s="3">
        <v>3</v>
      </c>
      <c r="D2" s="2">
        <v>2023</v>
      </c>
      <c r="E2" s="6">
        <f>IF(('Daily Meter'!H6-'1'!D13)&lt;0,"0",'Daily Meter'!H6-'1'!D13)*480</f>
        <v>3360</v>
      </c>
      <c r="F2" s="6">
        <f>IF(('Daily Meter'!I6-'1'!D14)&lt;0,"0",'Daily Meter'!I6-'1'!D14)*480</f>
        <v>1872.0000000000437</v>
      </c>
      <c r="G2" s="6">
        <f>IF(('Daily Meter'!J6-'1'!D15)&lt;0,"0",'Daily Meter'!J6-'1'!D15)*480</f>
        <v>2208.0000000001746</v>
      </c>
      <c r="H2" s="6">
        <f>IF(('Daily Meter'!K6-'1'!D16)&lt;0,"0",'Daily Meter'!K6-'1'!D16)*480</f>
        <v>1440</v>
      </c>
      <c r="I2" s="6">
        <f>IF(('Daily Meter'!L6-'1'!D17)&lt;0,"0",'Daily Meter'!L6-'1'!D17)*480</f>
        <v>2208.0000000001746</v>
      </c>
      <c r="J2" s="6">
        <f>IF(('Daily Meter'!M6-'1'!D18)&lt;0,"0",'Daily Meter'!M6-'1'!D18)*480</f>
        <v>6144.0000000005239</v>
      </c>
      <c r="K2" s="6">
        <f>IF(('Daily Meter'!B6-'1'!D7)&lt;0,"0",'Daily Meter'!B6-'1'!D7)*284.34</f>
        <v>8985.1439999995855</v>
      </c>
      <c r="L2" s="6">
        <f>IF(('Daily Meter'!C6-'1'!D10)&lt;0,"0",'Daily Meter'!C6-'1'!D10)*219.969</f>
        <v>55432.188000000002</v>
      </c>
      <c r="M2" s="6">
        <f>IF(('Daily Meter'!N6-'1'!D22)&lt;0,"0",'Daily Meter'!N6-'1'!D22)*3.7</f>
        <v>563.88000000000545</v>
      </c>
      <c r="N2" s="6">
        <f>Total!M2</f>
        <v>430</v>
      </c>
      <c r="O2" s="2" t="s">
        <v>12</v>
      </c>
    </row>
    <row r="3" spans="1:15">
      <c r="A3" s="2" t="s">
        <v>11</v>
      </c>
      <c r="B3" s="2">
        <f t="shared" ref="B3:B32" si="0">B2+1</f>
        <v>2</v>
      </c>
      <c r="C3" s="3">
        <v>3</v>
      </c>
      <c r="D3" s="2">
        <v>2023</v>
      </c>
      <c r="E3" s="6">
        <f>IF(('Daily Meter'!H7-'Daily Meter'!H6)&lt;0,"0",'Daily Meter'!H7-'Daily Meter'!H6)*480</f>
        <v>3455.9999999999127</v>
      </c>
      <c r="F3" s="6">
        <f>IF(('Daily Meter'!I7-'Daily Meter'!I6)&lt;0,"0",'Daily Meter'!I7-'Daily Meter'!I6)*480</f>
        <v>1967.9999999999563</v>
      </c>
      <c r="G3" s="6">
        <f>IF(('Daily Meter'!J7-'Daily Meter'!J6)&lt;0,"0",'Daily Meter'!J7-'Daily Meter'!J6)*480</f>
        <v>2207.9999999999563</v>
      </c>
      <c r="H3" s="6">
        <f>IF(('Daily Meter'!K7-'Daily Meter'!K6)&lt;0,"0",'Daily Meter'!K7-'Daily Meter'!K6)*480</f>
        <v>1392.0000000000437</v>
      </c>
      <c r="I3" s="6">
        <f>IF(('Daily Meter'!L7-'Daily Meter'!L6)&lt;0,"0",'Daily Meter'!L7-'Daily Meter'!L6)*480</f>
        <v>2255.9999999999127</v>
      </c>
      <c r="J3" s="6">
        <f>IF(('Daily Meter'!M7-'Daily Meter'!M6)&lt;0,"0",'Daily Meter'!M7-'Daily Meter'!M6)*480</f>
        <v>6191.9999999998254</v>
      </c>
      <c r="K3" s="6">
        <f>IF(('Daily Meter'!B7-'Daily Meter'!B6)&lt;0,"0",'Daily Meter'!B7-'Daily Meter'!B6)*284.34</f>
        <v>8757.6719999987581</v>
      </c>
      <c r="L3" s="6">
        <f>IF(('Daily Meter'!C7-'Daily Meter'!C6)&lt;0,"0",'Daily Meter'!C7-'Daily Meter'!C6)*219.969</f>
        <v>77429.088000000003</v>
      </c>
      <c r="M3" s="6">
        <f>IF(('Daily Meter'!N7-'Daily Meter'!N6)&lt;0,"0",'Daily Meter'!N7-'Daily Meter'!N6)*3.7</f>
        <v>542.05000000000007</v>
      </c>
      <c r="N3" s="6">
        <f>Total!M3</f>
        <v>434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3</v>
      </c>
      <c r="D4" s="2">
        <v>2023</v>
      </c>
      <c r="E4" s="6">
        <f>IF(('Daily Meter'!H8-'Daily Meter'!H7)&lt;0,"0",'Daily Meter'!H8-'Daily Meter'!H7)*480</f>
        <v>4031.9999999998254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2592.0000000000437</v>
      </c>
      <c r="H4" s="6">
        <f>IF(('Daily Meter'!K8-'Daily Meter'!K7)&lt;0,"0",'Daily Meter'!K8-'Daily Meter'!K7)*480</f>
        <v>1631.9999999999345</v>
      </c>
      <c r="I4" s="6">
        <f>IF(('Daily Meter'!L8-'Daily Meter'!L7)&lt;0,"0",'Daily Meter'!L8-'Daily Meter'!L7)*480</f>
        <v>2447.9999999997381</v>
      </c>
      <c r="J4" s="6">
        <f>IF(('Daily Meter'!M8-'Daily Meter'!M7)&lt;0,"0",'Daily Meter'!M8-'Daily Meter'!M7)*480</f>
        <v>7200</v>
      </c>
      <c r="K4" s="6">
        <f>IF(('Daily Meter'!B8-'Daily Meter'!B7)&lt;0,"0",'Daily Meter'!B8-'Daily Meter'!B7)*284.34</f>
        <v>10549.014000001654</v>
      </c>
      <c r="L4" s="6">
        <f>IF(('Daily Meter'!C8-'Daily Meter'!C7)&lt;0,"0",'Daily Meter'!C8-'Daily Meter'!C7)*219.969</f>
        <v>78528.933000000005</v>
      </c>
      <c r="M4" s="6">
        <f>IF(('Daily Meter'!N8-'Daily Meter'!N7)&lt;0,"0",'Daily Meter'!N8-'Daily Meter'!N7)*3.7</f>
        <v>594.58999999998923</v>
      </c>
      <c r="N4" s="6">
        <f>Total!M4</f>
        <v>399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3</v>
      </c>
      <c r="D5" s="2">
        <v>2023</v>
      </c>
      <c r="E5" s="6">
        <f>IF(('Daily Meter'!H9-'Daily Meter'!H8)&lt;0,"0",'Daily Meter'!H9-'Daily Meter'!H8)*480</f>
        <v>3072.0000000002619</v>
      </c>
      <c r="F5" s="6">
        <f>IF(('Daily Meter'!I9-'Daily Meter'!I8)&lt;0,"0",'Daily Meter'!I9-'Daily Meter'!I8)*480</f>
        <v>1920</v>
      </c>
      <c r="G5" s="6">
        <f>IF(('Daily Meter'!J9-'Daily Meter'!J8)&lt;0,"0",'Daily Meter'!J9-'Daily Meter'!J8)*480</f>
        <v>2015.9999999999127</v>
      </c>
      <c r="H5" s="6">
        <f>IF(('Daily Meter'!K9-'Daily Meter'!K8)&lt;0,"0",'Daily Meter'!K9-'Daily Meter'!K8)*480</f>
        <v>1343.9999999999782</v>
      </c>
      <c r="I5" s="6">
        <f>IF(('Daily Meter'!L9-'Daily Meter'!L8)&lt;0,"0",'Daily Meter'!L9-'Daily Meter'!L8)*480</f>
        <v>2112.0000000002619</v>
      </c>
      <c r="J5" s="6">
        <f>IF(('Daily Meter'!M9-'Daily Meter'!M8)&lt;0,"0",'Daily Meter'!M9-'Daily Meter'!M8)*480</f>
        <v>4608.0000000001746</v>
      </c>
      <c r="K5" s="6">
        <f>IF(('Daily Meter'!B9-'Daily Meter'!B8)&lt;0,"0",'Daily Meter'!B9-'Daily Meter'!B8)*284.34</f>
        <v>8416.4639999995852</v>
      </c>
      <c r="L5" s="6">
        <f>IF(('Daily Meter'!C9-'Daily Meter'!C8)&lt;0,"0",'Daily Meter'!C9-'Daily Meter'!C8)*219.969</f>
        <v>53012.528999999995</v>
      </c>
      <c r="M5" s="6">
        <f>IF(('Daily Meter'!N9-'Daily Meter'!N8)&lt;0,"0",'Daily Meter'!N9-'Daily Meter'!N8)*3.7</f>
        <v>416.25</v>
      </c>
      <c r="N5" s="6">
        <f>Total!M5</f>
        <v>399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3</v>
      </c>
      <c r="D6" s="2">
        <v>2023</v>
      </c>
      <c r="E6" s="6">
        <f>IF(('Daily Meter'!H10-'Daily Meter'!H9)&lt;0,"0",'Daily Meter'!H10-'Daily Meter'!H9)*480</f>
        <v>4511.9999999998254</v>
      </c>
      <c r="F6" s="6">
        <f>IF(('Daily Meter'!I10-'Daily Meter'!I9)&lt;0,"0",'Daily Meter'!I10-'Daily Meter'!I9)*480</f>
        <v>2447.9999999999563</v>
      </c>
      <c r="G6" s="6">
        <f>IF(('Daily Meter'!J10-'Daily Meter'!J9)&lt;0,"0",'Daily Meter'!J10-'Daily Meter'!J9)*480</f>
        <v>2975.9999999999127</v>
      </c>
      <c r="H6" s="6">
        <f>IF(('Daily Meter'!K10-'Daily Meter'!K9)&lt;0,"0",'Daily Meter'!K10-'Daily Meter'!K9)*480</f>
        <v>1968.0000000000655</v>
      </c>
      <c r="I6" s="6">
        <f>IF(('Daily Meter'!L10-'Daily Meter'!L9)&lt;0,"0",'Daily Meter'!L10-'Daily Meter'!L9)*480</f>
        <v>2831.9999999998254</v>
      </c>
      <c r="J6" s="6">
        <f>IF(('Daily Meter'!M10-'Daily Meter'!M9)&lt;0,"0",'Daily Meter'!M10-'Daily Meter'!M9)*480</f>
        <v>7343.9999999996508</v>
      </c>
      <c r="K6" s="6">
        <f>IF(('Daily Meter'!B10-'Daily Meter'!B9)&lt;0,"0",'Daily Meter'!B10-'Daily Meter'!B9)*284.34</f>
        <v>11572.637999999171</v>
      </c>
      <c r="L6" s="6">
        <f>IF(('Daily Meter'!C10-'Daily Meter'!C9)&lt;0,"0",'Daily Meter'!C10-'Daily Meter'!C9)*219.969</f>
        <v>75449.366999999998</v>
      </c>
      <c r="M6" s="6">
        <f>IF(('Daily Meter'!N10-'Daily Meter'!N9)&lt;0,"0",'Daily Meter'!N10-'Daily Meter'!N9)*3.7</f>
        <v>573.13000000000545</v>
      </c>
      <c r="N6" s="6">
        <f>Total!M6</f>
        <v>321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3</v>
      </c>
      <c r="D7" s="2">
        <v>2023</v>
      </c>
      <c r="E7" s="6">
        <f>IF(('Daily Meter'!H11-'Daily Meter'!H10)&lt;0,"0",'Daily Meter'!H11-'Daily Meter'!H10)*480</f>
        <v>2400</v>
      </c>
      <c r="F7" s="6">
        <f>IF(('Daily Meter'!I11-'Daily Meter'!I10)&lt;0,"0",'Daily Meter'!I11-'Daily Meter'!I10)*480</f>
        <v>1392.0000000000437</v>
      </c>
      <c r="G7" s="6">
        <f>IF(('Daily Meter'!J11-'Daily Meter'!J10)&lt;0,"0",'Daily Meter'!J11-'Daily Meter'!J10)*480</f>
        <v>1632.0000000000437</v>
      </c>
      <c r="H7" s="6">
        <f>IF(('Daily Meter'!K11-'Daily Meter'!K10)&lt;0,"0",'Daily Meter'!K11-'Daily Meter'!K10)*480</f>
        <v>1056.0000000000218</v>
      </c>
      <c r="I7" s="6">
        <f>IF(('Daily Meter'!L11-'Daily Meter'!L10)&lt;0,"0",'Daily Meter'!L11-'Daily Meter'!L10)*480</f>
        <v>1632.0000000002619</v>
      </c>
      <c r="J7" s="6">
        <f>IF(('Daily Meter'!M11-'Daily Meter'!M10)&lt;0,"0",'Daily Meter'!M11-'Daily Meter'!M10)*480</f>
        <v>4751.9999999998254</v>
      </c>
      <c r="K7" s="6">
        <f>IF(('Daily Meter'!B11-'Daily Meter'!B10)&lt;0,"0",'Daily Meter'!B11-'Daily Meter'!B10)*284.34</f>
        <v>5487.7620000008274</v>
      </c>
      <c r="L7" s="6">
        <f>IF(('Daily Meter'!C11-'Daily Meter'!C10)&lt;0,"0",'Daily Meter'!C11-'Daily Meter'!C10)*219.969</f>
        <v>43553.862000000001</v>
      </c>
      <c r="M7" s="6">
        <f>IF(('Daily Meter'!N11-'Daily Meter'!N10)&lt;0,"0",'Daily Meter'!N11-'Daily Meter'!N10)*3.7</f>
        <v>305.25</v>
      </c>
      <c r="N7" s="6">
        <f>Total!M7</f>
        <v>401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3</v>
      </c>
      <c r="D8" s="2">
        <v>2023</v>
      </c>
      <c r="E8" s="6">
        <f>IF(('Daily Meter'!H12-'Daily Meter'!H11)&lt;0,"0",'Daily Meter'!H12-'Daily Meter'!H11)*480</f>
        <v>3360</v>
      </c>
      <c r="F8" s="6">
        <f>IF(('Daily Meter'!I12-'Daily Meter'!I11)&lt;0,"0",'Daily Meter'!I12-'Daily Meter'!I11)*480</f>
        <v>2015.9999999999127</v>
      </c>
      <c r="G8" s="6">
        <f>IF(('Daily Meter'!J12-'Daily Meter'!J11)&lt;0,"0",'Daily Meter'!J12-'Daily Meter'!J11)*480</f>
        <v>2304.0000000000873</v>
      </c>
      <c r="H8" s="6">
        <f>IF(('Daily Meter'!K12-'Daily Meter'!K11)&lt;0,"0",'Daily Meter'!K12-'Daily Meter'!K11)*480</f>
        <v>1391.9999999999345</v>
      </c>
      <c r="I8" s="6">
        <f>IF(('Daily Meter'!L12-'Daily Meter'!L11)&lt;0,"0",'Daily Meter'!L12-'Daily Meter'!L11)*480</f>
        <v>2255.9999999999127</v>
      </c>
      <c r="J8" s="6">
        <f>IF(('Daily Meter'!M12-'Daily Meter'!M11)&lt;0,"0",'Daily Meter'!M12-'Daily Meter'!M11)*480</f>
        <v>6528.0000000001746</v>
      </c>
      <c r="K8" s="6">
        <f>IF(('Daily Meter'!B12-'Daily Meter'!B11)&lt;0,"0",'Daily Meter'!B12-'Daily Meter'!B11)*284.34</f>
        <v>8558.6339999995853</v>
      </c>
      <c r="L8" s="6">
        <f>IF(('Daily Meter'!C12-'Daily Meter'!C11)&lt;0,"0",'Daily Meter'!C12-'Daily Meter'!C11)*219.969</f>
        <v>72809.739000000001</v>
      </c>
      <c r="M8" s="6">
        <f>IF(('Daily Meter'!N12-'Daily Meter'!N11)&lt;0,"0",'Daily Meter'!N12-'Daily Meter'!N11)*3.7</f>
        <v>411.8100000000108</v>
      </c>
      <c r="N8" s="6">
        <f>Total!M8</f>
        <v>426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3</v>
      </c>
      <c r="D9" s="2">
        <v>2023</v>
      </c>
      <c r="E9" s="6">
        <f>IF(('Daily Meter'!H13-'Daily Meter'!H12)&lt;0,"0",'Daily Meter'!H13-'Daily Meter'!H12)*480</f>
        <v>3551.9999999998254</v>
      </c>
      <c r="F9" s="6">
        <f>IF(('Daily Meter'!I13-'Daily Meter'!I12)&lt;0,"0",'Daily Meter'!I13-'Daily Meter'!I12)*480</f>
        <v>2016.000000000131</v>
      </c>
      <c r="G9" s="6">
        <f>IF(('Daily Meter'!J13-'Daily Meter'!J12)&lt;0,"0",'Daily Meter'!J13-'Daily Meter'!J12)*480</f>
        <v>2255.9999999999127</v>
      </c>
      <c r="H9" s="6">
        <f>IF(('Daily Meter'!K13-'Daily Meter'!K12)&lt;0,"0",'Daily Meter'!K13-'Daily Meter'!K12)*480</f>
        <v>1536.0000000000218</v>
      </c>
      <c r="I9" s="6">
        <f>IF(('Daily Meter'!L13-'Daily Meter'!L12)&lt;0,"0",'Daily Meter'!L13-'Daily Meter'!L12)*480</f>
        <v>2207.9999999997381</v>
      </c>
      <c r="J9" s="6">
        <f>IF(('Daily Meter'!M13-'Daily Meter'!M12)&lt;0,"0",'Daily Meter'!M13-'Daily Meter'!M12)*480</f>
        <v>6480</v>
      </c>
      <c r="K9" s="6">
        <f>IF(('Daily Meter'!B13-'Daily Meter'!B12)&lt;0,"0",'Daily Meter'!B13-'Daily Meter'!B12)*284.34</f>
        <v>9496.956000000413</v>
      </c>
      <c r="L9" s="6">
        <f>IF(('Daily Meter'!C13-'Daily Meter'!C12)&lt;0,"0",'Daily Meter'!C13-'Daily Meter'!C12)*219.969</f>
        <v>57191.939999999995</v>
      </c>
      <c r="M9" s="6">
        <f>IF(('Daily Meter'!N13-'Daily Meter'!N12)&lt;0,"0",'Daily Meter'!N13-'Daily Meter'!N12)*3.7</f>
        <v>472.85999999998387</v>
      </c>
      <c r="N9" s="6">
        <f>Total!M9</f>
        <v>430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3</v>
      </c>
      <c r="D10" s="2">
        <v>2023</v>
      </c>
      <c r="E10" s="6">
        <f>IF(('Daily Meter'!H14-'Daily Meter'!H13)&lt;0,"0",'Daily Meter'!H14-'Daily Meter'!H13)*480</f>
        <v>3648.0000000001746</v>
      </c>
      <c r="F10" s="6">
        <f>IF(('Daily Meter'!I14-'Daily Meter'!I13)&lt;0,"0",'Daily Meter'!I14-'Daily Meter'!I13)*480</f>
        <v>2160</v>
      </c>
      <c r="G10" s="6">
        <f>IF(('Daily Meter'!J14-'Daily Meter'!J13)&lt;0,"0",'Daily Meter'!J14-'Daily Meter'!J13)*480</f>
        <v>2400</v>
      </c>
      <c r="H10" s="6">
        <f>IF(('Daily Meter'!K14-'Daily Meter'!K13)&lt;0,"0",'Daily Meter'!K14-'Daily Meter'!K13)*480</f>
        <v>1487.9999999999563</v>
      </c>
      <c r="I10" s="6">
        <f>IF(('Daily Meter'!L14-'Daily Meter'!L13)&lt;0,"0",'Daily Meter'!L14-'Daily Meter'!L13)*480</f>
        <v>2400</v>
      </c>
      <c r="J10" s="6">
        <f>IF(('Daily Meter'!M14-'Daily Meter'!M13)&lt;0,"0",'Daily Meter'!M14-'Daily Meter'!M13)*480</f>
        <v>7103.9999999996508</v>
      </c>
      <c r="K10" s="6">
        <f>IF(('Daily Meter'!B14-'Daily Meter'!B13)&lt;0,"0",'Daily Meter'!B14-'Daily Meter'!B13)*284.34</f>
        <v>9212.6160000004129</v>
      </c>
      <c r="L10" s="6">
        <f>IF(('Daily Meter'!C14-'Daily Meter'!C13)&lt;0,"0",'Daily Meter'!C14-'Daily Meter'!C13)*219.969</f>
        <v>86667.785999999993</v>
      </c>
      <c r="M10" s="6">
        <f>IF(('Daily Meter'!N14-'Daily Meter'!N13)&lt;0,"0",'Daily Meter'!N14-'Daily Meter'!N13)*3.7</f>
        <v>582.75</v>
      </c>
      <c r="N10" s="6">
        <f>Total!M10</f>
        <v>425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3</v>
      </c>
      <c r="D11" s="2">
        <v>2023</v>
      </c>
      <c r="E11" s="6">
        <f>IF(('Daily Meter'!H15-'Daily Meter'!H14)&lt;0,"0",'Daily Meter'!H15-'Daily Meter'!H14)*480</f>
        <v>3215.9999999999127</v>
      </c>
      <c r="F11" s="6">
        <f>IF(('Daily Meter'!I15-'Daily Meter'!I14)&lt;0,"0",'Daily Meter'!I15-'Daily Meter'!I14)*480</f>
        <v>1871.9999999998254</v>
      </c>
      <c r="G11" s="6">
        <f>IF(('Daily Meter'!J15-'Daily Meter'!J14)&lt;0,"0",'Daily Meter'!J15-'Daily Meter'!J14)*480</f>
        <v>2160</v>
      </c>
      <c r="H11" s="6">
        <f>IF(('Daily Meter'!K15-'Daily Meter'!K14)&lt;0,"0",'Daily Meter'!K15-'Daily Meter'!K14)*480</f>
        <v>1392.0000000000437</v>
      </c>
      <c r="I11" s="6">
        <f>IF(('Daily Meter'!L15-'Daily Meter'!L14)&lt;0,"0",'Daily Meter'!L15-'Daily Meter'!L14)*480</f>
        <v>2112.0000000002619</v>
      </c>
      <c r="J11" s="6">
        <f>IF(('Daily Meter'!M15-'Daily Meter'!M14)&lt;0,"0",'Daily Meter'!M15-'Daily Meter'!M14)*480</f>
        <v>5760</v>
      </c>
      <c r="K11" s="6">
        <f>IF(('Daily Meter'!B15-'Daily Meter'!B14)&lt;0,"0",'Daily Meter'!B15-'Daily Meter'!B14)*284.34</f>
        <v>10719.617999999171</v>
      </c>
      <c r="L11" s="6">
        <f>IF(('Daily Meter'!C15-'Daily Meter'!C14)&lt;0,"0",'Daily Meter'!C15-'Daily Meter'!C14)*219.969</f>
        <v>67530.482999999993</v>
      </c>
      <c r="M11" s="6">
        <f>IF(('Daily Meter'!N15-'Daily Meter'!N14)&lt;0,"0",'Daily Meter'!N15-'Daily Meter'!N14)*3.7</f>
        <v>297.48000000000542</v>
      </c>
      <c r="N11" s="6">
        <f>Total!M11</f>
        <v>396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3</v>
      </c>
      <c r="D12" s="2">
        <v>2023</v>
      </c>
      <c r="E12" s="6">
        <f>IF(('Daily Meter'!H16-'Daily Meter'!H15)&lt;0,"0",'Daily Meter'!H16-'Daily Meter'!H15)*480</f>
        <v>4608.0000000001746</v>
      </c>
      <c r="F12" s="6">
        <f>IF(('Daily Meter'!I16-'Daily Meter'!I15)&lt;0,"0",'Daily Meter'!I16-'Daily Meter'!I15)*480</f>
        <v>2832.0000000000437</v>
      </c>
      <c r="G12" s="6">
        <f>IF(('Daily Meter'!J16-'Daily Meter'!J15)&lt;0,"0",'Daily Meter'!J16-'Daily Meter'!J15)*480</f>
        <v>2880</v>
      </c>
      <c r="H12" s="6">
        <f>IF(('Daily Meter'!K16-'Daily Meter'!K15)&lt;0,"0",'Daily Meter'!K16-'Daily Meter'!K15)*480</f>
        <v>2063.9999999999782</v>
      </c>
      <c r="I12" s="6">
        <f>IF(('Daily Meter'!L16-'Daily Meter'!L15)&lt;0,"0",'Daily Meter'!L16-'Daily Meter'!L15)*480</f>
        <v>2831.9999999998254</v>
      </c>
      <c r="J12" s="6">
        <f>IF(('Daily Meter'!M16-'Daily Meter'!M15)&lt;0,"0",'Daily Meter'!M16-'Daily Meter'!M15)*480</f>
        <v>8064.0000000005239</v>
      </c>
      <c r="K12" s="6">
        <f>IF(('Daily Meter'!B16-'Daily Meter'!B15)&lt;0,"0",'Daily Meter'!B16-'Daily Meter'!B15)*284.34</f>
        <v>10748.052000000827</v>
      </c>
      <c r="L12" s="6">
        <f>IF(('Daily Meter'!C16-'Daily Meter'!C15)&lt;0,"0",'Daily Meter'!C16-'Daily Meter'!C15)*219.969</f>
        <v>54552.311999999998</v>
      </c>
      <c r="M12" s="6">
        <f>IF(('Daily Meter'!N16-'Daily Meter'!N15)&lt;0,"0",'Daily Meter'!N16-'Daily Meter'!N15)*3.7</f>
        <v>620.11999999999466</v>
      </c>
      <c r="N12" s="6">
        <f>Total!M12</f>
        <v>319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3</v>
      </c>
      <c r="D13" s="2">
        <v>2023</v>
      </c>
      <c r="E13" s="6">
        <f>IF(('Daily Meter'!H17-'Daily Meter'!H16)&lt;0,"0",'Daily Meter'!H17-'Daily Meter'!H16)*480</f>
        <v>2544.0000000000873</v>
      </c>
      <c r="F13" s="6">
        <f>IF(('Daily Meter'!I17-'Daily Meter'!I16)&lt;0,"0",'Daily Meter'!I17-'Daily Meter'!I16)*480</f>
        <v>1487.9999999999563</v>
      </c>
      <c r="G13" s="6">
        <f>IF(('Daily Meter'!J17-'Daily Meter'!J16)&lt;0,"0",'Daily Meter'!J17-'Daily Meter'!J16)*480</f>
        <v>1776.000000000131</v>
      </c>
      <c r="H13" s="6">
        <f>IF(('Daily Meter'!K17-'Daily Meter'!K16)&lt;0,"0",'Daily Meter'!K17-'Daily Meter'!K16)*480</f>
        <v>1200</v>
      </c>
      <c r="I13" s="6">
        <f>IF(('Daily Meter'!L17-'Daily Meter'!L16)&lt;0,"0",'Daily Meter'!L17-'Daily Meter'!L16)*480</f>
        <v>1680</v>
      </c>
      <c r="J13" s="6">
        <f>IF(('Daily Meter'!M17-'Daily Meter'!M16)&lt;0,"0",'Daily Meter'!M17-'Daily Meter'!M16)*480</f>
        <v>4800</v>
      </c>
      <c r="K13" s="6">
        <f>IF(('Daily Meter'!B17-'Daily Meter'!B16)&lt;0,"0",'Daily Meter'!B17-'Daily Meter'!B16)*284.34</f>
        <v>7734.0479999991721</v>
      </c>
      <c r="L13" s="6">
        <f>IF(('Daily Meter'!C17-'Daily Meter'!C16)&lt;0,"0",'Daily Meter'!C17-'Daily Meter'!C16)*219.969</f>
        <v>76989.149999999994</v>
      </c>
      <c r="M13" s="6">
        <f>IF(('Daily Meter'!N17-'Daily Meter'!N16)&lt;0,"0",'Daily Meter'!N17-'Daily Meter'!N16)*3.7</f>
        <v>328.93000000000541</v>
      </c>
      <c r="N13" s="6">
        <f>Total!M13</f>
        <v>279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3</v>
      </c>
      <c r="D14" s="2">
        <v>2023</v>
      </c>
      <c r="E14" s="6">
        <f>IF(('Daily Meter'!H18-'Daily Meter'!H17)&lt;0,"0",'Daily Meter'!H18-'Daily Meter'!H17)*480</f>
        <v>3695.9999999999127</v>
      </c>
      <c r="F14" s="6">
        <f>IF(('Daily Meter'!I18-'Daily Meter'!I17)&lt;0,"0",'Daily Meter'!I18-'Daily Meter'!I17)*480</f>
        <v>2256.000000000131</v>
      </c>
      <c r="G14" s="6">
        <f>IF(('Daily Meter'!J18-'Daily Meter'!J17)&lt;0,"0",'Daily Meter'!J18-'Daily Meter'!J17)*480</f>
        <v>2447.9999999999563</v>
      </c>
      <c r="H14" s="6">
        <f>IF(('Daily Meter'!K18-'Daily Meter'!K17)&lt;0,"0",'Daily Meter'!K18-'Daily Meter'!K17)*480</f>
        <v>1632.0000000000437</v>
      </c>
      <c r="I14" s="6">
        <f>IF(('Daily Meter'!L18-'Daily Meter'!L17)&lt;0,"0",'Daily Meter'!L18-'Daily Meter'!L17)*480</f>
        <v>2400</v>
      </c>
      <c r="J14" s="6">
        <f>IF(('Daily Meter'!M18-'Daily Meter'!M17)&lt;0,"0",'Daily Meter'!M18-'Daily Meter'!M17)*480</f>
        <v>7103.9999999996508</v>
      </c>
      <c r="K14" s="6">
        <f>IF(('Daily Meter'!B18-'Daily Meter'!B17)&lt;0,"0",'Daily Meter'!B18-'Daily Meter'!B17)*284.34</f>
        <v>10890.222000000827</v>
      </c>
      <c r="L14" s="6">
        <f>IF(('Daily Meter'!C18-'Daily Meter'!C17)&lt;0,"0",'Daily Meter'!C18-'Daily Meter'!C17)*219.969</f>
        <v>64670.885999999999</v>
      </c>
      <c r="M14" s="6">
        <f>IF(('Daily Meter'!N18-'Daily Meter'!N17)&lt;0,"0",'Daily Meter'!N18-'Daily Meter'!N17)*3.7</f>
        <v>455.1</v>
      </c>
      <c r="N14" s="6">
        <f>Total!M14</f>
        <v>365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3</v>
      </c>
      <c r="D15" s="2">
        <v>2023</v>
      </c>
      <c r="E15" s="6">
        <f>IF(('Daily Meter'!H19-'Daily Meter'!H18)&lt;0,"0",'Daily Meter'!H19-'Daily Meter'!H18)*480</f>
        <v>3887.9999999997381</v>
      </c>
      <c r="F15" s="6">
        <f>IF(('Daily Meter'!I19-'Daily Meter'!I18)&lt;0,"0",'Daily Meter'!I19-'Daily Meter'!I18)*480</f>
        <v>2255.9999999999127</v>
      </c>
      <c r="G15" s="6">
        <f>IF(('Daily Meter'!J19-'Daily Meter'!J18)&lt;0,"0",'Daily Meter'!J19-'Daily Meter'!J18)*480</f>
        <v>2592.0000000000437</v>
      </c>
      <c r="H15" s="6">
        <f>IF(('Daily Meter'!K19-'Daily Meter'!K18)&lt;0,"0",'Daily Meter'!K19-'Daily Meter'!K18)*480</f>
        <v>1727.9999999999563</v>
      </c>
      <c r="I15" s="6">
        <f>IF(('Daily Meter'!L19-'Daily Meter'!L18)&lt;0,"0",'Daily Meter'!L19-'Daily Meter'!L18)*480</f>
        <v>2495.9999999999127</v>
      </c>
      <c r="J15" s="6">
        <f>IF(('Daily Meter'!M19-'Daily Meter'!M18)&lt;0,"0",'Daily Meter'!M19-'Daily Meter'!M18)*480</f>
        <v>6960</v>
      </c>
      <c r="K15" s="6">
        <f>IF(('Daily Meter'!B19-'Daily Meter'!B18)&lt;0,"0",'Daily Meter'!B19-'Daily Meter'!B18)*284.34</f>
        <v>11743.241999998758</v>
      </c>
      <c r="L15" s="6">
        <f>IF(('Daily Meter'!C19-'Daily Meter'!C18)&lt;0,"0",'Daily Meter'!C19-'Daily Meter'!C18)*219.969</f>
        <v>82268.406000000003</v>
      </c>
      <c r="M15" s="6">
        <f>IF(('Daily Meter'!N19-'Daily Meter'!N18)&lt;0,"0",'Daily Meter'!N19-'Daily Meter'!N18)*3.7</f>
        <v>482.11000000001081</v>
      </c>
      <c r="N15" s="6">
        <f>Total!M15</f>
        <v>389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3</v>
      </c>
      <c r="D16" s="2">
        <v>2023</v>
      </c>
      <c r="E16" s="6">
        <f>IF(('Daily Meter'!H20-'Daily Meter'!H19)&lt;0,"0",'Daily Meter'!H20-'Daily Meter'!H19)*480</f>
        <v>2880</v>
      </c>
      <c r="F16" s="6">
        <f>IF(('Daily Meter'!I20-'Daily Meter'!I19)&lt;0,"0",'Daily Meter'!I20-'Daily Meter'!I19)*480</f>
        <v>1727.9999999999563</v>
      </c>
      <c r="G16" s="6">
        <f>IF(('Daily Meter'!J20-'Daily Meter'!J19)&lt;0,"0",'Daily Meter'!J20-'Daily Meter'!J19)*480</f>
        <v>1920</v>
      </c>
      <c r="H16" s="6">
        <f>IF(('Daily Meter'!K20-'Daily Meter'!K19)&lt;0,"0",'Daily Meter'!K20-'Daily Meter'!K19)*480</f>
        <v>1200</v>
      </c>
      <c r="I16" s="6">
        <f>IF(('Daily Meter'!L20-'Daily Meter'!L19)&lt;0,"0",'Daily Meter'!L20-'Daily Meter'!L19)*480</f>
        <v>2016.0000000003492</v>
      </c>
      <c r="J16" s="6">
        <f>IF(('Daily Meter'!M20-'Daily Meter'!M19)&lt;0,"0",'Daily Meter'!M20-'Daily Meter'!M19)*480</f>
        <v>5328.0000000001746</v>
      </c>
      <c r="K16" s="6">
        <f>IF(('Daily Meter'!B20-'Daily Meter'!B19)&lt;0,"0",'Daily Meter'!B20-'Daily Meter'!B19)*284.34</f>
        <v>8046.8220000008268</v>
      </c>
      <c r="L16" s="6">
        <f>IF(('Daily Meter'!C20-'Daily Meter'!C19)&lt;0,"0",'Daily Meter'!C20-'Daily Meter'!C19)*219.969</f>
        <v>31675.536</v>
      </c>
      <c r="M16" s="6">
        <f>IF(('Daily Meter'!N20-'Daily Meter'!N19)&lt;0,"0",'Daily Meter'!N20-'Daily Meter'!N19)*3.7</f>
        <v>354.45999999998384</v>
      </c>
      <c r="N16" s="6">
        <f>Total!M16</f>
        <v>417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3</v>
      </c>
      <c r="D17" s="2">
        <v>2023</v>
      </c>
      <c r="E17" s="6">
        <f>IF(('Daily Meter'!H21-'Daily Meter'!H20)&lt;0,"0",'Daily Meter'!H21-'Daily Meter'!H20)*480</f>
        <v>3888.0000000001746</v>
      </c>
      <c r="F17" s="6">
        <f>IF(('Daily Meter'!I21-'Daily Meter'!I20)&lt;0,"0",'Daily Meter'!I21-'Daily Meter'!I20)*480</f>
        <v>2112.0000000000437</v>
      </c>
      <c r="G17" s="6">
        <f>IF(('Daily Meter'!J21-'Daily Meter'!J20)&lt;0,"0",'Daily Meter'!J21-'Daily Meter'!J20)*480</f>
        <v>2495.9999999999127</v>
      </c>
      <c r="H17" s="6">
        <f>IF(('Daily Meter'!K21-'Daily Meter'!K20)&lt;0,"0",'Daily Meter'!K21-'Daily Meter'!K20)*480</f>
        <v>1583.9999999999782</v>
      </c>
      <c r="I17" s="6">
        <f>IF(('Daily Meter'!L21-'Daily Meter'!L20)&lt;0,"0",'Daily Meter'!L21-'Daily Meter'!L20)*480</f>
        <v>2543.9999999996508</v>
      </c>
      <c r="J17" s="6">
        <f>IF(('Daily Meter'!M21-'Daily Meter'!M20)&lt;0,"0",'Daily Meter'!M21-'Daily Meter'!M20)*480</f>
        <v>6863.9999999996508</v>
      </c>
      <c r="K17" s="6">
        <f>IF(('Daily Meter'!B21-'Daily Meter'!B20)&lt;0,"0",'Daily Meter'!B21-'Daily Meter'!B20)*284.34</f>
        <v>11572.637999999171</v>
      </c>
      <c r="L17" s="6">
        <f>IF(('Daily Meter'!C21-'Daily Meter'!C20)&lt;0,"0",'Daily Meter'!C21-'Daily Meter'!C20)*219.969</f>
        <v>90627.228000000003</v>
      </c>
      <c r="M17" s="6">
        <f>IF(('Daily Meter'!N21-'Daily Meter'!N20)&lt;0,"0",'Daily Meter'!N21-'Daily Meter'!N20)*3.7</f>
        <v>518.37000000002161</v>
      </c>
      <c r="N17" s="6">
        <f>Total!M17</f>
        <v>412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3</v>
      </c>
      <c r="D18" s="2">
        <v>2023</v>
      </c>
      <c r="E18" s="6">
        <f>IF(('Daily Meter'!H22-'Daily Meter'!H21)&lt;0,"0",'Daily Meter'!H22-'Daily Meter'!H21)*480</f>
        <v>2784.0000000000873</v>
      </c>
      <c r="F18" s="6">
        <f>IF(('Daily Meter'!I22-'Daily Meter'!I21)&lt;0,"0",'Daily Meter'!I22-'Daily Meter'!I21)*480</f>
        <v>1536.000000000131</v>
      </c>
      <c r="G18" s="6">
        <f>IF(('Daily Meter'!J22-'Daily Meter'!J21)&lt;0,"0",'Daily Meter'!J22-'Daily Meter'!J21)*480</f>
        <v>1872.0000000000437</v>
      </c>
      <c r="H18" s="6">
        <f>IF(('Daily Meter'!K22-'Daily Meter'!K21)&lt;0,"0",'Daily Meter'!K22-'Daily Meter'!K21)*480</f>
        <v>1248.0000000000655</v>
      </c>
      <c r="I18" s="6">
        <f>IF(('Daily Meter'!L22-'Daily Meter'!L21)&lt;0,"0",'Daily Meter'!L22-'Daily Meter'!L21)*480</f>
        <v>1872.0000000002619</v>
      </c>
      <c r="J18" s="6">
        <f>IF(('Daily Meter'!M22-'Daily Meter'!M21)&lt;0,"0",'Daily Meter'!M22-'Daily Meter'!M21)*480</f>
        <v>4944.0000000005239</v>
      </c>
      <c r="K18" s="6">
        <f>IF(('Daily Meter'!B22-'Daily Meter'!B21)&lt;0,"0",'Daily Meter'!B22-'Daily Meter'!B21)*284.34</f>
        <v>8899.8420000008264</v>
      </c>
      <c r="L18" s="6">
        <f>IF(('Daily Meter'!C22-'Daily Meter'!C21)&lt;0,"0",'Daily Meter'!C22-'Daily Meter'!C21)*219.969</f>
        <v>52572.591</v>
      </c>
      <c r="M18" s="6">
        <f>IF(('Daily Meter'!N22-'Daily Meter'!N21)&lt;0,"0",'Daily Meter'!N22-'Daily Meter'!N21)*3.7</f>
        <v>352.60999999998387</v>
      </c>
      <c r="N18" s="6">
        <f>Total!M18</f>
        <v>391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3</v>
      </c>
      <c r="D19" s="2">
        <v>2023</v>
      </c>
      <c r="E19" s="6">
        <f>IF(('Daily Meter'!H23-'Daily Meter'!H22)&lt;0,"0",'Daily Meter'!H23-'Daily Meter'!H22)*480</f>
        <v>3695.9999999999127</v>
      </c>
      <c r="F19" s="6">
        <f>IF(('Daily Meter'!I23-'Daily Meter'!I22)&lt;0,"0",'Daily Meter'!I23-'Daily Meter'!I22)*480</f>
        <v>1871.9999999998254</v>
      </c>
      <c r="G19" s="6">
        <f>IF(('Daily Meter'!J23-'Daily Meter'!J22)&lt;0,"0",'Daily Meter'!J23-'Daily Meter'!J22)*480</f>
        <v>2543.999999999869</v>
      </c>
      <c r="H19" s="6">
        <f>IF(('Daily Meter'!K23-'Daily Meter'!K22)&lt;0,"0",'Daily Meter'!K23-'Daily Meter'!K22)*480</f>
        <v>1776.0000000000218</v>
      </c>
      <c r="I19" s="6">
        <f>IF(('Daily Meter'!L23-'Daily Meter'!L22)&lt;0,"0",'Daily Meter'!L23-'Daily Meter'!L22)*480</f>
        <v>2400</v>
      </c>
      <c r="J19" s="6">
        <f>IF(('Daily Meter'!M23-'Daily Meter'!M22)&lt;0,"0",'Daily Meter'!M23-'Daily Meter'!M22)*480</f>
        <v>6095.9999999994761</v>
      </c>
      <c r="K19" s="6">
        <f>IF(('Daily Meter'!B23-'Daily Meter'!B22)&lt;0,"0",'Daily Meter'!B23-'Daily Meter'!B22)*284.34</f>
        <v>9496.956000000413</v>
      </c>
      <c r="L19" s="6">
        <f>IF(('Daily Meter'!C23-'Daily Meter'!C22)&lt;0,"0",'Daily Meter'!C23-'Daily Meter'!C22)*219.969</f>
        <v>49932.962999999996</v>
      </c>
      <c r="M19" s="6">
        <f>IF(('Daily Meter'!N23-'Daily Meter'!N22)&lt;0,"0",'Daily Meter'!N23-'Daily Meter'!N22)*3.7</f>
        <v>487.66000000001077</v>
      </c>
      <c r="N19" s="6">
        <f>Total!M19</f>
        <v>384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3</v>
      </c>
      <c r="D20" s="2">
        <v>2023</v>
      </c>
      <c r="E20" s="6">
        <f>IF(('Daily Meter'!H24-'Daily Meter'!H23)&lt;0,"0",'Daily Meter'!H24-'Daily Meter'!H23)*480</f>
        <v>3791.9999999998254</v>
      </c>
      <c r="F20" s="6">
        <f>IF(('Daily Meter'!I24-'Daily Meter'!I23)&lt;0,"0",'Daily Meter'!I24-'Daily Meter'!I23)*480</f>
        <v>1872.0000000000437</v>
      </c>
      <c r="G20" s="6">
        <f>IF(('Daily Meter'!J24-'Daily Meter'!J23)&lt;0,"0",'Daily Meter'!J24-'Daily Meter'!J23)*480</f>
        <v>2448.0000000001746</v>
      </c>
      <c r="H20" s="6">
        <f>IF(('Daily Meter'!K24-'Daily Meter'!K23)&lt;0,"0",'Daily Meter'!K24-'Daily Meter'!K23)*480</f>
        <v>1775.9999999999127</v>
      </c>
      <c r="I20" s="6">
        <f>IF(('Daily Meter'!L24-'Daily Meter'!L23)&lt;0,"0",'Daily Meter'!L24-'Daily Meter'!L23)*480</f>
        <v>2351.9999999998254</v>
      </c>
      <c r="J20" s="6">
        <f>IF(('Daily Meter'!M24-'Daily Meter'!M23)&lt;0,"0",'Daily Meter'!M24-'Daily Meter'!M23)*480</f>
        <v>4752.0000000006985</v>
      </c>
      <c r="K20" s="6">
        <f>IF(('Daily Meter'!B24-'Daily Meter'!B23)&lt;0,"0",'Daily Meter'!B24-'Daily Meter'!B23)*284.34</f>
        <v>8729.2379999991717</v>
      </c>
      <c r="L20" s="6">
        <f>IF(('Daily Meter'!C24-'Daily Meter'!C23)&lt;0,"0",'Daily Meter'!C24-'Daily Meter'!C23)*219.969</f>
        <v>82268.406000000003</v>
      </c>
      <c r="M20" s="6">
        <f>IF(('Daily Meter'!N24-'Daily Meter'!N23)&lt;0,"0",'Daily Meter'!N24-'Daily Meter'!N23)*3.7</f>
        <v>455.83999999998923</v>
      </c>
      <c r="N20" s="6">
        <f>Total!M20</f>
        <v>270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3</v>
      </c>
      <c r="D21" s="2">
        <v>2023</v>
      </c>
      <c r="E21" s="6">
        <f>IF(('Daily Meter'!H25-'Daily Meter'!H24)&lt;0,"0",'Daily Meter'!H25-'Daily Meter'!H24)*480</f>
        <v>4224.0000000000873</v>
      </c>
      <c r="F21" s="6">
        <f>IF(('Daily Meter'!I25-'Daily Meter'!I24)&lt;0,"0",'Daily Meter'!I25-'Daily Meter'!I24)*480</f>
        <v>2160</v>
      </c>
      <c r="G21" s="6">
        <f>IF(('Daily Meter'!J25-'Daily Meter'!J24)&lt;0,"0",'Daily Meter'!J25-'Daily Meter'!J24)*480</f>
        <v>2783.999999999869</v>
      </c>
      <c r="H21" s="6">
        <f>IF(('Daily Meter'!K25-'Daily Meter'!K24)&lt;0,"0",'Daily Meter'!K25-'Daily Meter'!K24)*480</f>
        <v>1824.0000000000873</v>
      </c>
      <c r="I21" s="6">
        <f>IF(('Daily Meter'!L25-'Daily Meter'!L24)&lt;0,"0",'Daily Meter'!L25-'Daily Meter'!L24)*480</f>
        <v>2688.0000000001746</v>
      </c>
      <c r="J21" s="6">
        <f>IF(('Daily Meter'!M25-'Daily Meter'!M24)&lt;0,"0",'Daily Meter'!M25-'Daily Meter'!M24)*480</f>
        <v>5615.9999999994761</v>
      </c>
      <c r="K21" s="6">
        <f>IF(('Daily Meter'!B25-'Daily Meter'!B24)&lt;0,"0",'Daily Meter'!B25-'Daily Meter'!B24)*284.34</f>
        <v>7620.3120000008266</v>
      </c>
      <c r="L21" s="6">
        <f>IF(('Daily Meter'!C25-'Daily Meter'!C24)&lt;0,"0",'Daily Meter'!C25-'Daily Meter'!C24)*219.969</f>
        <v>43333.892999999996</v>
      </c>
      <c r="M21" s="6">
        <f>IF(('Daily Meter'!N25-'Daily Meter'!N24)&lt;0,"0",'Daily Meter'!N25-'Daily Meter'!N24)*3.7</f>
        <v>407.36999999999466</v>
      </c>
      <c r="N21" s="6">
        <f>Total!M21</f>
        <v>284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3</v>
      </c>
      <c r="D22" s="2">
        <v>2023</v>
      </c>
      <c r="E22" s="6">
        <f>IF(('Daily Meter'!H26-'Daily Meter'!H25)&lt;0,"0",'Daily Meter'!H26-'Daily Meter'!H25)*480</f>
        <v>3215.9999999999127</v>
      </c>
      <c r="F22" s="6">
        <f>IF(('Daily Meter'!I26-'Daily Meter'!I25)&lt;0,"0",'Daily Meter'!I26-'Daily Meter'!I25)*480</f>
        <v>1632.0000000000437</v>
      </c>
      <c r="G22" s="6">
        <f>IF(('Daily Meter'!J26-'Daily Meter'!J25)&lt;0,"0",'Daily Meter'!J26-'Daily Meter'!J25)*480</f>
        <v>2256.000000000131</v>
      </c>
      <c r="H22" s="6">
        <f>IF(('Daily Meter'!K26-'Daily Meter'!K25)&lt;0,"0",'Daily Meter'!K26-'Daily Meter'!K25)*480</f>
        <v>1295.9999999999127</v>
      </c>
      <c r="I22" s="6">
        <f>IF(('Daily Meter'!L26-'Daily Meter'!L25)&lt;0,"0",'Daily Meter'!L26-'Daily Meter'!L25)*480</f>
        <v>2111.9999999998254</v>
      </c>
      <c r="J22" s="6">
        <f>IF(('Daily Meter'!M26-'Daily Meter'!M25)&lt;0,"0",'Daily Meter'!M26-'Daily Meter'!M25)*480</f>
        <v>4416.0000000003492</v>
      </c>
      <c r="K22" s="6">
        <f>IF(('Daily Meter'!B26-'Daily Meter'!B25)&lt;0,"0",'Daily Meter'!B26-'Daily Meter'!B25)*284.34</f>
        <v>7876.2179999991722</v>
      </c>
      <c r="L22" s="6">
        <f>IF(('Daily Meter'!C26-'Daily Meter'!C25)&lt;0,"0",'Daily Meter'!C26-'Daily Meter'!C25)*219.969</f>
        <v>36514.853999999999</v>
      </c>
      <c r="M22" s="6">
        <f>IF(('Daily Meter'!N26-'Daily Meter'!N25)&lt;0,"0",'Daily Meter'!N26-'Daily Meter'!N25)*3.7</f>
        <v>380.36000000001081</v>
      </c>
      <c r="N22" s="6">
        <f>Total!M22</f>
        <v>262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3</v>
      </c>
      <c r="D23" s="2">
        <v>2023</v>
      </c>
      <c r="E23" s="6">
        <f>IF(('Daily Meter'!H27-'Daily Meter'!H26)&lt;0,"0",'Daily Meter'!H27-'Daily Meter'!H26)*480</f>
        <v>3072.0000000002619</v>
      </c>
      <c r="F23" s="6">
        <f>IF(('Daily Meter'!I27-'Daily Meter'!I26)&lt;0,"0",'Daily Meter'!I27-'Daily Meter'!I26)*480</f>
        <v>1535.9999999999127</v>
      </c>
      <c r="G23" s="6">
        <f>IF(('Daily Meter'!J27-'Daily Meter'!J26)&lt;0,"0",'Daily Meter'!J27-'Daily Meter'!J26)*480</f>
        <v>2111.9999999998254</v>
      </c>
      <c r="H23" s="6">
        <f>IF(('Daily Meter'!K27-'Daily Meter'!K26)&lt;0,"0",'Daily Meter'!K27-'Daily Meter'!K26)*480</f>
        <v>1296.0000000000218</v>
      </c>
      <c r="I23" s="6">
        <f>IF(('Daily Meter'!L27-'Daily Meter'!L26)&lt;0,"0",'Daily Meter'!L27-'Daily Meter'!L26)*480</f>
        <v>2015.9999999999127</v>
      </c>
      <c r="J23" s="6">
        <f>IF(('Daily Meter'!M27-'Daily Meter'!M26)&lt;0,"0",'Daily Meter'!M27-'Daily Meter'!M26)*480</f>
        <v>3743.9999999996508</v>
      </c>
      <c r="K23" s="6">
        <f>IF(('Daily Meter'!B27-'Daily Meter'!B26)&lt;0,"0",'Daily Meter'!B27-'Daily Meter'!B26)*284.34</f>
        <v>8245.8599999999988</v>
      </c>
      <c r="L23" s="6">
        <f>IF(('Daily Meter'!C27-'Daily Meter'!C26)&lt;0,"0",'Daily Meter'!C27-'Daily Meter'!C26)*219.969</f>
        <v>54112.373999999996</v>
      </c>
      <c r="M23" s="6">
        <f>IF(('Daily Meter'!N27-'Daily Meter'!N26)&lt;0,"0",'Daily Meter'!N27-'Daily Meter'!N26)*3.7</f>
        <v>415.51000000001079</v>
      </c>
      <c r="N23" s="6">
        <f>Total!M23</f>
        <v>218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3</v>
      </c>
      <c r="D24" s="2">
        <v>2023</v>
      </c>
      <c r="E24" s="6">
        <f>IF(('Daily Meter'!H28-'Daily Meter'!H27)&lt;0,"0",'Daily Meter'!H28-'Daily Meter'!H27)*480</f>
        <v>2735.9999999999127</v>
      </c>
      <c r="F24" s="6">
        <f>IF(('Daily Meter'!I28-'Daily Meter'!I27)&lt;0,"0",'Daily Meter'!I28-'Daily Meter'!I27)*480</f>
        <v>1440</v>
      </c>
      <c r="G24" s="6">
        <f>IF(('Daily Meter'!J28-'Daily Meter'!J27)&lt;0,"0",'Daily Meter'!J28-'Daily Meter'!J27)*480</f>
        <v>2160</v>
      </c>
      <c r="H24" s="6">
        <f>IF(('Daily Meter'!K28-'Daily Meter'!K27)&lt;0,"0",'Daily Meter'!K28-'Daily Meter'!K27)*480</f>
        <v>1008.0000000000655</v>
      </c>
      <c r="I24" s="6">
        <f>IF(('Daily Meter'!L28-'Daily Meter'!L27)&lt;0,"0",'Daily Meter'!L28-'Daily Meter'!L27)*480</f>
        <v>1872.0000000002619</v>
      </c>
      <c r="J24" s="6">
        <f>IF(('Daily Meter'!M28-'Daily Meter'!M27)&lt;0,"0",'Daily Meter'!M28-'Daily Meter'!M27)*480</f>
        <v>3696.0000000003492</v>
      </c>
      <c r="K24" s="6">
        <f>IF(('Daily Meter'!B28-'Daily Meter'!B27)&lt;0,"0",'Daily Meter'!B28-'Daily Meter'!B27)*284.34</f>
        <v>6994.7639999995854</v>
      </c>
      <c r="L24" s="6">
        <f>IF(('Daily Meter'!C28-'Daily Meter'!C27)&lt;0,"0",'Daily Meter'!C28-'Daily Meter'!C27)*219.969</f>
        <v>73029.707999999999</v>
      </c>
      <c r="M24" s="6">
        <f>IF(('Daily Meter'!N28-'Daily Meter'!N27)&lt;0,"0",'Daily Meter'!N28-'Daily Meter'!N27)*3.7</f>
        <v>370.36999999999466</v>
      </c>
      <c r="N24" s="6">
        <f>Total!M24</f>
        <v>216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3</v>
      </c>
      <c r="D25" s="2">
        <v>2023</v>
      </c>
      <c r="E25" s="6">
        <f>IF(('Daily Meter'!H29-'Daily Meter'!H28)&lt;0,"0",'Daily Meter'!H29-'Daily Meter'!H28)*480</f>
        <v>3600</v>
      </c>
      <c r="F25" s="6">
        <f>IF(('Daily Meter'!I29-'Daily Meter'!I28)&lt;0,"0",'Daily Meter'!I29-'Daily Meter'!I28)*480</f>
        <v>2160</v>
      </c>
      <c r="G25" s="6">
        <f>IF(('Daily Meter'!J29-'Daily Meter'!J28)&lt;0,"0",'Daily Meter'!J29-'Daily Meter'!J28)*480</f>
        <v>2592.0000000000437</v>
      </c>
      <c r="H25" s="6">
        <f>IF(('Daily Meter'!K29-'Daily Meter'!K28)&lt;0,"0",'Daily Meter'!K29-'Daily Meter'!K28)*480</f>
        <v>1440</v>
      </c>
      <c r="I25" s="6">
        <f>IF(('Daily Meter'!L29-'Daily Meter'!L28)&lt;0,"0",'Daily Meter'!L29-'Daily Meter'!L28)*480</f>
        <v>2351.9999999998254</v>
      </c>
      <c r="J25" s="6">
        <f>IF(('Daily Meter'!M29-'Daily Meter'!M28)&lt;0,"0",'Daily Meter'!M29-'Daily Meter'!M28)*480</f>
        <v>5088.0000000001746</v>
      </c>
      <c r="K25" s="6">
        <f>IF(('Daily Meter'!B29-'Daily Meter'!B28)&lt;0,"0",'Daily Meter'!B29-'Daily Meter'!B28)*284.34</f>
        <v>6767.2920000008271</v>
      </c>
      <c r="L25" s="6">
        <f>IF(('Daily Meter'!C29-'Daily Meter'!C28)&lt;0,"0",'Daily Meter'!C29-'Daily Meter'!C28)*219.969</f>
        <v>53892.404999999999</v>
      </c>
      <c r="M25" s="6">
        <f>IF(('Daily Meter'!N29-'Daily Meter'!N28)&lt;0,"0",'Daily Meter'!N29-'Daily Meter'!N28)*3.7</f>
        <v>386.65000000000003</v>
      </c>
      <c r="N25" s="6">
        <f>Total!M25</f>
        <v>202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3</v>
      </c>
      <c r="D26" s="2">
        <v>2023</v>
      </c>
      <c r="E26" s="6">
        <f>IF(('Daily Meter'!H30-'Daily Meter'!H29)&lt;0,"0",'Daily Meter'!H30-'Daily Meter'!H29)*480</f>
        <v>3935.9999999999127</v>
      </c>
      <c r="F26" s="6">
        <f>IF(('Daily Meter'!I30-'Daily Meter'!I29)&lt;0,"0",'Daily Meter'!I30-'Daily Meter'!I29)*480</f>
        <v>2016.000000000131</v>
      </c>
      <c r="G26" s="6">
        <f>IF(('Daily Meter'!J30-'Daily Meter'!J29)&lt;0,"0",'Daily Meter'!J30-'Daily Meter'!J29)*480</f>
        <v>2640</v>
      </c>
      <c r="H26" s="6">
        <f>IF(('Daily Meter'!K30-'Daily Meter'!K29)&lt;0,"0",'Daily Meter'!K30-'Daily Meter'!K29)*480</f>
        <v>1487.9999999999563</v>
      </c>
      <c r="I26" s="6">
        <f>IF(('Daily Meter'!L30-'Daily Meter'!L29)&lt;0,"0",'Daily Meter'!L30-'Daily Meter'!L29)*480</f>
        <v>2592.0000000002619</v>
      </c>
      <c r="J26" s="6">
        <f>IF(('Daily Meter'!M30-'Daily Meter'!M29)&lt;0,"0",'Daily Meter'!M30-'Daily Meter'!M29)*480</f>
        <v>5231.9999999998254</v>
      </c>
      <c r="K26" s="6">
        <f>IF(('Daily Meter'!B30-'Daily Meter'!B29)&lt;0,"0",'Daily Meter'!B30-'Daily Meter'!B29)*284.34</f>
        <v>8928.2760000004128</v>
      </c>
      <c r="L26" s="6">
        <f>IF(('Daily Meter'!C30-'Daily Meter'!C29)&lt;0,"0",'Daily Meter'!C30-'Daily Meter'!C29)*219.969</f>
        <v>39154.481999999996</v>
      </c>
      <c r="M26" s="6">
        <f>IF(('Daily Meter'!N30-'Daily Meter'!N29)&lt;0,"0",'Daily Meter'!N30-'Daily Meter'!N29)*3.7</f>
        <v>466.56999999999465</v>
      </c>
      <c r="N26" s="6">
        <f>Total!M26</f>
        <v>218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3</v>
      </c>
      <c r="D27" s="2">
        <v>2023</v>
      </c>
      <c r="E27" s="6">
        <f>IF(('Daily Meter'!H31-'Daily Meter'!H30)&lt;0,"0",'Daily Meter'!H31-'Daily Meter'!H30)*480</f>
        <v>2255.9999999999127</v>
      </c>
      <c r="F27" s="6">
        <f>IF(('Daily Meter'!I31-'Daily Meter'!I30)&lt;0,"0",'Daily Meter'!I31-'Daily Meter'!I30)*480</f>
        <v>1295.9999999999127</v>
      </c>
      <c r="G27" s="6">
        <f>IF(('Daily Meter'!J31-'Daily Meter'!J30)&lt;0,"0",'Daily Meter'!J31-'Daily Meter'!J30)*480</f>
        <v>1632.0000000000437</v>
      </c>
      <c r="H27" s="6">
        <f>IF(('Daily Meter'!K31-'Daily Meter'!K30)&lt;0,"0",'Daily Meter'!K31-'Daily Meter'!K30)*480</f>
        <v>863.99999999997817</v>
      </c>
      <c r="I27" s="6">
        <f>IF(('Daily Meter'!L31-'Daily Meter'!L30)&lt;0,"0",'Daily Meter'!L31-'Daily Meter'!L30)*480</f>
        <v>1583.9999999996508</v>
      </c>
      <c r="J27" s="6">
        <f>IF(('Daily Meter'!M31-'Daily Meter'!M30)&lt;0,"0",'Daily Meter'!M31-'Daily Meter'!M30)*480</f>
        <v>4223.9999999996508</v>
      </c>
      <c r="K27" s="6">
        <f>IF(('Daily Meter'!B31-'Daily Meter'!B30)&lt;0,"0",'Daily Meter'!B31-'Daily Meter'!B30)*284.34</f>
        <v>6710.4239999995852</v>
      </c>
      <c r="L27" s="6">
        <f>IF(('Daily Meter'!C31-'Daily Meter'!C30)&lt;0,"0",'Daily Meter'!C31-'Daily Meter'!C30)*219.969</f>
        <v>67970.421000000002</v>
      </c>
      <c r="M27" s="6">
        <f>IF(('Daily Meter'!N31-'Daily Meter'!N30)&lt;0,"0",'Daily Meter'!N31-'Daily Meter'!N30)*3.7</f>
        <v>340.76999999999464</v>
      </c>
      <c r="N27" s="6">
        <f>Total!M27</f>
        <v>232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3</v>
      </c>
      <c r="D28" s="2">
        <v>2023</v>
      </c>
      <c r="E28" s="6">
        <f>IF(('Daily Meter'!H32-'Daily Meter'!H31)&lt;0,"0",'Daily Meter'!H32-'Daily Meter'!H31)*480</f>
        <v>3984.0000000000873</v>
      </c>
      <c r="F28" s="6">
        <f>IF(('Daily Meter'!I32-'Daily Meter'!I31)&lt;0,"0",'Daily Meter'!I32-'Daily Meter'!I31)*480</f>
        <v>2207.9999999999563</v>
      </c>
      <c r="G28" s="6">
        <f>IF(('Daily Meter'!J32-'Daily Meter'!J31)&lt;0,"0",'Daily Meter'!J32-'Daily Meter'!J31)*480</f>
        <v>2592.0000000000437</v>
      </c>
      <c r="H28" s="6">
        <f>IF(('Daily Meter'!K32-'Daily Meter'!K31)&lt;0,"0",'Daily Meter'!K32-'Daily Meter'!K31)*480</f>
        <v>1392.0000000000437</v>
      </c>
      <c r="I28" s="6">
        <f>IF(('Daily Meter'!L32-'Daily Meter'!L31)&lt;0,"0",'Daily Meter'!L32-'Daily Meter'!L31)*480</f>
        <v>2592.0000000002619</v>
      </c>
      <c r="J28" s="6">
        <f>IF(('Daily Meter'!M32-'Daily Meter'!M31)&lt;0,"0",'Daily Meter'!M32-'Daily Meter'!M31)*480</f>
        <v>6960</v>
      </c>
      <c r="K28" s="6">
        <f>IF(('Daily Meter'!B32-'Daily Meter'!B31)&lt;0,"0",'Daily Meter'!B32-'Daily Meter'!B31)*284.34</f>
        <v>7790.9160000004131</v>
      </c>
      <c r="L28" s="6">
        <f>IF(('Daily Meter'!C32-'Daily Meter'!C31)&lt;0,"0",'Daily Meter'!C32-'Daily Meter'!C31)*219.969</f>
        <v>34095.195</v>
      </c>
      <c r="M28" s="6">
        <f>IF(('Daily Meter'!N32-'Daily Meter'!N31)&lt;0,"0",'Daily Meter'!N32-'Daily Meter'!N31)*3.7</f>
        <v>341.51000000001079</v>
      </c>
      <c r="N28" s="6">
        <f>Total!M28</f>
        <v>234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3</v>
      </c>
      <c r="D29" s="2">
        <v>2023</v>
      </c>
      <c r="E29" s="6">
        <f>IF(('Daily Meter'!H33-'Daily Meter'!H32)&lt;0,"0",'Daily Meter'!H33-'Daily Meter'!H32)*480</f>
        <v>3264.0000000000873</v>
      </c>
      <c r="F29" s="6">
        <f>IF(('Daily Meter'!I33-'Daily Meter'!I32)&lt;0,"0",'Daily Meter'!I33-'Daily Meter'!I32)*480</f>
        <v>1872.0000000000437</v>
      </c>
      <c r="G29" s="6">
        <f>IF(('Daily Meter'!J33-'Daily Meter'!J32)&lt;0,"0",'Daily Meter'!J33-'Daily Meter'!J32)*480</f>
        <v>2207.9999999999563</v>
      </c>
      <c r="H29" s="6">
        <f>IF(('Daily Meter'!K33-'Daily Meter'!K32)&lt;0,"0",'Daily Meter'!K33-'Daily Meter'!K32)*480</f>
        <v>1247.9999999999563</v>
      </c>
      <c r="I29" s="6">
        <f>IF(('Daily Meter'!L33-'Daily Meter'!L32)&lt;0,"0",'Daily Meter'!L33-'Daily Meter'!L32)*480</f>
        <v>2207.9999999997381</v>
      </c>
      <c r="J29" s="6">
        <f>IF(('Daily Meter'!M33-'Daily Meter'!M32)&lt;0,"0",'Daily Meter'!M33-'Daily Meter'!M32)*480</f>
        <v>5951.9999999998254</v>
      </c>
      <c r="K29" s="6">
        <f>IF(('Daily Meter'!B33-'Daily Meter'!B32)&lt;0,"0",'Daily Meter'!B33-'Daily Meter'!B32)*284.34</f>
        <v>10179.371999998757</v>
      </c>
      <c r="L29" s="6">
        <f>IF(('Daily Meter'!C33-'Daily Meter'!C32)&lt;0,"0",'Daily Meter'!C33-'Daily Meter'!C32)*219.969</f>
        <v>38494.574999999997</v>
      </c>
      <c r="M29" s="6">
        <f>IF(('Daily Meter'!N33-'Daily Meter'!N32)&lt;0,"0",'Daily Meter'!N33-'Daily Meter'!N32)*3.7</f>
        <v>453.25</v>
      </c>
      <c r="N29" s="6">
        <f>Total!M29</f>
        <v>217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3</v>
      </c>
      <c r="D30" s="2">
        <v>2023</v>
      </c>
      <c r="E30" s="6">
        <f>IF(('Daily Meter'!H34-'Daily Meter'!H33)&lt;0,"0",'Daily Meter'!H34-'Daily Meter'!H33)*480</f>
        <v>2400</v>
      </c>
      <c r="F30" s="6">
        <f>IF(('Daily Meter'!I34-'Daily Meter'!I33)&lt;0,"0",'Daily Meter'!I34-'Daily Meter'!I33)*480</f>
        <v>1440</v>
      </c>
      <c r="G30" s="6">
        <f>IF(('Daily Meter'!J34-'Daily Meter'!J33)&lt;0,"0",'Daily Meter'!J34-'Daily Meter'!J33)*480</f>
        <v>1824.0000000000873</v>
      </c>
      <c r="H30" s="6">
        <f>IF(('Daily Meter'!K34-'Daily Meter'!K33)&lt;0,"0",'Daily Meter'!K34-'Daily Meter'!K33)*480</f>
        <v>912.00000000004366</v>
      </c>
      <c r="I30" s="6">
        <f>IF(('Daily Meter'!L34-'Daily Meter'!L33)&lt;0,"0",'Daily Meter'!L34-'Daily Meter'!L33)*480</f>
        <v>1632.0000000002619</v>
      </c>
      <c r="J30" s="6">
        <f>IF(('Daily Meter'!M34-'Daily Meter'!M33)&lt;0,"0",'Daily Meter'!M34-'Daily Meter'!M33)*480</f>
        <v>4512.0000000006985</v>
      </c>
      <c r="K30" s="6">
        <f>IF(('Daily Meter'!B34-'Daily Meter'!B33)&lt;0,"0",'Daily Meter'!B34-'Daily Meter'!B33)*284.34</f>
        <v>6397.65</v>
      </c>
      <c r="L30" s="6">
        <f>IF(('Daily Meter'!C34-'Daily Meter'!C33)&lt;0,"0",'Daily Meter'!C34-'Daily Meter'!C33)*219.969</f>
        <v>20237.148000000001</v>
      </c>
      <c r="M30" s="6">
        <f>IF(('Daily Meter'!N34-'Daily Meter'!N33)&lt;0,"0",'Daily Meter'!N34-'Daily Meter'!N33)*3.7</f>
        <v>318.93999999998925</v>
      </c>
      <c r="N30" s="6">
        <f>Total!M30</f>
        <v>192</v>
      </c>
      <c r="O30" s="2" t="s">
        <v>12</v>
      </c>
    </row>
    <row r="31" spans="1:15">
      <c r="A31" s="2" t="s">
        <v>11</v>
      </c>
      <c r="B31" s="2">
        <f t="shared" si="0"/>
        <v>30</v>
      </c>
      <c r="C31" s="3">
        <v>3</v>
      </c>
      <c r="D31" s="2">
        <v>2023</v>
      </c>
      <c r="E31" s="6">
        <f>IF(('Daily Meter'!H35-'Daily Meter'!H34)&lt;0,"0",'Daily Meter'!H35-'Daily Meter'!H34)*480</f>
        <v>3311.9999999998254</v>
      </c>
      <c r="F31" s="6">
        <f>IF(('Daily Meter'!I35-'Daily Meter'!I34)&lt;0,"0",'Daily Meter'!I35-'Daily Meter'!I34)*480</f>
        <v>2016.000000000131</v>
      </c>
      <c r="G31" s="6">
        <f>IF(('Daily Meter'!J35-'Daily Meter'!J34)&lt;0,"0",'Daily Meter'!J35-'Daily Meter'!J34)*480</f>
        <v>2303.999999999869</v>
      </c>
      <c r="H31" s="6">
        <f>IF(('Daily Meter'!K35-'Daily Meter'!K34)&lt;0,"0",'Daily Meter'!K35-'Daily Meter'!K34)*480</f>
        <v>1391.9999999999345</v>
      </c>
      <c r="I31" s="6">
        <f>IF(('Daily Meter'!L35-'Daily Meter'!L34)&lt;0,"0",'Daily Meter'!L35-'Daily Meter'!L34)*480</f>
        <v>2255.9999999999127</v>
      </c>
      <c r="J31" s="6">
        <f>IF(('Daily Meter'!M35-'Daily Meter'!M34)&lt;0,"0",'Daily Meter'!M35-'Daily Meter'!M34)*480</f>
        <v>6095.9999999994761</v>
      </c>
      <c r="K31" s="6">
        <f>IF(('Daily Meter'!B35-'Daily Meter'!B34)&lt;0,"0",'Daily Meter'!B35-'Daily Meter'!B34)*284.34</f>
        <v>8388.0299999999988</v>
      </c>
      <c r="L31" s="6">
        <f>IF(('Daily Meter'!C35-'Daily Meter'!C34)&lt;0,"0",'Daily Meter'!C35-'Daily Meter'!C34)*219.969</f>
        <v>3739.473</v>
      </c>
      <c r="M31" s="6">
        <f>IF(('Daily Meter'!N35-'Daily Meter'!N34)&lt;0,"0",'Daily Meter'!N35-'Daily Meter'!N34)*3.7</f>
        <v>381.84000000001618</v>
      </c>
      <c r="N31" s="6">
        <f>Total!M31</f>
        <v>193</v>
      </c>
    </row>
    <row r="32" spans="1:15">
      <c r="A32" s="2" t="s">
        <v>11</v>
      </c>
      <c r="B32" s="2">
        <f t="shared" si="0"/>
        <v>31</v>
      </c>
      <c r="C32" s="3">
        <v>3</v>
      </c>
      <c r="D32" s="2">
        <v>2023</v>
      </c>
      <c r="E32" s="6">
        <f>IF(('Daily Meter'!H36-'Daily Meter'!H35)&lt;0,"0",'Daily Meter'!H36-'Daily Meter'!H35)*480</f>
        <v>3360</v>
      </c>
      <c r="F32" s="6">
        <f>IF(('Daily Meter'!I36-'Daily Meter'!I35)&lt;0,"0",'Daily Meter'!I36-'Daily Meter'!I35)*480</f>
        <v>2015.9999999999127</v>
      </c>
      <c r="G32" s="6">
        <f>IF(('Daily Meter'!J36-'Daily Meter'!J35)&lt;0,"0",'Daily Meter'!J36-'Daily Meter'!J35)*480</f>
        <v>2207.9999999999563</v>
      </c>
      <c r="H32" s="6">
        <f>IF(('Daily Meter'!K36-'Daily Meter'!K35)&lt;0,"0",'Daily Meter'!K36-'Daily Meter'!K35)*480</f>
        <v>1344.0000000000873</v>
      </c>
      <c r="I32" s="6">
        <f>IF(('Daily Meter'!L36-'Daily Meter'!L35)&lt;0,"0",'Daily Meter'!L36-'Daily Meter'!L35)*480</f>
        <v>2208.0000000001746</v>
      </c>
      <c r="J32" s="6">
        <f>IF(('Daily Meter'!M36-'Daily Meter'!M35)&lt;0,"0",'Daily Meter'!M36-'Daily Meter'!M35)*480</f>
        <v>6288.0000000001746</v>
      </c>
      <c r="K32" s="6">
        <f>IF(('Daily Meter'!B36-'Daily Meter'!B35)&lt;0,"0",'Daily Meter'!B36-'Daily Meter'!B35)*284.34</f>
        <v>8558.6339999995853</v>
      </c>
      <c r="L32" s="6">
        <f>IF(('Daily Meter'!C36-'Daily Meter'!C35)&lt;0,"0",'Daily Meter'!C36-'Daily Meter'!C35)*219.969</f>
        <v>13858.047</v>
      </c>
      <c r="M32" s="6">
        <f>IF(('Daily Meter'!N36-'Daily Meter'!N35)&lt;0,"0",'Daily Meter'!N36-'Daily Meter'!N35)*3.7</f>
        <v>452.13999999998924</v>
      </c>
      <c r="N32" s="6">
        <f>Total!M32</f>
        <v>219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9" sqref="I19"/>
    </sheetView>
  </sheetViews>
  <sheetFormatPr defaultColWidth="8.59765625" defaultRowHeight="14.25"/>
  <cols>
    <col min="1" max="1" width="9.1328125" style="14" customWidth="1"/>
    <col min="2" max="2" width="10.59765625" style="14" bestFit="1" customWidth="1"/>
    <col min="3" max="3" width="8.86328125" style="15" customWidth="1"/>
    <col min="4" max="4" width="8.6640625" style="14" customWidth="1"/>
    <col min="5" max="5" width="5.3984375" style="14" customWidth="1"/>
    <col min="6" max="6" width="6.59765625" style="14" customWidth="1"/>
    <col min="7" max="7" width="6.86328125" style="14" customWidth="1"/>
    <col min="8" max="9" width="9.06640625"/>
    <col min="10" max="10" width="9.59765625" bestFit="1" customWidth="1"/>
    <col min="11" max="11" width="9.06640625"/>
    <col min="12" max="13" width="9.59765625" bestFit="1" customWidth="1"/>
    <col min="14" max="14" width="8.73046875" style="2" customWidth="1"/>
    <col min="15" max="15" width="9.1328125" style="2"/>
  </cols>
  <sheetData>
    <row r="1" spans="1:17" ht="25.5" customHeight="1" thickBot="1">
      <c r="A1" s="300" t="s">
        <v>180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Q1" s="16" t="s">
        <v>22</v>
      </c>
    </row>
    <row r="2" spans="1:17" s="13" customFormat="1" ht="14.65" thickBot="1">
      <c r="A2" s="17"/>
      <c r="B2" s="18" t="s">
        <v>23</v>
      </c>
      <c r="C2" s="301" t="s">
        <v>24</v>
      </c>
      <c r="D2" s="301"/>
      <c r="E2" s="301"/>
      <c r="F2" s="301"/>
      <c r="G2" s="301"/>
      <c r="H2" s="302" t="s">
        <v>25</v>
      </c>
      <c r="I2" s="302"/>
      <c r="J2" s="302"/>
      <c r="K2" s="302"/>
      <c r="L2" s="302"/>
      <c r="M2" s="302"/>
      <c r="N2" s="284" t="s">
        <v>26</v>
      </c>
      <c r="O2" s="303" t="s">
        <v>27</v>
      </c>
    </row>
    <row r="3" spans="1:17" s="13" customFormat="1" ht="14.65" thickBot="1">
      <c r="A3" s="305" t="s">
        <v>28</v>
      </c>
      <c r="B3" s="19" t="s">
        <v>29</v>
      </c>
      <c r="C3" s="20" t="s">
        <v>30</v>
      </c>
      <c r="D3" s="306" t="s">
        <v>31</v>
      </c>
      <c r="E3" s="306"/>
      <c r="F3" s="307" t="s">
        <v>32</v>
      </c>
      <c r="G3" s="307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84"/>
      <c r="O3" s="304"/>
    </row>
    <row r="4" spans="1:17" s="13" customFormat="1" ht="14.65" thickBot="1">
      <c r="A4" s="305"/>
      <c r="B4" s="19" t="s">
        <v>36</v>
      </c>
      <c r="C4" s="22" t="s">
        <v>37</v>
      </c>
      <c r="D4" s="308" t="s">
        <v>38</v>
      </c>
      <c r="E4" s="308"/>
      <c r="F4" s="309" t="s">
        <v>39</v>
      </c>
      <c r="G4" s="309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6" t="s">
        <v>41</v>
      </c>
    </row>
    <row r="5" spans="1:17" s="13" customFormat="1" ht="14.65" thickBot="1">
      <c r="A5" s="305"/>
      <c r="B5" s="285" t="s">
        <v>181</v>
      </c>
      <c r="C5" s="287" t="s">
        <v>181</v>
      </c>
      <c r="D5" s="23" t="s">
        <v>42</v>
      </c>
      <c r="E5" s="23" t="s">
        <v>42</v>
      </c>
      <c r="F5" s="23" t="s">
        <v>42</v>
      </c>
      <c r="G5" s="23" t="s">
        <v>42</v>
      </c>
      <c r="H5" s="285" t="s">
        <v>181</v>
      </c>
      <c r="I5" s="293" t="s">
        <v>181</v>
      </c>
      <c r="J5" s="285" t="s">
        <v>181</v>
      </c>
      <c r="K5" s="285" t="s">
        <v>181</v>
      </c>
      <c r="L5" s="285" t="s">
        <v>181</v>
      </c>
      <c r="M5" s="285" t="s">
        <v>181</v>
      </c>
      <c r="N5" s="293" t="s">
        <v>181</v>
      </c>
      <c r="O5" s="299" t="s">
        <v>43</v>
      </c>
    </row>
    <row r="6" spans="1:17">
      <c r="A6" s="24">
        <v>1</v>
      </c>
      <c r="B6" s="272">
        <v>37240.9</v>
      </c>
      <c r="C6" s="288">
        <v>130793</v>
      </c>
      <c r="D6" s="271"/>
      <c r="E6" s="271"/>
      <c r="F6" s="271"/>
      <c r="G6" s="272"/>
      <c r="H6" s="272">
        <v>4434.6000000000004</v>
      </c>
      <c r="I6" s="294">
        <v>2658.8</v>
      </c>
      <c r="J6" s="275">
        <v>2868.8</v>
      </c>
      <c r="K6" s="272">
        <v>1448.5</v>
      </c>
      <c r="L6" s="272">
        <v>4139.6000000000004</v>
      </c>
      <c r="M6" s="272">
        <v>10945.2</v>
      </c>
      <c r="N6" s="294">
        <v>55709</v>
      </c>
      <c r="O6" s="273">
        <v>99.08</v>
      </c>
    </row>
    <row r="7" spans="1:17">
      <c r="A7" s="26">
        <v>2</v>
      </c>
      <c r="B7" s="275">
        <v>37271.699999999997</v>
      </c>
      <c r="C7" s="289">
        <v>131145</v>
      </c>
      <c r="D7" s="274"/>
      <c r="E7" s="274"/>
      <c r="F7" s="274"/>
      <c r="G7" s="275"/>
      <c r="H7" s="275">
        <v>4441.8</v>
      </c>
      <c r="I7" s="295">
        <v>2662.9</v>
      </c>
      <c r="J7" s="275">
        <v>2873.4</v>
      </c>
      <c r="K7" s="275">
        <v>1451.4</v>
      </c>
      <c r="L7" s="275">
        <v>4144.3</v>
      </c>
      <c r="M7" s="275">
        <v>10958.1</v>
      </c>
      <c r="N7" s="295">
        <v>55855.5</v>
      </c>
      <c r="O7" s="276">
        <v>100</v>
      </c>
    </row>
    <row r="8" spans="1:17">
      <c r="A8" s="26">
        <v>3</v>
      </c>
      <c r="B8" s="275">
        <v>37308.800000000003</v>
      </c>
      <c r="C8" s="289">
        <v>131502</v>
      </c>
      <c r="D8" s="274"/>
      <c r="E8" s="274"/>
      <c r="F8" s="274"/>
      <c r="G8" s="275"/>
      <c r="H8" s="275">
        <v>4450.2</v>
      </c>
      <c r="I8" s="295">
        <v>2667.4</v>
      </c>
      <c r="J8" s="275">
        <v>2878.8</v>
      </c>
      <c r="K8" s="275">
        <v>1454.8</v>
      </c>
      <c r="L8" s="275">
        <v>4149.3999999999996</v>
      </c>
      <c r="M8" s="275">
        <v>10973.1</v>
      </c>
      <c r="N8" s="295">
        <v>56016.2</v>
      </c>
      <c r="O8" s="276">
        <v>91.94</v>
      </c>
    </row>
    <row r="9" spans="1:17">
      <c r="A9" s="26">
        <v>4</v>
      </c>
      <c r="B9" s="275">
        <v>37338.400000000001</v>
      </c>
      <c r="C9" s="289">
        <v>131743</v>
      </c>
      <c r="D9" s="274"/>
      <c r="E9" s="274"/>
      <c r="F9" s="274"/>
      <c r="G9" s="275"/>
      <c r="H9" s="275">
        <v>4456.6000000000004</v>
      </c>
      <c r="I9" s="295">
        <v>2671.4</v>
      </c>
      <c r="J9" s="275">
        <v>2883</v>
      </c>
      <c r="K9" s="275">
        <v>1457.6</v>
      </c>
      <c r="L9" s="275">
        <v>4153.8</v>
      </c>
      <c r="M9" s="298">
        <v>10982.7</v>
      </c>
      <c r="N9" s="295">
        <v>56128.7</v>
      </c>
      <c r="O9" s="276">
        <v>91.94</v>
      </c>
    </row>
    <row r="10" spans="1:17">
      <c r="A10" s="26">
        <v>5</v>
      </c>
      <c r="B10" s="275">
        <v>37379.1</v>
      </c>
      <c r="C10" s="289">
        <v>132086</v>
      </c>
      <c r="D10" s="274"/>
      <c r="E10" s="274"/>
      <c r="F10" s="274"/>
      <c r="G10" s="275"/>
      <c r="H10" s="275">
        <v>4466</v>
      </c>
      <c r="I10" s="295">
        <v>2676.5</v>
      </c>
      <c r="J10" s="275">
        <v>2889.2</v>
      </c>
      <c r="K10" s="275">
        <v>1461.7</v>
      </c>
      <c r="L10" s="275">
        <v>4159.7</v>
      </c>
      <c r="M10" s="275">
        <v>10998</v>
      </c>
      <c r="N10" s="295">
        <v>56283.6</v>
      </c>
      <c r="O10" s="276">
        <v>74.19</v>
      </c>
    </row>
    <row r="11" spans="1:17">
      <c r="A11" s="26">
        <v>6</v>
      </c>
      <c r="B11" s="275">
        <v>37398.400000000001</v>
      </c>
      <c r="C11" s="289">
        <v>132284</v>
      </c>
      <c r="D11" s="25" t="s">
        <v>12</v>
      </c>
      <c r="E11" s="25" t="s">
        <v>12</v>
      </c>
      <c r="F11" s="25" t="s">
        <v>12</v>
      </c>
      <c r="G11" s="25" t="s">
        <v>12</v>
      </c>
      <c r="H11" s="275">
        <v>4471</v>
      </c>
      <c r="I11" s="295">
        <v>2679.4</v>
      </c>
      <c r="J11" s="275">
        <v>2892.6</v>
      </c>
      <c r="K11" s="275">
        <v>1463.9</v>
      </c>
      <c r="L11" s="275">
        <v>4163.1000000000004</v>
      </c>
      <c r="M11" s="275">
        <v>11007.9</v>
      </c>
      <c r="N11" s="295">
        <v>56366.1</v>
      </c>
      <c r="O11" s="276">
        <v>92.4</v>
      </c>
    </row>
    <row r="12" spans="1:17">
      <c r="A12" s="26">
        <v>7</v>
      </c>
      <c r="B12" s="275">
        <v>37428.5</v>
      </c>
      <c r="C12" s="289">
        <v>132615</v>
      </c>
      <c r="D12" s="25" t="s">
        <v>12</v>
      </c>
      <c r="E12" s="25" t="s">
        <v>12</v>
      </c>
      <c r="F12" s="25" t="s">
        <v>12</v>
      </c>
      <c r="G12" s="25" t="s">
        <v>12</v>
      </c>
      <c r="H12" s="275">
        <v>4478</v>
      </c>
      <c r="I12" s="295">
        <v>2683.6</v>
      </c>
      <c r="J12" s="275">
        <v>2897.4</v>
      </c>
      <c r="K12" s="275">
        <v>1466.8</v>
      </c>
      <c r="L12" s="275">
        <v>4167.8</v>
      </c>
      <c r="M12" s="275">
        <v>11021.5</v>
      </c>
      <c r="N12" s="295">
        <v>56477.4</v>
      </c>
      <c r="O12" s="276">
        <v>98.16</v>
      </c>
    </row>
    <row r="13" spans="1:17">
      <c r="A13" s="26">
        <v>8</v>
      </c>
      <c r="B13" s="275">
        <v>37461.9</v>
      </c>
      <c r="C13" s="289">
        <v>132875</v>
      </c>
      <c r="D13" s="25" t="s">
        <v>12</v>
      </c>
      <c r="E13" s="25" t="s">
        <v>12</v>
      </c>
      <c r="F13" s="25" t="s">
        <v>12</v>
      </c>
      <c r="G13" s="25" t="s">
        <v>12</v>
      </c>
      <c r="H13" s="275">
        <v>4485.3999999999996</v>
      </c>
      <c r="I13" s="295">
        <v>2687.8</v>
      </c>
      <c r="J13" s="275">
        <v>2902.1</v>
      </c>
      <c r="K13" s="275">
        <v>1470</v>
      </c>
      <c r="L13" s="275">
        <v>4172.3999999999996</v>
      </c>
      <c r="M13" s="275">
        <v>11035</v>
      </c>
      <c r="N13" s="295">
        <v>56605.2</v>
      </c>
      <c r="O13" s="276">
        <v>99.08</v>
      </c>
    </row>
    <row r="14" spans="1:17">
      <c r="A14" s="26">
        <v>9</v>
      </c>
      <c r="B14" s="275">
        <v>37494.300000000003</v>
      </c>
      <c r="C14" s="289">
        <v>133269</v>
      </c>
      <c r="D14" s="25" t="s">
        <v>12</v>
      </c>
      <c r="E14" s="25" t="s">
        <v>12</v>
      </c>
      <c r="F14" s="25" t="s">
        <v>12</v>
      </c>
      <c r="G14" s="25" t="s">
        <v>12</v>
      </c>
      <c r="H14" s="275">
        <v>4493</v>
      </c>
      <c r="I14" s="295">
        <v>2692.3</v>
      </c>
      <c r="J14" s="275">
        <v>2907.1</v>
      </c>
      <c r="K14" s="275">
        <v>1473.1</v>
      </c>
      <c r="L14" s="275">
        <v>4177.3999999999996</v>
      </c>
      <c r="M14" s="275">
        <v>11049.8</v>
      </c>
      <c r="N14" s="295">
        <v>56762.7</v>
      </c>
      <c r="O14" s="276">
        <v>97.93</v>
      </c>
    </row>
    <row r="15" spans="1:17">
      <c r="A15" s="26">
        <v>10</v>
      </c>
      <c r="B15" s="275">
        <v>37532</v>
      </c>
      <c r="C15" s="289">
        <v>133576</v>
      </c>
      <c r="D15" s="25" t="s">
        <v>12</v>
      </c>
      <c r="E15" s="25" t="s">
        <v>12</v>
      </c>
      <c r="F15" s="25" t="s">
        <v>12</v>
      </c>
      <c r="G15" s="25" t="s">
        <v>12</v>
      </c>
      <c r="H15" s="275">
        <v>4499.7</v>
      </c>
      <c r="I15" s="295">
        <v>2696.2</v>
      </c>
      <c r="J15" s="275">
        <v>2911.6</v>
      </c>
      <c r="K15" s="275">
        <v>1476</v>
      </c>
      <c r="L15" s="275">
        <v>4181.8</v>
      </c>
      <c r="M15" s="275">
        <v>11061.8</v>
      </c>
      <c r="N15" s="295">
        <v>56843.1</v>
      </c>
      <c r="O15" s="276">
        <v>91.47</v>
      </c>
    </row>
    <row r="16" spans="1:17">
      <c r="A16" s="26">
        <v>11</v>
      </c>
      <c r="B16" s="275">
        <v>37569.800000000003</v>
      </c>
      <c r="C16" s="289">
        <v>133824</v>
      </c>
      <c r="D16" s="25" t="s">
        <v>12</v>
      </c>
      <c r="E16" s="25" t="s">
        <v>12</v>
      </c>
      <c r="F16" s="25" t="s">
        <v>12</v>
      </c>
      <c r="G16" s="25" t="s">
        <v>12</v>
      </c>
      <c r="H16" s="275">
        <v>4509.3</v>
      </c>
      <c r="I16" s="295">
        <v>2702.1</v>
      </c>
      <c r="J16" s="275">
        <v>2917.6</v>
      </c>
      <c r="K16" s="275">
        <v>1480.3</v>
      </c>
      <c r="L16" s="275">
        <v>4187.7</v>
      </c>
      <c r="M16" s="275">
        <v>11078.6</v>
      </c>
      <c r="N16" s="295">
        <v>57010.7</v>
      </c>
      <c r="O16" s="276">
        <v>73.73</v>
      </c>
    </row>
    <row r="17" spans="1:17">
      <c r="A17" s="26">
        <v>12</v>
      </c>
      <c r="B17" s="275">
        <v>37597</v>
      </c>
      <c r="C17" s="289">
        <v>134174</v>
      </c>
      <c r="D17" s="25" t="s">
        <v>12</v>
      </c>
      <c r="E17" s="25" t="s">
        <v>12</v>
      </c>
      <c r="F17" s="25" t="s">
        <v>12</v>
      </c>
      <c r="G17" s="25" t="s">
        <v>12</v>
      </c>
      <c r="H17" s="275">
        <v>4514.6000000000004</v>
      </c>
      <c r="I17" s="295">
        <v>2705.2</v>
      </c>
      <c r="J17" s="275">
        <v>2921.3</v>
      </c>
      <c r="K17" s="275">
        <v>1482.8</v>
      </c>
      <c r="L17" s="275">
        <v>4191.2</v>
      </c>
      <c r="M17" s="275">
        <v>11088.6</v>
      </c>
      <c r="N17" s="295">
        <v>57099.6</v>
      </c>
      <c r="O17" s="276">
        <v>64.290000000000006</v>
      </c>
    </row>
    <row r="18" spans="1:17">
      <c r="A18" s="26">
        <v>13</v>
      </c>
      <c r="B18" s="275">
        <v>37635.300000000003</v>
      </c>
      <c r="C18" s="289">
        <v>134468</v>
      </c>
      <c r="D18" s="25" t="s">
        <v>12</v>
      </c>
      <c r="E18" s="25" t="s">
        <v>12</v>
      </c>
      <c r="F18" s="25" t="s">
        <v>12</v>
      </c>
      <c r="G18" s="25" t="s">
        <v>12</v>
      </c>
      <c r="H18" s="275">
        <v>4522.3</v>
      </c>
      <c r="I18" s="295">
        <v>2709.9</v>
      </c>
      <c r="J18" s="275">
        <v>2926.4</v>
      </c>
      <c r="K18" s="275">
        <v>1486.2</v>
      </c>
      <c r="L18" s="275">
        <v>4196.2</v>
      </c>
      <c r="M18" s="275">
        <v>11103.4</v>
      </c>
      <c r="N18" s="295">
        <v>57222.6</v>
      </c>
      <c r="O18" s="276">
        <v>84.33</v>
      </c>
    </row>
    <row r="19" spans="1:17">
      <c r="A19" s="26">
        <v>14</v>
      </c>
      <c r="B19" s="275">
        <v>37676.6</v>
      </c>
      <c r="C19" s="290">
        <v>134842</v>
      </c>
      <c r="D19" s="274"/>
      <c r="E19" s="274"/>
      <c r="F19" s="274"/>
      <c r="G19" s="275"/>
      <c r="H19" s="275">
        <v>4530.3999999999996</v>
      </c>
      <c r="I19" s="295">
        <v>2714.6</v>
      </c>
      <c r="J19" s="275">
        <v>2931.8</v>
      </c>
      <c r="K19" s="275">
        <v>1489.8</v>
      </c>
      <c r="L19" s="275">
        <v>4201.3999999999996</v>
      </c>
      <c r="M19" s="275">
        <v>11117.9</v>
      </c>
      <c r="N19" s="295">
        <v>57352.9</v>
      </c>
      <c r="O19" s="276">
        <v>89.86</v>
      </c>
    </row>
    <row r="20" spans="1:17">
      <c r="A20" s="26">
        <v>15</v>
      </c>
      <c r="B20" s="275">
        <v>37704.9</v>
      </c>
      <c r="C20" s="290">
        <v>134986</v>
      </c>
      <c r="D20" s="274"/>
      <c r="E20" s="274"/>
      <c r="F20" s="274"/>
      <c r="G20" s="275"/>
      <c r="H20" s="275">
        <v>4536.3999999999996</v>
      </c>
      <c r="I20" s="295">
        <v>2718.2</v>
      </c>
      <c r="J20" s="275">
        <v>2935.8</v>
      </c>
      <c r="K20" s="275">
        <v>1492.3</v>
      </c>
      <c r="L20" s="275">
        <v>4205.6000000000004</v>
      </c>
      <c r="M20" s="275">
        <v>11129</v>
      </c>
      <c r="N20" s="295">
        <v>57448.7</v>
      </c>
      <c r="O20" s="276">
        <v>96.31</v>
      </c>
    </row>
    <row r="21" spans="1:17">
      <c r="A21" s="26">
        <v>16</v>
      </c>
      <c r="B21" s="275">
        <v>37745.599999999999</v>
      </c>
      <c r="C21" s="290">
        <v>135398</v>
      </c>
      <c r="D21" s="25"/>
      <c r="E21" s="25"/>
      <c r="F21" s="25"/>
      <c r="G21" s="25"/>
      <c r="H21" s="275">
        <v>4544.5</v>
      </c>
      <c r="I21" s="295">
        <v>2722.6</v>
      </c>
      <c r="J21" s="275">
        <v>2941</v>
      </c>
      <c r="K21" s="275">
        <v>1495.6</v>
      </c>
      <c r="L21" s="275">
        <v>4210.8999999999996</v>
      </c>
      <c r="M21" s="275">
        <v>11143.3</v>
      </c>
      <c r="N21" s="295">
        <v>57588.800000000003</v>
      </c>
      <c r="O21" s="276">
        <v>95.16</v>
      </c>
    </row>
    <row r="22" spans="1:17">
      <c r="A22" s="26">
        <v>17</v>
      </c>
      <c r="B22" s="275">
        <v>37776.9</v>
      </c>
      <c r="C22" s="290">
        <v>135637</v>
      </c>
      <c r="D22" s="274"/>
      <c r="E22" s="274"/>
      <c r="F22" s="274"/>
      <c r="G22" s="275"/>
      <c r="H22" s="275">
        <v>4550.3</v>
      </c>
      <c r="I22" s="295">
        <v>2725.8</v>
      </c>
      <c r="J22" s="275">
        <v>2944.9</v>
      </c>
      <c r="K22" s="275">
        <v>1498.2</v>
      </c>
      <c r="L22" s="275">
        <v>4214.8</v>
      </c>
      <c r="M22" s="275">
        <v>11153.6</v>
      </c>
      <c r="N22" s="295">
        <v>57684.1</v>
      </c>
      <c r="O22" s="276">
        <v>90.32</v>
      </c>
    </row>
    <row r="23" spans="1:17">
      <c r="A23" s="26">
        <v>18</v>
      </c>
      <c r="B23" s="275">
        <v>37810.300000000003</v>
      </c>
      <c r="C23" s="290">
        <v>135864</v>
      </c>
      <c r="D23" s="274"/>
      <c r="E23" s="274"/>
      <c r="F23" s="274"/>
      <c r="G23" s="275"/>
      <c r="H23" s="275">
        <v>4558</v>
      </c>
      <c r="I23" s="295">
        <v>2729.7</v>
      </c>
      <c r="J23" s="275">
        <v>2950.2</v>
      </c>
      <c r="K23" s="275">
        <v>1501.9</v>
      </c>
      <c r="L23" s="275">
        <v>4219.8</v>
      </c>
      <c r="M23" s="275">
        <v>11166.3</v>
      </c>
      <c r="N23" s="295">
        <v>57815.9</v>
      </c>
      <c r="O23" s="276">
        <v>88.48</v>
      </c>
      <c r="P23" s="27"/>
      <c r="Q23" s="27"/>
    </row>
    <row r="24" spans="1:17">
      <c r="A24" s="26">
        <v>19</v>
      </c>
      <c r="B24" s="275">
        <v>37841</v>
      </c>
      <c r="C24" s="290">
        <v>136238</v>
      </c>
      <c r="D24" s="274"/>
      <c r="E24" s="274"/>
      <c r="F24" s="274"/>
      <c r="G24" s="275"/>
      <c r="H24" s="275">
        <v>4565.8999999999996</v>
      </c>
      <c r="I24" s="295">
        <v>2733.6</v>
      </c>
      <c r="J24" s="275">
        <v>2955.3</v>
      </c>
      <c r="K24" s="275">
        <v>1505.6</v>
      </c>
      <c r="L24" s="275">
        <v>4224.7</v>
      </c>
      <c r="M24" s="275">
        <v>11176.2</v>
      </c>
      <c r="N24" s="295">
        <v>57939.1</v>
      </c>
      <c r="O24" s="276">
        <v>62.44</v>
      </c>
    </row>
    <row r="25" spans="1:17">
      <c r="A25" s="26">
        <v>20</v>
      </c>
      <c r="B25" s="275">
        <v>37867.800000000003</v>
      </c>
      <c r="C25" s="290">
        <v>136435</v>
      </c>
      <c r="D25" s="274"/>
      <c r="E25" s="274"/>
      <c r="F25" s="274"/>
      <c r="G25" s="275"/>
      <c r="H25" s="275">
        <v>4574.7</v>
      </c>
      <c r="I25" s="295">
        <v>2738.1</v>
      </c>
      <c r="J25" s="275">
        <v>2961.1</v>
      </c>
      <c r="K25" s="275">
        <v>1509.4</v>
      </c>
      <c r="L25" s="275">
        <v>4230.3</v>
      </c>
      <c r="M25" s="275">
        <v>11187.9</v>
      </c>
      <c r="N25" s="295">
        <v>58049.2</v>
      </c>
      <c r="O25" s="276">
        <v>65.44</v>
      </c>
    </row>
    <row r="26" spans="1:17">
      <c r="A26" s="26">
        <v>21</v>
      </c>
      <c r="B26" s="275">
        <v>37895.5</v>
      </c>
      <c r="C26" s="290">
        <v>136601</v>
      </c>
      <c r="D26" s="274"/>
      <c r="E26" s="274"/>
      <c r="F26" s="274"/>
      <c r="G26" s="275"/>
      <c r="H26" s="275">
        <v>4581.3999999999996</v>
      </c>
      <c r="I26" s="295">
        <v>2741.5</v>
      </c>
      <c r="J26" s="275">
        <v>2965.8</v>
      </c>
      <c r="K26" s="275">
        <v>1512.1</v>
      </c>
      <c r="L26" s="275">
        <v>4234.7</v>
      </c>
      <c r="M26" s="275">
        <v>11197.1</v>
      </c>
      <c r="N26" s="295">
        <v>58152</v>
      </c>
      <c r="O26" s="276">
        <v>60.37</v>
      </c>
    </row>
    <row r="27" spans="1:17">
      <c r="A27" s="26">
        <v>22</v>
      </c>
      <c r="B27" s="275">
        <v>37924.5</v>
      </c>
      <c r="C27" s="290">
        <v>136847</v>
      </c>
      <c r="D27" s="274"/>
      <c r="E27" s="274"/>
      <c r="F27" s="274"/>
      <c r="G27" s="275"/>
      <c r="H27" s="275">
        <v>4587.8</v>
      </c>
      <c r="I27" s="295">
        <v>2744.7</v>
      </c>
      <c r="J27" s="275">
        <v>2970.2</v>
      </c>
      <c r="K27" s="275">
        <v>1514.8</v>
      </c>
      <c r="L27" s="275">
        <v>4238.8999999999996</v>
      </c>
      <c r="M27" s="275">
        <v>11204.9</v>
      </c>
      <c r="N27" s="295">
        <v>58264.3</v>
      </c>
      <c r="O27" s="276">
        <v>50.46</v>
      </c>
    </row>
    <row r="28" spans="1:17">
      <c r="A28" s="26">
        <v>23</v>
      </c>
      <c r="B28" s="275">
        <v>37949.1</v>
      </c>
      <c r="C28" s="290">
        <v>137179</v>
      </c>
      <c r="D28" s="274"/>
      <c r="E28" s="274"/>
      <c r="F28" s="274"/>
      <c r="G28" s="275"/>
      <c r="H28" s="275">
        <v>4593.5</v>
      </c>
      <c r="I28" s="295">
        <v>2747.7</v>
      </c>
      <c r="J28" s="275">
        <v>2974.7</v>
      </c>
      <c r="K28" s="275">
        <v>1516.9</v>
      </c>
      <c r="L28" s="275">
        <v>4242.8</v>
      </c>
      <c r="M28" s="275">
        <v>11212.6</v>
      </c>
      <c r="N28" s="295">
        <v>58364.4</v>
      </c>
      <c r="O28" s="276">
        <v>49.77</v>
      </c>
    </row>
    <row r="29" spans="1:17">
      <c r="A29" s="26">
        <v>24</v>
      </c>
      <c r="B29" s="275">
        <v>37972.9</v>
      </c>
      <c r="C29" s="290">
        <v>137424</v>
      </c>
      <c r="D29" s="274"/>
      <c r="E29" s="274"/>
      <c r="F29" s="274"/>
      <c r="G29" s="275"/>
      <c r="H29" s="292">
        <v>4601</v>
      </c>
      <c r="I29" s="296">
        <v>2752.2</v>
      </c>
      <c r="J29" s="292">
        <v>2980.1</v>
      </c>
      <c r="K29" s="292">
        <v>1519.9</v>
      </c>
      <c r="L29" s="292">
        <v>4247.7</v>
      </c>
      <c r="M29" s="292">
        <v>11223.2</v>
      </c>
      <c r="N29" s="295">
        <v>58468.9</v>
      </c>
      <c r="O29" s="276">
        <v>46.77</v>
      </c>
      <c r="P29" s="28"/>
    </row>
    <row r="30" spans="1:17">
      <c r="A30" s="26">
        <v>25</v>
      </c>
      <c r="B30" s="275">
        <v>38004.300000000003</v>
      </c>
      <c r="C30" s="290">
        <v>137602</v>
      </c>
      <c r="D30" s="25"/>
      <c r="E30" s="25"/>
      <c r="F30" s="25"/>
      <c r="G30" s="25"/>
      <c r="H30" s="275">
        <v>4609.2</v>
      </c>
      <c r="I30" s="295">
        <v>2756.4</v>
      </c>
      <c r="J30" s="275">
        <v>2985.6</v>
      </c>
      <c r="K30" s="275">
        <v>1523</v>
      </c>
      <c r="L30" s="275">
        <v>4253.1000000000004</v>
      </c>
      <c r="M30" s="275">
        <v>11234.1</v>
      </c>
      <c r="N30" s="295">
        <v>58595</v>
      </c>
      <c r="O30" s="276">
        <v>50.46</v>
      </c>
      <c r="P30" s="29"/>
      <c r="Q30" s="29"/>
    </row>
    <row r="31" spans="1:17">
      <c r="A31" s="26">
        <v>26</v>
      </c>
      <c r="B31" s="275">
        <v>38027.9</v>
      </c>
      <c r="C31" s="290">
        <v>137911</v>
      </c>
      <c r="D31" s="25"/>
      <c r="E31" s="25"/>
      <c r="F31" s="25"/>
      <c r="G31" s="25"/>
      <c r="H31" s="275">
        <v>4613.8999999999996</v>
      </c>
      <c r="I31" s="295">
        <v>2759.1</v>
      </c>
      <c r="J31" s="275">
        <v>2989</v>
      </c>
      <c r="K31" s="275">
        <v>1524.8</v>
      </c>
      <c r="L31" s="275">
        <v>4256.3999999999996</v>
      </c>
      <c r="M31" s="275">
        <v>11242.9</v>
      </c>
      <c r="N31" s="295">
        <v>58687.1</v>
      </c>
      <c r="O31" s="276">
        <v>53.46</v>
      </c>
    </row>
    <row r="32" spans="1:17">
      <c r="A32" s="26">
        <v>27</v>
      </c>
      <c r="B32" s="275">
        <v>38055.300000000003</v>
      </c>
      <c r="C32" s="290">
        <v>138066</v>
      </c>
      <c r="D32" s="25" t="s">
        <v>12</v>
      </c>
      <c r="E32" s="25" t="s">
        <v>12</v>
      </c>
      <c r="F32" s="25" t="s">
        <v>12</v>
      </c>
      <c r="G32" s="25" t="s">
        <v>12</v>
      </c>
      <c r="H32" s="275">
        <v>4622.2</v>
      </c>
      <c r="I32" s="295">
        <v>2763.7</v>
      </c>
      <c r="J32" s="275">
        <v>2994.4</v>
      </c>
      <c r="K32" s="275">
        <v>1527.7</v>
      </c>
      <c r="L32" s="275">
        <v>4261.8</v>
      </c>
      <c r="M32" s="275">
        <v>11257.4</v>
      </c>
      <c r="N32" s="295">
        <v>58779.4</v>
      </c>
      <c r="O32" s="276">
        <v>53.92</v>
      </c>
    </row>
    <row r="33" spans="1:17">
      <c r="A33" s="26">
        <v>28</v>
      </c>
      <c r="B33" s="275">
        <v>38091.1</v>
      </c>
      <c r="C33" s="290">
        <v>138241</v>
      </c>
      <c r="D33" s="25" t="s">
        <v>12</v>
      </c>
      <c r="E33" s="25" t="s">
        <v>12</v>
      </c>
      <c r="F33" s="25" t="s">
        <v>12</v>
      </c>
      <c r="G33" s="25" t="s">
        <v>12</v>
      </c>
      <c r="H33" s="275">
        <v>4629</v>
      </c>
      <c r="I33" s="295">
        <v>2767.6</v>
      </c>
      <c r="J33" s="275">
        <v>2999</v>
      </c>
      <c r="K33" s="275">
        <v>1530.3</v>
      </c>
      <c r="L33" s="275">
        <v>4266.3999999999996</v>
      </c>
      <c r="M33" s="275">
        <v>11269.8</v>
      </c>
      <c r="N33" s="295">
        <v>58901.9</v>
      </c>
      <c r="O33" s="276">
        <v>50</v>
      </c>
    </row>
    <row r="34" spans="1:17">
      <c r="A34" s="26">
        <v>29</v>
      </c>
      <c r="B34" s="275">
        <v>38113.599999999999</v>
      </c>
      <c r="C34" s="290">
        <v>138333</v>
      </c>
      <c r="D34" s="25" t="s">
        <v>12</v>
      </c>
      <c r="E34" s="25" t="s">
        <v>12</v>
      </c>
      <c r="F34" s="25" t="s">
        <v>12</v>
      </c>
      <c r="G34" s="25" t="s">
        <v>12</v>
      </c>
      <c r="H34" s="275">
        <v>4634</v>
      </c>
      <c r="I34" s="295">
        <v>2770.6</v>
      </c>
      <c r="J34" s="275">
        <v>3002.8</v>
      </c>
      <c r="K34" s="275">
        <v>1532.2</v>
      </c>
      <c r="L34" s="275">
        <v>4269.8</v>
      </c>
      <c r="M34" s="275">
        <v>11279.2</v>
      </c>
      <c r="N34" s="295">
        <v>58988.1</v>
      </c>
      <c r="O34" s="276">
        <v>44.47</v>
      </c>
    </row>
    <row r="35" spans="1:17">
      <c r="A35" s="26">
        <v>30</v>
      </c>
      <c r="B35" s="275">
        <v>38143.1</v>
      </c>
      <c r="C35" s="290">
        <v>138350</v>
      </c>
      <c r="D35" s="25" t="s">
        <v>12</v>
      </c>
      <c r="E35" s="25" t="s">
        <v>12</v>
      </c>
      <c r="F35" s="25" t="s">
        <v>12</v>
      </c>
      <c r="G35" s="25" t="s">
        <v>12</v>
      </c>
      <c r="H35" s="275">
        <v>4640.8999999999996</v>
      </c>
      <c r="I35" s="295">
        <v>2774.8</v>
      </c>
      <c r="J35" s="275">
        <v>3007.6</v>
      </c>
      <c r="K35" s="275">
        <v>1535.1</v>
      </c>
      <c r="L35" s="275">
        <v>4274.5</v>
      </c>
      <c r="M35" s="275">
        <v>11291.9</v>
      </c>
      <c r="N35" s="295">
        <v>59091.3</v>
      </c>
      <c r="O35" s="276">
        <v>44.7</v>
      </c>
    </row>
    <row r="36" spans="1:17" ht="14.65" thickBot="1">
      <c r="A36" s="30">
        <v>31</v>
      </c>
      <c r="B36" s="286">
        <v>38173.199999999997</v>
      </c>
      <c r="C36" s="291">
        <v>138413</v>
      </c>
      <c r="D36" s="31"/>
      <c r="E36" s="31"/>
      <c r="F36" s="31"/>
      <c r="G36" s="31"/>
      <c r="H36" s="286">
        <v>4647.8999999999996</v>
      </c>
      <c r="I36" s="297">
        <v>2779</v>
      </c>
      <c r="J36" s="286">
        <v>3012.2</v>
      </c>
      <c r="K36" s="286">
        <v>1537.9</v>
      </c>
      <c r="L36" s="286">
        <v>4279.1000000000004</v>
      </c>
      <c r="M36" s="286">
        <v>11305</v>
      </c>
      <c r="N36" s="297">
        <v>59213.5</v>
      </c>
      <c r="O36" s="34">
        <v>50.69</v>
      </c>
    </row>
    <row r="37" spans="1:17" ht="15.75" customHeight="1" thickBot="1">
      <c r="A37" s="32"/>
      <c r="D37" s="33"/>
      <c r="E37" s="33"/>
      <c r="F37" s="33"/>
      <c r="G37" s="33"/>
    </row>
    <row r="38" spans="1:17">
      <c r="Q38" t="s">
        <v>44</v>
      </c>
    </row>
  </sheetData>
  <mergeCells count="9">
    <mergeCell ref="A1:O1"/>
    <mergeCell ref="C2:G2"/>
    <mergeCell ref="H2:M2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activeCell="C14" sqref="C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">
        <v>179</v>
      </c>
      <c r="C3" s="35">
        <v>1</v>
      </c>
      <c r="D3" s="37" t="s">
        <v>48</v>
      </c>
      <c r="E3" s="38">
        <f>'Daily Meter'!O6</f>
        <v>99.08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 t="s">
        <v>178</v>
      </c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v>37209.300000000003</v>
      </c>
      <c r="E7" s="56">
        <v>37240.9</v>
      </c>
      <c r="F7" s="57">
        <f>E7-D7</f>
        <v>31.599999999998545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8985.1439999995855</v>
      </c>
      <c r="G8" s="61">
        <f>F8*0.63</f>
        <v>5660.6407199997393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v>130541</v>
      </c>
      <c r="E10" s="56">
        <v>130793</v>
      </c>
      <c r="F10" s="57">
        <f>E10-D10</f>
        <v>252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55432.188000000002</v>
      </c>
      <c r="G11" s="69">
        <f>F11*0.06</f>
        <v>3325.9312799999998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  <c r="H12" t="s">
        <v>12</v>
      </c>
    </row>
    <row r="13" spans="1:8">
      <c r="A13" s="50">
        <v>1</v>
      </c>
      <c r="B13" s="52" t="s">
        <v>13</v>
      </c>
      <c r="C13" s="50" t="s">
        <v>67</v>
      </c>
      <c r="D13" s="55">
        <v>4427.6000000000004</v>
      </c>
      <c r="E13" s="56">
        <v>4434.6000000000004</v>
      </c>
      <c r="F13" s="57">
        <f t="shared" ref="F13:F18" si="0">(E13-D13)*480</f>
        <v>3360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v>2654.9</v>
      </c>
      <c r="E14" s="56">
        <v>2658.8</v>
      </c>
      <c r="F14" s="57">
        <f t="shared" si="0"/>
        <v>1872.0000000000437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v>2864.2</v>
      </c>
      <c r="E15" s="56">
        <v>2868.8</v>
      </c>
      <c r="F15" s="57">
        <f t="shared" si="0"/>
        <v>2208.0000000001746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v>1445.5</v>
      </c>
      <c r="E16" s="56">
        <v>1448.5</v>
      </c>
      <c r="F16" s="57">
        <f t="shared" si="0"/>
        <v>1440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v>4135</v>
      </c>
      <c r="E17" s="56">
        <v>4139.6000000000004</v>
      </c>
      <c r="F17" s="57">
        <f t="shared" si="0"/>
        <v>2208.0000000001746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v>10932.4</v>
      </c>
      <c r="E18" s="56">
        <v>10945.2</v>
      </c>
      <c r="F18" s="57">
        <f t="shared" si="0"/>
        <v>6144.0000000005239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17232.000000000917</v>
      </c>
      <c r="G19" s="61">
        <f>F19*0.43</f>
        <v>7409.760000000394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v>55556.6</v>
      </c>
      <c r="E22" s="56">
        <v>55709</v>
      </c>
      <c r="F22" s="80">
        <f>E22-D22</f>
        <v>152.40000000000146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563.88000000000545</v>
      </c>
      <c r="G23" s="84">
        <f>F23*2.5</f>
        <v>1409.7000000000137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8985.1439999995855</v>
      </c>
      <c r="G28" s="94">
        <f>G8</f>
        <v>5660.6407199997393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55432.188000000002</v>
      </c>
      <c r="G29" s="94">
        <f>G11</f>
        <v>3325.9312799999998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17232.000000000917</v>
      </c>
      <c r="G30" s="94">
        <f>G19</f>
        <v>7409.760000000394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152.40000000000146</v>
      </c>
      <c r="G31" s="94">
        <f>G23</f>
        <v>1409.7000000000137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17806.032000000148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2</v>
      </c>
      <c r="D3" s="37" t="s">
        <v>48</v>
      </c>
      <c r="E3" s="38">
        <f>'Daily Meter'!O6</f>
        <v>99.08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'1'!E7</f>
        <v>37240.9</v>
      </c>
      <c r="E7" s="56">
        <f>'Daily Meter'!B7</f>
        <v>37271.699999999997</v>
      </c>
      <c r="F7" s="57">
        <f>E7-D7</f>
        <v>30.799999999995634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8757.6719999987581</v>
      </c>
      <c r="G8" s="61">
        <f>F8*0.63</f>
        <v>5517.3333599992175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'1'!E10</f>
        <v>130793</v>
      </c>
      <c r="E10" s="56">
        <f>'Daily Meter'!C7</f>
        <v>131145</v>
      </c>
      <c r="F10" s="57">
        <f>E10-D10</f>
        <v>352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77429.088000000003</v>
      </c>
      <c r="G11" s="69">
        <f>F11*0.06</f>
        <v>4645.7452800000001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'1'!E13</f>
        <v>4434.6000000000004</v>
      </c>
      <c r="E13" s="56">
        <f>'Daily Meter'!H7</f>
        <v>4441.8</v>
      </c>
      <c r="F13" s="57">
        <f t="shared" ref="F13:F18" si="0">(E13-D13)*480</f>
        <v>3455.9999999999127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'1'!E14</f>
        <v>2658.8</v>
      </c>
      <c r="E14" s="56">
        <f>'Daily Meter'!I7</f>
        <v>2662.9</v>
      </c>
      <c r="F14" s="57">
        <f t="shared" si="0"/>
        <v>1967.9999999999563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'1'!E15</f>
        <v>2868.8</v>
      </c>
      <c r="E15" s="56">
        <f>'Daily Meter'!J7</f>
        <v>2873.4</v>
      </c>
      <c r="F15" s="57">
        <f t="shared" si="0"/>
        <v>2207.9999999999563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'1'!E16</f>
        <v>1448.5</v>
      </c>
      <c r="E16" s="56">
        <f>'Daily Meter'!K7</f>
        <v>1451.4</v>
      </c>
      <c r="F16" s="57">
        <f t="shared" si="0"/>
        <v>1392.0000000000437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'1'!E17</f>
        <v>4139.6000000000004</v>
      </c>
      <c r="E17" s="56">
        <f>'Daily Meter'!L7</f>
        <v>4144.3</v>
      </c>
      <c r="F17" s="57">
        <f t="shared" si="0"/>
        <v>2255.9999999999127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'1'!E18</f>
        <v>10945.2</v>
      </c>
      <c r="E18" s="56">
        <f>'Daily Meter'!M7</f>
        <v>10958.1</v>
      </c>
      <c r="F18" s="57">
        <f t="shared" si="0"/>
        <v>6191.9999999998254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17471.999999999607</v>
      </c>
      <c r="G19" s="61">
        <f>F19*0.43</f>
        <v>7512.9599999998309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'1'!E22</f>
        <v>55709</v>
      </c>
      <c r="E22" s="56">
        <f>'Daily Meter'!N7</f>
        <v>55855.5</v>
      </c>
      <c r="F22" s="80">
        <f>E22-D22</f>
        <v>146.5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542.05000000000007</v>
      </c>
      <c r="G23" s="84">
        <f>F23*2.5</f>
        <v>1355.1250000000002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8757.6719999987581</v>
      </c>
      <c r="G28" s="94">
        <f>G8</f>
        <v>5517.3333599992175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77429.088000000003</v>
      </c>
      <c r="G29" s="94">
        <f>G11</f>
        <v>4645.7452800000001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17471.999999999607</v>
      </c>
      <c r="G30" s="94">
        <f>G19</f>
        <v>7512.9599999998309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146.5</v>
      </c>
      <c r="G31" s="94">
        <f>G23</f>
        <v>1355.1250000000002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19031.163639999049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3</v>
      </c>
      <c r="D3" s="37" t="s">
        <v>48</v>
      </c>
      <c r="E3" s="38">
        <f>'Daily Meter'!O8</f>
        <v>91.94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'2'!E7</f>
        <v>37271.699999999997</v>
      </c>
      <c r="E7" s="56">
        <f>'Daily Meter'!B8</f>
        <v>37308.800000000003</v>
      </c>
      <c r="F7" s="57">
        <f>E7-D7</f>
        <v>37.100000000005821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10549.014000001654</v>
      </c>
      <c r="G8" s="61">
        <f>F8*0.63</f>
        <v>6645.8788200010422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'2'!E10</f>
        <v>131145</v>
      </c>
      <c r="E10" s="56">
        <f>'Daily Meter'!C8</f>
        <v>131502</v>
      </c>
      <c r="F10" s="57">
        <f>E10-D10</f>
        <v>357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78528.933000000005</v>
      </c>
      <c r="G11" s="69">
        <f>F11*0.06</f>
        <v>4711.7359800000004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'2'!E13</f>
        <v>4441.8</v>
      </c>
      <c r="E13" s="56">
        <f>'Daily Meter'!H8</f>
        <v>4450.2</v>
      </c>
      <c r="F13" s="57">
        <f t="shared" ref="F13:F18" si="0">(E13-D13)*480</f>
        <v>4031.9999999998254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'2'!E14</f>
        <v>2662.9</v>
      </c>
      <c r="E14" s="56">
        <f>'Daily Meter'!I8</f>
        <v>2667.4</v>
      </c>
      <c r="F14" s="57">
        <f t="shared" si="0"/>
        <v>2160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'2'!E15</f>
        <v>2873.4</v>
      </c>
      <c r="E15" s="56">
        <f>'Daily Meter'!J8</f>
        <v>2878.8</v>
      </c>
      <c r="F15" s="57">
        <f t="shared" si="0"/>
        <v>2592.0000000000437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'2'!E16</f>
        <v>1451.4</v>
      </c>
      <c r="E16" s="56">
        <f>'Daily Meter'!K8</f>
        <v>1454.8</v>
      </c>
      <c r="F16" s="57">
        <f t="shared" si="0"/>
        <v>1631.9999999999345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'2'!E17</f>
        <v>4144.3</v>
      </c>
      <c r="E17" s="56">
        <f>'Daily Meter'!L8</f>
        <v>4149.3999999999996</v>
      </c>
      <c r="F17" s="57">
        <f t="shared" si="0"/>
        <v>2447.9999999997381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'2'!E18</f>
        <v>10958.1</v>
      </c>
      <c r="E18" s="56">
        <f>'Daily Meter'!M8</f>
        <v>10973.1</v>
      </c>
      <c r="F18" s="57">
        <f t="shared" si="0"/>
        <v>7200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20063.999999999542</v>
      </c>
      <c r="G19" s="61">
        <f>F19*0.43</f>
        <v>8627.5199999998022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'2'!E22</f>
        <v>55855.5</v>
      </c>
      <c r="E22" s="56">
        <f>'Daily Meter'!N8</f>
        <v>56016.2</v>
      </c>
      <c r="F22" s="80">
        <f>E22-D22</f>
        <v>160.69999999999709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594.58999999998923</v>
      </c>
      <c r="G23" s="84">
        <f>F23*2.5</f>
        <v>1486.4749999999731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10549.014000001654</v>
      </c>
      <c r="G28" s="94">
        <f>G8</f>
        <v>6645.8788200010422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78528.933000000005</v>
      </c>
      <c r="G29" s="94">
        <f>G11</f>
        <v>4711.7359800000004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20063.999999999542</v>
      </c>
      <c r="G30" s="94">
        <f>G19</f>
        <v>8627.5199999998022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160.69999999999709</v>
      </c>
      <c r="G31" s="94">
        <f>G23</f>
        <v>1486.4749999999731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21471.609800000817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4</v>
      </c>
      <c r="D3" s="37" t="s">
        <v>48</v>
      </c>
      <c r="E3" s="38">
        <f>'Daily Meter'!O9</f>
        <v>91.94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'3'!E7</f>
        <v>37308.800000000003</v>
      </c>
      <c r="E7" s="56">
        <f>'Daily Meter'!B9</f>
        <v>37338.400000000001</v>
      </c>
      <c r="F7" s="57">
        <f>E7-D7</f>
        <v>29.599999999998545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8416.4639999995852</v>
      </c>
      <c r="G8" s="61">
        <f>F8*0.63</f>
        <v>5302.3723199997385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'3'!E10</f>
        <v>131502</v>
      </c>
      <c r="E10" s="56">
        <f>'Daily Meter'!C9</f>
        <v>131743</v>
      </c>
      <c r="F10" s="57">
        <f>E10-D10</f>
        <v>241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53012.528999999995</v>
      </c>
      <c r="G11" s="69">
        <f>F11*0.06</f>
        <v>3180.7517399999997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'3'!E13</f>
        <v>4450.2</v>
      </c>
      <c r="E13" s="56">
        <f>'Daily Meter'!H9</f>
        <v>4456.6000000000004</v>
      </c>
      <c r="F13" s="57">
        <f t="shared" ref="F13:F18" si="0">(E13-D13)*480</f>
        <v>3072.0000000002619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'3'!E14</f>
        <v>2667.4</v>
      </c>
      <c r="E14" s="56">
        <f>'Daily Meter'!I9</f>
        <v>2671.4</v>
      </c>
      <c r="F14" s="57">
        <f t="shared" si="0"/>
        <v>1920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'3'!E15</f>
        <v>2878.8</v>
      </c>
      <c r="E15" s="56">
        <f>'Daily Meter'!J9</f>
        <v>2883</v>
      </c>
      <c r="F15" s="57">
        <f t="shared" si="0"/>
        <v>2015.9999999999127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'3'!E16</f>
        <v>1454.8</v>
      </c>
      <c r="E16" s="56">
        <f>'Daily Meter'!K9</f>
        <v>1457.6</v>
      </c>
      <c r="F16" s="57">
        <f t="shared" si="0"/>
        <v>1343.9999999999782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'3'!E17</f>
        <v>4149.3999999999996</v>
      </c>
      <c r="E17" s="56">
        <f>'Daily Meter'!L9</f>
        <v>4153.8</v>
      </c>
      <c r="F17" s="57">
        <f t="shared" si="0"/>
        <v>2112.0000000002619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'3'!E18</f>
        <v>10973.1</v>
      </c>
      <c r="E18" s="56">
        <f>'Daily Meter'!M9</f>
        <v>10982.7</v>
      </c>
      <c r="F18" s="57">
        <f t="shared" si="0"/>
        <v>4608.0000000001746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15072.000000000589</v>
      </c>
      <c r="G19" s="61">
        <f>F19*0.43</f>
        <v>6480.9600000002529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'3'!E22</f>
        <v>56016.2</v>
      </c>
      <c r="E22" s="56">
        <f>'Daily Meter'!N9</f>
        <v>56128.7</v>
      </c>
      <c r="F22" s="80">
        <f>E22-D22</f>
        <v>112.5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416.25</v>
      </c>
      <c r="G23" s="84">
        <f>F23*2.5</f>
        <v>1040.625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8416.4639999995852</v>
      </c>
      <c r="G28" s="94">
        <f>G8</f>
        <v>5302.3723199997385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53012.528999999995</v>
      </c>
      <c r="G29" s="94">
        <f>G11</f>
        <v>3180.7517399999997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15072.000000000589</v>
      </c>
      <c r="G30" s="94">
        <f>G19</f>
        <v>6480.9600000002529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112.5</v>
      </c>
      <c r="G31" s="94">
        <f>G23</f>
        <v>1040.625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16004.70905999999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5</v>
      </c>
      <c r="D3" s="37" t="s">
        <v>48</v>
      </c>
      <c r="E3" s="38">
        <f>'Daily Meter'!O10</f>
        <v>74.19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'4'!E7</f>
        <v>37338.400000000001</v>
      </c>
      <c r="E7" s="56">
        <f>'Daily Meter'!B10</f>
        <v>37379.1</v>
      </c>
      <c r="F7" s="57">
        <f>E7-D7</f>
        <v>40.69999999999709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11572.637999999171</v>
      </c>
      <c r="G8" s="61">
        <f>F8*0.63</f>
        <v>7290.7619399994783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'4'!E10</f>
        <v>131743</v>
      </c>
      <c r="E10" s="56">
        <f>'Daily Meter'!C10</f>
        <v>132086</v>
      </c>
      <c r="F10" s="57">
        <f>E10-D10</f>
        <v>343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75449.366999999998</v>
      </c>
      <c r="G11" s="69">
        <f>F11*0.06</f>
        <v>4526.9620199999999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'4'!E13</f>
        <v>4456.6000000000004</v>
      </c>
      <c r="E13" s="56">
        <f>'Daily Meter'!H10</f>
        <v>4466</v>
      </c>
      <c r="F13" s="57">
        <f t="shared" ref="F13:F18" si="0">(E13-D13)*480</f>
        <v>4511.9999999998254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'4'!E14</f>
        <v>2671.4</v>
      </c>
      <c r="E14" s="56">
        <f>'Daily Meter'!I10</f>
        <v>2676.5</v>
      </c>
      <c r="F14" s="57">
        <f t="shared" si="0"/>
        <v>2447.9999999999563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'4'!E15</f>
        <v>2883</v>
      </c>
      <c r="E15" s="56">
        <f>'Daily Meter'!J10</f>
        <v>2889.2</v>
      </c>
      <c r="F15" s="57">
        <f t="shared" si="0"/>
        <v>2975.9999999999127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'4'!E16</f>
        <v>1457.6</v>
      </c>
      <c r="E16" s="56">
        <f>'Daily Meter'!K10</f>
        <v>1461.7</v>
      </c>
      <c r="F16" s="57">
        <f t="shared" si="0"/>
        <v>1968.0000000000655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'4'!E17</f>
        <v>4153.8</v>
      </c>
      <c r="E17" s="56">
        <f>'Daily Meter'!L10</f>
        <v>4159.7</v>
      </c>
      <c r="F17" s="57">
        <f t="shared" si="0"/>
        <v>2831.9999999998254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'4'!E18</f>
        <v>10982.7</v>
      </c>
      <c r="E18" s="56">
        <f>'Daily Meter'!M10</f>
        <v>10998</v>
      </c>
      <c r="F18" s="57">
        <f t="shared" si="0"/>
        <v>7343.9999999996508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22079.999999999236</v>
      </c>
      <c r="G19" s="61">
        <f>F19*0.43</f>
        <v>9494.3999999996722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'4'!E22</f>
        <v>56128.7</v>
      </c>
      <c r="E22" s="56">
        <f>'Daily Meter'!N10</f>
        <v>56283.6</v>
      </c>
      <c r="F22" s="80">
        <f>E22-D22</f>
        <v>154.90000000000146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573.13000000000545</v>
      </c>
      <c r="G23" s="84">
        <f>F23*2.5</f>
        <v>1432.8250000000137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11572.637999999171</v>
      </c>
      <c r="G28" s="94">
        <f>G8</f>
        <v>7290.7619399994783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75449.366999999998</v>
      </c>
      <c r="G29" s="94">
        <f>G11</f>
        <v>4526.9620199999999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22079.999999999236</v>
      </c>
      <c r="G30" s="94">
        <f>G19</f>
        <v>9494.3999999996722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154.90000000000146</v>
      </c>
      <c r="G31" s="94">
        <f>G23</f>
        <v>1432.8250000000137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22744.948959999168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6</v>
      </c>
      <c r="D3" s="37" t="s">
        <v>48</v>
      </c>
      <c r="E3" s="38">
        <f>'Daily Meter'!O11</f>
        <v>92.4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'5'!E7</f>
        <v>37379.1</v>
      </c>
      <c r="E7" s="56">
        <f>'Daily Meter'!B11</f>
        <v>37398.400000000001</v>
      </c>
      <c r="F7" s="57">
        <f>E7-D7</f>
        <v>19.30000000000291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5487.7620000008274</v>
      </c>
      <c r="G8" s="61">
        <f>F8*0.63</f>
        <v>3457.2900600005214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'5'!E10</f>
        <v>132086</v>
      </c>
      <c r="E10" s="56">
        <f>'Daily Meter'!C11</f>
        <v>132284</v>
      </c>
      <c r="F10" s="57">
        <f>E10-D10</f>
        <v>198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43553.862000000001</v>
      </c>
      <c r="G11" s="69">
        <f>F11*0.06</f>
        <v>2613.2317199999998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'5'!E13</f>
        <v>4466</v>
      </c>
      <c r="E13" s="56">
        <f>'Daily Meter'!H11</f>
        <v>4471</v>
      </c>
      <c r="F13" s="57">
        <f t="shared" ref="F13:F18" si="0">(E13-D13)*480</f>
        <v>2400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'5'!E14</f>
        <v>2676.5</v>
      </c>
      <c r="E14" s="56">
        <f>'Daily Meter'!I11</f>
        <v>2679.4</v>
      </c>
      <c r="F14" s="57">
        <f t="shared" si="0"/>
        <v>1392.0000000000437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'5'!E15</f>
        <v>2889.2</v>
      </c>
      <c r="E15" s="56">
        <f>'Daily Meter'!J11</f>
        <v>2892.6</v>
      </c>
      <c r="F15" s="57">
        <f t="shared" si="0"/>
        <v>1632.0000000000437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'5'!E16</f>
        <v>1461.7</v>
      </c>
      <c r="E16" s="56">
        <f>'Daily Meter'!K11</f>
        <v>1463.9</v>
      </c>
      <c r="F16" s="57">
        <f t="shared" si="0"/>
        <v>1056.0000000000218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'5'!E17</f>
        <v>4159.7</v>
      </c>
      <c r="E17" s="56">
        <f>'Daily Meter'!L11</f>
        <v>4163.1000000000004</v>
      </c>
      <c r="F17" s="57">
        <f t="shared" si="0"/>
        <v>1632.0000000002619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'5'!E18</f>
        <v>10998</v>
      </c>
      <c r="E18" s="56">
        <f>'Daily Meter'!M11</f>
        <v>11007.9</v>
      </c>
      <c r="F18" s="57">
        <f t="shared" si="0"/>
        <v>4751.9999999998254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12864.000000000196</v>
      </c>
      <c r="G19" s="61">
        <f>F19*0.43</f>
        <v>5531.5200000000841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'5'!E22</f>
        <v>56283.6</v>
      </c>
      <c r="E22" s="56">
        <f>'Daily Meter'!N11</f>
        <v>56366.1</v>
      </c>
      <c r="F22" s="80">
        <f>E22-D22</f>
        <v>82.5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305.25</v>
      </c>
      <c r="G23" s="84">
        <f>F23*2.5</f>
        <v>763.125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5487.7620000008274</v>
      </c>
      <c r="G28" s="94">
        <f>G8</f>
        <v>3457.2900600005214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43553.862000000001</v>
      </c>
      <c r="G29" s="94">
        <f>G11</f>
        <v>2613.2317199999998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12864.000000000196</v>
      </c>
      <c r="G30" s="94">
        <f>G19</f>
        <v>5531.5200000000841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82.5</v>
      </c>
      <c r="G31" s="94">
        <f>G23</f>
        <v>763.125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12365.166780000605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7</v>
      </c>
      <c r="D3" s="37" t="s">
        <v>48</v>
      </c>
      <c r="E3" s="38">
        <f>'Daily Meter'!O12</f>
        <v>98.16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'6'!E7</f>
        <v>37398.400000000001</v>
      </c>
      <c r="E7" s="56">
        <f>'Daily Meter'!B12</f>
        <v>37428.5</v>
      </c>
      <c r="F7" s="57">
        <f>E7-D7</f>
        <v>30.099999999998545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8558.6339999995853</v>
      </c>
      <c r="G8" s="61">
        <f>F8*0.63</f>
        <v>5391.9394199997387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'6'!E10</f>
        <v>132284</v>
      </c>
      <c r="E10" s="56">
        <f>'Daily Meter'!C12</f>
        <v>132615</v>
      </c>
      <c r="F10" s="57">
        <f>E10-D10</f>
        <v>331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72809.739000000001</v>
      </c>
      <c r="G11" s="69">
        <f>F11*0.06</f>
        <v>4368.5843400000003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'6'!E13</f>
        <v>4471</v>
      </c>
      <c r="E13" s="56">
        <f>'Daily Meter'!H12</f>
        <v>4478</v>
      </c>
      <c r="F13" s="57">
        <f t="shared" ref="F13:F18" si="0">(E13-D13)*480</f>
        <v>3360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'6'!E14</f>
        <v>2679.4</v>
      </c>
      <c r="E14" s="56">
        <f>'Daily Meter'!I12</f>
        <v>2683.6</v>
      </c>
      <c r="F14" s="57">
        <f t="shared" si="0"/>
        <v>2015.9999999999127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'6'!E15</f>
        <v>2892.6</v>
      </c>
      <c r="E15" s="56">
        <f>'Daily Meter'!J12</f>
        <v>2897.4</v>
      </c>
      <c r="F15" s="57">
        <f t="shared" si="0"/>
        <v>2304.0000000000873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'6'!E16</f>
        <v>1463.9</v>
      </c>
      <c r="E16" s="56">
        <f>'Daily Meter'!K12</f>
        <v>1466.8</v>
      </c>
      <c r="F16" s="57">
        <f t="shared" si="0"/>
        <v>1391.9999999999345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'6'!E17</f>
        <v>4163.1000000000004</v>
      </c>
      <c r="E17" s="56">
        <f>'Daily Meter'!L12</f>
        <v>4167.8</v>
      </c>
      <c r="F17" s="57">
        <f t="shared" si="0"/>
        <v>2255.9999999999127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'6'!E18</f>
        <v>11007.9</v>
      </c>
      <c r="E18" s="56">
        <f>'Daily Meter'!M12</f>
        <v>11021.5</v>
      </c>
      <c r="F18" s="57">
        <f t="shared" si="0"/>
        <v>6528.0000000001746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17856.000000000022</v>
      </c>
      <c r="G19" s="61">
        <f>F19*0.43</f>
        <v>7678.080000000009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'6'!E22</f>
        <v>56366.1</v>
      </c>
      <c r="E22" s="56">
        <f>'Daily Meter'!N12</f>
        <v>56477.4</v>
      </c>
      <c r="F22" s="80">
        <f>E22-D22</f>
        <v>111.30000000000291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411.8100000000108</v>
      </c>
      <c r="G23" s="84">
        <f>F23*2.5</f>
        <v>1029.5250000000269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8558.6339999995853</v>
      </c>
      <c r="G28" s="94">
        <f>G8</f>
        <v>5391.9394199997387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72809.739000000001</v>
      </c>
      <c r="G29" s="94">
        <f>G11</f>
        <v>4368.5843400000003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17856.000000000022</v>
      </c>
      <c r="G30" s="94">
        <f>G19</f>
        <v>7678.080000000009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111.30000000000291</v>
      </c>
      <c r="G31" s="94">
        <f>G23</f>
        <v>1029.5250000000269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18468.128759999774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8</v>
      </c>
      <c r="D3" s="37" t="s">
        <v>48</v>
      </c>
      <c r="E3" s="38">
        <f>'Daily Meter'!O13</f>
        <v>99.08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'7'!E7</f>
        <v>37428.5</v>
      </c>
      <c r="E7" s="56">
        <f>'Daily Meter'!B13</f>
        <v>37461.9</v>
      </c>
      <c r="F7" s="57">
        <f>E7-D7</f>
        <v>33.400000000001455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9496.956000000413</v>
      </c>
      <c r="G8" s="61">
        <f>F8*0.63</f>
        <v>5983.0822800002607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'7'!E10</f>
        <v>132615</v>
      </c>
      <c r="E10" s="56">
        <f>'Daily Meter'!C13</f>
        <v>132875</v>
      </c>
      <c r="F10" s="57">
        <f>E10-D10</f>
        <v>260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57191.939999999995</v>
      </c>
      <c r="G11" s="69">
        <f>F11*0.06</f>
        <v>3431.5163999999995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'7'!E13</f>
        <v>4478</v>
      </c>
      <c r="E13" s="56">
        <f>'Daily Meter'!H13</f>
        <v>4485.3999999999996</v>
      </c>
      <c r="F13" s="57">
        <f t="shared" ref="F13:F18" si="0">(E13-D13)*480</f>
        <v>3551.9999999998254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'7'!E14</f>
        <v>2683.6</v>
      </c>
      <c r="E14" s="56">
        <f>'Daily Meter'!I13</f>
        <v>2687.8</v>
      </c>
      <c r="F14" s="57">
        <f t="shared" si="0"/>
        <v>2016.000000000131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'7'!E15</f>
        <v>2897.4</v>
      </c>
      <c r="E15" s="56">
        <f>'Daily Meter'!J13</f>
        <v>2902.1</v>
      </c>
      <c r="F15" s="57">
        <f t="shared" si="0"/>
        <v>2255.9999999999127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'7'!E16</f>
        <v>1466.8</v>
      </c>
      <c r="E16" s="56">
        <f>'Daily Meter'!K13</f>
        <v>1470</v>
      </c>
      <c r="F16" s="57">
        <f t="shared" si="0"/>
        <v>1536.0000000000218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'7'!E17</f>
        <v>4167.8</v>
      </c>
      <c r="E17" s="56">
        <f>'Daily Meter'!L13</f>
        <v>4172.3999999999996</v>
      </c>
      <c r="F17" s="57">
        <f t="shared" si="0"/>
        <v>2207.9999999997381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'7'!E18</f>
        <v>11021.5</v>
      </c>
      <c r="E18" s="56">
        <f>'Daily Meter'!M13</f>
        <v>11035</v>
      </c>
      <c r="F18" s="57">
        <f t="shared" si="0"/>
        <v>6480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18047.999999999629</v>
      </c>
      <c r="G19" s="61">
        <f>F19*0.43</f>
        <v>7760.6399999998403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'7'!E22</f>
        <v>56477.4</v>
      </c>
      <c r="E22" s="56">
        <f>'Daily Meter'!N13</f>
        <v>56605.2</v>
      </c>
      <c r="F22" s="80">
        <f>E22-D22</f>
        <v>127.79999999999563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472.85999999998387</v>
      </c>
      <c r="G23" s="84">
        <f>F23*2.5</f>
        <v>1182.1499999999596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9496.956000000413</v>
      </c>
      <c r="G28" s="94">
        <f>G8</f>
        <v>5983.0822800002607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57191.939999999995</v>
      </c>
      <c r="G29" s="94">
        <f>G11</f>
        <v>3431.5163999999995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18047.999999999629</v>
      </c>
      <c r="G30" s="94">
        <f>G19</f>
        <v>7760.6399999998403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127.79999999999563</v>
      </c>
      <c r="G31" s="94">
        <f>G23</f>
        <v>1182.1499999999596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18357.388680000062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9</v>
      </c>
      <c r="D3" s="37" t="s">
        <v>48</v>
      </c>
      <c r="E3" s="38">
        <f>'Daily Meter'!O14</f>
        <v>97.93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'8'!E7</f>
        <v>37461.9</v>
      </c>
      <c r="E7" s="56">
        <f>'Daily Meter'!B14</f>
        <v>37494.300000000003</v>
      </c>
      <c r="F7" s="57">
        <f>E7-D7</f>
        <v>32.400000000001455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9212.6160000004129</v>
      </c>
      <c r="G8" s="61">
        <f>F8*0.63</f>
        <v>5803.9480800002602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'8'!E10</f>
        <v>132875</v>
      </c>
      <c r="E10" s="56">
        <f>'Daily Meter'!C14</f>
        <v>133269</v>
      </c>
      <c r="F10" s="57">
        <f>E10-D10</f>
        <v>394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86667.785999999993</v>
      </c>
      <c r="G11" s="69">
        <f>F11*0.06</f>
        <v>5200.0671599999996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'8'!E13</f>
        <v>4485.3999999999996</v>
      </c>
      <c r="E13" s="56">
        <f>'Daily Meter'!H14</f>
        <v>4493</v>
      </c>
      <c r="F13" s="57">
        <f t="shared" ref="F13:F18" si="0">(E13-D13)*480</f>
        <v>3648.0000000001746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'8'!E14</f>
        <v>2687.8</v>
      </c>
      <c r="E14" s="56">
        <f>'Daily Meter'!I14</f>
        <v>2692.3</v>
      </c>
      <c r="F14" s="57">
        <f t="shared" si="0"/>
        <v>2160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'8'!E15</f>
        <v>2902.1</v>
      </c>
      <c r="E15" s="56">
        <f>'Daily Meter'!J14</f>
        <v>2907.1</v>
      </c>
      <c r="F15" s="57">
        <f t="shared" si="0"/>
        <v>2400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'8'!E16</f>
        <v>1470</v>
      </c>
      <c r="E16" s="56">
        <f>'Daily Meter'!K14</f>
        <v>1473.1</v>
      </c>
      <c r="F16" s="57">
        <f t="shared" si="0"/>
        <v>1487.9999999999563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'8'!E17</f>
        <v>4172.3999999999996</v>
      </c>
      <c r="E17" s="56">
        <f>'Daily Meter'!L14</f>
        <v>4177.3999999999996</v>
      </c>
      <c r="F17" s="57">
        <f t="shared" si="0"/>
        <v>2400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'8'!E18</f>
        <v>11035</v>
      </c>
      <c r="E18" s="56">
        <f>'Daily Meter'!M14</f>
        <v>11049.8</v>
      </c>
      <c r="F18" s="57">
        <f t="shared" si="0"/>
        <v>7103.9999999996508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19199.999999999782</v>
      </c>
      <c r="G19" s="61">
        <f>F19*0.43</f>
        <v>8255.9999999999054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'8'!E22</f>
        <v>56605.2</v>
      </c>
      <c r="E22" s="56">
        <f>'Daily Meter'!N14</f>
        <v>56762.7</v>
      </c>
      <c r="F22" s="80">
        <f>E22-D22</f>
        <v>157.5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582.75</v>
      </c>
      <c r="G23" s="84">
        <f>F23*2.5</f>
        <v>1456.875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9212.6160000004129</v>
      </c>
      <c r="G28" s="94">
        <f>G8</f>
        <v>5803.9480800002602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86667.785999999993</v>
      </c>
      <c r="G29" s="94">
        <f>G11</f>
        <v>5200.0671599999996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19199.999999999782</v>
      </c>
      <c r="G30" s="94">
        <f>G19</f>
        <v>8255.9999999999054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157.5</v>
      </c>
      <c r="G31" s="94">
        <f>G23</f>
        <v>1456.875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20716.890240000164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10</v>
      </c>
      <c r="D3" s="37" t="s">
        <v>48</v>
      </c>
      <c r="E3" s="38">
        <f>'Daily Meter'!O15</f>
        <v>91.47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'9'!E7</f>
        <v>37494.300000000003</v>
      </c>
      <c r="E7" s="56">
        <f>'Daily Meter'!B15</f>
        <v>37532</v>
      </c>
      <c r="F7" s="57">
        <f>E7-D7</f>
        <v>37.69999999999709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10719.617999999171</v>
      </c>
      <c r="G8" s="61">
        <f>F8*0.63</f>
        <v>6753.3593399994779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'9'!E10</f>
        <v>133269</v>
      </c>
      <c r="E10" s="56">
        <f>'Daily Meter'!C15</f>
        <v>133576</v>
      </c>
      <c r="F10" s="57">
        <f>E10-D10</f>
        <v>307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67530.482999999993</v>
      </c>
      <c r="G11" s="69">
        <f>F11*0.06</f>
        <v>4051.8289799999993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'9'!E13</f>
        <v>4493</v>
      </c>
      <c r="E13" s="56">
        <f>'Daily Meter'!H15</f>
        <v>4499.7</v>
      </c>
      <c r="F13" s="57">
        <f t="shared" ref="F13:F18" si="0">(E13-D13)*480</f>
        <v>3215.9999999999127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'9'!E14</f>
        <v>2692.3</v>
      </c>
      <c r="E14" s="56">
        <f>'Daily Meter'!I15</f>
        <v>2696.2</v>
      </c>
      <c r="F14" s="57">
        <f t="shared" si="0"/>
        <v>1871.9999999998254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'9'!E15</f>
        <v>2907.1</v>
      </c>
      <c r="E15" s="56">
        <f>'Daily Meter'!J15</f>
        <v>2911.6</v>
      </c>
      <c r="F15" s="57">
        <f t="shared" si="0"/>
        <v>2160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'9'!E16</f>
        <v>1473.1</v>
      </c>
      <c r="E16" s="56">
        <f>'Daily Meter'!K15</f>
        <v>1476</v>
      </c>
      <c r="F16" s="57">
        <f t="shared" si="0"/>
        <v>1392.0000000000437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'9'!E17</f>
        <v>4177.3999999999996</v>
      </c>
      <c r="E17" s="56">
        <f>'Daily Meter'!L15</f>
        <v>4181.8</v>
      </c>
      <c r="F17" s="57">
        <f t="shared" si="0"/>
        <v>2112.0000000002619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'9'!E18</f>
        <v>11049.8</v>
      </c>
      <c r="E18" s="56">
        <f>'Daily Meter'!M15</f>
        <v>11061.8</v>
      </c>
      <c r="F18" s="57">
        <f t="shared" si="0"/>
        <v>5760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16512.000000000044</v>
      </c>
      <c r="G19" s="61">
        <f>F19*0.43</f>
        <v>7100.160000000019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'9'!E22</f>
        <v>56762.7</v>
      </c>
      <c r="E22" s="56">
        <f>'Daily Meter'!N15</f>
        <v>56843.1</v>
      </c>
      <c r="F22" s="80">
        <f>E22-D22</f>
        <v>80.400000000001455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297.48000000000542</v>
      </c>
      <c r="G23" s="84">
        <f>F23*2.5</f>
        <v>743.70000000001357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10719.617999999171</v>
      </c>
      <c r="G28" s="94">
        <f>G8</f>
        <v>6753.3593399994779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67530.482999999993</v>
      </c>
      <c r="G29" s="94">
        <f>G11</f>
        <v>4051.8289799999993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16512.000000000044</v>
      </c>
      <c r="G30" s="94">
        <f>G19</f>
        <v>7100.160000000019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80.400000000001455</v>
      </c>
      <c r="G31" s="94">
        <f>G23</f>
        <v>743.70000000001357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18649.048319999511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11</v>
      </c>
      <c r="D3" s="37" t="s">
        <v>48</v>
      </c>
      <c r="E3" s="38">
        <f>'Daily Meter'!O16</f>
        <v>73.73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'10'!E7</f>
        <v>37532</v>
      </c>
      <c r="E7" s="56">
        <f>'Daily Meter'!B16</f>
        <v>37569.800000000003</v>
      </c>
      <c r="F7" s="57">
        <f>E7-D7</f>
        <v>37.80000000000291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10748.052000000827</v>
      </c>
      <c r="G8" s="61">
        <f>F8*0.63</f>
        <v>6771.272760000521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'10'!E10</f>
        <v>133576</v>
      </c>
      <c r="E10" s="56">
        <f>'Daily Meter'!C16</f>
        <v>133824</v>
      </c>
      <c r="F10" s="57">
        <f>E10-D10</f>
        <v>248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54552.311999999998</v>
      </c>
      <c r="G11" s="69">
        <f>F11*0.06</f>
        <v>3273.1387199999999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'10'!E13</f>
        <v>4499.7</v>
      </c>
      <c r="E13" s="56">
        <f>'Daily Meter'!H16</f>
        <v>4509.3</v>
      </c>
      <c r="F13" s="57">
        <f t="shared" ref="F13:F18" si="0">(E13-D13)*480</f>
        <v>4608.0000000001746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'10'!E14</f>
        <v>2696.2</v>
      </c>
      <c r="E14" s="56">
        <f>'Daily Meter'!I16</f>
        <v>2702.1</v>
      </c>
      <c r="F14" s="57">
        <f t="shared" si="0"/>
        <v>2832.0000000000437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'10'!E15</f>
        <v>2911.6</v>
      </c>
      <c r="E15" s="56">
        <f>'Daily Meter'!J16</f>
        <v>2917.6</v>
      </c>
      <c r="F15" s="57">
        <f t="shared" si="0"/>
        <v>2880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'10'!E16</f>
        <v>1476</v>
      </c>
      <c r="E16" s="56">
        <f>'Daily Meter'!K16</f>
        <v>1480.3</v>
      </c>
      <c r="F16" s="57">
        <f t="shared" si="0"/>
        <v>2063.9999999999782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'10'!E17</f>
        <v>4181.8</v>
      </c>
      <c r="E17" s="56">
        <f>'Daily Meter'!L16</f>
        <v>4187.7</v>
      </c>
      <c r="F17" s="57">
        <f t="shared" si="0"/>
        <v>2831.9999999998254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'10'!E18</f>
        <v>11061.8</v>
      </c>
      <c r="E18" s="56">
        <f>'Daily Meter'!M16</f>
        <v>11078.6</v>
      </c>
      <c r="F18" s="57">
        <f t="shared" si="0"/>
        <v>8064.0000000005239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23280.000000000546</v>
      </c>
      <c r="G19" s="61">
        <f>F19*0.43</f>
        <v>10010.400000000234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'10'!E22</f>
        <v>56843.1</v>
      </c>
      <c r="E22" s="56">
        <f>'Daily Meter'!N16</f>
        <v>57010.7</v>
      </c>
      <c r="F22" s="80">
        <f>E22-D22</f>
        <v>167.59999999999854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620.11999999999466</v>
      </c>
      <c r="G23" s="84">
        <f>F23*2.5</f>
        <v>1550.2999999999865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10748.052000000827</v>
      </c>
      <c r="G28" s="94">
        <f>G8</f>
        <v>6771.272760000521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54552.311999999998</v>
      </c>
      <c r="G29" s="94">
        <f>G11</f>
        <v>3273.1387199999999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23280.000000000546</v>
      </c>
      <c r="G30" s="94">
        <f>G19</f>
        <v>10010.400000000234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167.59999999999854</v>
      </c>
      <c r="G31" s="94">
        <f>G23</f>
        <v>1550.2999999999865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21605.111480000742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12</v>
      </c>
      <c r="D3" s="37" t="s">
        <v>48</v>
      </c>
      <c r="E3" s="38">
        <f>'Daily Meter'!O17</f>
        <v>64.290000000000006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'11'!E7</f>
        <v>37569.800000000003</v>
      </c>
      <c r="E7" s="56">
        <f>'Daily Meter'!B17</f>
        <v>37597</v>
      </c>
      <c r="F7" s="57">
        <f>E7-D7</f>
        <v>27.19999999999709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7734.0479999991721</v>
      </c>
      <c r="G8" s="61">
        <f>F8*0.63</f>
        <v>4872.4502399994781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'11'!E10</f>
        <v>133824</v>
      </c>
      <c r="E10" s="56">
        <f>'Daily Meter'!C17</f>
        <v>134174</v>
      </c>
      <c r="F10" s="57">
        <f>E10-D10</f>
        <v>350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76989.149999999994</v>
      </c>
      <c r="G11" s="69">
        <f>F11*0.06</f>
        <v>4619.3489999999993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'11'!E13</f>
        <v>4509.3</v>
      </c>
      <c r="E13" s="56">
        <f>'Daily Meter'!H17</f>
        <v>4514.6000000000004</v>
      </c>
      <c r="F13" s="57">
        <f t="shared" ref="F13:F18" si="0">(E13-D13)*480</f>
        <v>2544.0000000000873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'11'!E14</f>
        <v>2702.1</v>
      </c>
      <c r="E14" s="56">
        <f>'Daily Meter'!I17</f>
        <v>2705.2</v>
      </c>
      <c r="F14" s="57">
        <f t="shared" si="0"/>
        <v>1487.9999999999563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'11'!E15</f>
        <v>2917.6</v>
      </c>
      <c r="E15" s="56">
        <f>'Daily Meter'!J17</f>
        <v>2921.3</v>
      </c>
      <c r="F15" s="57">
        <f t="shared" si="0"/>
        <v>1776.000000000131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'11'!E16</f>
        <v>1480.3</v>
      </c>
      <c r="E16" s="56">
        <f>'Daily Meter'!K17</f>
        <v>1482.8</v>
      </c>
      <c r="F16" s="57">
        <f t="shared" si="0"/>
        <v>1200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'11'!E17</f>
        <v>4187.7</v>
      </c>
      <c r="E17" s="56">
        <f>'Daily Meter'!L17</f>
        <v>4191.2</v>
      </c>
      <c r="F17" s="57">
        <f t="shared" si="0"/>
        <v>1680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'11'!E18</f>
        <v>11078.6</v>
      </c>
      <c r="E18" s="56">
        <f>'Daily Meter'!M17</f>
        <v>11088.6</v>
      </c>
      <c r="F18" s="57">
        <f t="shared" si="0"/>
        <v>4800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13488.000000000175</v>
      </c>
      <c r="G19" s="61">
        <f>F19*0.43</f>
        <v>5799.8400000000747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'11'!E22</f>
        <v>57010.7</v>
      </c>
      <c r="E22" s="56">
        <f>'Daily Meter'!N17</f>
        <v>57099.6</v>
      </c>
      <c r="F22" s="80">
        <f>E22-D22</f>
        <v>88.900000000001455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328.93000000000541</v>
      </c>
      <c r="G23" s="84">
        <f>F23*2.5</f>
        <v>822.32500000001346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7734.0479999991721</v>
      </c>
      <c r="G28" s="94">
        <f>G8</f>
        <v>4872.4502399994781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76989.149999999994</v>
      </c>
      <c r="G29" s="94">
        <f>G11</f>
        <v>4619.3489999999993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13488.000000000175</v>
      </c>
      <c r="G30" s="94">
        <f>G19</f>
        <v>5799.8400000000747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88.900000000001455</v>
      </c>
      <c r="G31" s="94">
        <f>G23</f>
        <v>822.32500000001346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16113.964239999565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13</v>
      </c>
      <c r="D3" s="37" t="s">
        <v>48</v>
      </c>
      <c r="E3" s="38">
        <f>'Daily Meter'!O18</f>
        <v>84.33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'12'!E7</f>
        <v>37597</v>
      </c>
      <c r="E7" s="56">
        <f>'Daily Meter'!B18</f>
        <v>37635.300000000003</v>
      </c>
      <c r="F7" s="57">
        <f>E7-D7</f>
        <v>38.30000000000291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10890.222000000827</v>
      </c>
      <c r="G8" s="61">
        <f>F8*0.63</f>
        <v>6860.8398600005212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'12'!E10</f>
        <v>134174</v>
      </c>
      <c r="E10" s="56">
        <f>'Daily Meter'!C18</f>
        <v>134468</v>
      </c>
      <c r="F10" s="57">
        <f>E10-D10</f>
        <v>294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64670.885999999999</v>
      </c>
      <c r="G11" s="69">
        <f>F11*0.06</f>
        <v>3880.2531599999998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'12'!E13</f>
        <v>4514.6000000000004</v>
      </c>
      <c r="E13" s="56">
        <f>'Daily Meter'!H18</f>
        <v>4522.3</v>
      </c>
      <c r="F13" s="57">
        <f t="shared" ref="F13:F18" si="0">(E13-D13)*480</f>
        <v>3695.9999999999127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'12'!E14</f>
        <v>2705.2</v>
      </c>
      <c r="E14" s="56">
        <f>'Daily Meter'!I18</f>
        <v>2709.9</v>
      </c>
      <c r="F14" s="57">
        <f t="shared" si="0"/>
        <v>2256.000000000131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'12'!E15</f>
        <v>2921.3</v>
      </c>
      <c r="E15" s="56">
        <f>'Daily Meter'!J18</f>
        <v>2926.4</v>
      </c>
      <c r="F15" s="57">
        <f t="shared" si="0"/>
        <v>2447.9999999999563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'12'!E16</f>
        <v>1482.8</v>
      </c>
      <c r="E16" s="56">
        <f>'Daily Meter'!K18</f>
        <v>1486.2</v>
      </c>
      <c r="F16" s="57">
        <f t="shared" si="0"/>
        <v>1632.0000000000437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'12'!E17</f>
        <v>4191.2</v>
      </c>
      <c r="E17" s="56">
        <f>'Daily Meter'!L18</f>
        <v>4196.2</v>
      </c>
      <c r="F17" s="57">
        <f t="shared" si="0"/>
        <v>2400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'12'!E18</f>
        <v>11088.6</v>
      </c>
      <c r="E18" s="56">
        <f>'Daily Meter'!M18</f>
        <v>11103.4</v>
      </c>
      <c r="F18" s="57">
        <f t="shared" si="0"/>
        <v>7103.9999999996508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19535.999999999694</v>
      </c>
      <c r="G19" s="61">
        <f>F19*0.43</f>
        <v>8400.4799999998686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'12'!E22</f>
        <v>57099.6</v>
      </c>
      <c r="E22" s="56">
        <f>'Daily Meter'!N18</f>
        <v>57222.6</v>
      </c>
      <c r="F22" s="80">
        <f>E22-D22</f>
        <v>123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455.1</v>
      </c>
      <c r="G23" s="84">
        <f>F23*2.5</f>
        <v>1137.75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10890.222000000827</v>
      </c>
      <c r="G28" s="94">
        <f>G8</f>
        <v>6860.8398600005212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64670.885999999999</v>
      </c>
      <c r="G29" s="94">
        <f>G11</f>
        <v>3880.2531599999998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19535.999999999694</v>
      </c>
      <c r="G30" s="94">
        <f>G19</f>
        <v>8400.4799999998686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123</v>
      </c>
      <c r="G31" s="94">
        <f>G23</f>
        <v>1137.75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20279.323020000389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14</v>
      </c>
      <c r="D3" s="37" t="s">
        <v>48</v>
      </c>
      <c r="E3" s="38">
        <f>'Daily Meter'!O19</f>
        <v>89.86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'13'!E7</f>
        <v>37635.300000000003</v>
      </c>
      <c r="E7" s="56">
        <f>'Daily Meter'!B19</f>
        <v>37676.6</v>
      </c>
      <c r="F7" s="57">
        <f>E7-D7</f>
        <v>41.299999999995634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11743.241999998758</v>
      </c>
      <c r="G8" s="61">
        <f>F8*0.63</f>
        <v>7398.2424599992173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'13'!E10</f>
        <v>134468</v>
      </c>
      <c r="E10" s="56">
        <f>'Daily Meter'!C19</f>
        <v>134842</v>
      </c>
      <c r="F10" s="57">
        <f>E10-D10</f>
        <v>374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82268.406000000003</v>
      </c>
      <c r="G11" s="69">
        <f>F11*0.06</f>
        <v>4936.1043600000003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'13'!E13</f>
        <v>4522.3</v>
      </c>
      <c r="E13" s="56">
        <f>'Daily Meter'!H19</f>
        <v>4530.3999999999996</v>
      </c>
      <c r="F13" s="57">
        <f t="shared" ref="F13:F18" si="0">(E13-D13)*480</f>
        <v>3887.9999999997381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'13'!E14</f>
        <v>2709.9</v>
      </c>
      <c r="E14" s="56">
        <f>'Daily Meter'!I19</f>
        <v>2714.6</v>
      </c>
      <c r="F14" s="57">
        <f t="shared" si="0"/>
        <v>2255.9999999999127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'13'!E15</f>
        <v>2926.4</v>
      </c>
      <c r="E15" s="56">
        <f>'Daily Meter'!J19</f>
        <v>2931.8</v>
      </c>
      <c r="F15" s="57">
        <f t="shared" si="0"/>
        <v>2592.0000000000437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'13'!E16</f>
        <v>1486.2</v>
      </c>
      <c r="E16" s="56">
        <f>'Daily Meter'!K19</f>
        <v>1489.8</v>
      </c>
      <c r="F16" s="57">
        <f t="shared" si="0"/>
        <v>1727.9999999999563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'13'!E17</f>
        <v>4196.2</v>
      </c>
      <c r="E17" s="56">
        <f>'Daily Meter'!L19</f>
        <v>4201.3999999999996</v>
      </c>
      <c r="F17" s="57">
        <f t="shared" si="0"/>
        <v>2495.9999999999127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'13'!E18</f>
        <v>11103.4</v>
      </c>
      <c r="E18" s="56">
        <f>'Daily Meter'!M19</f>
        <v>11117.9</v>
      </c>
      <c r="F18" s="57">
        <f t="shared" si="0"/>
        <v>6960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19919.999999999563</v>
      </c>
      <c r="G19" s="61">
        <f>F19*0.43</f>
        <v>8565.599999999813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'13'!E22</f>
        <v>57222.6</v>
      </c>
      <c r="E22" s="56">
        <f>'Daily Meter'!N19</f>
        <v>57352.9</v>
      </c>
      <c r="F22" s="80">
        <f>E22-D22</f>
        <v>130.30000000000291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482.11000000001081</v>
      </c>
      <c r="G23" s="84">
        <f>F23*2.5</f>
        <v>1205.2750000000269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11743.241999998758</v>
      </c>
      <c r="G28" s="94">
        <f>G8</f>
        <v>7398.2424599992173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82268.406000000003</v>
      </c>
      <c r="G29" s="94">
        <f>G11</f>
        <v>4936.1043600000003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19919.999999999563</v>
      </c>
      <c r="G30" s="94">
        <f>G19</f>
        <v>8565.599999999813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130.30000000000291</v>
      </c>
      <c r="G31" s="94">
        <f>G23</f>
        <v>1205.2750000000269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22105.221819999057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15</v>
      </c>
      <c r="D3" s="37" t="s">
        <v>48</v>
      </c>
      <c r="E3" s="38">
        <f>'Daily Meter'!O20</f>
        <v>96.31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'14'!E7</f>
        <v>37676.6</v>
      </c>
      <c r="E7" s="56">
        <f>'Daily Meter'!B20</f>
        <v>37704.9</v>
      </c>
      <c r="F7" s="57">
        <f>E7-D7</f>
        <v>28.30000000000291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8046.8220000008268</v>
      </c>
      <c r="G8" s="61">
        <f>F8*0.63</f>
        <v>5069.4978600005206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'14'!E10</f>
        <v>134842</v>
      </c>
      <c r="E10" s="56">
        <f>'Daily Meter'!C20</f>
        <v>134986</v>
      </c>
      <c r="F10" s="57">
        <f>E10-D10</f>
        <v>144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31675.536</v>
      </c>
      <c r="G11" s="69">
        <f>F11*0.06</f>
        <v>1900.53216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'14'!E13</f>
        <v>4530.3999999999996</v>
      </c>
      <c r="E13" s="56">
        <f>'Daily Meter'!H20</f>
        <v>4536.3999999999996</v>
      </c>
      <c r="F13" s="57">
        <f t="shared" ref="F13:F18" si="0">(E13-D13)*480</f>
        <v>2880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'14'!E14</f>
        <v>2714.6</v>
      </c>
      <c r="E14" s="56">
        <f>'Daily Meter'!I20</f>
        <v>2718.2</v>
      </c>
      <c r="F14" s="57">
        <f t="shared" si="0"/>
        <v>1727.9999999999563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'14'!E15</f>
        <v>2931.8</v>
      </c>
      <c r="E15" s="56">
        <f>'Daily Meter'!J20</f>
        <v>2935.8</v>
      </c>
      <c r="F15" s="57">
        <f t="shared" si="0"/>
        <v>1920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'14'!E16</f>
        <v>1489.8</v>
      </c>
      <c r="E16" s="56">
        <f>'Daily Meter'!K20</f>
        <v>1492.3</v>
      </c>
      <c r="F16" s="57">
        <f t="shared" si="0"/>
        <v>1200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'14'!E17</f>
        <v>4201.3999999999996</v>
      </c>
      <c r="E17" s="56">
        <f>'Daily Meter'!L20</f>
        <v>4205.6000000000004</v>
      </c>
      <c r="F17" s="57">
        <f t="shared" si="0"/>
        <v>2016.0000000003492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'14'!E18</f>
        <v>11117.9</v>
      </c>
      <c r="E18" s="56">
        <f>'Daily Meter'!M20</f>
        <v>11129</v>
      </c>
      <c r="F18" s="57">
        <f t="shared" si="0"/>
        <v>5328.0000000001746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15072.00000000048</v>
      </c>
      <c r="G19" s="61">
        <f>F19*0.43</f>
        <v>6480.9600000002065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'14'!E22</f>
        <v>57352.9</v>
      </c>
      <c r="E22" s="56">
        <f>'Daily Meter'!N20</f>
        <v>57448.7</v>
      </c>
      <c r="F22" s="80">
        <f>E22-D22</f>
        <v>95.799999999995634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354.45999999998384</v>
      </c>
      <c r="G23" s="84">
        <f>F23*2.5</f>
        <v>886.14999999995962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8046.8220000008268</v>
      </c>
      <c r="G28" s="94">
        <f>G8</f>
        <v>5069.4978600005206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31675.536</v>
      </c>
      <c r="G29" s="94">
        <f>G11</f>
        <v>1900.53216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15072.00000000048</v>
      </c>
      <c r="G30" s="94">
        <f>G19</f>
        <v>6480.9600000002065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95.799999999995634</v>
      </c>
      <c r="G31" s="94">
        <f>G23</f>
        <v>886.14999999995962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14337.140020000686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16</v>
      </c>
      <c r="D3" s="37" t="s">
        <v>48</v>
      </c>
      <c r="E3" s="38">
        <f>'Daily Meter'!O21</f>
        <v>95.16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'15'!E7</f>
        <v>37704.9</v>
      </c>
      <c r="E7" s="56">
        <f>'Daily Meter'!B21</f>
        <v>37745.599999999999</v>
      </c>
      <c r="F7" s="57">
        <f>E7-D7</f>
        <v>40.69999999999709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11572.637999999171</v>
      </c>
      <c r="G8" s="61">
        <f>F8*0.63</f>
        <v>7290.7619399994783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'15'!E10</f>
        <v>134986</v>
      </c>
      <c r="E10" s="56">
        <f>'Daily Meter'!C21</f>
        <v>135398</v>
      </c>
      <c r="F10" s="57">
        <f>E10-D10</f>
        <v>412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90627.228000000003</v>
      </c>
      <c r="G11" s="69">
        <f>F11*0.06</f>
        <v>5437.6336799999999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'15'!E13</f>
        <v>4536.3999999999996</v>
      </c>
      <c r="E13" s="56">
        <f>'Daily Meter'!H21</f>
        <v>4544.5</v>
      </c>
      <c r="F13" s="57">
        <f t="shared" ref="F13:F18" si="0">(E13-D13)*480</f>
        <v>3888.0000000001746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'15'!E14</f>
        <v>2718.2</v>
      </c>
      <c r="E14" s="56">
        <f>'Daily Meter'!I21</f>
        <v>2722.6</v>
      </c>
      <c r="F14" s="57">
        <f t="shared" si="0"/>
        <v>2112.0000000000437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'15'!E15</f>
        <v>2935.8</v>
      </c>
      <c r="E15" s="56">
        <f>'Daily Meter'!J21</f>
        <v>2941</v>
      </c>
      <c r="F15" s="57">
        <f t="shared" si="0"/>
        <v>2495.9999999999127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'15'!E16</f>
        <v>1492.3</v>
      </c>
      <c r="E16" s="56">
        <f>'Daily Meter'!K21</f>
        <v>1495.6</v>
      </c>
      <c r="F16" s="57">
        <f t="shared" si="0"/>
        <v>1583.9999999999782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'15'!E17</f>
        <v>4205.6000000000004</v>
      </c>
      <c r="E17" s="56">
        <f>'Daily Meter'!L21</f>
        <v>4210.8999999999996</v>
      </c>
      <c r="F17" s="57">
        <f t="shared" si="0"/>
        <v>2543.9999999996508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'15'!E18</f>
        <v>11129</v>
      </c>
      <c r="E18" s="56">
        <f>'Daily Meter'!M21</f>
        <v>11143.3</v>
      </c>
      <c r="F18" s="57">
        <f t="shared" si="0"/>
        <v>6863.9999999996508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19487.999999999411</v>
      </c>
      <c r="G19" s="61">
        <f>F19*0.43</f>
        <v>8379.8399999997473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'15'!E22</f>
        <v>57448.7</v>
      </c>
      <c r="E22" s="56">
        <f>'Daily Meter'!N21</f>
        <v>57588.800000000003</v>
      </c>
      <c r="F22" s="80">
        <f>E22-D22</f>
        <v>140.10000000000582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518.37000000002161</v>
      </c>
      <c r="G23" s="84">
        <f>F23*2.5</f>
        <v>1295.9250000000541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11572.637999999171</v>
      </c>
      <c r="G28" s="94">
        <f>G8</f>
        <v>7290.7619399994783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90627.228000000003</v>
      </c>
      <c r="G29" s="94">
        <f>G11</f>
        <v>5437.6336799999999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19487.999999999411</v>
      </c>
      <c r="G30" s="94">
        <f>G19</f>
        <v>8379.8399999997473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140.10000000000582</v>
      </c>
      <c r="G31" s="94">
        <f>G23</f>
        <v>1295.9250000000541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22404.160619999282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17</v>
      </c>
      <c r="D3" s="37" t="s">
        <v>48</v>
      </c>
      <c r="E3" s="38">
        <f>'Daily Meter'!O22</f>
        <v>90.32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'16'!E7</f>
        <v>37745.599999999999</v>
      </c>
      <c r="E7" s="56">
        <f>'Daily Meter'!B22</f>
        <v>37776.9</v>
      </c>
      <c r="F7" s="57">
        <f>E7-D7</f>
        <v>31.30000000000291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8899.8420000008264</v>
      </c>
      <c r="G8" s="61">
        <f>F8*0.63</f>
        <v>5606.900460000521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'16'!E10</f>
        <v>135398</v>
      </c>
      <c r="E10" s="56">
        <f>'Daily Meter'!C22</f>
        <v>135637</v>
      </c>
      <c r="F10" s="57">
        <f>E10-D10</f>
        <v>239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52572.591</v>
      </c>
      <c r="G11" s="69">
        <f>F11*0.06</f>
        <v>3154.3554599999998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'16'!E13</f>
        <v>4544.5</v>
      </c>
      <c r="E13" s="56">
        <f>'Daily Meter'!H22</f>
        <v>4550.3</v>
      </c>
      <c r="F13" s="57">
        <f t="shared" ref="F13:F18" si="0">(E13-D13)*480</f>
        <v>2784.0000000000873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'16'!E14</f>
        <v>2722.6</v>
      </c>
      <c r="E14" s="56">
        <f>'Daily Meter'!I22</f>
        <v>2725.8</v>
      </c>
      <c r="F14" s="57">
        <f t="shared" si="0"/>
        <v>1536.000000000131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'16'!E15</f>
        <v>2941</v>
      </c>
      <c r="E15" s="56">
        <f>'Daily Meter'!J22</f>
        <v>2944.9</v>
      </c>
      <c r="F15" s="57">
        <f t="shared" si="0"/>
        <v>1872.0000000000437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'16'!E16</f>
        <v>1495.6</v>
      </c>
      <c r="E16" s="56">
        <f>'Daily Meter'!K22</f>
        <v>1498.2</v>
      </c>
      <c r="F16" s="57">
        <f t="shared" si="0"/>
        <v>1248.0000000000655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'16'!E17</f>
        <v>4210.8999999999996</v>
      </c>
      <c r="E17" s="56">
        <f>'Daily Meter'!L22</f>
        <v>4214.8</v>
      </c>
      <c r="F17" s="57">
        <f t="shared" si="0"/>
        <v>1872.0000000002619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'16'!E18</f>
        <v>11143.3</v>
      </c>
      <c r="E18" s="56">
        <f>'Daily Meter'!M22</f>
        <v>11153.6</v>
      </c>
      <c r="F18" s="57">
        <f t="shared" si="0"/>
        <v>4944.0000000005239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14256.000000001113</v>
      </c>
      <c r="G19" s="61">
        <f>F19*0.43</f>
        <v>6130.0800000004783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'16'!E22</f>
        <v>57588.800000000003</v>
      </c>
      <c r="E22" s="56">
        <f>'Daily Meter'!N22</f>
        <v>57684.1</v>
      </c>
      <c r="F22" s="80">
        <f>E22-D22</f>
        <v>95.299999999995634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352.60999999998387</v>
      </c>
      <c r="G23" s="84">
        <f>F23*2.5</f>
        <v>881.52499999995962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8899.8420000008264</v>
      </c>
      <c r="G28" s="94">
        <f>G8</f>
        <v>5606.900460000521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52572.591</v>
      </c>
      <c r="G29" s="94">
        <f>G11</f>
        <v>3154.3554599999998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14256.000000001113</v>
      </c>
      <c r="G30" s="94">
        <f>G19</f>
        <v>6130.0800000004783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95.299999999995634</v>
      </c>
      <c r="G31" s="94">
        <f>G23</f>
        <v>881.52499999995962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15772.860920000958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18</v>
      </c>
      <c r="D3" s="37" t="s">
        <v>48</v>
      </c>
      <c r="E3" s="38">
        <f>'Daily Meter'!O23</f>
        <v>88.48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'17'!E7</f>
        <v>37776.9</v>
      </c>
      <c r="E7" s="56">
        <f>'Daily Meter'!B23</f>
        <v>37810.300000000003</v>
      </c>
      <c r="F7" s="57">
        <f>E7-D7</f>
        <v>33.400000000001455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9496.956000000413</v>
      </c>
      <c r="G8" s="61">
        <f>F8*0.63</f>
        <v>5983.0822800002607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'17'!E10</f>
        <v>135637</v>
      </c>
      <c r="E10" s="56">
        <f>'Daily Meter'!C23</f>
        <v>135864</v>
      </c>
      <c r="F10" s="57">
        <f>E10-D10</f>
        <v>227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49932.962999999996</v>
      </c>
      <c r="G11" s="69">
        <f>F11*0.06</f>
        <v>2995.9777799999997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'17'!E13</f>
        <v>4550.3</v>
      </c>
      <c r="E13" s="56">
        <f>'Daily Meter'!H23</f>
        <v>4558</v>
      </c>
      <c r="F13" s="57">
        <f t="shared" ref="F13:F18" si="0">(E13-D13)*480</f>
        <v>3695.9999999999127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'17'!E14</f>
        <v>2725.8</v>
      </c>
      <c r="E14" s="56">
        <f>'Daily Meter'!I23</f>
        <v>2729.7</v>
      </c>
      <c r="F14" s="57">
        <f t="shared" si="0"/>
        <v>1871.9999999998254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'17'!E15</f>
        <v>2944.9</v>
      </c>
      <c r="E15" s="56">
        <f>'Daily Meter'!J23</f>
        <v>2950.2</v>
      </c>
      <c r="F15" s="57">
        <f t="shared" si="0"/>
        <v>2543.999999999869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'17'!E16</f>
        <v>1498.2</v>
      </c>
      <c r="E16" s="56">
        <f>'Daily Meter'!K23</f>
        <v>1501.9</v>
      </c>
      <c r="F16" s="57">
        <f t="shared" si="0"/>
        <v>1776.0000000000218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'17'!E17</f>
        <v>4214.8</v>
      </c>
      <c r="E17" s="56">
        <f>'Daily Meter'!L23</f>
        <v>4219.8</v>
      </c>
      <c r="F17" s="57">
        <f t="shared" si="0"/>
        <v>2400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'17'!E18</f>
        <v>11153.6</v>
      </c>
      <c r="E18" s="56">
        <f>'Daily Meter'!M23</f>
        <v>11166.3</v>
      </c>
      <c r="F18" s="57">
        <f t="shared" si="0"/>
        <v>6095.9999999994761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18383.999999999105</v>
      </c>
      <c r="G19" s="61">
        <f>F19*0.43</f>
        <v>7905.1199999996152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'17'!E22</f>
        <v>57684.1</v>
      </c>
      <c r="E22" s="56">
        <f>'Daily Meter'!N23</f>
        <v>57815.9</v>
      </c>
      <c r="F22" s="80">
        <f>E22-D22</f>
        <v>131.80000000000291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487.66000000001077</v>
      </c>
      <c r="G23" s="84">
        <f>F23*2.5</f>
        <v>1219.1500000000269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9496.956000000413</v>
      </c>
      <c r="G28" s="94">
        <f>G8</f>
        <v>5983.0822800002607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49932.962999999996</v>
      </c>
      <c r="G29" s="94">
        <f>G11</f>
        <v>2995.9777799999997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18383.999999999105</v>
      </c>
      <c r="G30" s="94">
        <f>G19</f>
        <v>7905.1199999996152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131.80000000000291</v>
      </c>
      <c r="G31" s="94">
        <f>G23</f>
        <v>1219.1500000000269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18103.330059999902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19</v>
      </c>
      <c r="D3" s="37" t="s">
        <v>48</v>
      </c>
      <c r="E3" s="38">
        <f>'Daily Meter'!O24</f>
        <v>62.44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'18'!E7</f>
        <v>37810.300000000003</v>
      </c>
      <c r="E7" s="56">
        <f>'Daily Meter'!B24</f>
        <v>37841</v>
      </c>
      <c r="F7" s="57">
        <f>E7-D7</f>
        <v>30.69999999999709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8729.2379999991717</v>
      </c>
      <c r="G8" s="61">
        <f>F8*0.63</f>
        <v>5499.4199399994786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'18'!E10</f>
        <v>135864</v>
      </c>
      <c r="E10" s="56">
        <f>'Daily Meter'!C24</f>
        <v>136238</v>
      </c>
      <c r="F10" s="57">
        <f>E10-D10</f>
        <v>374</v>
      </c>
      <c r="G10" s="66"/>
      <c r="H10" s="28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82268.406000000003</v>
      </c>
      <c r="G11" s="69">
        <f>F11*0.06</f>
        <v>4936.1043600000003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'18'!E13</f>
        <v>4558</v>
      </c>
      <c r="E13" s="56">
        <f>'Daily Meter'!H24</f>
        <v>4565.8999999999996</v>
      </c>
      <c r="F13" s="57">
        <f t="shared" ref="F13:F18" si="0">(E13-D13)*480</f>
        <v>3791.9999999998254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'18'!E14</f>
        <v>2729.7</v>
      </c>
      <c r="E14" s="56">
        <f>'Daily Meter'!I24</f>
        <v>2733.6</v>
      </c>
      <c r="F14" s="57">
        <f t="shared" si="0"/>
        <v>1872.0000000000437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'18'!E15</f>
        <v>2950.2</v>
      </c>
      <c r="E15" s="56">
        <f>'Daily Meter'!J24</f>
        <v>2955.3</v>
      </c>
      <c r="F15" s="57">
        <f t="shared" si="0"/>
        <v>2448.0000000001746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'18'!E16</f>
        <v>1501.9</v>
      </c>
      <c r="E16" s="56">
        <f>'Daily Meter'!K24</f>
        <v>1505.6</v>
      </c>
      <c r="F16" s="57">
        <f t="shared" si="0"/>
        <v>1775.9999999999127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'18'!E17</f>
        <v>4219.8</v>
      </c>
      <c r="E17" s="56">
        <f>'Daily Meter'!L24</f>
        <v>4224.7</v>
      </c>
      <c r="F17" s="57">
        <f t="shared" si="0"/>
        <v>2351.9999999998254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'18'!E18</f>
        <v>11166.3</v>
      </c>
      <c r="E18" s="56">
        <f>'Daily Meter'!M24</f>
        <v>11176.2</v>
      </c>
      <c r="F18" s="57">
        <f t="shared" si="0"/>
        <v>4752.0000000006985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16992.00000000048</v>
      </c>
      <c r="G19" s="61">
        <f>F19*0.43</f>
        <v>7306.5600000002059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'18'!E22</f>
        <v>57815.9</v>
      </c>
      <c r="E22" s="56">
        <f>'Daily Meter'!N24</f>
        <v>57939.1</v>
      </c>
      <c r="F22" s="80">
        <f>E22-D22</f>
        <v>123.19999999999709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455.83999999998923</v>
      </c>
      <c r="G23" s="84">
        <f>F23*2.5</f>
        <v>1139.5999999999731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8729.2379999991717</v>
      </c>
      <c r="G28" s="94">
        <f>G8</f>
        <v>5499.4199399994786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82268.406000000003</v>
      </c>
      <c r="G29" s="94">
        <f>G11</f>
        <v>4936.1043600000003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16992.00000000048</v>
      </c>
      <c r="G30" s="94">
        <f>G19</f>
        <v>7306.5600000002059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123.19999999999709</v>
      </c>
      <c r="G31" s="94">
        <f>G23</f>
        <v>1139.5999999999731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18881.684299999659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20</v>
      </c>
      <c r="D3" s="37" t="s">
        <v>48</v>
      </c>
      <c r="E3" s="38">
        <f>'Daily Meter'!O25</f>
        <v>65.44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'19'!E7</f>
        <v>37841</v>
      </c>
      <c r="E7" s="56">
        <f>'Daily Meter'!B25</f>
        <v>37867.800000000003</v>
      </c>
      <c r="F7" s="57">
        <f>E7-D7</f>
        <v>26.80000000000291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7620.3120000008266</v>
      </c>
      <c r="G8" s="61">
        <f>F8*0.63</f>
        <v>4800.7965600005209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'19'!E10</f>
        <v>136238</v>
      </c>
      <c r="E10" s="56">
        <f>'Daily Meter'!C25</f>
        <v>136435</v>
      </c>
      <c r="F10" s="57">
        <f>E10-D10</f>
        <v>197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43333.892999999996</v>
      </c>
      <c r="G11" s="69">
        <f>F11*0.06</f>
        <v>2600.0335799999998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'19'!E13</f>
        <v>4565.8999999999996</v>
      </c>
      <c r="E13" s="56">
        <f>'Daily Meter'!H25</f>
        <v>4574.7</v>
      </c>
      <c r="F13" s="57">
        <f t="shared" ref="F13:F18" si="0">(E13-D13)*480</f>
        <v>4224.0000000000873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'19'!E14</f>
        <v>2733.6</v>
      </c>
      <c r="E14" s="56">
        <f>'Daily Meter'!I25</f>
        <v>2738.1</v>
      </c>
      <c r="F14" s="57">
        <f t="shared" si="0"/>
        <v>2160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'19'!E15</f>
        <v>2955.3</v>
      </c>
      <c r="E15" s="56">
        <f>'Daily Meter'!J25</f>
        <v>2961.1</v>
      </c>
      <c r="F15" s="57">
        <f t="shared" si="0"/>
        <v>2783.999999999869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'19'!E16</f>
        <v>1505.6</v>
      </c>
      <c r="E16" s="56">
        <f>'Daily Meter'!K25</f>
        <v>1509.4</v>
      </c>
      <c r="F16" s="57">
        <f t="shared" si="0"/>
        <v>1824.0000000000873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'19'!E17</f>
        <v>4224.7</v>
      </c>
      <c r="E17" s="56">
        <f>'Daily Meter'!L25</f>
        <v>4230.3</v>
      </c>
      <c r="F17" s="57">
        <f t="shared" si="0"/>
        <v>2688.0000000001746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'19'!E18</f>
        <v>11176.2</v>
      </c>
      <c r="E18" s="56">
        <f>'Daily Meter'!M25</f>
        <v>11187.9</v>
      </c>
      <c r="F18" s="57">
        <f t="shared" si="0"/>
        <v>5615.9999999994761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19295.999999999694</v>
      </c>
      <c r="G19" s="61">
        <f>F19*0.43</f>
        <v>8297.2799999998679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'19'!E22</f>
        <v>57939.1</v>
      </c>
      <c r="E22" s="56">
        <f>'Daily Meter'!N25</f>
        <v>58049.2</v>
      </c>
      <c r="F22" s="80">
        <f>E22-D22</f>
        <v>110.09999999999854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407.36999999999466</v>
      </c>
      <c r="G23" s="84">
        <f>F23*2.5</f>
        <v>1018.4249999999867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7620.3120000008266</v>
      </c>
      <c r="G28" s="94">
        <f>G8</f>
        <v>4800.7965600005209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43333.892999999996</v>
      </c>
      <c r="G29" s="94">
        <f>G11</f>
        <v>2600.0335799999998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19295.999999999694</v>
      </c>
      <c r="G30" s="94">
        <f>G19</f>
        <v>8297.2799999998679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110.09999999999854</v>
      </c>
      <c r="G31" s="94">
        <f>G23</f>
        <v>1018.4249999999867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16716.535140000375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21</v>
      </c>
      <c r="D3" s="37" t="s">
        <v>48</v>
      </c>
      <c r="E3" s="38">
        <f>'Daily Meter'!O26</f>
        <v>60.37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'20'!E7</f>
        <v>37867.800000000003</v>
      </c>
      <c r="E7" s="56">
        <f>'Daily Meter'!B26</f>
        <v>37895.5</v>
      </c>
      <c r="F7" s="57">
        <f>E7-D7</f>
        <v>27.69999999999709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7876.2179999991722</v>
      </c>
      <c r="G8" s="61">
        <f>F8*0.63</f>
        <v>4962.0173399994783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'20'!E10</f>
        <v>136435</v>
      </c>
      <c r="E10" s="56">
        <f>'Daily Meter'!C26</f>
        <v>136601</v>
      </c>
      <c r="F10" s="57">
        <f>E10-D10</f>
        <v>166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36514.853999999999</v>
      </c>
      <c r="G11" s="69">
        <f>F11*0.06</f>
        <v>2190.8912399999999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'20'!E13</f>
        <v>4574.7</v>
      </c>
      <c r="E13" s="56">
        <f>'Daily Meter'!H26</f>
        <v>4581.3999999999996</v>
      </c>
      <c r="F13" s="57">
        <f t="shared" ref="F13:F18" si="0">(E13-D13)*480</f>
        <v>3215.9999999999127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'20'!E14</f>
        <v>2738.1</v>
      </c>
      <c r="E14" s="56">
        <f>'Daily Meter'!I26</f>
        <v>2741.5</v>
      </c>
      <c r="F14" s="57">
        <f t="shared" si="0"/>
        <v>1632.0000000000437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'20'!E15</f>
        <v>2961.1</v>
      </c>
      <c r="E15" s="56">
        <f>'Daily Meter'!J26</f>
        <v>2965.8</v>
      </c>
      <c r="F15" s="57">
        <f t="shared" si="0"/>
        <v>2256.000000000131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'20'!E16</f>
        <v>1509.4</v>
      </c>
      <c r="E16" s="56">
        <f>'Daily Meter'!K26</f>
        <v>1512.1</v>
      </c>
      <c r="F16" s="57">
        <f t="shared" si="0"/>
        <v>1295.9999999999127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'20'!E17</f>
        <v>4230.3</v>
      </c>
      <c r="E17" s="56">
        <f>'Daily Meter'!L26</f>
        <v>4234.7</v>
      </c>
      <c r="F17" s="57">
        <f t="shared" si="0"/>
        <v>2111.9999999998254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'20'!E18</f>
        <v>11187.9</v>
      </c>
      <c r="E18" s="56">
        <f>'Daily Meter'!M26</f>
        <v>11197.1</v>
      </c>
      <c r="F18" s="57">
        <f t="shared" si="0"/>
        <v>4416.0000000003492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14928.000000000175</v>
      </c>
      <c r="G19" s="61">
        <f>F19*0.43</f>
        <v>6419.0400000000745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'20'!E22</f>
        <v>58049.2</v>
      </c>
      <c r="E22" s="56">
        <f>'Daily Meter'!N26</f>
        <v>58152</v>
      </c>
      <c r="F22" s="80">
        <f>E22-D22</f>
        <v>102.80000000000291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380.36000000001081</v>
      </c>
      <c r="G23" s="84">
        <f>F23*2.5</f>
        <v>950.90000000002703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7876.2179999991722</v>
      </c>
      <c r="G28" s="94">
        <f>G8</f>
        <v>4962.0173399994783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36514.853999999999</v>
      </c>
      <c r="G29" s="94">
        <f>G11</f>
        <v>2190.8912399999999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14928.000000000175</v>
      </c>
      <c r="G30" s="94">
        <f>G19</f>
        <v>6419.0400000000745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102.80000000000291</v>
      </c>
      <c r="G31" s="94">
        <f>G23</f>
        <v>950.90000000002703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14522.84857999958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22</v>
      </c>
      <c r="D3" s="37" t="s">
        <v>48</v>
      </c>
      <c r="E3" s="38">
        <f>'Daily Meter'!O27</f>
        <v>50.46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'21'!E7</f>
        <v>37895.5</v>
      </c>
      <c r="E7" s="56">
        <f>'Daily Meter'!B27</f>
        <v>37924.5</v>
      </c>
      <c r="F7" s="57">
        <f>E7-D7</f>
        <v>29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8245.8599999999988</v>
      </c>
      <c r="G8" s="61">
        <f>F8*0.63</f>
        <v>5194.8917999999994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'21'!E10</f>
        <v>136601</v>
      </c>
      <c r="E10" s="56">
        <f>'Daily Meter'!C27</f>
        <v>136847</v>
      </c>
      <c r="F10" s="57">
        <f>E10-D10</f>
        <v>246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54112.373999999996</v>
      </c>
      <c r="G11" s="69">
        <f>F11*0.06</f>
        <v>3246.7424399999995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'21'!E13</f>
        <v>4581.3999999999996</v>
      </c>
      <c r="E13" s="56">
        <f>'Daily Meter'!H27</f>
        <v>4587.8</v>
      </c>
      <c r="F13" s="57">
        <f t="shared" ref="F13:F18" si="0">(E13-D13)*480</f>
        <v>3072.0000000002619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'21'!E14</f>
        <v>2741.5</v>
      </c>
      <c r="E14" s="56">
        <f>'Daily Meter'!I27</f>
        <v>2744.7</v>
      </c>
      <c r="F14" s="57">
        <f t="shared" si="0"/>
        <v>1535.9999999999127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'21'!E15</f>
        <v>2965.8</v>
      </c>
      <c r="E15" s="56">
        <f>'Daily Meter'!J27</f>
        <v>2970.2</v>
      </c>
      <c r="F15" s="57">
        <f t="shared" si="0"/>
        <v>2111.9999999998254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'21'!E16</f>
        <v>1512.1</v>
      </c>
      <c r="E16" s="56">
        <f>'Daily Meter'!K27</f>
        <v>1514.8</v>
      </c>
      <c r="F16" s="57">
        <f t="shared" si="0"/>
        <v>1296.0000000000218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'21'!E17</f>
        <v>4234.7</v>
      </c>
      <c r="E17" s="56">
        <f>'Daily Meter'!L27</f>
        <v>4238.8999999999996</v>
      </c>
      <c r="F17" s="57">
        <f t="shared" si="0"/>
        <v>2015.9999999999127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'21'!E18</f>
        <v>11197.1</v>
      </c>
      <c r="E18" s="56">
        <f>'Daily Meter'!M27</f>
        <v>11204.9</v>
      </c>
      <c r="F18" s="57">
        <f t="shared" si="0"/>
        <v>3743.9999999996508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13775.999999999585</v>
      </c>
      <c r="G19" s="61">
        <f>F19*0.43</f>
        <v>5923.6799999998211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'21'!E22</f>
        <v>58152</v>
      </c>
      <c r="E22" s="56">
        <f>'Daily Meter'!N27</f>
        <v>58264.3</v>
      </c>
      <c r="F22" s="80">
        <f>E22-D22</f>
        <v>112.30000000000291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415.51000000001079</v>
      </c>
      <c r="G23" s="84">
        <f>F23*2.5</f>
        <v>1038.7750000000269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8245.8599999999988</v>
      </c>
      <c r="G28" s="94">
        <f>G8</f>
        <v>5194.8917999999994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54112.373999999996</v>
      </c>
      <c r="G29" s="94">
        <f>G11</f>
        <v>3246.7424399999995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13775.999999999585</v>
      </c>
      <c r="G30" s="94">
        <f>G19</f>
        <v>5923.6799999998211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112.30000000000291</v>
      </c>
      <c r="G31" s="94">
        <f>G23</f>
        <v>1038.7750000000269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15404.089239999848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23</v>
      </c>
      <c r="D3" s="37" t="s">
        <v>48</v>
      </c>
      <c r="E3" s="38">
        <f>'Daily Meter'!O28</f>
        <v>49.77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'22'!E7</f>
        <v>37924.5</v>
      </c>
      <c r="E7" s="56">
        <f>'Daily Meter'!B28</f>
        <v>37949.1</v>
      </c>
      <c r="F7" s="57">
        <f>E7-D7</f>
        <v>24.599999999998545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6994.7639999995854</v>
      </c>
      <c r="G8" s="61">
        <f>F8*0.63</f>
        <v>4406.7013199997391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'22'!E10</f>
        <v>136847</v>
      </c>
      <c r="E10" s="56">
        <f>'Daily Meter'!C28</f>
        <v>137179</v>
      </c>
      <c r="F10" s="57">
        <f>E10-D10</f>
        <v>332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73029.707999999999</v>
      </c>
      <c r="G11" s="69">
        <f>F11*0.06</f>
        <v>4381.7824799999999</v>
      </c>
      <c r="H11" s="28"/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'22'!E13</f>
        <v>4587.8</v>
      </c>
      <c r="E13" s="56">
        <f>'Daily Meter'!H28</f>
        <v>4593.5</v>
      </c>
      <c r="F13" s="57">
        <f t="shared" ref="F13:F18" si="0">(E13-D13)*480</f>
        <v>2735.9999999999127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'22'!E14</f>
        <v>2744.7</v>
      </c>
      <c r="E14" s="56">
        <f>'Daily Meter'!I28</f>
        <v>2747.7</v>
      </c>
      <c r="F14" s="57">
        <f t="shared" si="0"/>
        <v>1440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'22'!E15</f>
        <v>2970.2</v>
      </c>
      <c r="E15" s="56">
        <f>'Daily Meter'!J28</f>
        <v>2974.7</v>
      </c>
      <c r="F15" s="57">
        <f t="shared" si="0"/>
        <v>2160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'22'!E16</f>
        <v>1514.8</v>
      </c>
      <c r="E16" s="56">
        <f>'Daily Meter'!K28</f>
        <v>1516.9</v>
      </c>
      <c r="F16" s="57">
        <f t="shared" si="0"/>
        <v>1008.0000000000655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'22'!E17</f>
        <v>4238.8999999999996</v>
      </c>
      <c r="E17" s="56">
        <f>'Daily Meter'!L28</f>
        <v>4242.8</v>
      </c>
      <c r="F17" s="57">
        <f t="shared" si="0"/>
        <v>1872.0000000002619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'22'!E18</f>
        <v>11204.9</v>
      </c>
      <c r="E18" s="56">
        <f>'Daily Meter'!M28</f>
        <v>11212.6</v>
      </c>
      <c r="F18" s="57">
        <f t="shared" si="0"/>
        <v>3696.0000000003492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12912.000000000589</v>
      </c>
      <c r="G19" s="61">
        <f>F19*0.43</f>
        <v>5552.1600000002536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'22'!E22</f>
        <v>58264.3</v>
      </c>
      <c r="E22" s="56">
        <f>'Daily Meter'!N28</f>
        <v>58364.4</v>
      </c>
      <c r="F22" s="80">
        <f>E22-D22</f>
        <v>100.09999999999854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370.36999999999466</v>
      </c>
      <c r="G23" s="84">
        <f>F23*2.5</f>
        <v>925.92499999998665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6994.7639999995854</v>
      </c>
      <c r="G28" s="94">
        <f>G8</f>
        <v>4406.7013199997391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73029.707999999999</v>
      </c>
      <c r="G29" s="94">
        <f>G11</f>
        <v>4381.7824799999999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12912.000000000589</v>
      </c>
      <c r="G30" s="94">
        <f>G19</f>
        <v>5552.1600000002536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100.09999999999854</v>
      </c>
      <c r="G31" s="94">
        <f>G23</f>
        <v>925.92499999998665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15266.568799999981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24</v>
      </c>
      <c r="D3" s="37" t="s">
        <v>48</v>
      </c>
      <c r="E3" s="38">
        <f>'Daily Meter'!O29</f>
        <v>46.77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'23'!E7</f>
        <v>37949.1</v>
      </c>
      <c r="E7" s="56">
        <f>'Daily Meter'!B29</f>
        <v>37972.9</v>
      </c>
      <c r="F7" s="57">
        <f>E7-D7</f>
        <v>23.80000000000291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6767.2920000008271</v>
      </c>
      <c r="G8" s="61">
        <f>F8*0.63</f>
        <v>4263.3939600005215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'23'!E10</f>
        <v>137179</v>
      </c>
      <c r="E10" s="56">
        <f>'Daily Meter'!C29</f>
        <v>137424</v>
      </c>
      <c r="F10" s="57">
        <f>E10-D10</f>
        <v>245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53892.404999999999</v>
      </c>
      <c r="G11" s="69">
        <f>F11*0.06</f>
        <v>3233.5443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'23'!E13</f>
        <v>4593.5</v>
      </c>
      <c r="E13" s="56">
        <f>'Daily Meter'!H29</f>
        <v>4601</v>
      </c>
      <c r="F13" s="57">
        <f t="shared" ref="F13:F18" si="0">(E13-D13)*480</f>
        <v>3600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'23'!E14</f>
        <v>2747.7</v>
      </c>
      <c r="E14" s="56">
        <f>'Daily Meter'!I29</f>
        <v>2752.2</v>
      </c>
      <c r="F14" s="57">
        <f t="shared" si="0"/>
        <v>2160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'23'!E15</f>
        <v>2974.7</v>
      </c>
      <c r="E15" s="56">
        <f>'Daily Meter'!J29</f>
        <v>2980.1</v>
      </c>
      <c r="F15" s="57">
        <f t="shared" si="0"/>
        <v>2592.0000000000437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'23'!E16</f>
        <v>1516.9</v>
      </c>
      <c r="E16" s="56">
        <f>'Daily Meter'!K29</f>
        <v>1519.9</v>
      </c>
      <c r="F16" s="57">
        <f t="shared" si="0"/>
        <v>1440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'23'!E17</f>
        <v>4242.8</v>
      </c>
      <c r="E17" s="56">
        <f>'Daily Meter'!L29</f>
        <v>4247.7</v>
      </c>
      <c r="F17" s="57">
        <f t="shared" si="0"/>
        <v>2351.9999999998254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'23'!E18</f>
        <v>11212.6</v>
      </c>
      <c r="E18" s="56">
        <f>'Daily Meter'!M29</f>
        <v>11223.2</v>
      </c>
      <c r="F18" s="57">
        <f t="shared" si="0"/>
        <v>5088.0000000001746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17232.000000000044</v>
      </c>
      <c r="G19" s="61">
        <f>F19*0.43</f>
        <v>7409.7600000000184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'23'!E22</f>
        <v>58364.4</v>
      </c>
      <c r="E22" s="56">
        <f>'Daily Meter'!N29</f>
        <v>58468.9</v>
      </c>
      <c r="F22" s="80">
        <f>E22-D22</f>
        <v>104.5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386.65000000000003</v>
      </c>
      <c r="G23" s="84">
        <f>F23*2.5</f>
        <v>966.62500000000011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6767.2920000008271</v>
      </c>
      <c r="G28" s="94">
        <f>G8</f>
        <v>4263.3939600005215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53892.404999999999</v>
      </c>
      <c r="G29" s="94">
        <f>G11</f>
        <v>3233.5443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17232.000000000044</v>
      </c>
      <c r="G30" s="94">
        <f>G19</f>
        <v>7409.7600000000184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104.5</v>
      </c>
      <c r="G31" s="94">
        <f>G23</f>
        <v>966.62500000000011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15873.323260000539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1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97" t="str">
        <f>'1'!B3</f>
        <v>February 2024</v>
      </c>
      <c r="C3" s="35">
        <v>25</v>
      </c>
      <c r="D3" s="37" t="s">
        <v>48</v>
      </c>
      <c r="E3" s="38">
        <f>'Daily Meter'!O30</f>
        <v>50.46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98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313"/>
      <c r="E5" s="313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'24'!E7</f>
        <v>37972.9</v>
      </c>
      <c r="E7" s="99">
        <f>'Daily Meter'!B30</f>
        <v>38004.300000000003</v>
      </c>
      <c r="F7" s="57">
        <f>E7-D7</f>
        <v>31.400000000001455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8928.2760000004128</v>
      </c>
      <c r="G8" s="61">
        <f>F8*0.63</f>
        <v>5624.8138800002598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'24'!E10</f>
        <v>137424</v>
      </c>
      <c r="E10" s="99">
        <f>'Daily Meter'!C30</f>
        <v>137602</v>
      </c>
      <c r="F10" s="57">
        <f>E10-D10</f>
        <v>178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39154.481999999996</v>
      </c>
      <c r="G11" s="69">
        <f>F11*0.06</f>
        <v>2349.2689199999995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'24'!E13</f>
        <v>4601</v>
      </c>
      <c r="E13" s="99">
        <f>'Daily Meter'!H30</f>
        <v>4609.2</v>
      </c>
      <c r="F13" s="57">
        <f t="shared" ref="F13:F18" si="0">(E13-D13)*480</f>
        <v>3935.9999999999127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'24'!E14</f>
        <v>2752.2</v>
      </c>
      <c r="E14" s="99">
        <f>'Daily Meter'!I30</f>
        <v>2756.4</v>
      </c>
      <c r="F14" s="57">
        <f t="shared" si="0"/>
        <v>2016.000000000131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'24'!E15</f>
        <v>2980.1</v>
      </c>
      <c r="E15" s="99">
        <f>'Daily Meter'!J30</f>
        <v>2985.6</v>
      </c>
      <c r="F15" s="57">
        <f t="shared" si="0"/>
        <v>2640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'24'!E16</f>
        <v>1519.9</v>
      </c>
      <c r="E16" s="99">
        <f>'Daily Meter'!K30</f>
        <v>1523</v>
      </c>
      <c r="F16" s="57">
        <f t="shared" si="0"/>
        <v>1487.9999999999563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'24'!E17</f>
        <v>4247.7</v>
      </c>
      <c r="E17" s="99">
        <f>'Daily Meter'!L30</f>
        <v>4253.1000000000004</v>
      </c>
      <c r="F17" s="57">
        <f t="shared" si="0"/>
        <v>2592.0000000002619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'24'!E18</f>
        <v>11223.2</v>
      </c>
      <c r="E18" s="99">
        <f>'Daily Meter'!M30</f>
        <v>11234.1</v>
      </c>
      <c r="F18" s="57">
        <f t="shared" si="0"/>
        <v>5231.9999999998254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17904.000000000087</v>
      </c>
      <c r="G19" s="61">
        <f>F19*0.43</f>
        <v>7698.7200000000375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'24'!E22</f>
        <v>58468.9</v>
      </c>
      <c r="E22" s="99">
        <f>'Daily Meter'!N30</f>
        <v>58595</v>
      </c>
      <c r="F22" s="80">
        <f>E22-D22</f>
        <v>126.09999999999854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466.56999999999465</v>
      </c>
      <c r="G23" s="84">
        <f>F23*2.5</f>
        <v>1166.4249999999865</v>
      </c>
    </row>
    <row r="24" spans="1:11">
      <c r="A24" s="50"/>
      <c r="B24" s="78"/>
      <c r="C24" s="79"/>
      <c r="D24" s="56"/>
      <c r="E24" s="56"/>
      <c r="F24" s="46"/>
      <c r="G24" s="84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100"/>
      <c r="D26" s="312" t="s">
        <v>75</v>
      </c>
      <c r="E26" s="312"/>
      <c r="F26" s="312"/>
      <c r="G26" s="312"/>
      <c r="H26" s="91"/>
    </row>
    <row r="27" spans="1:11" ht="21">
      <c r="A27" s="86"/>
      <c r="B27" s="86"/>
      <c r="C27" s="87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>
      <c r="A28" s="86"/>
      <c r="B28" s="86"/>
      <c r="C28" s="87"/>
      <c r="D28" s="92" t="s">
        <v>80</v>
      </c>
      <c r="E28" s="92" t="s">
        <v>58</v>
      </c>
      <c r="F28" s="93">
        <f>F8</f>
        <v>8928.2760000004128</v>
      </c>
      <c r="G28" s="94">
        <f>G8</f>
        <v>5624.8138800002598</v>
      </c>
      <c r="H28" s="91"/>
    </row>
    <row r="29" spans="1:11">
      <c r="A29" s="86"/>
      <c r="B29" s="86"/>
      <c r="C29" s="87"/>
      <c r="D29" s="92" t="s">
        <v>81</v>
      </c>
      <c r="E29" s="92" t="s">
        <v>82</v>
      </c>
      <c r="F29" s="93">
        <f>F11</f>
        <v>39154.481999999996</v>
      </c>
      <c r="G29" s="94">
        <f>G11</f>
        <v>2349.2689199999995</v>
      </c>
      <c r="H29" s="91"/>
    </row>
    <row r="30" spans="1:11">
      <c r="A30" s="86"/>
      <c r="B30" s="86"/>
      <c r="C30" s="87"/>
      <c r="D30" s="92" t="s">
        <v>83</v>
      </c>
      <c r="E30" s="92" t="s">
        <v>84</v>
      </c>
      <c r="F30" s="93">
        <f>F19</f>
        <v>17904.000000000087</v>
      </c>
      <c r="G30" s="94">
        <f>G19</f>
        <v>7698.7200000000375</v>
      </c>
      <c r="H30" s="91"/>
    </row>
    <row r="31" spans="1:11">
      <c r="A31" s="86"/>
      <c r="B31" s="86"/>
      <c r="C31" s="87"/>
      <c r="D31" s="92" t="s">
        <v>85</v>
      </c>
      <c r="E31" s="92" t="s">
        <v>62</v>
      </c>
      <c r="F31" s="93">
        <f>F22</f>
        <v>126.09999999999854</v>
      </c>
      <c r="G31" s="94">
        <f>G23</f>
        <v>1166.4249999999865</v>
      </c>
      <c r="H31" s="86"/>
    </row>
    <row r="32" spans="1:11">
      <c r="D32" s="86"/>
      <c r="E32" s="86"/>
      <c r="F32" s="95" t="s">
        <v>86</v>
      </c>
      <c r="G32" s="96">
        <f>SUM(G28:G31)</f>
        <v>16839.227800000284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97" t="str">
        <f>'1'!B3</f>
        <v>February 2024</v>
      </c>
      <c r="C3" s="35">
        <v>26</v>
      </c>
      <c r="D3" s="37" t="s">
        <v>48</v>
      </c>
      <c r="E3" s="38">
        <f>'Daily Meter'!O31</f>
        <v>53.46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313"/>
      <c r="E5" s="313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'25'!E7:E7</f>
        <v>38004.300000000003</v>
      </c>
      <c r="E7" s="56">
        <f>'Daily Meter'!B31</f>
        <v>38027.9</v>
      </c>
      <c r="F7" s="101">
        <f>E7-D7</f>
        <v>23.599999999998545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6710.4239999995852</v>
      </c>
      <c r="G8" s="61">
        <f>F8*0.63</f>
        <v>4227.5671199997387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'25'!E10</f>
        <v>137602</v>
      </c>
      <c r="E10" s="56">
        <f>'Daily Meter'!C31</f>
        <v>137911</v>
      </c>
      <c r="F10" s="57">
        <f>E10-D10</f>
        <v>309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67970.421000000002</v>
      </c>
      <c r="G11" s="69">
        <f>F11*0.06</f>
        <v>4078.2252600000002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'25'!E13</f>
        <v>4609.2</v>
      </c>
      <c r="E13" s="56">
        <f>'Daily Meter'!H31</f>
        <v>4613.8999999999996</v>
      </c>
      <c r="F13" s="57">
        <f t="shared" ref="F13:F18" si="0">(E13-D13)*480</f>
        <v>2255.9999999999127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'25'!E14</f>
        <v>2756.4</v>
      </c>
      <c r="E14" s="56">
        <f>'Daily Meter'!I31</f>
        <v>2759.1</v>
      </c>
      <c r="F14" s="57">
        <f t="shared" si="0"/>
        <v>1295.9999999999127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'25'!E15</f>
        <v>2985.6</v>
      </c>
      <c r="E15" s="56">
        <f>'Daily Meter'!J31</f>
        <v>2989</v>
      </c>
      <c r="F15" s="57">
        <f t="shared" si="0"/>
        <v>1632.0000000000437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'25'!E16</f>
        <v>1523</v>
      </c>
      <c r="E16" s="56">
        <f>'Daily Meter'!K31</f>
        <v>1524.8</v>
      </c>
      <c r="F16" s="57">
        <f t="shared" si="0"/>
        <v>863.99999999997817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'25'!E17</f>
        <v>4253.1000000000004</v>
      </c>
      <c r="E17" s="56">
        <f>'Daily Meter'!L31</f>
        <v>4256.3999999999996</v>
      </c>
      <c r="F17" s="57">
        <f t="shared" si="0"/>
        <v>1583.9999999996508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'25'!E18</f>
        <v>11234.1</v>
      </c>
      <c r="E18" s="56">
        <f>'Daily Meter'!M31</f>
        <v>11242.9</v>
      </c>
      <c r="F18" s="57">
        <f t="shared" si="0"/>
        <v>4223.9999999996508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11855.999999999149</v>
      </c>
      <c r="G19" s="61">
        <f>F19*0.43</f>
        <v>5098.0799999996343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'25'!E22</f>
        <v>58595</v>
      </c>
      <c r="E22" s="56">
        <f>'Daily Meter'!N31</f>
        <v>58687.1</v>
      </c>
      <c r="F22" s="80">
        <f>E22-D22</f>
        <v>92.099999999998545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340.76999999999464</v>
      </c>
      <c r="G23" s="84">
        <f>F23*2.5</f>
        <v>851.92499999998654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6710.4239999995852</v>
      </c>
      <c r="G28" s="94">
        <f>G8</f>
        <v>4227.5671199997387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67970.421000000002</v>
      </c>
      <c r="G29" s="94">
        <f>G11</f>
        <v>4078.2252600000002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11855.999999999149</v>
      </c>
      <c r="G30" s="94">
        <f>G19</f>
        <v>5098.0799999996343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92.099999999998545</v>
      </c>
      <c r="G31" s="94">
        <f>G23</f>
        <v>851.92499999998654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14255.79737999936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97" t="str">
        <f>'1'!B3</f>
        <v>February 2024</v>
      </c>
      <c r="C3" s="35">
        <v>27</v>
      </c>
      <c r="D3" s="37" t="s">
        <v>48</v>
      </c>
      <c r="E3" s="38">
        <f>'Daily Meter'!O32</f>
        <v>53.92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313"/>
      <c r="E5" s="313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'26'!E7</f>
        <v>38027.9</v>
      </c>
      <c r="E7" s="56">
        <f>'Daily Meter'!B32</f>
        <v>38055.300000000003</v>
      </c>
      <c r="F7" s="57">
        <f>E7-D7</f>
        <v>27.400000000001455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7790.9160000004131</v>
      </c>
      <c r="G8" s="61">
        <f>F8*0.63</f>
        <v>4908.27708000026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'26'!E10</f>
        <v>137911</v>
      </c>
      <c r="E10" s="56">
        <f>'Daily Meter'!C32</f>
        <v>138066</v>
      </c>
      <c r="F10" s="57">
        <f>E10-D10</f>
        <v>155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34095.195</v>
      </c>
      <c r="G11" s="69">
        <f>F11*0.06</f>
        <v>2045.7116999999998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'26'!E13</f>
        <v>4613.8999999999996</v>
      </c>
      <c r="E13" s="56">
        <f>'Daily Meter'!H32</f>
        <v>4622.2</v>
      </c>
      <c r="F13" s="57">
        <f t="shared" ref="F13:F18" si="0">(E13-D13)*480</f>
        <v>3984.0000000000873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'26'!E14</f>
        <v>2759.1</v>
      </c>
      <c r="E14" s="56">
        <f>'Daily Meter'!I32</f>
        <v>2763.7</v>
      </c>
      <c r="F14" s="57">
        <f t="shared" si="0"/>
        <v>2207.9999999999563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'26'!E15</f>
        <v>2989</v>
      </c>
      <c r="E15" s="56">
        <f>'Daily Meter'!J32</f>
        <v>2994.4</v>
      </c>
      <c r="F15" s="57">
        <f t="shared" si="0"/>
        <v>2592.0000000000437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'26'!E16</f>
        <v>1524.8</v>
      </c>
      <c r="E16" s="56">
        <f>'Daily Meter'!K32</f>
        <v>1527.7</v>
      </c>
      <c r="F16" s="57">
        <f t="shared" si="0"/>
        <v>1392.0000000000437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'26'!E17</f>
        <v>4256.3999999999996</v>
      </c>
      <c r="E17" s="56">
        <f>'Daily Meter'!L32</f>
        <v>4261.8</v>
      </c>
      <c r="F17" s="57">
        <f t="shared" si="0"/>
        <v>2592.0000000002619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'26'!E18</f>
        <v>11242.9</v>
      </c>
      <c r="E18" s="56">
        <f>'Daily Meter'!M32</f>
        <v>11257.4</v>
      </c>
      <c r="F18" s="57">
        <f t="shared" si="0"/>
        <v>6960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19728.000000000393</v>
      </c>
      <c r="G19" s="61">
        <f>F19*0.43</f>
        <v>8483.0400000001682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'26'!E22</f>
        <v>58687.1</v>
      </c>
      <c r="E22" s="56">
        <f>'Daily Meter'!N32</f>
        <v>58779.4</v>
      </c>
      <c r="F22" s="80">
        <f>E22-D22</f>
        <v>92.30000000000291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341.51000000001079</v>
      </c>
      <c r="G23" s="84">
        <f>F23*2.5</f>
        <v>853.77500000002692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7790.9160000004131</v>
      </c>
      <c r="G28" s="94">
        <f>G8</f>
        <v>4908.27708000026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34095.195</v>
      </c>
      <c r="G29" s="94">
        <f>G11</f>
        <v>2045.7116999999998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19728.000000000393</v>
      </c>
      <c r="G30" s="94">
        <f>G19</f>
        <v>8483.0400000001682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92.30000000000291</v>
      </c>
      <c r="G31" s="94">
        <f>G23</f>
        <v>853.77500000002692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16290.803780000455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97" t="str">
        <f>'1'!B3</f>
        <v>February 2024</v>
      </c>
      <c r="C3" s="35">
        <v>28</v>
      </c>
      <c r="D3" s="37" t="s">
        <v>48</v>
      </c>
      <c r="E3" s="38">
        <f>'Daily Meter'!O33</f>
        <v>50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313"/>
      <c r="E5" s="313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'27'!E7</f>
        <v>38055.300000000003</v>
      </c>
      <c r="E7" s="56">
        <f>'Daily Meter'!B33</f>
        <v>38091.1</v>
      </c>
      <c r="F7" s="57">
        <f>E7-D7</f>
        <v>35.799999999995634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10179.371999998757</v>
      </c>
      <c r="G8" s="61">
        <f>F8*0.63</f>
        <v>6413.0043599992168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'27'!E10</f>
        <v>138066</v>
      </c>
      <c r="E10" s="56">
        <f>'Daily Meter'!C33</f>
        <v>138241</v>
      </c>
      <c r="F10" s="57">
        <f>E10-D10</f>
        <v>175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38494.574999999997</v>
      </c>
      <c r="G11" s="69">
        <f>F11*0.06</f>
        <v>2309.6744999999996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'27'!E13</f>
        <v>4622.2</v>
      </c>
      <c r="E13" s="56">
        <f>'Daily Meter'!H33</f>
        <v>4629</v>
      </c>
      <c r="F13" s="57">
        <f t="shared" ref="F13:F18" si="0">(E13-D13)*480</f>
        <v>3264.0000000000873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'27'!E14</f>
        <v>2763.7</v>
      </c>
      <c r="E14" s="56">
        <f>'Daily Meter'!I33</f>
        <v>2767.6</v>
      </c>
      <c r="F14" s="57">
        <f t="shared" si="0"/>
        <v>1872.0000000000437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'27'!E15</f>
        <v>2994.4</v>
      </c>
      <c r="E15" s="56">
        <f>'Daily Meter'!J33</f>
        <v>2999</v>
      </c>
      <c r="F15" s="57">
        <f t="shared" si="0"/>
        <v>2207.9999999999563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'27'!E16</f>
        <v>1527.7</v>
      </c>
      <c r="E16" s="56">
        <f>'Daily Meter'!K33</f>
        <v>1530.3</v>
      </c>
      <c r="F16" s="57">
        <f t="shared" si="0"/>
        <v>1247.9999999999563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'27'!E17</f>
        <v>4261.8</v>
      </c>
      <c r="E17" s="56">
        <f>'Daily Meter'!L33</f>
        <v>4266.3999999999996</v>
      </c>
      <c r="F17" s="57">
        <f t="shared" si="0"/>
        <v>2207.9999999997381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'27'!E18</f>
        <v>11257.4</v>
      </c>
      <c r="E18" s="56">
        <f>'Daily Meter'!M33</f>
        <v>11269.8</v>
      </c>
      <c r="F18" s="57">
        <f t="shared" si="0"/>
        <v>5951.9999999998254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16751.999999999607</v>
      </c>
      <c r="G19" s="61">
        <f>F19*0.43</f>
        <v>7203.3599999998305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'27'!E22</f>
        <v>58779.4</v>
      </c>
      <c r="E22" s="56">
        <f>'Daily Meter'!N33</f>
        <v>58901.9</v>
      </c>
      <c r="F22" s="80">
        <f>E22-D22</f>
        <v>122.5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453.25</v>
      </c>
      <c r="G23" s="84">
        <f>F23*2.5</f>
        <v>1133.125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10179.371999998757</v>
      </c>
      <c r="G28" s="94">
        <f>G8</f>
        <v>6413.0043599992168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38494.574999999997</v>
      </c>
      <c r="G29" s="94">
        <f>G11</f>
        <v>2309.6744999999996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16751.999999999607</v>
      </c>
      <c r="G30" s="94">
        <f>G19</f>
        <v>7203.3599999998305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122.5</v>
      </c>
      <c r="G31" s="94">
        <f>G23</f>
        <v>1133.125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17059.163859999047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97" t="str">
        <f>'1'!B3</f>
        <v>February 2024</v>
      </c>
      <c r="C3" s="35">
        <v>29</v>
      </c>
      <c r="D3" s="37" t="s">
        <v>48</v>
      </c>
      <c r="E3" s="38">
        <f>'Daily Meter'!O34</f>
        <v>44.47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313"/>
      <c r="E5" s="313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'28'!E7</f>
        <v>38091.1</v>
      </c>
      <c r="E7" s="56">
        <f>'Daily Meter'!B34</f>
        <v>38113.599999999999</v>
      </c>
      <c r="F7" s="57">
        <f>E7-D7</f>
        <v>22.5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6397.65</v>
      </c>
      <c r="G8" s="61">
        <f>F8*0.63</f>
        <v>4030.5194999999999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'28'!E10</f>
        <v>138241</v>
      </c>
      <c r="E10" s="56">
        <f>'Daily Meter'!C34</f>
        <v>138333</v>
      </c>
      <c r="F10" s="57">
        <f>E10-D10</f>
        <v>92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20237.148000000001</v>
      </c>
      <c r="G11" s="69">
        <f>F11*0.06</f>
        <v>1214.2288800000001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'28'!E13</f>
        <v>4629</v>
      </c>
      <c r="E13" s="56">
        <f>'Daily Meter'!H34</f>
        <v>4634</v>
      </c>
      <c r="F13" s="57">
        <f t="shared" ref="F13:F18" si="0">(E13-D13)*480</f>
        <v>2400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'28'!E14</f>
        <v>2767.6</v>
      </c>
      <c r="E14" s="56">
        <f>'Daily Meter'!I34</f>
        <v>2770.6</v>
      </c>
      <c r="F14" s="57">
        <f t="shared" si="0"/>
        <v>1440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'28'!E15</f>
        <v>2999</v>
      </c>
      <c r="E15" s="56">
        <f>'Daily Meter'!J34</f>
        <v>3002.8</v>
      </c>
      <c r="F15" s="57">
        <f t="shared" si="0"/>
        <v>1824.0000000000873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'28'!E16</f>
        <v>1530.3</v>
      </c>
      <c r="E16" s="56">
        <f>'Daily Meter'!K34</f>
        <v>1532.2</v>
      </c>
      <c r="F16" s="57">
        <f t="shared" si="0"/>
        <v>912.00000000004366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'28'!E17</f>
        <v>4266.3999999999996</v>
      </c>
      <c r="E17" s="56">
        <f>'Daily Meter'!L34</f>
        <v>4269.8</v>
      </c>
      <c r="F17" s="57">
        <f t="shared" si="0"/>
        <v>1632.0000000002619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'28'!E18</f>
        <v>11269.8</v>
      </c>
      <c r="E18" s="56">
        <f>'Daily Meter'!M34</f>
        <v>11279.2</v>
      </c>
      <c r="F18" s="57">
        <f t="shared" si="0"/>
        <v>4512.0000000006985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12720.000000001091</v>
      </c>
      <c r="G19" s="61">
        <f>F19*0.43</f>
        <v>5469.6000000004697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'28'!E22</f>
        <v>58901.9</v>
      </c>
      <c r="E22" s="56">
        <f>'Daily Meter'!N34</f>
        <v>58988.1</v>
      </c>
      <c r="F22" s="80">
        <f>E22-D22</f>
        <v>86.19999999999709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318.93999999998925</v>
      </c>
      <c r="G23" s="84">
        <f>F23*2.5</f>
        <v>797.34999999997308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6397.65</v>
      </c>
      <c r="G28" s="94">
        <f>G8</f>
        <v>4030.5194999999999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20237.148000000001</v>
      </c>
      <c r="G29" s="94">
        <f>G11</f>
        <v>1214.2288800000001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12720.000000001091</v>
      </c>
      <c r="G30" s="94">
        <f>G19</f>
        <v>5469.6000000004697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86.19999999999709</v>
      </c>
      <c r="G31" s="94">
        <f>G23</f>
        <v>797.34999999997308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11511.698380000442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97" t="str">
        <f>'1'!B3</f>
        <v>February 2024</v>
      </c>
      <c r="C3" s="35">
        <v>30</v>
      </c>
      <c r="D3" s="37" t="s">
        <v>48</v>
      </c>
      <c r="E3" s="38">
        <f>'Daily Meter'!O35</f>
        <v>44.7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313"/>
      <c r="E5" s="313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'29'!E7</f>
        <v>38113.599999999999</v>
      </c>
      <c r="E7" s="56">
        <f>'Daily Meter'!B35</f>
        <v>38143.1</v>
      </c>
      <c r="F7" s="57">
        <f>E7-D7</f>
        <v>29.5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8388.0299999999988</v>
      </c>
      <c r="G8" s="61">
        <f>F8*0.63</f>
        <v>5284.4588999999996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'29'!E10</f>
        <v>138333</v>
      </c>
      <c r="E10" s="56">
        <f>'Daily Meter'!C35</f>
        <v>138350</v>
      </c>
      <c r="F10" s="57">
        <f>E10-D10</f>
        <v>17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3739.473</v>
      </c>
      <c r="G11" s="69">
        <f>F11*0.06</f>
        <v>224.36838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'29'!E13</f>
        <v>4634</v>
      </c>
      <c r="E13" s="56">
        <f>'Daily Meter'!H35</f>
        <v>4640.8999999999996</v>
      </c>
      <c r="F13" s="57">
        <f t="shared" ref="F13:F18" si="0">(E13-D13)*480</f>
        <v>3311.9999999998254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'29'!E14</f>
        <v>2770.6</v>
      </c>
      <c r="E14" s="56">
        <f>'Daily Meter'!I35</f>
        <v>2774.8</v>
      </c>
      <c r="F14" s="57">
        <f t="shared" si="0"/>
        <v>2016.000000000131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'29'!E15</f>
        <v>3002.8</v>
      </c>
      <c r="E15" s="56">
        <f>'Daily Meter'!J35</f>
        <v>3007.6</v>
      </c>
      <c r="F15" s="57">
        <f t="shared" si="0"/>
        <v>2303.999999999869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'29'!E16</f>
        <v>1532.2</v>
      </c>
      <c r="E16" s="56">
        <f>'Daily Meter'!K35</f>
        <v>1535.1</v>
      </c>
      <c r="F16" s="57">
        <f t="shared" si="0"/>
        <v>1391.9999999999345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'29'!E17</f>
        <v>4269.8</v>
      </c>
      <c r="E17" s="56">
        <f>'Daily Meter'!L35</f>
        <v>4274.5</v>
      </c>
      <c r="F17" s="57">
        <f t="shared" si="0"/>
        <v>2255.9999999999127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'29'!E18</f>
        <v>11279.2</v>
      </c>
      <c r="E18" s="56">
        <f>'Daily Meter'!M35</f>
        <v>11291.9</v>
      </c>
      <c r="F18" s="57">
        <f t="shared" si="0"/>
        <v>6095.9999999994761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17375.999999999149</v>
      </c>
      <c r="G19" s="61">
        <f>F19*0.43</f>
        <v>7471.6799999996338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'29'!E22</f>
        <v>58988.1</v>
      </c>
      <c r="E22" s="56">
        <f>'Daily Meter'!N35</f>
        <v>59091.3</v>
      </c>
      <c r="F22" s="80">
        <f>E22-D22</f>
        <v>103.20000000000437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381.84000000001618</v>
      </c>
      <c r="G23" s="84">
        <f>F23*2.5</f>
        <v>954.60000000004038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8388.0299999999988</v>
      </c>
      <c r="G28" s="94">
        <f>G8</f>
        <v>5284.4588999999996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3739.473</v>
      </c>
      <c r="G29" s="94">
        <f>G11</f>
        <v>224.36838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17375.999999999149</v>
      </c>
      <c r="G30" s="94">
        <f>G19</f>
        <v>7471.6799999996338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103.20000000000437</v>
      </c>
      <c r="G31" s="94">
        <f>G23</f>
        <v>954.60000000004038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13935.107279999675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97" t="str">
        <f>'1'!B3</f>
        <v>February 2024</v>
      </c>
      <c r="C3" s="35">
        <v>31</v>
      </c>
      <c r="D3" s="37" t="s">
        <v>48</v>
      </c>
      <c r="E3" s="38">
        <f>'Daily Meter'!O37</f>
        <v>0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313"/>
      <c r="E5" s="313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'30'!E7</f>
        <v>38143.1</v>
      </c>
      <c r="E7" s="56">
        <f>'Daily Meter'!B36</f>
        <v>38173.199999999997</v>
      </c>
      <c r="F7" s="57">
        <f>E7-D7</f>
        <v>30.099999999998545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8558.6339999995853</v>
      </c>
      <c r="G8" s="61">
        <f>F8*0.63</f>
        <v>5391.9394199997387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'30'!E10</f>
        <v>138350</v>
      </c>
      <c r="E10" s="56">
        <f>'Daily Meter'!C36</f>
        <v>138413</v>
      </c>
      <c r="F10" s="57">
        <f>E10-D10</f>
        <v>63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13858.047</v>
      </c>
      <c r="G11" s="69">
        <f>F11*0.06</f>
        <v>831.48281999999995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'30'!E13</f>
        <v>4640.8999999999996</v>
      </c>
      <c r="E13" s="56">
        <f>'Daily Meter'!H36</f>
        <v>4647.8999999999996</v>
      </c>
      <c r="F13" s="57">
        <f t="shared" ref="F13:F18" si="0">(E13-D13)*480</f>
        <v>3360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'30'!E14</f>
        <v>2774.8</v>
      </c>
      <c r="E14" s="56">
        <f>'Daily Meter'!I36</f>
        <v>2779</v>
      </c>
      <c r="F14" s="57">
        <f t="shared" si="0"/>
        <v>2015.9999999999127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'30'!E15</f>
        <v>3007.6</v>
      </c>
      <c r="E15" s="56">
        <f>'Daily Meter'!J36</f>
        <v>3012.2</v>
      </c>
      <c r="F15" s="57">
        <f t="shared" si="0"/>
        <v>2207.9999999999563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'30'!E16</f>
        <v>1535.1</v>
      </c>
      <c r="E16" s="56">
        <f>'Daily Meter'!K36</f>
        <v>1537.9</v>
      </c>
      <c r="F16" s="57">
        <f t="shared" si="0"/>
        <v>1344.0000000000873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'30'!E17</f>
        <v>4274.5</v>
      </c>
      <c r="E17" s="56">
        <f>'Daily Meter'!L36</f>
        <v>4279.1000000000004</v>
      </c>
      <c r="F17" s="57">
        <f t="shared" si="0"/>
        <v>2208.0000000001746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'30'!E18</f>
        <v>11291.9</v>
      </c>
      <c r="E18" s="56">
        <f>'Daily Meter'!M36</f>
        <v>11305</v>
      </c>
      <c r="F18" s="57">
        <f t="shared" si="0"/>
        <v>6288.0000000001746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17424.000000000306</v>
      </c>
      <c r="G19" s="61">
        <f>F19*0.43</f>
        <v>7492.3200000001316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'30'!E22</f>
        <v>59091.3</v>
      </c>
      <c r="E22" s="56">
        <f>'Daily Meter'!N36</f>
        <v>59213.5</v>
      </c>
      <c r="F22" s="80">
        <f>E22-D22</f>
        <v>122.19999999999709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452.13999999998924</v>
      </c>
      <c r="G23" s="84">
        <f>F23*2.5</f>
        <v>1130.3499999999731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8558.6339999995853</v>
      </c>
      <c r="G28" s="94">
        <f>G8</f>
        <v>5391.9394199997387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13858.047</v>
      </c>
      <c r="G29" s="94">
        <f>G11</f>
        <v>831.48281999999995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17424.000000000306</v>
      </c>
      <c r="G30" s="94">
        <f>G19</f>
        <v>7492.3200000001316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122.19999999999709</v>
      </c>
      <c r="G31" s="94">
        <f>G23</f>
        <v>1130.3499999999731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14846.092239999844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328125" defaultRowHeight="14.25"/>
  <cols>
    <col min="1" max="1" width="5.59765625" style="39" customWidth="1"/>
    <col min="2" max="2" width="37.59765625" style="39" customWidth="1"/>
    <col min="3" max="3" width="21.59765625" style="39" customWidth="1"/>
    <col min="4" max="4" width="21.1328125" style="39" customWidth="1"/>
    <col min="5" max="5" width="21.59765625" style="39" customWidth="1"/>
    <col min="6" max="6" width="20.86328125" style="102" customWidth="1"/>
    <col min="7" max="8" width="20" style="102" customWidth="1"/>
    <col min="9" max="16384" width="9.1328125" style="39"/>
  </cols>
  <sheetData>
    <row r="1" spans="1:16" ht="15" customHeight="1">
      <c r="A1" s="314" t="s">
        <v>45</v>
      </c>
      <c r="B1" s="314"/>
      <c r="C1" s="314"/>
      <c r="D1" s="314"/>
      <c r="E1" s="314"/>
      <c r="F1" s="314"/>
      <c r="G1" s="314"/>
      <c r="H1" s="103"/>
      <c r="P1" s="16" t="s">
        <v>22</v>
      </c>
    </row>
    <row r="2" spans="1:16" ht="12" customHeight="1">
      <c r="A2" s="314"/>
      <c r="B2" s="314"/>
      <c r="C2" s="314"/>
      <c r="D2" s="314"/>
      <c r="E2" s="314"/>
      <c r="F2" s="314"/>
      <c r="G2" s="314"/>
      <c r="H2" s="103"/>
    </row>
    <row r="3" spans="1:16" ht="17.649999999999999">
      <c r="A3" s="315" t="s">
        <v>47</v>
      </c>
      <c r="B3" s="315"/>
      <c r="C3" s="315"/>
      <c r="D3" s="315"/>
      <c r="E3" s="315"/>
      <c r="F3" s="315"/>
      <c r="G3" s="315"/>
      <c r="H3" s="103"/>
      <c r="P3" s="16" t="s">
        <v>46</v>
      </c>
    </row>
    <row r="4" spans="1:16" ht="17.649999999999999">
      <c r="A4" s="316" t="s">
        <v>87</v>
      </c>
      <c r="B4" s="316"/>
      <c r="C4" s="316"/>
      <c r="D4" s="104" t="s">
        <v>88</v>
      </c>
      <c r="E4" s="105"/>
      <c r="F4" s="106" t="s">
        <v>89</v>
      </c>
      <c r="G4" s="317"/>
      <c r="H4" s="317"/>
    </row>
    <row r="5" spans="1:16" ht="27.75" customHeight="1">
      <c r="A5" s="318" t="s">
        <v>49</v>
      </c>
      <c r="B5" s="319" t="s">
        <v>50</v>
      </c>
      <c r="C5" s="108"/>
      <c r="D5" s="110" t="s">
        <v>90</v>
      </c>
      <c r="E5" s="110" t="s">
        <v>91</v>
      </c>
      <c r="F5" s="320" t="s">
        <v>92</v>
      </c>
      <c r="G5" s="320" t="s">
        <v>93</v>
      </c>
      <c r="H5" s="320" t="s">
        <v>94</v>
      </c>
    </row>
    <row r="6" spans="1:16" ht="24" customHeight="1">
      <c r="A6" s="318"/>
      <c r="B6" s="319"/>
      <c r="C6" s="111"/>
      <c r="D6" s="112" t="s">
        <v>95</v>
      </c>
      <c r="E6" s="112" t="s">
        <v>96</v>
      </c>
      <c r="F6" s="320"/>
      <c r="G6" s="320"/>
      <c r="H6" s="320"/>
    </row>
    <row r="7" spans="1:16">
      <c r="A7" s="113">
        <v>1</v>
      </c>
      <c r="B7" s="114" t="s">
        <v>55</v>
      </c>
      <c r="C7" s="115"/>
      <c r="D7" s="51"/>
      <c r="E7" s="51"/>
      <c r="F7" s="116"/>
      <c r="G7" s="116"/>
      <c r="H7" s="116"/>
    </row>
    <row r="8" spans="1:16">
      <c r="A8" s="115"/>
      <c r="B8" s="51" t="s">
        <v>56</v>
      </c>
      <c r="C8" s="115" t="s">
        <v>57</v>
      </c>
      <c r="D8" s="56">
        <v>53103.1</v>
      </c>
      <c r="E8" s="56">
        <v>53103.1</v>
      </c>
      <c r="F8" s="117">
        <f>E8-D8</f>
        <v>0</v>
      </c>
      <c r="G8" s="117"/>
      <c r="H8" s="117"/>
    </row>
    <row r="9" spans="1:16" ht="15">
      <c r="A9" s="115"/>
      <c r="B9" s="51"/>
      <c r="C9" s="63" t="s">
        <v>97</v>
      </c>
      <c r="D9" s="118"/>
      <c r="E9" s="118"/>
      <c r="F9" s="119">
        <f>F8*284.35</f>
        <v>0</v>
      </c>
      <c r="G9" s="119"/>
      <c r="H9" s="120"/>
    </row>
    <row r="10" spans="1:16" ht="15.75" customHeight="1">
      <c r="A10" s="115"/>
      <c r="B10" s="121" t="s">
        <v>98</v>
      </c>
      <c r="C10" s="321"/>
      <c r="D10" s="321"/>
      <c r="E10" s="321"/>
      <c r="F10" s="123">
        <f>F9*0.568</f>
        <v>0</v>
      </c>
      <c r="G10" s="124"/>
      <c r="H10" s="124"/>
    </row>
    <row r="11" spans="1:16">
      <c r="A11" s="115"/>
      <c r="B11" s="121" t="s">
        <v>99</v>
      </c>
      <c r="C11" s="321"/>
      <c r="D11" s="321"/>
      <c r="E11" s="321"/>
      <c r="F11" s="123">
        <f>F9*0.075</f>
        <v>0</v>
      </c>
      <c r="G11" s="124"/>
      <c r="H11" s="124"/>
    </row>
    <row r="12" spans="1:16" ht="15.75" customHeight="1">
      <c r="A12" s="115"/>
      <c r="B12" s="125" t="s">
        <v>100</v>
      </c>
      <c r="C12" s="322"/>
      <c r="D12" s="322"/>
      <c r="E12" s="322"/>
      <c r="F12" s="127">
        <f>F10+F11</f>
        <v>0</v>
      </c>
      <c r="G12" s="128">
        <f>'dec. 1 to 31'!G12</f>
        <v>250000</v>
      </c>
      <c r="H12" s="129"/>
    </row>
    <row r="13" spans="1:16" ht="15.75" customHeight="1">
      <c r="A13" s="115"/>
      <c r="B13" s="125" t="s">
        <v>101</v>
      </c>
      <c r="C13" s="322"/>
      <c r="D13" s="322"/>
      <c r="E13" s="322"/>
      <c r="F13" s="127">
        <f>(3082.2*30)</f>
        <v>92466</v>
      </c>
      <c r="G13" s="128">
        <f>'dec. 1 to 31'!G13</f>
        <v>95548.2</v>
      </c>
      <c r="H13" s="129">
        <f>F13</f>
        <v>92466</v>
      </c>
    </row>
    <row r="14" spans="1:16" ht="15.75" customHeight="1">
      <c r="A14" s="115"/>
      <c r="B14" s="323"/>
      <c r="C14" s="323"/>
      <c r="D14" s="323"/>
      <c r="E14" s="323"/>
      <c r="F14" s="130">
        <f>SUM(F12+F13)</f>
        <v>92466</v>
      </c>
      <c r="G14" s="131">
        <f>SUM(G12:G13)</f>
        <v>345548.2</v>
      </c>
      <c r="H14" s="124">
        <f>SUM(H12:H13)</f>
        <v>92466</v>
      </c>
    </row>
    <row r="15" spans="1:16">
      <c r="A15" s="113" t="s">
        <v>59</v>
      </c>
      <c r="B15" s="114" t="s">
        <v>60</v>
      </c>
      <c r="C15" s="324"/>
      <c r="D15" s="324"/>
      <c r="E15" s="324"/>
      <c r="F15" s="132"/>
      <c r="G15" s="133" t="s">
        <v>102</v>
      </c>
      <c r="H15" s="134">
        <f>(F14-H14)</f>
        <v>0</v>
      </c>
    </row>
    <row r="16" spans="1:16" ht="14.25" customHeight="1">
      <c r="A16" s="63"/>
      <c r="B16" s="64" t="s">
        <v>61</v>
      </c>
      <c r="C16" s="65" t="s">
        <v>62</v>
      </c>
      <c r="D16" s="56"/>
      <c r="E16" s="56"/>
      <c r="F16" s="117">
        <f>E16-D16</f>
        <v>0</v>
      </c>
      <c r="G16" s="325" t="s">
        <v>103</v>
      </c>
      <c r="H16" s="325"/>
    </row>
    <row r="17" spans="1:8" ht="27">
      <c r="A17" s="63"/>
      <c r="B17" s="64"/>
      <c r="C17" s="65" t="s">
        <v>104</v>
      </c>
      <c r="D17" s="56"/>
      <c r="E17" s="56"/>
      <c r="F17" s="135">
        <f>F16*219.969</f>
        <v>0</v>
      </c>
      <c r="G17" s="136"/>
      <c r="H17" s="132"/>
    </row>
    <row r="18" spans="1:8">
      <c r="A18" s="63"/>
      <c r="B18" s="121" t="s">
        <v>105</v>
      </c>
      <c r="C18" s="321"/>
      <c r="D18" s="321"/>
      <c r="E18" s="321"/>
      <c r="F18" s="137">
        <v>350</v>
      </c>
      <c r="G18" s="138"/>
      <c r="H18" s="132"/>
    </row>
    <row r="19" spans="1:8">
      <c r="A19" s="63"/>
      <c r="B19" s="121" t="s">
        <v>106</v>
      </c>
      <c r="C19" s="321"/>
      <c r="D19" s="321"/>
      <c r="E19" s="321"/>
      <c r="F19" s="137">
        <v>400</v>
      </c>
      <c r="G19" s="138"/>
      <c r="H19" s="132"/>
    </row>
    <row r="20" spans="1:8">
      <c r="A20" s="63"/>
      <c r="B20" s="121" t="s">
        <v>107</v>
      </c>
      <c r="C20" s="321"/>
      <c r="D20" s="321"/>
      <c r="E20" s="321"/>
      <c r="F20" s="137">
        <f>SUM(F17-20000)*0.046</f>
        <v>-920</v>
      </c>
      <c r="G20" s="138"/>
      <c r="H20" s="132"/>
    </row>
    <row r="21" spans="1:8">
      <c r="A21" s="63"/>
      <c r="B21" s="121" t="s">
        <v>108</v>
      </c>
      <c r="C21" s="321"/>
      <c r="D21" s="321"/>
      <c r="E21" s="321"/>
      <c r="F21" s="139">
        <f>F17*0.005</f>
        <v>0</v>
      </c>
      <c r="G21" s="138"/>
      <c r="H21" s="132"/>
    </row>
    <row r="22" spans="1:8">
      <c r="A22" s="63"/>
      <c r="B22" s="121" t="s">
        <v>109</v>
      </c>
      <c r="C22" s="321"/>
      <c r="D22" s="321"/>
      <c r="E22" s="321"/>
      <c r="F22" s="139">
        <f>F17*0.01</f>
        <v>0</v>
      </c>
      <c r="G22" s="138"/>
      <c r="H22" s="132"/>
    </row>
    <row r="23" spans="1:8">
      <c r="A23" s="63"/>
      <c r="B23" s="125" t="s">
        <v>100</v>
      </c>
      <c r="C23" s="326"/>
      <c r="D23" s="326"/>
      <c r="E23" s="326"/>
      <c r="F23" s="141">
        <f>SUM(F18:F22)</f>
        <v>-170</v>
      </c>
      <c r="G23" s="142">
        <f>'dec. 1 to 31'!G23</f>
        <v>59385</v>
      </c>
      <c r="H23" s="132"/>
    </row>
    <row r="24" spans="1:8">
      <c r="A24" s="113" t="s">
        <v>65</v>
      </c>
      <c r="B24" s="114" t="s">
        <v>66</v>
      </c>
      <c r="C24" s="324"/>
      <c r="D24" s="324"/>
      <c r="E24" s="324"/>
      <c r="F24" s="143"/>
      <c r="G24" s="144"/>
      <c r="H24" s="132"/>
    </row>
    <row r="25" spans="1:8">
      <c r="A25" s="115">
        <v>1</v>
      </c>
      <c r="B25" s="51" t="s">
        <v>13</v>
      </c>
      <c r="C25" s="115" t="s">
        <v>67</v>
      </c>
      <c r="D25" s="56"/>
      <c r="E25" s="56"/>
      <c r="F25" s="117">
        <f t="shared" ref="F25:F30" si="0">(E25-D25)*480</f>
        <v>0</v>
      </c>
      <c r="G25" s="99"/>
      <c r="H25" s="132"/>
    </row>
    <row r="26" spans="1:8">
      <c r="A26" s="115">
        <v>2</v>
      </c>
      <c r="B26" s="51" t="s">
        <v>14</v>
      </c>
      <c r="C26" s="115" t="s">
        <v>67</v>
      </c>
      <c r="D26" s="56"/>
      <c r="E26" s="56"/>
      <c r="F26" s="117">
        <f t="shared" si="0"/>
        <v>0</v>
      </c>
      <c r="G26" s="99"/>
      <c r="H26" s="132"/>
    </row>
    <row r="27" spans="1:8">
      <c r="A27" s="115">
        <v>3</v>
      </c>
      <c r="B27" s="51" t="s">
        <v>15</v>
      </c>
      <c r="C27" s="115" t="s">
        <v>67</v>
      </c>
      <c r="D27" s="56"/>
      <c r="E27" s="56"/>
      <c r="F27" s="117">
        <f t="shared" si="0"/>
        <v>0</v>
      </c>
      <c r="G27" s="99"/>
      <c r="H27" s="132"/>
    </row>
    <row r="28" spans="1:8">
      <c r="A28" s="115">
        <v>4</v>
      </c>
      <c r="B28" s="51" t="s">
        <v>16</v>
      </c>
      <c r="C28" s="115" t="s">
        <v>67</v>
      </c>
      <c r="D28" s="56"/>
      <c r="E28" s="56"/>
      <c r="F28" s="117">
        <f t="shared" si="0"/>
        <v>0</v>
      </c>
      <c r="G28" s="99"/>
      <c r="H28" s="132"/>
    </row>
    <row r="29" spans="1:8">
      <c r="A29" s="115">
        <v>5</v>
      </c>
      <c r="B29" s="51" t="s">
        <v>17</v>
      </c>
      <c r="C29" s="115" t="s">
        <v>67</v>
      </c>
      <c r="D29" s="56"/>
      <c r="E29" s="56"/>
      <c r="F29" s="117">
        <f t="shared" si="0"/>
        <v>0</v>
      </c>
      <c r="G29" s="99"/>
      <c r="H29" s="132"/>
    </row>
    <row r="30" spans="1:8">
      <c r="A30" s="115">
        <v>6</v>
      </c>
      <c r="B30" s="51" t="s">
        <v>18</v>
      </c>
      <c r="C30" s="115" t="s">
        <v>67</v>
      </c>
      <c r="D30" s="56"/>
      <c r="E30" s="56"/>
      <c r="F30" s="117">
        <f t="shared" si="0"/>
        <v>0</v>
      </c>
      <c r="G30" s="99"/>
      <c r="H30" s="132"/>
    </row>
    <row r="31" spans="1:8">
      <c r="A31" s="115"/>
      <c r="B31" s="145" t="s">
        <v>110</v>
      </c>
      <c r="C31" s="324"/>
      <c r="D31" s="324"/>
      <c r="E31" s="324"/>
      <c r="F31" s="146">
        <f>SUM(F25:F30)</f>
        <v>0</v>
      </c>
      <c r="G31" s="147"/>
      <c r="H31" s="132"/>
    </row>
    <row r="32" spans="1:8">
      <c r="A32" s="51"/>
      <c r="B32" s="121" t="s">
        <v>111</v>
      </c>
      <c r="C32" s="321"/>
      <c r="D32" s="321"/>
      <c r="E32" s="321"/>
      <c r="F32" s="123">
        <v>460</v>
      </c>
      <c r="G32" s="148"/>
      <c r="H32" s="132"/>
    </row>
    <row r="33" spans="1:8">
      <c r="A33" s="51"/>
      <c r="B33" s="121" t="s">
        <v>112</v>
      </c>
      <c r="C33" s="321"/>
      <c r="D33" s="321"/>
      <c r="E33" s="321"/>
      <c r="F33" s="123">
        <v>560</v>
      </c>
      <c r="G33" s="148"/>
      <c r="H33" s="132"/>
    </row>
    <row r="34" spans="1:8">
      <c r="A34" s="51"/>
      <c r="B34" s="121" t="s">
        <v>113</v>
      </c>
      <c r="C34" s="321"/>
      <c r="D34" s="321"/>
      <c r="E34" s="321"/>
      <c r="F34" s="123">
        <v>640</v>
      </c>
      <c r="G34" s="148"/>
      <c r="H34" s="132"/>
    </row>
    <row r="35" spans="1:8">
      <c r="A35" s="51"/>
      <c r="B35" s="121" t="s">
        <v>114</v>
      </c>
      <c r="C35" s="321"/>
      <c r="D35" s="321"/>
      <c r="E35" s="321"/>
      <c r="F35" s="123">
        <f>SUM(F31-6000)*0.38</f>
        <v>-2280</v>
      </c>
      <c r="G35" s="148"/>
      <c r="H35" s="132"/>
    </row>
    <row r="36" spans="1:8">
      <c r="A36" s="51"/>
      <c r="B36" s="121" t="s">
        <v>115</v>
      </c>
      <c r="C36" s="321"/>
      <c r="D36" s="321"/>
      <c r="E36" s="321"/>
      <c r="F36" s="123">
        <f>F31*0.065</f>
        <v>0</v>
      </c>
      <c r="G36" s="148"/>
      <c r="H36" s="132"/>
    </row>
    <row r="37" spans="1:8">
      <c r="A37" s="51"/>
      <c r="B37" s="125" t="s">
        <v>100</v>
      </c>
      <c r="C37" s="327"/>
      <c r="D37" s="327"/>
      <c r="E37" s="327"/>
      <c r="F37" s="127">
        <f>SUM(F32:F36)</f>
        <v>-620</v>
      </c>
      <c r="G37" s="150">
        <f>'dec. 1 to 31'!G37</f>
        <v>281577</v>
      </c>
      <c r="H37" s="132"/>
    </row>
    <row r="38" spans="1:8">
      <c r="A38" s="113" t="s">
        <v>69</v>
      </c>
      <c r="B38" s="114" t="s">
        <v>70</v>
      </c>
      <c r="C38" s="151"/>
      <c r="D38" s="151"/>
      <c r="E38" s="151"/>
      <c r="F38" s="143"/>
      <c r="G38" s="144"/>
      <c r="H38" s="132"/>
    </row>
    <row r="39" spans="1:8">
      <c r="A39" s="115">
        <v>1</v>
      </c>
      <c r="B39" s="151" t="s">
        <v>71</v>
      </c>
      <c r="C39" s="328"/>
      <c r="D39" s="328"/>
      <c r="E39" s="328"/>
      <c r="F39" s="146"/>
      <c r="G39" s="147"/>
      <c r="H39" s="132"/>
    </row>
    <row r="40" spans="1:8">
      <c r="A40" s="115"/>
      <c r="B40" s="151"/>
      <c r="C40" s="152" t="s">
        <v>116</v>
      </c>
      <c r="D40" s="56"/>
      <c r="E40" s="56"/>
      <c r="F40" s="119">
        <f>E40-D40</f>
        <v>0</v>
      </c>
      <c r="G40" s="147"/>
      <c r="H40" s="132"/>
    </row>
    <row r="41" spans="1:8">
      <c r="A41" s="115"/>
      <c r="B41" s="151"/>
      <c r="C41" s="153" t="s">
        <v>117</v>
      </c>
      <c r="D41" s="56"/>
      <c r="E41" s="56"/>
      <c r="F41" s="146">
        <f>F40*3.7</f>
        <v>0</v>
      </c>
      <c r="G41" s="147"/>
      <c r="H41" s="132"/>
    </row>
    <row r="42" spans="1:8">
      <c r="A42" s="115"/>
      <c r="B42" s="125" t="s">
        <v>118</v>
      </c>
      <c r="C42" s="327"/>
      <c r="D42" s="327"/>
      <c r="E42" s="327"/>
      <c r="F42" s="127">
        <f>F41*2.5</f>
        <v>0</v>
      </c>
      <c r="G42" s="154">
        <f>'dec. 1 to 31'!G42</f>
        <v>13040</v>
      </c>
      <c r="H42" s="132"/>
    </row>
    <row r="43" spans="1:8">
      <c r="A43" s="155"/>
      <c r="B43" s="155"/>
      <c r="C43" s="156"/>
      <c r="D43" s="155"/>
      <c r="E43" s="155"/>
      <c r="F43" s="157"/>
      <c r="G43" s="157"/>
      <c r="H43" s="157"/>
    </row>
    <row r="44" spans="1:8" ht="21">
      <c r="A44" s="89"/>
      <c r="B44" s="329" t="s">
        <v>75</v>
      </c>
      <c r="C44" s="329"/>
      <c r="D44" s="329"/>
      <c r="E44" s="329"/>
      <c r="F44" s="100"/>
      <c r="G44" s="100"/>
      <c r="H44" s="100"/>
    </row>
    <row r="45" spans="1:8" ht="21">
      <c r="A45" s="89"/>
      <c r="B45" s="158" t="s">
        <v>76</v>
      </c>
      <c r="C45" s="158" t="s">
        <v>77</v>
      </c>
      <c r="D45" s="158" t="s">
        <v>78</v>
      </c>
      <c r="E45" s="158" t="s">
        <v>119</v>
      </c>
      <c r="F45" s="100"/>
      <c r="G45" s="100"/>
      <c r="H45" s="100"/>
    </row>
    <row r="46" spans="1:8">
      <c r="A46" s="155"/>
      <c r="B46" s="92" t="s">
        <v>80</v>
      </c>
      <c r="C46" s="92" t="s">
        <v>58</v>
      </c>
      <c r="D46" s="93">
        <f>F9</f>
        <v>0</v>
      </c>
      <c r="E46" s="94">
        <f>F12</f>
        <v>0</v>
      </c>
      <c r="F46" s="159"/>
      <c r="G46" s="159"/>
      <c r="H46" s="159"/>
    </row>
    <row r="47" spans="1:8">
      <c r="A47" s="155"/>
      <c r="B47" s="92" t="s">
        <v>81</v>
      </c>
      <c r="C47" s="92" t="s">
        <v>120</v>
      </c>
      <c r="D47" s="93">
        <f>F17</f>
        <v>0</v>
      </c>
      <c r="E47" s="94">
        <f>F23</f>
        <v>-170</v>
      </c>
      <c r="F47" s="159"/>
      <c r="G47" s="159"/>
      <c r="H47" s="159"/>
    </row>
    <row r="48" spans="1:8">
      <c r="A48" s="155"/>
      <c r="B48" s="92" t="s">
        <v>83</v>
      </c>
      <c r="C48" s="92" t="s">
        <v>121</v>
      </c>
      <c r="D48" s="93">
        <f>F31</f>
        <v>0</v>
      </c>
      <c r="E48" s="94">
        <f>F37</f>
        <v>-620</v>
      </c>
      <c r="F48" s="159"/>
      <c r="G48" s="159"/>
      <c r="H48" s="159"/>
    </row>
    <row r="49" spans="1:8">
      <c r="A49" s="155"/>
      <c r="B49" s="92" t="s">
        <v>85</v>
      </c>
      <c r="C49" s="152" t="s">
        <v>116</v>
      </c>
      <c r="D49" s="93">
        <f>F40</f>
        <v>0</v>
      </c>
      <c r="E49" s="94">
        <f>F42</f>
        <v>0</v>
      </c>
      <c r="F49" s="159"/>
      <c r="G49" s="159"/>
      <c r="H49" s="159"/>
    </row>
    <row r="50" spans="1:8" ht="15.75">
      <c r="A50" s="155"/>
      <c r="B50" s="86"/>
      <c r="C50" s="86"/>
      <c r="D50" s="160" t="s">
        <v>122</v>
      </c>
      <c r="E50" s="161">
        <f>SUM(E46:E49)</f>
        <v>-790</v>
      </c>
      <c r="F50" s="162"/>
      <c r="G50" s="162"/>
      <c r="H50" s="162"/>
    </row>
  </sheetData>
  <mergeCells count="33"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  <mergeCell ref="C21:E21"/>
    <mergeCell ref="C22:E22"/>
    <mergeCell ref="C23:E23"/>
    <mergeCell ref="C24:E24"/>
    <mergeCell ref="C31:E31"/>
    <mergeCell ref="C15:E15"/>
    <mergeCell ref="G16:H16"/>
    <mergeCell ref="C18:E18"/>
    <mergeCell ref="C19:E19"/>
    <mergeCell ref="C20:E20"/>
    <mergeCell ref="C10:E10"/>
    <mergeCell ref="C11:E11"/>
    <mergeCell ref="C12:E12"/>
    <mergeCell ref="C13:E13"/>
    <mergeCell ref="B14:E14"/>
    <mergeCell ref="A1:G2"/>
    <mergeCell ref="A3:G3"/>
    <mergeCell ref="A4:C4"/>
    <mergeCell ref="G4:H4"/>
    <mergeCell ref="A5:A6"/>
    <mergeCell ref="B5:B6"/>
    <mergeCell ref="F5:F6"/>
    <mergeCell ref="G5:G6"/>
    <mergeCell ref="H5:H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328125" defaultRowHeight="14.25"/>
  <cols>
    <col min="1" max="1" width="5.59765625" style="39" customWidth="1"/>
    <col min="2" max="2" width="38.265625" style="39" customWidth="1"/>
    <col min="3" max="3" width="21.59765625" style="39" customWidth="1"/>
    <col min="4" max="4" width="20.1328125" style="39" customWidth="1"/>
    <col min="5" max="5" width="20.265625" style="39" customWidth="1"/>
    <col min="6" max="6" width="21.265625" style="102" customWidth="1"/>
    <col min="7" max="7" width="20" style="102" customWidth="1"/>
    <col min="8" max="10" width="9.1328125" style="39"/>
    <col min="11" max="16" width="10.59765625" style="39" customWidth="1"/>
    <col min="17" max="16384" width="9.1328125" style="39"/>
  </cols>
  <sheetData>
    <row r="1" spans="1:14" ht="15" customHeight="1">
      <c r="A1" s="331" t="s">
        <v>45</v>
      </c>
      <c r="B1" s="331"/>
      <c r="C1" s="331"/>
      <c r="D1" s="331"/>
      <c r="E1" s="331"/>
      <c r="F1" s="331"/>
      <c r="G1" s="331"/>
    </row>
    <row r="2" spans="1:14" ht="10.5" customHeight="1">
      <c r="A2" s="331"/>
      <c r="B2" s="331"/>
      <c r="C2" s="331"/>
      <c r="D2" s="331"/>
      <c r="E2" s="331"/>
      <c r="F2" s="331"/>
      <c r="G2" s="331"/>
    </row>
    <row r="3" spans="1:14" ht="21.75" customHeight="1">
      <c r="A3" s="332" t="s">
        <v>47</v>
      </c>
      <c r="B3" s="332"/>
      <c r="C3" s="332"/>
      <c r="D3" s="332"/>
      <c r="E3" s="332"/>
      <c r="F3" s="332"/>
      <c r="G3" s="332"/>
    </row>
    <row r="4" spans="1:14" ht="35.25">
      <c r="A4" s="333" t="s">
        <v>123</v>
      </c>
      <c r="B4" s="333"/>
      <c r="C4" s="163" t="s">
        <v>124</v>
      </c>
      <c r="D4" s="107"/>
      <c r="E4" s="164" t="s">
        <v>88</v>
      </c>
      <c r="F4" s="334"/>
      <c r="G4" s="334"/>
    </row>
    <row r="5" spans="1:14" ht="27.75" customHeight="1">
      <c r="A5" s="165" t="s">
        <v>49</v>
      </c>
      <c r="B5" s="109" t="s">
        <v>50</v>
      </c>
      <c r="C5" s="108"/>
      <c r="D5" s="110" t="s">
        <v>90</v>
      </c>
      <c r="E5" s="110" t="s">
        <v>91</v>
      </c>
      <c r="F5" s="335" t="s">
        <v>125</v>
      </c>
      <c r="G5" s="336" t="s">
        <v>93</v>
      </c>
      <c r="N5" s="16"/>
    </row>
    <row r="6" spans="1:14" ht="21.75" customHeight="1">
      <c r="A6" s="166"/>
      <c r="B6" s="167"/>
      <c r="C6" s="111"/>
      <c r="D6" s="112" t="s">
        <v>126</v>
      </c>
      <c r="E6" s="112" t="s">
        <v>127</v>
      </c>
      <c r="F6" s="335"/>
      <c r="G6" s="336"/>
    </row>
    <row r="7" spans="1:14">
      <c r="A7" s="168">
        <v>1</v>
      </c>
      <c r="B7" s="114" t="s">
        <v>55</v>
      </c>
      <c r="C7" s="115"/>
      <c r="D7" s="51"/>
      <c r="E7" s="51"/>
      <c r="F7" s="169"/>
      <c r="G7" s="170"/>
      <c r="N7" s="16" t="s">
        <v>22</v>
      </c>
    </row>
    <row r="8" spans="1:14">
      <c r="A8" s="171"/>
      <c r="B8" s="51" t="s">
        <v>56</v>
      </c>
      <c r="C8" s="115" t="s">
        <v>57</v>
      </c>
      <c r="D8" s="56">
        <v>53446.3</v>
      </c>
      <c r="E8" s="56">
        <v>53446.3</v>
      </c>
      <c r="F8" s="172">
        <f>E8-D8</f>
        <v>0</v>
      </c>
      <c r="G8" s="173"/>
    </row>
    <row r="9" spans="1:14" ht="15">
      <c r="A9" s="171"/>
      <c r="B9" s="51"/>
      <c r="C9" s="63" t="s">
        <v>97</v>
      </c>
      <c r="D9" s="118"/>
      <c r="E9" s="118"/>
      <c r="F9" s="174">
        <f>F8*284.35</f>
        <v>0</v>
      </c>
      <c r="G9" s="175"/>
    </row>
    <row r="10" spans="1:14" ht="15">
      <c r="A10" s="171"/>
      <c r="B10" s="121" t="s">
        <v>98</v>
      </c>
      <c r="C10" s="122"/>
      <c r="D10" s="176"/>
      <c r="E10" s="176"/>
      <c r="F10" s="177">
        <f>F9*0.568</f>
        <v>0</v>
      </c>
      <c r="G10" s="178"/>
    </row>
    <row r="11" spans="1:14" ht="15">
      <c r="A11" s="171"/>
      <c r="B11" s="121" t="s">
        <v>99</v>
      </c>
      <c r="C11" s="122"/>
      <c r="D11" s="176"/>
      <c r="E11" s="176"/>
      <c r="F11" s="177">
        <f>F9*0.075</f>
        <v>0</v>
      </c>
      <c r="G11" s="178"/>
    </row>
    <row r="12" spans="1:14" ht="15">
      <c r="A12" s="171"/>
      <c r="B12" s="125" t="s">
        <v>100</v>
      </c>
      <c r="C12" s="126"/>
      <c r="D12" s="179"/>
      <c r="E12" s="179"/>
      <c r="F12" s="180">
        <f>F10+F11</f>
        <v>0</v>
      </c>
      <c r="G12" s="128">
        <v>250000</v>
      </c>
    </row>
    <row r="13" spans="1:14" ht="15">
      <c r="A13" s="171"/>
      <c r="B13" s="125" t="s">
        <v>128</v>
      </c>
      <c r="C13" s="126"/>
      <c r="D13" s="179"/>
      <c r="E13" s="179"/>
      <c r="F13" s="180">
        <f>(3082.2*30)</f>
        <v>92466</v>
      </c>
      <c r="G13" s="128">
        <v>95548.2</v>
      </c>
    </row>
    <row r="14" spans="1:14" ht="15">
      <c r="A14" s="171"/>
      <c r="B14" s="181"/>
      <c r="C14" s="63"/>
      <c r="D14" s="118"/>
      <c r="E14" s="118"/>
      <c r="F14" s="182">
        <f>(F12+F13)</f>
        <v>92466</v>
      </c>
      <c r="G14" s="131">
        <f>SUM(G12:G13)</f>
        <v>345548.2</v>
      </c>
    </row>
    <row r="15" spans="1:14">
      <c r="A15" s="168" t="s">
        <v>59</v>
      </c>
      <c r="B15" s="114" t="s">
        <v>60</v>
      </c>
      <c r="C15" s="115"/>
      <c r="D15" s="56"/>
      <c r="E15" s="56"/>
      <c r="F15" s="183"/>
      <c r="G15" s="184"/>
    </row>
    <row r="16" spans="1:14">
      <c r="A16" s="185"/>
      <c r="B16" s="64" t="s">
        <v>61</v>
      </c>
      <c r="C16" s="65" t="s">
        <v>62</v>
      </c>
      <c r="D16" s="56">
        <v>203437</v>
      </c>
      <c r="E16" s="56">
        <v>203437</v>
      </c>
      <c r="F16" s="172">
        <f>E16-D16</f>
        <v>0</v>
      </c>
      <c r="G16" s="173"/>
    </row>
    <row r="17" spans="1:16" ht="27">
      <c r="A17" s="185"/>
      <c r="B17" s="64"/>
      <c r="C17" s="65" t="s">
        <v>129</v>
      </c>
      <c r="D17" s="56"/>
      <c r="E17" s="56"/>
      <c r="F17" s="186">
        <f>F16*219.969</f>
        <v>0</v>
      </c>
      <c r="G17" s="187"/>
    </row>
    <row r="18" spans="1:16">
      <c r="A18" s="185"/>
      <c r="B18" s="121" t="s">
        <v>105</v>
      </c>
      <c r="C18" s="188"/>
      <c r="D18" s="189"/>
      <c r="E18" s="189"/>
      <c r="F18" s="139">
        <v>350</v>
      </c>
      <c r="G18" s="190"/>
    </row>
    <row r="19" spans="1:16">
      <c r="A19" s="185"/>
      <c r="B19" s="121" t="s">
        <v>106</v>
      </c>
      <c r="C19" s="188"/>
      <c r="D19" s="189"/>
      <c r="E19" s="189"/>
      <c r="F19" s="139">
        <v>400</v>
      </c>
      <c r="G19" s="190"/>
    </row>
    <row r="20" spans="1:16">
      <c r="A20" s="185"/>
      <c r="B20" s="121" t="s">
        <v>107</v>
      </c>
      <c r="C20" s="188"/>
      <c r="D20" s="189"/>
      <c r="E20" s="189"/>
      <c r="F20" s="139">
        <f>SUM(F17-20000)*0.046</f>
        <v>-920</v>
      </c>
      <c r="G20" s="190"/>
    </row>
    <row r="21" spans="1:16">
      <c r="A21" s="185"/>
      <c r="B21" s="121" t="s">
        <v>108</v>
      </c>
      <c r="C21" s="188"/>
      <c r="D21" s="189"/>
      <c r="E21" s="189"/>
      <c r="F21" s="139">
        <f>F17*0.005</f>
        <v>0</v>
      </c>
      <c r="G21" s="190"/>
    </row>
    <row r="22" spans="1:16">
      <c r="A22" s="185"/>
      <c r="B22" s="121" t="s">
        <v>109</v>
      </c>
      <c r="C22" s="188"/>
      <c r="D22" s="189"/>
      <c r="E22" s="189"/>
      <c r="F22" s="139">
        <f>F17*0.01</f>
        <v>0</v>
      </c>
      <c r="G22" s="190"/>
    </row>
    <row r="23" spans="1:16">
      <c r="A23" s="185"/>
      <c r="B23" s="125" t="s">
        <v>100</v>
      </c>
      <c r="C23" s="140"/>
      <c r="D23" s="191"/>
      <c r="E23" s="191"/>
      <c r="F23" s="192">
        <f>SUM(F18:F22)</f>
        <v>-170</v>
      </c>
      <c r="G23" s="193">
        <v>59385</v>
      </c>
    </row>
    <row r="24" spans="1:16">
      <c r="A24" s="168" t="s">
        <v>65</v>
      </c>
      <c r="B24" s="114" t="s">
        <v>66</v>
      </c>
      <c r="C24" s="115"/>
      <c r="D24" s="56"/>
      <c r="E24" s="56"/>
      <c r="F24" s="194"/>
      <c r="G24" s="195"/>
      <c r="K24" s="196">
        <v>1</v>
      </c>
      <c r="L24" s="196">
        <v>2</v>
      </c>
      <c r="M24" s="196">
        <v>3</v>
      </c>
      <c r="N24" s="196">
        <v>4</v>
      </c>
      <c r="O24" s="196">
        <v>6</v>
      </c>
      <c r="P24" s="196">
        <v>7</v>
      </c>
    </row>
    <row r="25" spans="1:16">
      <c r="A25" s="171">
        <v>1</v>
      </c>
      <c r="B25" s="51" t="s">
        <v>130</v>
      </c>
      <c r="C25" s="115" t="s">
        <v>67</v>
      </c>
      <c r="D25" s="56">
        <v>6559.3</v>
      </c>
      <c r="E25" s="56">
        <v>6559.3</v>
      </c>
      <c r="F25" s="172">
        <f t="shared" ref="F25:F30" si="0">(E25-D25)*480</f>
        <v>0</v>
      </c>
      <c r="G25" s="173"/>
      <c r="H25" s="39">
        <f t="shared" ref="H25:H30" si="1">(F25*0.065)</f>
        <v>0</v>
      </c>
      <c r="K25" s="39">
        <f>H25</f>
        <v>0</v>
      </c>
      <c r="L25" s="39">
        <f>H26</f>
        <v>0</v>
      </c>
      <c r="M25" s="39">
        <f>H27</f>
        <v>0</v>
      </c>
      <c r="N25" s="39">
        <f>H28</f>
        <v>0</v>
      </c>
      <c r="O25" s="39">
        <f>H29</f>
        <v>0</v>
      </c>
      <c r="P25" s="39">
        <f>H30</f>
        <v>0</v>
      </c>
    </row>
    <row r="26" spans="1:16">
      <c r="A26" s="171">
        <v>2</v>
      </c>
      <c r="B26" s="51" t="s">
        <v>131</v>
      </c>
      <c r="C26" s="115" t="s">
        <v>67</v>
      </c>
      <c r="D26" s="56">
        <v>3966.1</v>
      </c>
      <c r="E26" s="56">
        <v>3966.1</v>
      </c>
      <c r="F26" s="172">
        <f t="shared" si="0"/>
        <v>0</v>
      </c>
      <c r="G26" s="173"/>
      <c r="H26" s="39">
        <f t="shared" si="1"/>
        <v>0</v>
      </c>
      <c r="K26" s="39">
        <v>1660</v>
      </c>
      <c r="L26" s="39">
        <v>1660</v>
      </c>
      <c r="M26" s="39">
        <v>1660</v>
      </c>
      <c r="N26" s="39">
        <v>1660</v>
      </c>
      <c r="O26" s="39">
        <v>1660</v>
      </c>
      <c r="P26" s="39">
        <v>1660</v>
      </c>
    </row>
    <row r="27" spans="1:16">
      <c r="A27" s="171">
        <v>3</v>
      </c>
      <c r="B27" s="51" t="s">
        <v>132</v>
      </c>
      <c r="C27" s="115" t="s">
        <v>67</v>
      </c>
      <c r="D27" s="56">
        <v>4228.8999999999996</v>
      </c>
      <c r="E27" s="56">
        <v>4228.8999999999996</v>
      </c>
      <c r="F27" s="172">
        <f t="shared" si="0"/>
        <v>0</v>
      </c>
      <c r="G27" s="173"/>
      <c r="H27" s="39">
        <f t="shared" si="1"/>
        <v>0</v>
      </c>
      <c r="K27" s="197">
        <f>SUM(F25-6000)*0.38</f>
        <v>-2280</v>
      </c>
      <c r="L27" s="197">
        <f>SUM(F26-6000)*0.38</f>
        <v>-2280</v>
      </c>
      <c r="M27" s="197">
        <f>SUM(F27-6000)*0.38</f>
        <v>-2280</v>
      </c>
      <c r="N27" s="197">
        <f>SUM(F28-6000)*0.38</f>
        <v>-2280</v>
      </c>
      <c r="O27" s="197">
        <f>SUM(F29-6000)*0.38</f>
        <v>-2280</v>
      </c>
      <c r="P27" s="197">
        <f>SUM(F30-6000)*0.38</f>
        <v>-2280</v>
      </c>
    </row>
    <row r="28" spans="1:16">
      <c r="A28" s="171">
        <v>4</v>
      </c>
      <c r="B28" s="51" t="s">
        <v>133</v>
      </c>
      <c r="C28" s="115" t="s">
        <v>67</v>
      </c>
      <c r="D28" s="56">
        <v>2358.9</v>
      </c>
      <c r="E28" s="56">
        <v>2358.9</v>
      </c>
      <c r="F28" s="172">
        <f t="shared" si="0"/>
        <v>0</v>
      </c>
      <c r="G28" s="173"/>
      <c r="H28" s="39">
        <f t="shared" si="1"/>
        <v>0</v>
      </c>
      <c r="K28" s="198">
        <f t="shared" ref="K28:P28" si="2">SUM(K25:K27)</f>
        <v>-620</v>
      </c>
      <c r="L28" s="198">
        <f t="shared" si="2"/>
        <v>-620</v>
      </c>
      <c r="M28" s="198">
        <f t="shared" si="2"/>
        <v>-620</v>
      </c>
      <c r="N28" s="198">
        <f t="shared" si="2"/>
        <v>-620</v>
      </c>
      <c r="O28" s="198">
        <f t="shared" si="2"/>
        <v>-620</v>
      </c>
      <c r="P28" s="198">
        <f t="shared" si="2"/>
        <v>-620</v>
      </c>
    </row>
    <row r="29" spans="1:16">
      <c r="A29" s="171">
        <v>5</v>
      </c>
      <c r="B29" s="51" t="s">
        <v>134</v>
      </c>
      <c r="C29" s="115" t="s">
        <v>67</v>
      </c>
      <c r="D29" s="56">
        <v>5569.2</v>
      </c>
      <c r="E29" s="56">
        <v>5569.2</v>
      </c>
      <c r="F29" s="172">
        <f t="shared" si="0"/>
        <v>0</v>
      </c>
      <c r="G29" s="173"/>
      <c r="H29" s="39">
        <f t="shared" si="1"/>
        <v>0</v>
      </c>
    </row>
    <row r="30" spans="1:16">
      <c r="A30" s="171">
        <v>6</v>
      </c>
      <c r="B30" s="51" t="s">
        <v>135</v>
      </c>
      <c r="C30" s="115" t="s">
        <v>67</v>
      </c>
      <c r="D30" s="56">
        <v>15010.6</v>
      </c>
      <c r="E30" s="56">
        <v>15010.6</v>
      </c>
      <c r="F30" s="172">
        <f t="shared" si="0"/>
        <v>0</v>
      </c>
      <c r="G30" s="173"/>
      <c r="H30" s="39">
        <f t="shared" si="1"/>
        <v>0</v>
      </c>
    </row>
    <row r="31" spans="1:16">
      <c r="A31" s="171"/>
      <c r="B31" s="145" t="s">
        <v>110</v>
      </c>
      <c r="C31" s="115"/>
      <c r="D31" s="56"/>
      <c r="E31" s="56"/>
      <c r="F31" s="199">
        <f>SUM(F25:F30)</f>
        <v>0</v>
      </c>
      <c r="G31" s="200"/>
    </row>
    <row r="32" spans="1:16">
      <c r="A32" s="201"/>
      <c r="B32" s="121" t="s">
        <v>111</v>
      </c>
      <c r="C32" s="202"/>
      <c r="D32" s="203"/>
      <c r="E32" s="203"/>
      <c r="F32" s="177">
        <v>460</v>
      </c>
      <c r="G32" s="178"/>
    </row>
    <row r="33" spans="1:7">
      <c r="A33" s="201"/>
      <c r="B33" s="121" t="s">
        <v>112</v>
      </c>
      <c r="C33" s="202"/>
      <c r="D33" s="203"/>
      <c r="E33" s="203"/>
      <c r="F33" s="177">
        <v>560</v>
      </c>
      <c r="G33" s="178"/>
    </row>
    <row r="34" spans="1:7">
      <c r="A34" s="201"/>
      <c r="B34" s="121" t="s">
        <v>113</v>
      </c>
      <c r="C34" s="202"/>
      <c r="D34" s="203"/>
      <c r="E34" s="203"/>
      <c r="F34" s="177">
        <v>640</v>
      </c>
      <c r="G34" s="178"/>
    </row>
    <row r="35" spans="1:7">
      <c r="A35" s="201"/>
      <c r="B35" s="121" t="s">
        <v>114</v>
      </c>
      <c r="C35" s="202"/>
      <c r="D35" s="203"/>
      <c r="E35" s="203"/>
      <c r="F35" s="177">
        <f>SUM(F31-6000)*0.38</f>
        <v>-2280</v>
      </c>
      <c r="G35" s="178"/>
    </row>
    <row r="36" spans="1:7">
      <c r="A36" s="201"/>
      <c r="B36" s="121" t="s">
        <v>115</v>
      </c>
      <c r="C36" s="202"/>
      <c r="D36" s="203"/>
      <c r="E36" s="203"/>
      <c r="F36" s="177">
        <f>F31*0.065</f>
        <v>0</v>
      </c>
      <c r="G36" s="178"/>
    </row>
    <row r="37" spans="1:7">
      <c r="A37" s="201"/>
      <c r="B37" s="125" t="s">
        <v>100</v>
      </c>
      <c r="C37" s="149"/>
      <c r="D37" s="204"/>
      <c r="E37" s="204"/>
      <c r="F37" s="180">
        <f>SUM(F32:F36)</f>
        <v>-620</v>
      </c>
      <c r="G37" s="128">
        <v>281577</v>
      </c>
    </row>
    <row r="38" spans="1:7">
      <c r="A38" s="168" t="s">
        <v>69</v>
      </c>
      <c r="B38" s="114" t="s">
        <v>70</v>
      </c>
      <c r="C38" s="115"/>
      <c r="D38" s="77"/>
      <c r="E38" s="77"/>
      <c r="F38" s="194"/>
      <c r="G38" s="195"/>
    </row>
    <row r="39" spans="1:7">
      <c r="A39" s="171">
        <v>1</v>
      </c>
      <c r="B39" s="151" t="s">
        <v>71</v>
      </c>
      <c r="C39" s="153"/>
      <c r="D39" s="56"/>
      <c r="E39" s="56"/>
      <c r="F39" s="199"/>
      <c r="G39" s="200"/>
    </row>
    <row r="40" spans="1:7">
      <c r="A40" s="171"/>
      <c r="B40" s="151"/>
      <c r="C40" s="152" t="s">
        <v>116</v>
      </c>
      <c r="D40" s="56">
        <v>89987.4</v>
      </c>
      <c r="E40" s="56">
        <v>89987.4</v>
      </c>
      <c r="F40" s="174">
        <f>E40-D40</f>
        <v>0</v>
      </c>
      <c r="G40" s="200"/>
    </row>
    <row r="41" spans="1:7">
      <c r="A41" s="171"/>
      <c r="B41" s="151"/>
      <c r="C41" s="153" t="s">
        <v>117</v>
      </c>
      <c r="D41" s="56"/>
      <c r="E41" s="56"/>
      <c r="F41" s="146">
        <f>F40*3.7</f>
        <v>0</v>
      </c>
      <c r="G41" s="200"/>
    </row>
    <row r="42" spans="1:7">
      <c r="A42" s="205"/>
      <c r="B42" s="206" t="s">
        <v>118</v>
      </c>
      <c r="C42" s="207"/>
      <c r="D42" s="208"/>
      <c r="E42" s="208"/>
      <c r="F42" s="209">
        <f>F41*2.5</f>
        <v>0</v>
      </c>
      <c r="G42" s="210">
        <v>13040</v>
      </c>
    </row>
    <row r="43" spans="1:7" ht="11.25" customHeight="1">
      <c r="A43" s="155"/>
      <c r="B43" s="155"/>
      <c r="C43" s="156"/>
      <c r="D43" s="155"/>
      <c r="E43" s="155"/>
      <c r="F43" s="157"/>
      <c r="G43" s="157"/>
    </row>
    <row r="44" spans="1:7" ht="18.75" customHeight="1">
      <c r="A44" s="89"/>
      <c r="B44" s="330" t="s">
        <v>75</v>
      </c>
      <c r="C44" s="330"/>
      <c r="D44" s="330"/>
      <c r="E44" s="330"/>
      <c r="F44" s="100"/>
      <c r="G44" s="100"/>
    </row>
    <row r="45" spans="1:7" ht="18.75" customHeight="1">
      <c r="A45" s="89"/>
      <c r="B45" s="211" t="s">
        <v>76</v>
      </c>
      <c r="C45" s="211" t="s">
        <v>77</v>
      </c>
      <c r="D45" s="211" t="s">
        <v>78</v>
      </c>
      <c r="E45" s="211" t="s">
        <v>119</v>
      </c>
      <c r="F45" s="100"/>
      <c r="G45" s="100"/>
    </row>
    <row r="46" spans="1:7">
      <c r="A46" s="155"/>
      <c r="B46" s="92" t="s">
        <v>80</v>
      </c>
      <c r="C46" s="92" t="s">
        <v>58</v>
      </c>
      <c r="D46" s="93">
        <f>F9</f>
        <v>0</v>
      </c>
      <c r="E46" s="94">
        <f>F12</f>
        <v>0</v>
      </c>
      <c r="F46" s="159"/>
      <c r="G46" s="159"/>
    </row>
    <row r="47" spans="1:7">
      <c r="A47" s="155"/>
      <c r="B47" s="92" t="s">
        <v>81</v>
      </c>
      <c r="C47" s="92" t="s">
        <v>120</v>
      </c>
      <c r="D47" s="93">
        <f>F17</f>
        <v>0</v>
      </c>
      <c r="E47" s="94">
        <f>F23</f>
        <v>-170</v>
      </c>
      <c r="F47" s="159"/>
      <c r="G47" s="159"/>
    </row>
    <row r="48" spans="1:7">
      <c r="A48" s="155"/>
      <c r="B48" s="92" t="s">
        <v>83</v>
      </c>
      <c r="C48" s="92" t="s">
        <v>121</v>
      </c>
      <c r="D48" s="93">
        <f>F31</f>
        <v>0</v>
      </c>
      <c r="E48" s="94">
        <f>F37</f>
        <v>-620</v>
      </c>
      <c r="F48" s="159"/>
      <c r="G48" s="159"/>
    </row>
    <row r="49" spans="1:7">
      <c r="A49" s="155"/>
      <c r="B49" s="92" t="s">
        <v>85</v>
      </c>
      <c r="C49" s="152" t="s">
        <v>116</v>
      </c>
      <c r="D49" s="93">
        <f>F40</f>
        <v>0</v>
      </c>
      <c r="E49" s="94">
        <f>F42</f>
        <v>0</v>
      </c>
      <c r="F49" s="159"/>
      <c r="G49" s="159"/>
    </row>
    <row r="50" spans="1:7" ht="15.75">
      <c r="A50" s="155"/>
      <c r="B50" s="86"/>
      <c r="C50" s="86"/>
      <c r="D50" s="160" t="s">
        <v>122</v>
      </c>
      <c r="E50" s="161">
        <f>SUM(E46:E49)</f>
        <v>-790</v>
      </c>
      <c r="F50" s="162"/>
      <c r="G50" s="162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328125" defaultRowHeight="26.25"/>
  <cols>
    <col min="1" max="1" width="39.3984375" style="212" customWidth="1"/>
    <col min="2" max="32" width="16.6640625" style="213" customWidth="1"/>
    <col min="33" max="35" width="9.1328125" style="213"/>
    <col min="36" max="36" width="24.6640625" style="213" customWidth="1"/>
    <col min="37" max="16384" width="9.1328125" style="213"/>
  </cols>
  <sheetData>
    <row r="1" spans="1:43">
      <c r="A1" s="214" t="s">
        <v>22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</row>
    <row r="2" spans="1:43">
      <c r="A2" s="216" t="s">
        <v>136</v>
      </c>
      <c r="B2" s="217">
        <v>1</v>
      </c>
      <c r="C2" s="217">
        <v>2</v>
      </c>
      <c r="D2" s="217">
        <v>3</v>
      </c>
      <c r="E2" s="217">
        <v>4</v>
      </c>
      <c r="F2" s="217">
        <v>5</v>
      </c>
      <c r="G2" s="217">
        <v>6</v>
      </c>
      <c r="H2" s="217">
        <v>7</v>
      </c>
      <c r="I2" s="217">
        <v>8</v>
      </c>
      <c r="J2" s="217">
        <v>9</v>
      </c>
      <c r="K2" s="217">
        <v>10</v>
      </c>
      <c r="L2" s="217">
        <v>11</v>
      </c>
      <c r="M2" s="217">
        <v>12</v>
      </c>
      <c r="N2" s="217">
        <v>13</v>
      </c>
      <c r="O2" s="217">
        <v>14</v>
      </c>
      <c r="P2" s="217">
        <v>15</v>
      </c>
      <c r="Q2" s="217">
        <v>16</v>
      </c>
      <c r="R2" s="217">
        <v>17</v>
      </c>
      <c r="S2" s="217">
        <v>18</v>
      </c>
      <c r="T2" s="217">
        <v>19</v>
      </c>
      <c r="U2" s="217">
        <v>20</v>
      </c>
      <c r="V2" s="217">
        <v>21</v>
      </c>
      <c r="W2" s="217">
        <v>22</v>
      </c>
      <c r="X2" s="217">
        <v>23</v>
      </c>
      <c r="Y2" s="217">
        <v>24</v>
      </c>
      <c r="Z2" s="217">
        <v>25</v>
      </c>
      <c r="AA2" s="217">
        <v>26</v>
      </c>
      <c r="AB2" s="217">
        <v>27</v>
      </c>
      <c r="AC2" s="217">
        <v>28</v>
      </c>
      <c r="AD2" s="217">
        <v>29</v>
      </c>
      <c r="AE2" s="217">
        <v>30</v>
      </c>
      <c r="AF2" s="217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</row>
    <row r="3" spans="1:43">
      <c r="A3" s="218" t="s">
        <v>137</v>
      </c>
      <c r="B3" s="219">
        <v>0.91469999999999996</v>
      </c>
      <c r="C3" s="219">
        <v>0.871</v>
      </c>
      <c r="D3" s="219">
        <v>0.94010000000000005</v>
      </c>
      <c r="E3" s="219">
        <v>0.63590000000000002</v>
      </c>
      <c r="F3" s="219">
        <v>0.65669999999999995</v>
      </c>
      <c r="G3" s="219">
        <v>0.67049999999999998</v>
      </c>
      <c r="H3" s="219">
        <v>0.5968</v>
      </c>
      <c r="I3" s="219">
        <v>0.65439999999999998</v>
      </c>
      <c r="J3" s="219">
        <v>0.71889999999999998</v>
      </c>
      <c r="K3" s="219">
        <v>0.76500000000000001</v>
      </c>
      <c r="L3" s="219">
        <v>0.55069999999999997</v>
      </c>
      <c r="M3" s="219">
        <v>0.65669999999999995</v>
      </c>
      <c r="N3" s="219">
        <v>0.77190000000000003</v>
      </c>
      <c r="O3" s="219">
        <v>0.85019999999999996</v>
      </c>
      <c r="P3" s="219">
        <v>0.7903</v>
      </c>
      <c r="Q3" s="219">
        <v>0.61750000000000005</v>
      </c>
      <c r="R3" s="219">
        <v>0.52759999999999996</v>
      </c>
      <c r="S3" s="219">
        <v>0.46539999999999998</v>
      </c>
      <c r="T3" s="219">
        <v>0.44700000000000001</v>
      </c>
      <c r="U3" s="219">
        <v>0.5161</v>
      </c>
      <c r="V3" s="219">
        <v>0.59909999999999997</v>
      </c>
      <c r="W3" s="219">
        <v>0.74650000000000005</v>
      </c>
      <c r="X3" s="219"/>
      <c r="Y3" s="219"/>
      <c r="Z3" s="219"/>
      <c r="AA3" s="219"/>
      <c r="AB3" s="219"/>
      <c r="AC3" s="219"/>
      <c r="AD3" s="219"/>
      <c r="AE3" s="219"/>
      <c r="AF3" s="219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</row>
    <row r="4" spans="1:43">
      <c r="A4" s="337"/>
      <c r="B4" s="337"/>
      <c r="C4" s="337"/>
      <c r="D4" s="337"/>
      <c r="E4" s="337"/>
      <c r="F4" s="337"/>
      <c r="G4" s="337"/>
      <c r="H4" s="337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</row>
    <row r="5" spans="1:43">
      <c r="A5" s="221" t="s">
        <v>25</v>
      </c>
      <c r="B5" s="217" t="s">
        <v>121</v>
      </c>
      <c r="C5" s="217" t="s">
        <v>121</v>
      </c>
      <c r="D5" s="217" t="s">
        <v>121</v>
      </c>
      <c r="E5" s="217" t="s">
        <v>121</v>
      </c>
      <c r="F5" s="217" t="s">
        <v>121</v>
      </c>
      <c r="G5" s="217" t="s">
        <v>121</v>
      </c>
      <c r="H5" s="217" t="s">
        <v>121</v>
      </c>
      <c r="I5" s="217" t="s">
        <v>121</v>
      </c>
      <c r="J5" s="217" t="s">
        <v>121</v>
      </c>
      <c r="K5" s="217" t="s">
        <v>121</v>
      </c>
      <c r="L5" s="217" t="s">
        <v>121</v>
      </c>
      <c r="M5" s="217" t="s">
        <v>121</v>
      </c>
      <c r="N5" s="217" t="s">
        <v>121</v>
      </c>
      <c r="O5" s="217" t="s">
        <v>121</v>
      </c>
      <c r="P5" s="217" t="s">
        <v>121</v>
      </c>
      <c r="Q5" s="217" t="s">
        <v>121</v>
      </c>
      <c r="R5" s="217" t="s">
        <v>121</v>
      </c>
      <c r="S5" s="217" t="s">
        <v>121</v>
      </c>
      <c r="T5" s="217" t="s">
        <v>121</v>
      </c>
      <c r="U5" s="217" t="s">
        <v>121</v>
      </c>
      <c r="V5" s="217" t="s">
        <v>121</v>
      </c>
      <c r="W5" s="217" t="s">
        <v>121</v>
      </c>
      <c r="X5" s="217" t="s">
        <v>121</v>
      </c>
      <c r="Y5" s="217" t="s">
        <v>121</v>
      </c>
      <c r="Z5" s="217" t="s">
        <v>121</v>
      </c>
      <c r="AA5" s="217" t="s">
        <v>121</v>
      </c>
      <c r="AB5" s="217" t="s">
        <v>121</v>
      </c>
      <c r="AC5" s="217" t="s">
        <v>121</v>
      </c>
      <c r="AD5" s="217" t="s">
        <v>121</v>
      </c>
      <c r="AE5" s="217" t="s">
        <v>121</v>
      </c>
      <c r="AF5" s="217" t="s">
        <v>121</v>
      </c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</row>
    <row r="6" spans="1:43">
      <c r="A6" s="222" t="s">
        <v>138</v>
      </c>
      <c r="B6" s="223">
        <v>3552</v>
      </c>
      <c r="C6" s="223">
        <v>3600</v>
      </c>
      <c r="D6" s="223">
        <v>3456</v>
      </c>
      <c r="E6" s="223">
        <v>3312</v>
      </c>
      <c r="F6" s="223">
        <v>3408</v>
      </c>
      <c r="G6" s="223">
        <v>3408</v>
      </c>
      <c r="H6" s="223">
        <v>3264</v>
      </c>
      <c r="I6" s="223">
        <v>3360</v>
      </c>
      <c r="J6" s="223">
        <v>3360</v>
      </c>
      <c r="K6" s="223">
        <v>3408</v>
      </c>
      <c r="L6" s="223">
        <v>3504</v>
      </c>
      <c r="M6" s="223">
        <v>3264</v>
      </c>
      <c r="N6" s="223">
        <v>3312</v>
      </c>
      <c r="O6" s="223">
        <v>3216</v>
      </c>
      <c r="P6" s="223">
        <v>3360</v>
      </c>
      <c r="Q6" s="223">
        <v>3360</v>
      </c>
      <c r="R6" s="223">
        <v>3360</v>
      </c>
      <c r="S6" s="223">
        <v>3168</v>
      </c>
      <c r="T6" s="223">
        <v>3360</v>
      </c>
      <c r="U6" s="223">
        <v>3120</v>
      </c>
      <c r="V6" s="223">
        <v>3168</v>
      </c>
      <c r="W6" s="223">
        <v>3168</v>
      </c>
      <c r="X6" s="223"/>
      <c r="Y6" s="223"/>
      <c r="Z6" s="223"/>
      <c r="AA6" s="223"/>
      <c r="AB6" s="223"/>
      <c r="AC6" s="223"/>
      <c r="AD6" s="223"/>
      <c r="AE6" s="223"/>
      <c r="AF6" s="223"/>
      <c r="AG6" s="224"/>
      <c r="AH6" s="215"/>
    </row>
    <row r="7" spans="1:43">
      <c r="A7" s="222" t="s">
        <v>139</v>
      </c>
      <c r="B7" s="223">
        <v>2208</v>
      </c>
      <c r="C7" s="223">
        <v>2256</v>
      </c>
      <c r="D7" s="223">
        <v>2208</v>
      </c>
      <c r="E7" s="223">
        <v>2160</v>
      </c>
      <c r="F7" s="223">
        <v>2160</v>
      </c>
      <c r="G7" s="223">
        <v>2256</v>
      </c>
      <c r="H7" s="223">
        <v>2160</v>
      </c>
      <c r="I7" s="223">
        <v>2160</v>
      </c>
      <c r="J7" s="223">
        <v>2160</v>
      </c>
      <c r="K7" s="223">
        <v>2160</v>
      </c>
      <c r="L7" s="223">
        <v>2112</v>
      </c>
      <c r="M7" s="223">
        <v>2160</v>
      </c>
      <c r="N7" s="223">
        <v>2208</v>
      </c>
      <c r="O7" s="223">
        <v>2112</v>
      </c>
      <c r="P7" s="223">
        <v>2160</v>
      </c>
      <c r="Q7" s="223">
        <v>2112</v>
      </c>
      <c r="R7" s="223">
        <v>2064</v>
      </c>
      <c r="S7" s="223">
        <v>1968</v>
      </c>
      <c r="T7" s="223">
        <v>2064</v>
      </c>
      <c r="U7" s="223">
        <v>2064</v>
      </c>
      <c r="V7" s="223">
        <v>2112</v>
      </c>
      <c r="W7" s="223">
        <v>1920</v>
      </c>
      <c r="X7" s="223"/>
      <c r="Y7" s="223"/>
      <c r="Z7" s="223"/>
      <c r="AA7" s="223"/>
      <c r="AB7" s="223"/>
      <c r="AC7" s="223"/>
      <c r="AD7" s="223"/>
      <c r="AE7" s="223"/>
      <c r="AF7" s="223"/>
      <c r="AG7" s="224"/>
      <c r="AH7" s="215"/>
    </row>
    <row r="8" spans="1:43">
      <c r="A8" s="222" t="s">
        <v>140</v>
      </c>
      <c r="B8" s="223">
        <v>2112</v>
      </c>
      <c r="C8" s="223">
        <v>2112</v>
      </c>
      <c r="D8" s="223">
        <v>2112</v>
      </c>
      <c r="E8" s="223">
        <v>2112</v>
      </c>
      <c r="F8" s="223">
        <v>2112</v>
      </c>
      <c r="G8" s="223">
        <v>2016</v>
      </c>
      <c r="H8" s="223">
        <v>2112</v>
      </c>
      <c r="I8" s="223">
        <v>2112</v>
      </c>
      <c r="J8" s="223">
        <v>2160</v>
      </c>
      <c r="K8" s="223">
        <v>2112</v>
      </c>
      <c r="L8" s="223">
        <v>2208</v>
      </c>
      <c r="M8" s="223">
        <v>2112</v>
      </c>
      <c r="N8" s="223">
        <v>2064</v>
      </c>
      <c r="O8" s="223">
        <v>2064</v>
      </c>
      <c r="P8" s="223">
        <v>2256</v>
      </c>
      <c r="Q8" s="223">
        <v>2256</v>
      </c>
      <c r="R8" s="223">
        <v>2160</v>
      </c>
      <c r="S8" s="223">
        <v>2208</v>
      </c>
      <c r="T8" s="223">
        <v>2256</v>
      </c>
      <c r="U8" s="223">
        <v>2064</v>
      </c>
      <c r="V8" s="223">
        <v>2064</v>
      </c>
      <c r="W8" s="223">
        <v>2160</v>
      </c>
      <c r="X8" s="223"/>
      <c r="Y8" s="223"/>
      <c r="Z8" s="223"/>
      <c r="AA8" s="223"/>
      <c r="AB8" s="223"/>
      <c r="AC8" s="223"/>
      <c r="AD8" s="223"/>
      <c r="AE8" s="223"/>
      <c r="AF8" s="223"/>
      <c r="AG8" s="224"/>
      <c r="AH8" s="215"/>
    </row>
    <row r="9" spans="1:43">
      <c r="A9" s="222" t="s">
        <v>141</v>
      </c>
      <c r="B9" s="223">
        <v>1632</v>
      </c>
      <c r="C9" s="223">
        <v>1440</v>
      </c>
      <c r="D9" s="223">
        <v>1680</v>
      </c>
      <c r="E9" s="223">
        <v>1488</v>
      </c>
      <c r="F9" s="223">
        <v>1296</v>
      </c>
      <c r="G9" s="223">
        <v>1363.2</v>
      </c>
      <c r="H9" s="223">
        <v>1324.8</v>
      </c>
      <c r="I9" s="223">
        <v>1536</v>
      </c>
      <c r="J9" s="223">
        <v>1440</v>
      </c>
      <c r="K9" s="223">
        <v>1440</v>
      </c>
      <c r="L9" s="223">
        <v>1392</v>
      </c>
      <c r="M9" s="223">
        <v>1344</v>
      </c>
      <c r="N9" s="223">
        <v>1344</v>
      </c>
      <c r="O9" s="223">
        <v>1200</v>
      </c>
      <c r="P9" s="223">
        <v>1536</v>
      </c>
      <c r="Q9" s="223">
        <v>1344</v>
      </c>
      <c r="R9" s="223">
        <v>1536</v>
      </c>
      <c r="S9" s="223">
        <v>1248</v>
      </c>
      <c r="T9" s="223">
        <v>1344</v>
      </c>
      <c r="U9" s="223">
        <v>1296</v>
      </c>
      <c r="V9" s="223">
        <v>1296</v>
      </c>
      <c r="W9" s="223">
        <v>1296</v>
      </c>
      <c r="X9" s="223"/>
      <c r="Y9" s="223"/>
      <c r="Z9" s="223"/>
      <c r="AA9" s="223"/>
      <c r="AB9" s="223"/>
      <c r="AC9" s="223"/>
      <c r="AD9" s="223"/>
      <c r="AE9" s="223"/>
      <c r="AF9" s="223"/>
      <c r="AG9" s="224"/>
      <c r="AH9" s="215"/>
    </row>
    <row r="10" spans="1:43">
      <c r="A10" s="222" t="s">
        <v>142</v>
      </c>
      <c r="B10" s="223">
        <v>2208</v>
      </c>
      <c r="C10" s="223">
        <v>2256</v>
      </c>
      <c r="D10" s="223">
        <v>2256</v>
      </c>
      <c r="E10" s="223">
        <v>2208</v>
      </c>
      <c r="F10" s="223">
        <v>2160</v>
      </c>
      <c r="G10" s="223">
        <v>2160</v>
      </c>
      <c r="H10" s="223">
        <v>2160</v>
      </c>
      <c r="I10" s="223">
        <v>2160</v>
      </c>
      <c r="J10" s="223">
        <v>2208</v>
      </c>
      <c r="K10" s="223">
        <v>2208</v>
      </c>
      <c r="L10" s="223">
        <v>2208</v>
      </c>
      <c r="M10" s="223">
        <v>2160</v>
      </c>
      <c r="N10" s="223">
        <v>2112</v>
      </c>
      <c r="O10" s="223">
        <v>2160</v>
      </c>
      <c r="P10" s="223">
        <v>2160</v>
      </c>
      <c r="Q10" s="223">
        <v>2160</v>
      </c>
      <c r="R10" s="223">
        <v>2160</v>
      </c>
      <c r="S10" s="223">
        <v>2160</v>
      </c>
      <c r="T10" s="223">
        <v>2160</v>
      </c>
      <c r="U10" s="223">
        <v>2064</v>
      </c>
      <c r="V10" s="223">
        <v>2160</v>
      </c>
      <c r="W10" s="223">
        <v>2160</v>
      </c>
      <c r="X10" s="223"/>
      <c r="Y10" s="223"/>
      <c r="Z10" s="223"/>
      <c r="AA10" s="223"/>
      <c r="AB10" s="223"/>
      <c r="AC10" s="223"/>
      <c r="AD10" s="223"/>
      <c r="AE10" s="223"/>
      <c r="AF10" s="223"/>
      <c r="AG10" s="224"/>
      <c r="AH10" s="215"/>
    </row>
    <row r="11" spans="1:43">
      <c r="A11" s="222" t="s">
        <v>143</v>
      </c>
      <c r="B11" s="223">
        <v>5280</v>
      </c>
      <c r="C11" s="223">
        <v>5568</v>
      </c>
      <c r="D11" s="223">
        <v>5616</v>
      </c>
      <c r="E11" s="223">
        <v>5712</v>
      </c>
      <c r="F11" s="223">
        <v>5472</v>
      </c>
      <c r="G11" s="223">
        <v>5712</v>
      </c>
      <c r="H11" s="223">
        <v>5616</v>
      </c>
      <c r="I11" s="223">
        <v>5424</v>
      </c>
      <c r="J11" s="223">
        <v>5184</v>
      </c>
      <c r="K11" s="223">
        <v>5376</v>
      </c>
      <c r="L11" s="223">
        <v>5280</v>
      </c>
      <c r="M11" s="223">
        <v>5520</v>
      </c>
      <c r="N11" s="223">
        <v>5424</v>
      </c>
      <c r="O11" s="223">
        <v>5136</v>
      </c>
      <c r="P11" s="223">
        <v>5376</v>
      </c>
      <c r="Q11" s="223">
        <v>5568</v>
      </c>
      <c r="R11" s="223">
        <v>5712</v>
      </c>
      <c r="S11" s="223">
        <v>5424</v>
      </c>
      <c r="T11" s="223">
        <v>5376</v>
      </c>
      <c r="U11" s="223">
        <v>5280</v>
      </c>
      <c r="V11" s="223">
        <v>5280</v>
      </c>
      <c r="W11" s="223">
        <v>5280</v>
      </c>
      <c r="X11" s="223"/>
      <c r="Y11" s="223"/>
      <c r="Z11" s="223"/>
      <c r="AA11" s="223"/>
      <c r="AB11" s="223"/>
      <c r="AC11" s="223"/>
      <c r="AD11" s="223"/>
      <c r="AE11" s="223"/>
      <c r="AF11" s="223"/>
      <c r="AG11" s="224"/>
      <c r="AH11" s="215"/>
    </row>
    <row r="12" spans="1:43" s="227" customFormat="1">
      <c r="A12" s="225" t="s">
        <v>144</v>
      </c>
      <c r="B12" s="226">
        <f t="shared" ref="B12:AF12" si="0">SUM(B6:B11)</f>
        <v>16992</v>
      </c>
      <c r="C12" s="226">
        <f t="shared" si="0"/>
        <v>17232</v>
      </c>
      <c r="D12" s="226">
        <f t="shared" si="0"/>
        <v>17328</v>
      </c>
      <c r="E12" s="226">
        <f t="shared" si="0"/>
        <v>16992</v>
      </c>
      <c r="F12" s="226">
        <f t="shared" si="0"/>
        <v>16608</v>
      </c>
      <c r="G12" s="226">
        <f t="shared" si="0"/>
        <v>16915.2</v>
      </c>
      <c r="H12" s="226">
        <f t="shared" si="0"/>
        <v>16636.8</v>
      </c>
      <c r="I12" s="226">
        <f t="shared" si="0"/>
        <v>16752</v>
      </c>
      <c r="J12" s="226">
        <f t="shared" si="0"/>
        <v>16512</v>
      </c>
      <c r="K12" s="226">
        <f t="shared" si="0"/>
        <v>16704</v>
      </c>
      <c r="L12" s="226">
        <f t="shared" si="0"/>
        <v>16704</v>
      </c>
      <c r="M12" s="226">
        <f t="shared" si="0"/>
        <v>16560</v>
      </c>
      <c r="N12" s="226">
        <f t="shared" si="0"/>
        <v>16464</v>
      </c>
      <c r="O12" s="226">
        <f t="shared" si="0"/>
        <v>15888</v>
      </c>
      <c r="P12" s="226">
        <f t="shared" si="0"/>
        <v>16848</v>
      </c>
      <c r="Q12" s="226">
        <f t="shared" si="0"/>
        <v>16800</v>
      </c>
      <c r="R12" s="226">
        <f t="shared" si="0"/>
        <v>16992</v>
      </c>
      <c r="S12" s="226">
        <f t="shared" si="0"/>
        <v>16176</v>
      </c>
      <c r="T12" s="226">
        <f t="shared" si="0"/>
        <v>16560</v>
      </c>
      <c r="U12" s="226">
        <f t="shared" si="0"/>
        <v>15888</v>
      </c>
      <c r="V12" s="226">
        <f t="shared" si="0"/>
        <v>16080</v>
      </c>
      <c r="W12" s="226">
        <f t="shared" si="0"/>
        <v>15984</v>
      </c>
      <c r="X12" s="226">
        <f t="shared" si="0"/>
        <v>0</v>
      </c>
      <c r="Y12" s="226">
        <f t="shared" si="0"/>
        <v>0</v>
      </c>
      <c r="Z12" s="226">
        <f t="shared" si="0"/>
        <v>0</v>
      </c>
      <c r="AA12" s="226">
        <f t="shared" si="0"/>
        <v>0</v>
      </c>
      <c r="AB12" s="226">
        <f t="shared" si="0"/>
        <v>0</v>
      </c>
      <c r="AC12" s="226">
        <f t="shared" si="0"/>
        <v>0</v>
      </c>
      <c r="AD12" s="226">
        <f t="shared" si="0"/>
        <v>0</v>
      </c>
      <c r="AE12" s="226">
        <f t="shared" si="0"/>
        <v>0</v>
      </c>
      <c r="AF12" s="226">
        <f t="shared" si="0"/>
        <v>0</v>
      </c>
    </row>
    <row r="13" spans="1:43">
      <c r="A13" s="221" t="s">
        <v>24</v>
      </c>
      <c r="B13" s="217" t="s">
        <v>64</v>
      </c>
      <c r="C13" s="217" t="s">
        <v>64</v>
      </c>
      <c r="D13" s="217" t="s">
        <v>64</v>
      </c>
      <c r="E13" s="217" t="s">
        <v>64</v>
      </c>
      <c r="F13" s="217" t="s">
        <v>64</v>
      </c>
      <c r="G13" s="217" t="s">
        <v>64</v>
      </c>
      <c r="H13" s="217" t="s">
        <v>64</v>
      </c>
      <c r="I13" s="217" t="s">
        <v>64</v>
      </c>
      <c r="J13" s="217" t="s">
        <v>64</v>
      </c>
      <c r="K13" s="217" t="s">
        <v>64</v>
      </c>
      <c r="L13" s="217" t="s">
        <v>64</v>
      </c>
      <c r="M13" s="217" t="s">
        <v>64</v>
      </c>
      <c r="N13" s="217" t="s">
        <v>64</v>
      </c>
      <c r="O13" s="217" t="s">
        <v>64</v>
      </c>
      <c r="P13" s="217" t="s">
        <v>64</v>
      </c>
      <c r="Q13" s="217" t="s">
        <v>64</v>
      </c>
      <c r="R13" s="217" t="s">
        <v>64</v>
      </c>
      <c r="S13" s="217" t="s">
        <v>64</v>
      </c>
      <c r="T13" s="217" t="s">
        <v>64</v>
      </c>
      <c r="U13" s="217" t="s">
        <v>64</v>
      </c>
      <c r="V13" s="217" t="s">
        <v>64</v>
      </c>
      <c r="W13" s="217" t="s">
        <v>64</v>
      </c>
      <c r="X13" s="217" t="s">
        <v>64</v>
      </c>
      <c r="Y13" s="217" t="s">
        <v>64</v>
      </c>
      <c r="Z13" s="217" t="s">
        <v>64</v>
      </c>
      <c r="AA13" s="217" t="s">
        <v>64</v>
      </c>
      <c r="AB13" s="217" t="s">
        <v>64</v>
      </c>
      <c r="AC13" s="217" t="s">
        <v>64</v>
      </c>
      <c r="AD13" s="217" t="s">
        <v>64</v>
      </c>
      <c r="AE13" s="217" t="s">
        <v>64</v>
      </c>
      <c r="AF13" s="217" t="s">
        <v>64</v>
      </c>
    </row>
    <row r="14" spans="1:43">
      <c r="A14" s="222" t="s">
        <v>145</v>
      </c>
      <c r="B14" s="228">
        <v>25736.37</v>
      </c>
      <c r="C14" s="228">
        <v>60271.51</v>
      </c>
      <c r="D14" s="228">
        <v>62471.199999999997</v>
      </c>
      <c r="E14" s="228">
        <v>49493.03</v>
      </c>
      <c r="F14" s="228">
        <v>42673.99</v>
      </c>
      <c r="G14" s="228">
        <v>36954.79</v>
      </c>
      <c r="H14" s="228">
        <v>67750.45</v>
      </c>
      <c r="I14" s="228">
        <v>37614.699999999997</v>
      </c>
      <c r="J14" s="228">
        <v>59391.63</v>
      </c>
      <c r="K14" s="228">
        <v>41134.199999999997</v>
      </c>
      <c r="L14" s="228">
        <v>39374.449999999997</v>
      </c>
      <c r="M14" s="228">
        <v>38494.58</v>
      </c>
      <c r="N14" s="228">
        <v>37394.730000000003</v>
      </c>
      <c r="O14" s="228">
        <v>41134.199999999997</v>
      </c>
      <c r="P14" s="228">
        <v>35195.040000000001</v>
      </c>
      <c r="Q14" s="228">
        <v>38934.51</v>
      </c>
      <c r="R14" s="228">
        <v>40474.300000000003</v>
      </c>
      <c r="S14" s="228">
        <v>41574.14</v>
      </c>
      <c r="T14" s="228">
        <v>40914.230000000003</v>
      </c>
      <c r="U14" s="228">
        <v>33215.32</v>
      </c>
      <c r="V14" s="228">
        <v>36074.92</v>
      </c>
      <c r="W14" s="228">
        <v>36954.79</v>
      </c>
      <c r="X14" s="228"/>
      <c r="Y14" s="228"/>
      <c r="Z14" s="228"/>
      <c r="AA14" s="228"/>
      <c r="AB14" s="228"/>
      <c r="AC14" s="228"/>
      <c r="AD14" s="228"/>
      <c r="AE14" s="228"/>
      <c r="AF14" s="228"/>
    </row>
    <row r="15" spans="1:43">
      <c r="A15" s="337"/>
      <c r="B15" s="337"/>
      <c r="C15" s="337"/>
      <c r="D15" s="337"/>
      <c r="E15" s="337"/>
      <c r="F15" s="337"/>
      <c r="G15" s="337"/>
      <c r="H15" s="337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9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</row>
    <row r="16" spans="1:43">
      <c r="A16" s="221" t="s">
        <v>146</v>
      </c>
      <c r="B16" s="217" t="s">
        <v>147</v>
      </c>
      <c r="C16" s="217" t="s">
        <v>147</v>
      </c>
      <c r="D16" s="217" t="s">
        <v>147</v>
      </c>
      <c r="E16" s="217" t="s">
        <v>147</v>
      </c>
      <c r="F16" s="217" t="s">
        <v>147</v>
      </c>
      <c r="G16" s="217" t="s">
        <v>147</v>
      </c>
      <c r="H16" s="217" t="s">
        <v>147</v>
      </c>
      <c r="I16" s="217" t="s">
        <v>147</v>
      </c>
      <c r="J16" s="217" t="s">
        <v>147</v>
      </c>
      <c r="K16" s="217" t="s">
        <v>147</v>
      </c>
      <c r="L16" s="217" t="s">
        <v>147</v>
      </c>
      <c r="M16" s="217" t="s">
        <v>147</v>
      </c>
      <c r="N16" s="217" t="s">
        <v>147</v>
      </c>
      <c r="O16" s="217" t="s">
        <v>147</v>
      </c>
      <c r="P16" s="217" t="s">
        <v>147</v>
      </c>
      <c r="Q16" s="217" t="s">
        <v>147</v>
      </c>
      <c r="R16" s="217" t="s">
        <v>147</v>
      </c>
      <c r="S16" s="217" t="s">
        <v>147</v>
      </c>
      <c r="T16" s="217" t="s">
        <v>147</v>
      </c>
      <c r="U16" s="217" t="s">
        <v>147</v>
      </c>
      <c r="V16" s="217" t="s">
        <v>147</v>
      </c>
      <c r="W16" s="217" t="s">
        <v>147</v>
      </c>
      <c r="X16" s="217" t="s">
        <v>147</v>
      </c>
      <c r="Y16" s="217" t="s">
        <v>147</v>
      </c>
      <c r="Z16" s="217" t="s">
        <v>147</v>
      </c>
      <c r="AA16" s="217" t="s">
        <v>147</v>
      </c>
      <c r="AB16" s="217" t="s">
        <v>147</v>
      </c>
      <c r="AC16" s="217" t="s">
        <v>147</v>
      </c>
      <c r="AD16" s="217" t="s">
        <v>147</v>
      </c>
      <c r="AE16" s="217" t="s">
        <v>147</v>
      </c>
      <c r="AF16" s="217" t="s">
        <v>147</v>
      </c>
    </row>
    <row r="17" spans="1:43" ht="52.5">
      <c r="A17" s="222" t="s">
        <v>148</v>
      </c>
      <c r="B17" s="230">
        <v>9212.6200000000008</v>
      </c>
      <c r="C17" s="230">
        <v>9468.52</v>
      </c>
      <c r="D17" s="230">
        <v>9553.82</v>
      </c>
      <c r="E17" s="230">
        <v>10236.24</v>
      </c>
      <c r="F17" s="230">
        <v>9269.48</v>
      </c>
      <c r="G17" s="230">
        <v>8501.77</v>
      </c>
      <c r="H17" s="230">
        <v>8388.0300000000007</v>
      </c>
      <c r="I17" s="230">
        <v>8274.2900000000009</v>
      </c>
      <c r="J17" s="230">
        <v>7904.65</v>
      </c>
      <c r="K17" s="230">
        <v>8188.99</v>
      </c>
      <c r="L17" s="230">
        <v>7535.01</v>
      </c>
      <c r="M17" s="230">
        <v>6824.16</v>
      </c>
      <c r="N17" s="230">
        <v>6454.52</v>
      </c>
      <c r="O17" s="230">
        <v>6198.61</v>
      </c>
      <c r="P17" s="230">
        <v>6681.99</v>
      </c>
      <c r="Q17" s="230">
        <v>6824.16</v>
      </c>
      <c r="R17" s="230">
        <v>6511.39</v>
      </c>
      <c r="S17" s="230">
        <v>6141.74</v>
      </c>
      <c r="T17" s="230">
        <v>5914.27</v>
      </c>
      <c r="U17" s="230">
        <v>5601.5</v>
      </c>
      <c r="V17" s="230">
        <v>5800.54</v>
      </c>
      <c r="W17" s="230">
        <v>5942.71</v>
      </c>
      <c r="X17" s="230"/>
      <c r="Y17" s="230"/>
      <c r="Z17" s="230"/>
      <c r="AA17" s="230"/>
      <c r="AB17" s="230"/>
      <c r="AC17" s="230"/>
      <c r="AD17" s="230"/>
      <c r="AE17" s="230"/>
      <c r="AF17" s="230"/>
    </row>
    <row r="18" spans="1:43">
      <c r="A18" s="337"/>
      <c r="B18" s="337"/>
      <c r="C18" s="337"/>
      <c r="D18" s="337"/>
      <c r="E18" s="337"/>
      <c r="F18" s="337"/>
      <c r="G18" s="337"/>
      <c r="H18" s="337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15"/>
      <c r="AH18" s="215"/>
      <c r="AI18" s="215"/>
      <c r="AJ18" s="215"/>
      <c r="AK18" s="215"/>
      <c r="AL18" s="215"/>
      <c r="AM18" s="215"/>
      <c r="AN18" s="215"/>
      <c r="AO18" s="215"/>
      <c r="AP18" s="215"/>
      <c r="AQ18" s="215"/>
    </row>
    <row r="19" spans="1:43">
      <c r="A19" s="221" t="s">
        <v>149</v>
      </c>
      <c r="B19" s="217" t="s">
        <v>150</v>
      </c>
      <c r="C19" s="217" t="s">
        <v>150</v>
      </c>
      <c r="D19" s="217" t="s">
        <v>150</v>
      </c>
      <c r="E19" s="217" t="s">
        <v>150</v>
      </c>
      <c r="F19" s="217" t="s">
        <v>150</v>
      </c>
      <c r="G19" s="217" t="s">
        <v>150</v>
      </c>
      <c r="H19" s="217" t="s">
        <v>150</v>
      </c>
      <c r="I19" s="217" t="s">
        <v>150</v>
      </c>
      <c r="J19" s="217" t="s">
        <v>150</v>
      </c>
      <c r="K19" s="217" t="s">
        <v>150</v>
      </c>
      <c r="L19" s="217" t="s">
        <v>150</v>
      </c>
      <c r="M19" s="217" t="s">
        <v>150</v>
      </c>
      <c r="N19" s="217" t="s">
        <v>150</v>
      </c>
      <c r="O19" s="217" t="s">
        <v>150</v>
      </c>
      <c r="P19" s="217" t="s">
        <v>150</v>
      </c>
      <c r="Q19" s="217" t="s">
        <v>150</v>
      </c>
      <c r="R19" s="217" t="s">
        <v>150</v>
      </c>
      <c r="S19" s="217" t="s">
        <v>150</v>
      </c>
      <c r="T19" s="217" t="s">
        <v>150</v>
      </c>
      <c r="U19" s="217" t="s">
        <v>150</v>
      </c>
      <c r="V19" s="217" t="s">
        <v>150</v>
      </c>
      <c r="W19" s="217" t="s">
        <v>150</v>
      </c>
      <c r="X19" s="217" t="s">
        <v>150</v>
      </c>
      <c r="Y19" s="217" t="s">
        <v>150</v>
      </c>
      <c r="Z19" s="217" t="s">
        <v>150</v>
      </c>
      <c r="AA19" s="217" t="s">
        <v>150</v>
      </c>
      <c r="AB19" s="217" t="s">
        <v>150</v>
      </c>
      <c r="AC19" s="217" t="s">
        <v>150</v>
      </c>
      <c r="AD19" s="217" t="s">
        <v>150</v>
      </c>
      <c r="AE19" s="217" t="s">
        <v>150</v>
      </c>
      <c r="AF19" s="217" t="s">
        <v>150</v>
      </c>
    </row>
    <row r="20" spans="1:43" ht="52.5">
      <c r="A20" s="222" t="s">
        <v>151</v>
      </c>
      <c r="B20" s="230">
        <v>503.94</v>
      </c>
      <c r="C20" s="230">
        <v>560.17999999999995</v>
      </c>
      <c r="D20" s="230">
        <v>508.38</v>
      </c>
      <c r="E20" s="230">
        <v>530.58000000000004</v>
      </c>
      <c r="F20" s="230">
        <v>499.87</v>
      </c>
      <c r="G20" s="230">
        <v>458.43</v>
      </c>
      <c r="H20" s="230">
        <v>464.72</v>
      </c>
      <c r="I20" s="230">
        <v>508.75</v>
      </c>
      <c r="J20" s="230">
        <v>497.65</v>
      </c>
      <c r="K20" s="230">
        <v>482.11</v>
      </c>
      <c r="L20" s="230">
        <v>478.04</v>
      </c>
      <c r="M20" s="230">
        <v>450.29</v>
      </c>
      <c r="N20" s="230">
        <v>479.89</v>
      </c>
      <c r="O20" s="230">
        <v>488.4</v>
      </c>
      <c r="P20" s="230">
        <v>530.21</v>
      </c>
      <c r="Q20" s="230">
        <v>562.4</v>
      </c>
      <c r="R20" s="230">
        <v>488.77</v>
      </c>
      <c r="S20" s="230">
        <v>481.37</v>
      </c>
      <c r="T20" s="230">
        <v>438.45</v>
      </c>
      <c r="U20" s="230">
        <v>433.27</v>
      </c>
      <c r="V20" s="230">
        <v>444</v>
      </c>
      <c r="W20" s="230">
        <v>481.37</v>
      </c>
      <c r="X20" s="230"/>
      <c r="Y20" s="230"/>
      <c r="Z20" s="230"/>
      <c r="AA20" s="230"/>
      <c r="AB20" s="230"/>
      <c r="AC20" s="230"/>
      <c r="AD20" s="230"/>
      <c r="AE20" s="230"/>
      <c r="AF20" s="230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6640625" defaultRowHeight="52.5"/>
  <cols>
    <col min="1" max="1" width="35.86328125" style="231" customWidth="1"/>
    <col min="2" max="16384" width="35.6640625" style="231"/>
  </cols>
  <sheetData>
    <row r="1" spans="1:14" ht="72" customHeight="1">
      <c r="A1" s="232"/>
      <c r="B1" s="233"/>
      <c r="C1" s="234"/>
      <c r="D1" s="235"/>
      <c r="E1" s="236"/>
      <c r="F1" s="236"/>
      <c r="G1" s="236"/>
      <c r="H1" s="236"/>
      <c r="I1" s="236"/>
      <c r="J1" s="236"/>
      <c r="K1" s="236"/>
      <c r="L1" s="236"/>
      <c r="M1" s="236"/>
      <c r="N1" s="236"/>
    </row>
    <row r="2" spans="1:14" ht="72" customHeight="1">
      <c r="A2" s="237"/>
      <c r="B2" s="238"/>
      <c r="C2" s="234"/>
      <c r="D2" s="235"/>
      <c r="E2" s="239"/>
    </row>
    <row r="3" spans="1:14" ht="72" customHeight="1">
      <c r="A3" s="240"/>
      <c r="B3" s="241"/>
      <c r="C3" s="234"/>
      <c r="D3" s="235"/>
      <c r="E3" s="239"/>
    </row>
    <row r="4" spans="1:14" ht="72" customHeight="1">
      <c r="A4" s="240"/>
      <c r="B4" s="241"/>
      <c r="C4" s="234"/>
      <c r="D4" s="235"/>
      <c r="E4" s="239"/>
    </row>
    <row r="5" spans="1:14" ht="72" customHeight="1">
      <c r="A5" s="242"/>
      <c r="B5" s="243"/>
      <c r="C5" s="234"/>
      <c r="D5" s="235"/>
      <c r="E5" s="239"/>
    </row>
    <row r="6" spans="1:14" ht="6.75" customHeight="1">
      <c r="A6" s="244"/>
      <c r="B6" s="244"/>
      <c r="C6" s="245"/>
      <c r="D6" s="245"/>
      <c r="E6" s="239"/>
    </row>
    <row r="7" spans="1:14" ht="72" customHeight="1">
      <c r="A7" s="246"/>
      <c r="B7" s="247"/>
      <c r="C7" s="248"/>
      <c r="D7" s="249"/>
      <c r="E7" s="239"/>
    </row>
    <row r="8" spans="1:14" ht="72" customHeight="1">
      <c r="A8" s="250"/>
      <c r="B8" s="251"/>
      <c r="C8" s="248"/>
      <c r="D8" s="249"/>
      <c r="E8" s="239"/>
    </row>
    <row r="9" spans="1:14" ht="72" customHeight="1">
      <c r="A9" s="250"/>
      <c r="B9" s="251"/>
      <c r="C9" s="248"/>
      <c r="D9" s="249"/>
      <c r="E9" s="239"/>
    </row>
    <row r="10" spans="1:14" ht="72" customHeight="1">
      <c r="A10" s="250"/>
      <c r="B10" s="251"/>
      <c r="C10" s="248"/>
      <c r="D10" s="249"/>
      <c r="E10" s="239"/>
    </row>
    <row r="11" spans="1:14" ht="72" customHeight="1">
      <c r="A11" s="252"/>
      <c r="B11" s="253"/>
      <c r="C11" s="248"/>
      <c r="D11" s="249"/>
      <c r="E11" s="239"/>
    </row>
    <row r="12" spans="1:14" ht="60" customHeight="1">
      <c r="A12" s="241"/>
      <c r="B12" s="233"/>
      <c r="C12" s="245"/>
      <c r="D12" s="245"/>
      <c r="E12" s="239"/>
    </row>
    <row r="13" spans="1:14" ht="60" customHeight="1">
      <c r="A13" s="241"/>
      <c r="B13" s="241"/>
      <c r="C13" s="245"/>
      <c r="D13" s="245"/>
      <c r="E13" s="239"/>
    </row>
    <row r="14" spans="1:14" ht="60" customHeight="1">
      <c r="A14" s="243"/>
      <c r="B14" s="233"/>
    </row>
    <row r="15" spans="1:14" ht="64.5" customHeight="1">
      <c r="A15" s="254" t="s">
        <v>137</v>
      </c>
      <c r="B15" s="254" t="s">
        <v>137</v>
      </c>
      <c r="C15" s="254" t="s">
        <v>137</v>
      </c>
      <c r="D15" s="254" t="s">
        <v>137</v>
      </c>
      <c r="E15" s="254" t="s">
        <v>137</v>
      </c>
      <c r="F15" s="254" t="s">
        <v>137</v>
      </c>
    </row>
    <row r="16" spans="1:14" ht="64.5" customHeight="1">
      <c r="A16" s="255" t="s">
        <v>152</v>
      </c>
      <c r="B16" s="255" t="s">
        <v>152</v>
      </c>
      <c r="C16" s="255" t="s">
        <v>152</v>
      </c>
      <c r="D16" s="255" t="s">
        <v>152</v>
      </c>
      <c r="E16" s="255" t="s">
        <v>152</v>
      </c>
      <c r="F16" s="255" t="s">
        <v>152</v>
      </c>
    </row>
    <row r="17" spans="1:6" ht="64.5" customHeight="1">
      <c r="A17" s="255" t="s">
        <v>153</v>
      </c>
      <c r="B17" s="255" t="s">
        <v>153</v>
      </c>
      <c r="C17" s="255" t="s">
        <v>153</v>
      </c>
      <c r="D17" s="255" t="s">
        <v>153</v>
      </c>
      <c r="E17" s="255" t="s">
        <v>153</v>
      </c>
      <c r="F17" s="255" t="s">
        <v>153</v>
      </c>
    </row>
    <row r="18" spans="1:6" ht="64.5" customHeight="1">
      <c r="A18" s="255" t="s">
        <v>154</v>
      </c>
      <c r="B18" s="255" t="s">
        <v>154</v>
      </c>
      <c r="C18" s="255" t="s">
        <v>154</v>
      </c>
      <c r="D18" s="255" t="s">
        <v>154</v>
      </c>
      <c r="E18" s="255" t="s">
        <v>154</v>
      </c>
      <c r="F18" s="255" t="s">
        <v>154</v>
      </c>
    </row>
    <row r="19" spans="1:6" ht="64.5" customHeight="1">
      <c r="A19" s="255" t="s">
        <v>155</v>
      </c>
      <c r="B19" s="255" t="s">
        <v>155</v>
      </c>
      <c r="C19" s="255" t="s">
        <v>155</v>
      </c>
      <c r="D19" s="255" t="s">
        <v>155</v>
      </c>
      <c r="E19" s="255" t="s">
        <v>155</v>
      </c>
      <c r="F19" s="255" t="s">
        <v>155</v>
      </c>
    </row>
    <row r="21" spans="1:6" ht="75" customHeight="1">
      <c r="A21" s="256" t="s">
        <v>156</v>
      </c>
      <c r="B21" s="257"/>
      <c r="C21" s="256" t="s">
        <v>156</v>
      </c>
      <c r="D21" s="257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6640625" defaultRowHeight="52.5"/>
  <cols>
    <col min="1" max="4" width="35.6640625" style="231"/>
    <col min="5" max="5" width="32.86328125" style="231" customWidth="1"/>
    <col min="6" max="6" width="35.6640625" style="231"/>
    <col min="7" max="7" width="6.6640625" style="231" customWidth="1"/>
    <col min="8" max="16384" width="35.6640625" style="231"/>
  </cols>
  <sheetData>
    <row r="1" spans="1:12" ht="75" customHeight="1">
      <c r="A1" s="258"/>
      <c r="B1" s="244"/>
      <c r="C1" s="236"/>
      <c r="D1" s="236"/>
      <c r="E1" s="259" t="s">
        <v>156</v>
      </c>
      <c r="F1" s="339"/>
      <c r="G1" s="339"/>
      <c r="H1" s="236"/>
      <c r="I1" s="236"/>
      <c r="J1" s="236"/>
      <c r="K1" s="236"/>
      <c r="L1" s="236"/>
    </row>
    <row r="2" spans="1:12" ht="69.75" customHeight="1">
      <c r="A2" s="260"/>
      <c r="B2" s="244"/>
      <c r="C2" s="239"/>
      <c r="E2" s="259" t="s">
        <v>157</v>
      </c>
      <c r="F2" s="340" t="s">
        <v>158</v>
      </c>
      <c r="G2" s="340"/>
      <c r="H2" s="261"/>
    </row>
    <row r="3" spans="1:12" ht="69.75" customHeight="1">
      <c r="A3" s="260"/>
      <c r="B3" s="244"/>
      <c r="C3" s="239"/>
      <c r="E3" s="262" t="s">
        <v>159</v>
      </c>
      <c r="F3" s="341">
        <v>1292977.78</v>
      </c>
      <c r="G3" s="341"/>
      <c r="H3" s="263"/>
    </row>
    <row r="4" spans="1:12" ht="69.75" customHeight="1">
      <c r="A4" s="260"/>
      <c r="B4" s="264"/>
      <c r="C4" s="239"/>
      <c r="E4" s="265" t="s">
        <v>160</v>
      </c>
      <c r="F4" s="338">
        <v>553296</v>
      </c>
      <c r="G4" s="338"/>
      <c r="H4" s="263"/>
    </row>
    <row r="5" spans="1:12" ht="69.75" customHeight="1">
      <c r="A5" s="260"/>
      <c r="B5" s="266"/>
      <c r="C5" s="239"/>
      <c r="E5" s="265" t="s">
        <v>161</v>
      </c>
      <c r="F5" s="338">
        <v>528379</v>
      </c>
      <c r="G5" s="338"/>
      <c r="H5" s="263"/>
    </row>
    <row r="6" spans="1:12" ht="69.75" customHeight="1">
      <c r="A6" s="260"/>
      <c r="B6" s="266"/>
      <c r="C6" s="239"/>
      <c r="E6" s="265" t="s">
        <v>162</v>
      </c>
      <c r="F6" s="338">
        <v>13436.55</v>
      </c>
      <c r="G6" s="338"/>
      <c r="H6" s="267"/>
    </row>
    <row r="7" spans="1:12" ht="60" customHeight="1">
      <c r="A7" s="260"/>
      <c r="B7" s="268"/>
    </row>
    <row r="8" spans="1:12" ht="60" customHeight="1">
      <c r="A8" s="260"/>
      <c r="B8" s="268"/>
    </row>
    <row r="10" spans="1:12" ht="64.5" customHeight="1">
      <c r="A10" s="269" t="s">
        <v>163</v>
      </c>
      <c r="B10" s="269" t="s">
        <v>164</v>
      </c>
      <c r="C10" s="269" t="s">
        <v>163</v>
      </c>
      <c r="D10" s="269" t="s">
        <v>164</v>
      </c>
    </row>
    <row r="11" spans="1:12" ht="64.5" customHeight="1">
      <c r="A11" s="269" t="s">
        <v>165</v>
      </c>
      <c r="B11" s="269" t="s">
        <v>166</v>
      </c>
      <c r="C11" s="269" t="s">
        <v>165</v>
      </c>
      <c r="D11" s="269" t="s">
        <v>166</v>
      </c>
    </row>
    <row r="12" spans="1:12" ht="64.5" customHeight="1">
      <c r="A12" s="269" t="s">
        <v>167</v>
      </c>
      <c r="B12" s="269" t="s">
        <v>168</v>
      </c>
      <c r="C12" s="269" t="s">
        <v>167</v>
      </c>
      <c r="D12" s="269" t="s">
        <v>168</v>
      </c>
    </row>
    <row r="13" spans="1:12" ht="64.5" customHeight="1">
      <c r="A13" s="269" t="s">
        <v>169</v>
      </c>
      <c r="B13" s="269" t="s">
        <v>170</v>
      </c>
      <c r="C13" s="269" t="s">
        <v>169</v>
      </c>
      <c r="D13" s="269" t="s">
        <v>170</v>
      </c>
    </row>
    <row r="14" spans="1:12" ht="64.5" customHeight="1">
      <c r="A14" s="269" t="s">
        <v>171</v>
      </c>
      <c r="B14" s="269" t="s">
        <v>172</v>
      </c>
      <c r="C14" s="269" t="s">
        <v>171</v>
      </c>
      <c r="D14" s="269" t="s">
        <v>172</v>
      </c>
    </row>
    <row r="15" spans="1:12" ht="60" customHeight="1">
      <c r="A15" s="269" t="s">
        <v>173</v>
      </c>
      <c r="B15" s="269" t="s">
        <v>174</v>
      </c>
      <c r="C15" s="269" t="s">
        <v>173</v>
      </c>
      <c r="D15" s="269" t="s">
        <v>174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9765625" defaultRowHeight="14.25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34CDDA-042B-4180-AA44-3DF18CCC8F85}">
  <ds:schemaRefs>
    <ds:schemaRef ds:uri="http://purl.org/dc/elements/1.1/"/>
    <ds:schemaRef ds:uri="401fae36-edd3-4788-a18a-50cdc6e67760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ab6f10ed-c627-4ef3-be43-403188ac181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A26558D-E47F-4E3E-8F6A-1E9EA31788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Ronald Diab</cp:lastModifiedBy>
  <cp:revision>4</cp:revision>
  <dcterms:created xsi:type="dcterms:W3CDTF">2015-06-05T18:17:20Z</dcterms:created>
  <dcterms:modified xsi:type="dcterms:W3CDTF">2024-03-21T10:22:15Z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