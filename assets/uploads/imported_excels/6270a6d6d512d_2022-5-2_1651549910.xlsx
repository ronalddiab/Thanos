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8" l="1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J4" i="9"/>
  <c r="H4" i="10"/>
  <c r="I4" i="10" s="1"/>
  <c r="I34" i="10" l="1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H5" i="10"/>
  <c r="I5" i="10" s="1"/>
  <c r="I36" i="10"/>
  <c r="G34" i="9"/>
  <c r="I34" i="9" s="1"/>
  <c r="G33" i="9"/>
  <c r="I33" i="9" s="1"/>
  <c r="J33" i="9" s="1"/>
  <c r="G32" i="9"/>
  <c r="I32" i="9" s="1"/>
  <c r="J32" i="9" s="1"/>
  <c r="I31" i="9"/>
  <c r="J31" i="9" s="1"/>
  <c r="G31" i="9"/>
  <c r="G30" i="9"/>
  <c r="I30" i="9" s="1"/>
  <c r="J30" i="9" s="1"/>
  <c r="G29" i="9"/>
  <c r="I29" i="9" s="1"/>
  <c r="G28" i="9"/>
  <c r="I28" i="9" s="1"/>
  <c r="J28" i="9" s="1"/>
  <c r="I27" i="9"/>
  <c r="J27" i="9" s="1"/>
  <c r="G27" i="9"/>
  <c r="G26" i="9"/>
  <c r="I26" i="9" s="1"/>
  <c r="G25" i="9"/>
  <c r="I25" i="9" s="1"/>
  <c r="J25" i="9" s="1"/>
  <c r="G24" i="9"/>
  <c r="I24" i="9" s="1"/>
  <c r="J24" i="9" s="1"/>
  <c r="I23" i="9"/>
  <c r="G23" i="9"/>
  <c r="G22" i="9"/>
  <c r="I22" i="9" s="1"/>
  <c r="J22" i="9" s="1"/>
  <c r="G21" i="9"/>
  <c r="I21" i="9" s="1"/>
  <c r="G20" i="9"/>
  <c r="I20" i="9" s="1"/>
  <c r="J20" i="9" s="1"/>
  <c r="I19" i="9"/>
  <c r="G19" i="9"/>
  <c r="G18" i="9"/>
  <c r="I18" i="9" s="1"/>
  <c r="G17" i="9"/>
  <c r="I17" i="9" s="1"/>
  <c r="J17" i="9" s="1"/>
  <c r="G16" i="9"/>
  <c r="I16" i="9" s="1"/>
  <c r="J16" i="9" s="1"/>
  <c r="I15" i="9"/>
  <c r="J15" i="9" s="1"/>
  <c r="G15" i="9"/>
  <c r="G14" i="9"/>
  <c r="I14" i="9" s="1"/>
  <c r="J14" i="9" s="1"/>
  <c r="G13" i="9"/>
  <c r="I13" i="9" s="1"/>
  <c r="G12" i="9"/>
  <c r="I12" i="9" s="1"/>
  <c r="J12" i="9" s="1"/>
  <c r="I11" i="9"/>
  <c r="J11" i="9" s="1"/>
  <c r="G11" i="9"/>
  <c r="G10" i="9"/>
  <c r="I10" i="9" s="1"/>
  <c r="G9" i="9"/>
  <c r="I9" i="9" s="1"/>
  <c r="J9" i="9" s="1"/>
  <c r="G8" i="9"/>
  <c r="I8" i="9" s="1"/>
  <c r="J8" i="9" s="1"/>
  <c r="I7" i="9"/>
  <c r="G7" i="9"/>
  <c r="G6" i="9"/>
  <c r="I6" i="9" s="1"/>
  <c r="G5" i="9"/>
  <c r="I5" i="9" s="1"/>
  <c r="G4" i="9"/>
  <c r="I4" i="9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5" i="8"/>
  <c r="H6" i="8" l="1"/>
  <c r="J6" i="9"/>
  <c r="J10" i="9"/>
  <c r="J13" i="9"/>
  <c r="J19" i="9"/>
  <c r="J26" i="9"/>
  <c r="J29" i="9"/>
  <c r="J7" i="9"/>
  <c r="J23" i="9"/>
  <c r="J5" i="9"/>
  <c r="J18" i="9"/>
  <c r="J21" i="9"/>
  <c r="J34" i="9"/>
  <c r="H35" i="8"/>
  <c r="J35" i="9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<sst xmlns="http://schemas.openxmlformats.org/spreadsheetml/2006/main" count="73" uniqueCount="38">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</sst>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E3" sqref="E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 t="e">
        <f>Electricity!I4</f>
        <v>#VALUE!</v>
      </c>
      <c r="F2" s="3">
        <v>1.9</v>
      </c>
      <c r="G2" s="13">
        <v>0</v>
      </c>
      <c r="H2" s="3">
        <v>3.2</v>
      </c>
      <c r="I2" s="13">
        <f>Water!E4</f>
        <v>12229</v>
      </c>
      <c r="J2" s="3">
        <v>18.03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0.8</v>
      </c>
      <c r="G3" s="13">
        <f>Gas!J5</f>
        <v>0</v>
      </c>
      <c r="H3" s="3">
        <v>3.2</v>
      </c>
      <c r="I3" s="13">
        <f>Water!E5</f>
        <v>12236</v>
      </c>
      <c r="J3" s="3">
        <v>18.03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0.8</v>
      </c>
      <c r="G4" s="13">
        <f>Gas!J6</f>
        <v>0</v>
      </c>
      <c r="H4" s="3">
        <v>3.2</v>
      </c>
      <c r="I4" s="13">
        <f>Water!E6</f>
        <v>12238</v>
      </c>
      <c r="J4" s="3">
        <v>18.03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-13403476.32</v>
      </c>
      <c r="F5" s="3">
        <v>0.8</v>
      </c>
      <c r="G5" s="13">
        <f>Gas!J7</f>
        <v>-1192420.365432</v>
      </c>
      <c r="H5" s="3">
        <v>3.2</v>
      </c>
      <c r="I5" s="13">
        <f>Water!E7</f>
        <v>0</v>
      </c>
      <c r="J5" s="3">
        <v>18.03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0</v>
      </c>
      <c r="F6" s="3">
        <v>0.8</v>
      </c>
      <c r="G6" s="13">
        <f>Gas!J8</f>
        <v>0</v>
      </c>
      <c r="H6" s="3">
        <v>3.2</v>
      </c>
      <c r="I6" s="13">
        <f>Water!E8</f>
        <v>0</v>
      </c>
      <c r="J6" s="3">
        <v>18.03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0</v>
      </c>
      <c r="F7" s="3">
        <v>0.8</v>
      </c>
      <c r="G7" s="13">
        <f>Gas!J9</f>
        <v>0</v>
      </c>
      <c r="H7" s="3">
        <v>3.2</v>
      </c>
      <c r="I7" s="13">
        <f>Water!E9</f>
        <v>0</v>
      </c>
      <c r="J7" s="3">
        <v>18.03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0</v>
      </c>
      <c r="F8" s="3">
        <v>0.8</v>
      </c>
      <c r="G8" s="13">
        <f>Gas!J10</f>
        <v>0</v>
      </c>
      <c r="H8" s="3">
        <v>3.2</v>
      </c>
      <c r="I8" s="13">
        <f>Water!E10</f>
        <v>0</v>
      </c>
      <c r="J8" s="3">
        <v>18.03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0</v>
      </c>
      <c r="F9" s="3">
        <v>0.8</v>
      </c>
      <c r="G9" s="13">
        <f>Gas!J11</f>
        <v>0</v>
      </c>
      <c r="H9" s="3">
        <v>3.2</v>
      </c>
      <c r="I9" s="13">
        <f>Water!E11</f>
        <v>0</v>
      </c>
      <c r="J9" s="3">
        <v>18.03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0</v>
      </c>
      <c r="F10" s="3">
        <v>0.8</v>
      </c>
      <c r="G10" s="13">
        <f>Gas!J12</f>
        <v>0</v>
      </c>
      <c r="H10" s="3">
        <v>3.2</v>
      </c>
      <c r="I10" s="13">
        <f>Water!E12</f>
        <v>0</v>
      </c>
      <c r="J10" s="3">
        <v>18.03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0</v>
      </c>
      <c r="F11" s="3">
        <v>0.8</v>
      </c>
      <c r="G11" s="13">
        <f>Gas!J13</f>
        <v>0</v>
      </c>
      <c r="H11" s="3">
        <v>3.2</v>
      </c>
      <c r="I11" s="13">
        <f>Water!E13</f>
        <v>0</v>
      </c>
      <c r="J11" s="3">
        <v>18.03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0</v>
      </c>
      <c r="F12" s="3">
        <v>0.8</v>
      </c>
      <c r="G12" s="13">
        <f>Gas!J14</f>
        <v>0</v>
      </c>
      <c r="H12" s="3">
        <v>3.2</v>
      </c>
      <c r="I12" s="13">
        <f>Water!E14</f>
        <v>0</v>
      </c>
      <c r="J12" s="3">
        <v>18.03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0</v>
      </c>
      <c r="F13" s="3">
        <v>0.8</v>
      </c>
      <c r="G13" s="13">
        <f>Gas!J15</f>
        <v>0</v>
      </c>
      <c r="H13" s="3">
        <v>3.2</v>
      </c>
      <c r="I13" s="13">
        <f>Water!E15</f>
        <v>0</v>
      </c>
      <c r="J13" s="3">
        <v>18.03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0</v>
      </c>
      <c r="F14" s="3">
        <v>0.8</v>
      </c>
      <c r="G14" s="13">
        <f>Gas!J16</f>
        <v>0</v>
      </c>
      <c r="H14" s="3">
        <v>3.2</v>
      </c>
      <c r="I14" s="13">
        <f>Water!E16</f>
        <v>0</v>
      </c>
      <c r="J14" s="3">
        <v>18.03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0</v>
      </c>
      <c r="F15" s="3">
        <v>0.8</v>
      </c>
      <c r="G15" s="13">
        <f>Gas!J17</f>
        <v>0</v>
      </c>
      <c r="H15" s="3">
        <v>3.2</v>
      </c>
      <c r="I15" s="13">
        <f>Water!E17</f>
        <v>0</v>
      </c>
      <c r="J15" s="3">
        <v>18.03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0</v>
      </c>
      <c r="F16" s="3">
        <v>0.8</v>
      </c>
      <c r="G16" s="13">
        <f>Gas!J18</f>
        <v>0</v>
      </c>
      <c r="H16" s="3">
        <v>3.2</v>
      </c>
      <c r="I16" s="13">
        <f>Water!E18</f>
        <v>0</v>
      </c>
      <c r="J16" s="3">
        <v>18.03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0</v>
      </c>
      <c r="F17" s="3">
        <v>0.8</v>
      </c>
      <c r="G17" s="13">
        <f>Gas!J19</f>
        <v>0</v>
      </c>
      <c r="H17" s="3">
        <v>3.2</v>
      </c>
      <c r="I17" s="13">
        <f>Water!E19</f>
        <v>0</v>
      </c>
      <c r="J17" s="3">
        <v>18.03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0</v>
      </c>
      <c r="F18" s="3">
        <v>0.8</v>
      </c>
      <c r="G18" s="13">
        <f>Gas!J20</f>
        <v>0</v>
      </c>
      <c r="H18" s="3">
        <v>3.2</v>
      </c>
      <c r="I18" s="13">
        <f>Water!E20</f>
        <v>0</v>
      </c>
      <c r="J18" s="3">
        <v>18.03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0</v>
      </c>
      <c r="F19" s="3">
        <v>0.8</v>
      </c>
      <c r="G19" s="13">
        <f>Gas!J21</f>
        <v>0</v>
      </c>
      <c r="H19" s="3">
        <v>3.2</v>
      </c>
      <c r="I19" s="13">
        <f>Water!E21</f>
        <v>0</v>
      </c>
      <c r="J19" s="3">
        <v>18.03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0</v>
      </c>
      <c r="F20" s="3">
        <v>0.8</v>
      </c>
      <c r="G20" s="13">
        <f>Gas!J22</f>
        <v>0</v>
      </c>
      <c r="H20" s="3">
        <v>3.2</v>
      </c>
      <c r="I20" s="13">
        <f>Water!E22</f>
        <v>0</v>
      </c>
      <c r="J20" s="3">
        <v>18.03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0</v>
      </c>
      <c r="F21" s="3">
        <v>0.8</v>
      </c>
      <c r="G21" s="13">
        <f>Gas!J23</f>
        <v>0</v>
      </c>
      <c r="H21" s="3">
        <v>3.2</v>
      </c>
      <c r="I21" s="13">
        <f>Water!E23</f>
        <v>0</v>
      </c>
      <c r="J21" s="3">
        <v>18.03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0</v>
      </c>
      <c r="F22" s="3">
        <v>0.8</v>
      </c>
      <c r="G22" s="13">
        <f>Gas!J24</f>
        <v>0</v>
      </c>
      <c r="H22" s="3">
        <v>3.2</v>
      </c>
      <c r="I22" s="13">
        <f>Water!E24</f>
        <v>0</v>
      </c>
      <c r="J22" s="3">
        <v>18.03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0</v>
      </c>
      <c r="F23" s="3">
        <v>0.8</v>
      </c>
      <c r="G23" s="13">
        <f>Gas!J25</f>
        <v>0</v>
      </c>
      <c r="H23" s="3">
        <v>3.2</v>
      </c>
      <c r="I23" s="13">
        <f>Water!E25</f>
        <v>0</v>
      </c>
      <c r="J23" s="3">
        <v>18.03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0</v>
      </c>
      <c r="F24" s="3">
        <v>0.8</v>
      </c>
      <c r="G24" s="13">
        <f>Gas!J26</f>
        <v>0</v>
      </c>
      <c r="H24" s="3">
        <v>3.2</v>
      </c>
      <c r="I24" s="13">
        <f>Water!E26</f>
        <v>0</v>
      </c>
      <c r="J24" s="3">
        <v>18.03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0</v>
      </c>
      <c r="F25" s="3">
        <v>0.8</v>
      </c>
      <c r="G25" s="13">
        <f>Gas!J27</f>
        <v>0</v>
      </c>
      <c r="H25" s="3">
        <v>3.2</v>
      </c>
      <c r="I25" s="13">
        <f>Water!E27</f>
        <v>0</v>
      </c>
      <c r="J25" s="3">
        <v>18.03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0</v>
      </c>
      <c r="F26" s="3">
        <v>0.8</v>
      </c>
      <c r="G26" s="13">
        <f>Gas!J28</f>
        <v>0</v>
      </c>
      <c r="H26" s="3">
        <v>3.2</v>
      </c>
      <c r="I26" s="13">
        <f>Water!E28</f>
        <v>0</v>
      </c>
      <c r="J26" s="3">
        <v>18.03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0</v>
      </c>
      <c r="F27" s="3">
        <v>0.8</v>
      </c>
      <c r="G27" s="13">
        <f>Gas!J29</f>
        <v>0</v>
      </c>
      <c r="H27" s="3">
        <v>3.2</v>
      </c>
      <c r="I27" s="13">
        <f>Water!E29</f>
        <v>0</v>
      </c>
      <c r="J27" s="3">
        <v>18.03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0</v>
      </c>
      <c r="F28" s="3">
        <v>0.8</v>
      </c>
      <c r="G28" s="13">
        <f>Gas!J30</f>
        <v>0</v>
      </c>
      <c r="H28" s="3">
        <v>3.2</v>
      </c>
      <c r="I28" s="13">
        <f>Water!E30</f>
        <v>0</v>
      </c>
      <c r="J28" s="3">
        <v>18.03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0</v>
      </c>
      <c r="F29" s="3">
        <v>0.8</v>
      </c>
      <c r="G29" s="13">
        <f>Gas!J31</f>
        <v>0</v>
      </c>
      <c r="H29" s="3">
        <v>3.2</v>
      </c>
      <c r="I29" s="13">
        <f>Water!E31</f>
        <v>0</v>
      </c>
      <c r="J29" s="3">
        <v>18.03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0</v>
      </c>
      <c r="F30" s="3">
        <v>0.8</v>
      </c>
      <c r="G30" s="13">
        <f>Gas!J32</f>
        <v>0</v>
      </c>
      <c r="H30" s="3">
        <v>3.2</v>
      </c>
      <c r="I30" s="13">
        <f>Water!E32</f>
        <v>0</v>
      </c>
      <c r="J30" s="3">
        <v>18.03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0.8</v>
      </c>
      <c r="G31" s="13">
        <f>Gas!J33</f>
        <v>0</v>
      </c>
      <c r="H31" s="3">
        <v>3.2</v>
      </c>
      <c r="I31" s="13">
        <f>Water!E33</f>
        <v>0</v>
      </c>
      <c r="J31" s="3">
        <v>18.03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0.8</v>
      </c>
      <c r="G32" s="13">
        <f>Gas!J34</f>
        <v>0</v>
      </c>
      <c r="H32" s="3">
        <v>3.2</v>
      </c>
      <c r="I32" s="13">
        <f>Water!E34</f>
        <v>0</v>
      </c>
      <c r="J32" s="3">
        <v>18.03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abSelected="1" workbookViewId="0">
      <selection activeCell="H5" sqref="H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12229</v>
      </c>
      <c r="F4" s="24">
        <v>1065</v>
      </c>
      <c r="G4" s="24">
        <f>E4+F5</f>
        <v>13294</v>
      </c>
      <c r="H4" s="25" t="e">
        <f>G4-G3</f>
        <v>#VALUE!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7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/>
      <c r="F7" s="24">
        <v>1065</v>
      </c>
      <c r="G7" s="24">
        <f t="shared" si="0"/>
        <v>1065</v>
      </c>
      <c r="H7" s="25">
        <f t="shared" si="1"/>
        <v>-12238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/>
      <c r="F8" s="24">
        <v>1065</v>
      </c>
      <c r="G8" s="24">
        <f t="shared" si="0"/>
        <v>1065</v>
      </c>
      <c r="H8" s="25">
        <f t="shared" si="1"/>
        <v>0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/>
      <c r="F9" s="24">
        <v>1065</v>
      </c>
      <c r="G9" s="24">
        <f t="shared" si="0"/>
        <v>1065</v>
      </c>
      <c r="H9" s="25">
        <f t="shared" si="1"/>
        <v>0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/>
      <c r="F10" s="24">
        <v>1065</v>
      </c>
      <c r="G10" s="24">
        <f t="shared" si="0"/>
        <v>1065</v>
      </c>
      <c r="H10" s="25">
        <f>G10-G9</f>
        <v>0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/>
      <c r="F11" s="24">
        <v>1065</v>
      </c>
      <c r="G11" s="24">
        <f t="shared" si="0"/>
        <v>1065</v>
      </c>
      <c r="H11" s="25">
        <f t="shared" si="1"/>
        <v>0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/>
      <c r="F12" s="24">
        <v>1065</v>
      </c>
      <c r="G12" s="24">
        <f t="shared" si="0"/>
        <v>1065</v>
      </c>
      <c r="H12" s="25">
        <f t="shared" si="1"/>
        <v>0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/>
      <c r="F13" s="24">
        <v>1065</v>
      </c>
      <c r="G13" s="24">
        <f t="shared" si="0"/>
        <v>1065</v>
      </c>
      <c r="H13" s="25">
        <f t="shared" si="1"/>
        <v>0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/>
      <c r="F14" s="24">
        <v>1065</v>
      </c>
      <c r="G14" s="24">
        <f t="shared" si="0"/>
        <v>1065</v>
      </c>
      <c r="H14" s="25">
        <f t="shared" si="1"/>
        <v>0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/>
      <c r="F15" s="24">
        <v>1065</v>
      </c>
      <c r="G15" s="24">
        <f t="shared" si="0"/>
        <v>1065</v>
      </c>
      <c r="H15" s="25">
        <f t="shared" si="1"/>
        <v>0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/>
      <c r="F16" s="24">
        <v>1065</v>
      </c>
      <c r="G16" s="24">
        <f t="shared" si="0"/>
        <v>1065</v>
      </c>
      <c r="H16" s="25">
        <f t="shared" si="1"/>
        <v>0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/>
      <c r="F17" s="24">
        <v>1065</v>
      </c>
      <c r="G17" s="24">
        <f t="shared" si="0"/>
        <v>1065</v>
      </c>
      <c r="H17" s="25">
        <f t="shared" si="1"/>
        <v>0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 t="e">
        <f>SUM(H4:H34)</f>
        <v>#VALUE!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J5" sqref="J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1.2781359999999999</v>
      </c>
      <c r="I4" s="24">
        <f t="shared" ref="I4:I34" si="0">H4*G4</f>
        <v>1192420.365432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1.2781359999999999</v>
      </c>
      <c r="I5" s="24">
        <f t="shared" si="0"/>
        <v>1192420.365432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1.2781359999999999</v>
      </c>
      <c r="I6" s="24">
        <f t="shared" si="0"/>
        <v>1192420.365432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/>
      <c r="F7" s="24"/>
      <c r="G7" s="24">
        <f t="shared" si="1"/>
        <v>0</v>
      </c>
      <c r="H7" s="18">
        <v>1.2781359999999999</v>
      </c>
      <c r="I7" s="24">
        <f t="shared" si="0"/>
        <v>0</v>
      </c>
      <c r="J7" s="25">
        <f t="shared" ref="J7:J34" si="2">I7-I6</f>
        <v>-1192420.365432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/>
      <c r="F8" s="24"/>
      <c r="G8" s="24">
        <f t="shared" si="1"/>
        <v>0</v>
      </c>
      <c r="H8" s="18">
        <v>1.2781359999999999</v>
      </c>
      <c r="I8" s="24">
        <f t="shared" si="0"/>
        <v>0</v>
      </c>
      <c r="J8" s="25">
        <f t="shared" si="2"/>
        <v>0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/>
      <c r="F9" s="24"/>
      <c r="G9" s="24">
        <f t="shared" si="1"/>
        <v>0</v>
      </c>
      <c r="H9" s="18">
        <v>1.2781359999999999</v>
      </c>
      <c r="I9" s="24">
        <f t="shared" si="0"/>
        <v>0</v>
      </c>
      <c r="J9" s="25">
        <f t="shared" si="2"/>
        <v>0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/>
      <c r="F10" s="24"/>
      <c r="G10" s="24">
        <f t="shared" si="1"/>
        <v>0</v>
      </c>
      <c r="H10" s="18">
        <v>1.2781359999999999</v>
      </c>
      <c r="I10" s="24">
        <f t="shared" si="0"/>
        <v>0</v>
      </c>
      <c r="J10" s="25">
        <f t="shared" si="2"/>
        <v>0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/>
      <c r="F11" s="24"/>
      <c r="G11" s="24">
        <f t="shared" si="1"/>
        <v>0</v>
      </c>
      <c r="H11" s="18">
        <v>1.2781359999999999</v>
      </c>
      <c r="I11" s="24">
        <f>H11*G11</f>
        <v>0</v>
      </c>
      <c r="J11" s="25">
        <f t="shared" si="2"/>
        <v>0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/>
      <c r="F12" s="24"/>
      <c r="G12" s="24">
        <f t="shared" si="1"/>
        <v>0</v>
      </c>
      <c r="H12" s="18">
        <v>1.2781359999999999</v>
      </c>
      <c r="I12" s="24">
        <f t="shared" si="0"/>
        <v>0</v>
      </c>
      <c r="J12" s="25">
        <f t="shared" si="2"/>
        <v>0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/>
      <c r="F13" s="24"/>
      <c r="G13" s="24">
        <f t="shared" si="1"/>
        <v>0</v>
      </c>
      <c r="H13" s="18">
        <v>1.2781359999999999</v>
      </c>
      <c r="I13" s="24">
        <f t="shared" si="0"/>
        <v>0</v>
      </c>
      <c r="J13" s="25">
        <f t="shared" si="2"/>
        <v>0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/>
      <c r="F14" s="24"/>
      <c r="G14" s="24">
        <f t="shared" si="1"/>
        <v>0</v>
      </c>
      <c r="H14" s="18">
        <v>1.2781359999999999</v>
      </c>
      <c r="I14" s="24">
        <f t="shared" si="0"/>
        <v>0</v>
      </c>
      <c r="J14" s="25">
        <f t="shared" si="2"/>
        <v>0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/>
      <c r="F15" s="24"/>
      <c r="G15" s="24">
        <f>E15+F15</f>
        <v>0</v>
      </c>
      <c r="H15" s="18">
        <v>1.2781359999999999</v>
      </c>
      <c r="I15" s="24">
        <f t="shared" si="0"/>
        <v>0</v>
      </c>
      <c r="J15" s="25">
        <f t="shared" si="2"/>
        <v>0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/>
      <c r="F16" s="24"/>
      <c r="G16" s="24">
        <f t="shared" si="1"/>
        <v>0</v>
      </c>
      <c r="H16" s="18">
        <v>1.2781359999999999</v>
      </c>
      <c r="I16" s="24">
        <f t="shared" si="0"/>
        <v>0</v>
      </c>
      <c r="J16" s="25">
        <f t="shared" si="2"/>
        <v>0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/>
      <c r="F17" s="24"/>
      <c r="G17" s="24">
        <f>E17+F17</f>
        <v>0</v>
      </c>
      <c r="H17" s="18">
        <v>1.2781359999999999</v>
      </c>
      <c r="I17" s="24">
        <f t="shared" si="0"/>
        <v>0</v>
      </c>
      <c r="J17" s="25">
        <f t="shared" si="2"/>
        <v>0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/>
      <c r="F18" s="24"/>
      <c r="G18" s="24">
        <f t="shared" si="1"/>
        <v>0</v>
      </c>
      <c r="H18" s="18">
        <v>1.2781359999999999</v>
      </c>
      <c r="I18" s="24">
        <f t="shared" si="0"/>
        <v>0</v>
      </c>
      <c r="J18" s="25">
        <f t="shared" si="2"/>
        <v>0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/>
      <c r="F19" s="24"/>
      <c r="G19" s="24">
        <f t="shared" si="1"/>
        <v>0</v>
      </c>
      <c r="H19" s="18">
        <v>1.2781359999999999</v>
      </c>
      <c r="I19" s="24">
        <f t="shared" si="0"/>
        <v>0</v>
      </c>
      <c r="J19" s="25">
        <f t="shared" si="2"/>
        <v>0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/>
      <c r="F20" s="24"/>
      <c r="G20" s="24">
        <f t="shared" si="1"/>
        <v>0</v>
      </c>
      <c r="H20" s="18">
        <v>1.2781359999999999</v>
      </c>
      <c r="I20" s="24">
        <f t="shared" si="0"/>
        <v>0</v>
      </c>
      <c r="J20" s="25">
        <f t="shared" si="2"/>
        <v>0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/>
      <c r="F21" s="24"/>
      <c r="G21" s="24">
        <f t="shared" si="1"/>
        <v>0</v>
      </c>
      <c r="H21" s="18">
        <v>1.2781359999999999</v>
      </c>
      <c r="I21" s="24">
        <f t="shared" si="0"/>
        <v>0</v>
      </c>
      <c r="J21" s="25">
        <f t="shared" si="2"/>
        <v>0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/>
      <c r="F22" s="24"/>
      <c r="G22" s="24">
        <f t="shared" si="1"/>
        <v>0</v>
      </c>
      <c r="H22" s="18">
        <v>1.2781359999999999</v>
      </c>
      <c r="I22" s="24">
        <f t="shared" si="0"/>
        <v>0</v>
      </c>
      <c r="J22" s="25">
        <f t="shared" si="2"/>
        <v>0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/>
      <c r="F23" s="24"/>
      <c r="G23" s="24">
        <f t="shared" si="1"/>
        <v>0</v>
      </c>
      <c r="H23" s="18">
        <v>1.2781359999999999</v>
      </c>
      <c r="I23" s="24">
        <f t="shared" si="0"/>
        <v>0</v>
      </c>
      <c r="J23" s="25">
        <f t="shared" si="2"/>
        <v>0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/>
      <c r="F24" s="24"/>
      <c r="G24" s="24">
        <f t="shared" si="1"/>
        <v>0</v>
      </c>
      <c r="H24" s="18">
        <v>1.2781359999999999</v>
      </c>
      <c r="I24" s="24">
        <f t="shared" si="0"/>
        <v>0</v>
      </c>
      <c r="J24" s="25">
        <f t="shared" si="2"/>
        <v>0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/>
      <c r="F25" s="24"/>
      <c r="G25" s="24">
        <f>E25+F26</f>
        <v>0</v>
      </c>
      <c r="H25" s="18">
        <v>1.2781359999999999</v>
      </c>
      <c r="I25" s="24">
        <f t="shared" si="0"/>
        <v>0</v>
      </c>
      <c r="J25" s="25">
        <f t="shared" si="2"/>
        <v>0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/>
      <c r="F26" s="24"/>
      <c r="G26" s="24">
        <f t="shared" ref="G26:G34" si="3">E26+F27</f>
        <v>0</v>
      </c>
      <c r="H26" s="18">
        <v>1.2781359999999999</v>
      </c>
      <c r="I26" s="24">
        <f t="shared" si="0"/>
        <v>0</v>
      </c>
      <c r="J26" s="25">
        <f t="shared" si="2"/>
        <v>0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/>
      <c r="F27" s="24"/>
      <c r="G27" s="24">
        <f t="shared" si="3"/>
        <v>0</v>
      </c>
      <c r="H27" s="18">
        <v>1.2781359999999999</v>
      </c>
      <c r="I27" s="24">
        <f t="shared" si="0"/>
        <v>0</v>
      </c>
      <c r="J27" s="25">
        <f t="shared" si="2"/>
        <v>0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/>
      <c r="F28" s="24"/>
      <c r="G28" s="24">
        <f t="shared" si="3"/>
        <v>0</v>
      </c>
      <c r="H28" s="18">
        <v>1.2781359999999999</v>
      </c>
      <c r="I28" s="24">
        <f t="shared" si="0"/>
        <v>0</v>
      </c>
      <c r="J28" s="25">
        <f t="shared" si="2"/>
        <v>0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/>
      <c r="F29" s="24"/>
      <c r="G29" s="24">
        <f t="shared" si="3"/>
        <v>0</v>
      </c>
      <c r="H29" s="18">
        <v>1.2781359999999999</v>
      </c>
      <c r="I29" s="24">
        <f t="shared" si="0"/>
        <v>0</v>
      </c>
      <c r="J29" s="25">
        <f t="shared" si="2"/>
        <v>0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/>
      <c r="F30" s="24"/>
      <c r="G30" s="24">
        <f t="shared" si="3"/>
        <v>0</v>
      </c>
      <c r="H30" s="18">
        <v>1.2781359999999999</v>
      </c>
      <c r="I30" s="24">
        <f t="shared" si="0"/>
        <v>0</v>
      </c>
      <c r="J30" s="25">
        <f t="shared" si="2"/>
        <v>0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/>
      <c r="F31" s="24"/>
      <c r="G31" s="24">
        <f t="shared" si="3"/>
        <v>0</v>
      </c>
      <c r="H31" s="18">
        <v>1.2781359999999999</v>
      </c>
      <c r="I31" s="24">
        <f t="shared" si="0"/>
        <v>0</v>
      </c>
      <c r="J31" s="25">
        <f t="shared" si="2"/>
        <v>0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si="3"/>
        <v>0</v>
      </c>
      <c r="H32" s="18">
        <v>1.2781359999999999</v>
      </c>
      <c r="I32" s="24">
        <f t="shared" si="0"/>
        <v>0</v>
      </c>
      <c r="J32" s="25">
        <f t="shared" si="2"/>
        <v>0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3"/>
        <v>0</v>
      </c>
      <c r="H33" s="18">
        <v>1.2781359999999999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3"/>
        <v>0</v>
      </c>
      <c r="H34" s="18">
        <v>1.2781359999999999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workbookViewId="0">
      <selection activeCell="F7" sqref="F7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 t="e">
        <f>H4-H3</f>
        <v>#VALUE!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/>
      <c r="G7" s="23">
        <v>2760</v>
      </c>
      <c r="H7" s="24">
        <f>G7*F7</f>
        <v>0</v>
      </c>
      <c r="I7" s="25">
        <f>H7-H6</f>
        <v>-13403476.32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/>
      <c r="G8" s="23">
        <v>2760</v>
      </c>
      <c r="H8" s="24">
        <f t="shared" si="1"/>
        <v>0</v>
      </c>
      <c r="I8" s="25">
        <f t="shared" ref="I8:I32" si="2">H8-H7</f>
        <v>0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/>
      <c r="G9" s="23">
        <v>2760</v>
      </c>
      <c r="H9" s="24">
        <f t="shared" si="1"/>
        <v>0</v>
      </c>
      <c r="I9" s="25">
        <f t="shared" si="2"/>
        <v>0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/>
      <c r="G10" s="23">
        <v>2760</v>
      </c>
      <c r="H10" s="24">
        <f t="shared" si="1"/>
        <v>0</v>
      </c>
      <c r="I10" s="25">
        <f t="shared" si="2"/>
        <v>0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/>
      <c r="G11" s="23">
        <v>2760</v>
      </c>
      <c r="H11" s="24">
        <f t="shared" si="1"/>
        <v>0</v>
      </c>
      <c r="I11" s="25">
        <f t="shared" si="2"/>
        <v>0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/>
      <c r="G12" s="23">
        <v>2760</v>
      </c>
      <c r="H12" s="24">
        <f t="shared" si="1"/>
        <v>0</v>
      </c>
      <c r="I12" s="25">
        <f t="shared" si="2"/>
        <v>0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/>
      <c r="G13" s="23">
        <v>2760</v>
      </c>
      <c r="H13" s="24">
        <f t="shared" si="1"/>
        <v>0</v>
      </c>
      <c r="I13" s="25">
        <f t="shared" si="2"/>
        <v>0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/>
      <c r="G14" s="23">
        <v>2760</v>
      </c>
      <c r="H14" s="24">
        <f t="shared" si="1"/>
        <v>0</v>
      </c>
      <c r="I14" s="25">
        <f t="shared" si="2"/>
        <v>0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/>
      <c r="G15" s="23">
        <v>2760</v>
      </c>
      <c r="H15" s="24">
        <f t="shared" si="1"/>
        <v>0</v>
      </c>
      <c r="I15" s="25">
        <f t="shared" si="2"/>
        <v>0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/>
      <c r="G16" s="23">
        <v>2760</v>
      </c>
      <c r="H16" s="24">
        <f>G16*F16</f>
        <v>0</v>
      </c>
      <c r="I16" s="25">
        <f>H16-H15</f>
        <v>0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/>
      <c r="G17" s="23">
        <v>2760</v>
      </c>
      <c r="H17" s="24">
        <f t="shared" si="1"/>
        <v>0</v>
      </c>
      <c r="I17" s="25">
        <f>H17-H16</f>
        <v>0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/>
      <c r="G18" s="23">
        <v>2760</v>
      </c>
      <c r="H18" s="24">
        <f t="shared" si="1"/>
        <v>0</v>
      </c>
      <c r="I18" s="25">
        <f t="shared" si="2"/>
        <v>0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/>
      <c r="G19" s="23">
        <v>2760</v>
      </c>
      <c r="H19" s="24">
        <f t="shared" si="1"/>
        <v>0</v>
      </c>
      <c r="I19" s="25">
        <f t="shared" si="2"/>
        <v>0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/>
      <c r="G20" s="23">
        <v>2760</v>
      </c>
      <c r="H20" s="24">
        <f>G20*F20</f>
        <v>0</v>
      </c>
      <c r="I20" s="25">
        <f>H20-H19</f>
        <v>0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/>
      <c r="G21" s="23">
        <v>2760</v>
      </c>
      <c r="H21" s="24">
        <f t="shared" si="1"/>
        <v>0</v>
      </c>
      <c r="I21" s="25">
        <f t="shared" si="2"/>
        <v>0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/>
      <c r="G22" s="23">
        <v>2760</v>
      </c>
      <c r="H22" s="24">
        <f t="shared" si="1"/>
        <v>0</v>
      </c>
      <c r="I22" s="25">
        <f t="shared" si="2"/>
        <v>0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/>
      <c r="G23" s="23">
        <v>2760</v>
      </c>
      <c r="H23" s="24">
        <f t="shared" si="1"/>
        <v>0</v>
      </c>
      <c r="I23" s="25">
        <f t="shared" si="2"/>
        <v>0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/>
      <c r="G24" s="23">
        <v>2760</v>
      </c>
      <c r="H24" s="24">
        <f t="shared" si="1"/>
        <v>0</v>
      </c>
      <c r="I24" s="25">
        <f t="shared" si="2"/>
        <v>0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/>
      <c r="G25" s="23">
        <v>2760</v>
      </c>
      <c r="H25" s="24">
        <f t="shared" si="1"/>
        <v>0</v>
      </c>
      <c r="I25" s="25">
        <f t="shared" si="2"/>
        <v>0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/>
      <c r="G26" s="23">
        <v>2760</v>
      </c>
      <c r="H26" s="24">
        <f t="shared" si="1"/>
        <v>0</v>
      </c>
      <c r="I26" s="25">
        <f t="shared" si="2"/>
        <v>0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/>
      <c r="G27" s="23">
        <v>2760</v>
      </c>
      <c r="H27" s="24">
        <f t="shared" si="1"/>
        <v>0</v>
      </c>
      <c r="I27" s="25">
        <f t="shared" si="2"/>
        <v>0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/>
      <c r="G28" s="23">
        <v>2760</v>
      </c>
      <c r="H28" s="24">
        <f t="shared" si="1"/>
        <v>0</v>
      </c>
      <c r="I28" s="25">
        <f t="shared" si="2"/>
        <v>0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/>
      <c r="G29" s="23">
        <v>2760</v>
      </c>
      <c r="H29" s="24">
        <f t="shared" si="1"/>
        <v>0</v>
      </c>
      <c r="I29" s="25">
        <f t="shared" si="2"/>
        <v>0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/>
      <c r="G30" s="23">
        <v>2760</v>
      </c>
      <c r="H30" s="24">
        <f t="shared" si="1"/>
        <v>0</v>
      </c>
      <c r="I30" s="25">
        <f t="shared" si="2"/>
        <v>0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/>
      <c r="G31" s="23">
        <v>2760</v>
      </c>
      <c r="H31" s="24">
        <f t="shared" si="1"/>
        <v>0</v>
      </c>
      <c r="I31" s="25">
        <f t="shared" si="2"/>
        <v>0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0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 t="e">
        <f>SUM(I4:I34)</f>
        <v>#VALUE!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2022-05-03T03:51:31Z</dcterms:modified>
</cp:coreProperties>
</file>