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9200" windowHeight="772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5" i="1" l="1"/>
  <c r="O76" i="4" l="1"/>
  <c r="L76" i="4"/>
  <c r="J76" i="4"/>
  <c r="K76" i="4" s="1"/>
  <c r="I76" i="4"/>
  <c r="M76" i="4" s="1"/>
  <c r="O75" i="4"/>
  <c r="L75" i="4"/>
  <c r="M75" i="4" s="1"/>
  <c r="K75" i="4"/>
  <c r="J75" i="4"/>
  <c r="I75" i="4"/>
  <c r="O74" i="4"/>
  <c r="L74" i="4"/>
  <c r="M74" i="4" s="1"/>
  <c r="J74" i="4"/>
  <c r="K74" i="4" s="1"/>
  <c r="I74" i="4"/>
  <c r="O73" i="4"/>
  <c r="L73" i="4"/>
  <c r="M73" i="4" s="1"/>
  <c r="J73" i="4"/>
  <c r="K73" i="4" s="1"/>
  <c r="I73" i="4"/>
  <c r="O72" i="4"/>
  <c r="L72" i="4"/>
  <c r="J72" i="4"/>
  <c r="K72" i="4" s="1"/>
  <c r="I72" i="4"/>
  <c r="M72" i="4" s="1"/>
  <c r="O71" i="4"/>
  <c r="L71" i="4"/>
  <c r="M71" i="4" s="1"/>
  <c r="K71" i="4"/>
  <c r="J71" i="4"/>
  <c r="I71" i="4"/>
  <c r="O70" i="4"/>
  <c r="L70" i="4"/>
  <c r="M70" i="4" s="1"/>
  <c r="J70" i="4"/>
  <c r="K70" i="4" s="1"/>
  <c r="I70" i="4"/>
  <c r="O69" i="4"/>
  <c r="L69" i="4"/>
  <c r="M69" i="4" s="1"/>
  <c r="J69" i="4"/>
  <c r="K69" i="4" s="1"/>
  <c r="I69" i="4"/>
  <c r="O68" i="4"/>
  <c r="L68" i="4"/>
  <c r="J68" i="4"/>
  <c r="K68" i="4" s="1"/>
  <c r="I68" i="4"/>
  <c r="M68" i="4" s="1"/>
  <c r="O67" i="4"/>
  <c r="L67" i="4"/>
  <c r="M67" i="4" s="1"/>
  <c r="K67" i="4"/>
  <c r="J67" i="4"/>
  <c r="I67" i="4"/>
  <c r="O66" i="4"/>
  <c r="L66" i="4"/>
  <c r="M66" i="4" s="1"/>
  <c r="J66" i="4"/>
  <c r="K66" i="4" s="1"/>
  <c r="I66" i="4"/>
  <c r="O65" i="4"/>
  <c r="L65" i="4"/>
  <c r="M65" i="4" s="1"/>
  <c r="J65" i="4"/>
  <c r="K65" i="4" s="1"/>
  <c r="I65" i="4"/>
  <c r="O64" i="4"/>
  <c r="L64" i="4"/>
  <c r="J64" i="4"/>
  <c r="K64" i="4" s="1"/>
  <c r="I64" i="4"/>
  <c r="M64" i="4" s="1"/>
  <c r="O63" i="4"/>
  <c r="L63" i="4"/>
  <c r="M63" i="4" s="1"/>
  <c r="K63" i="4"/>
  <c r="J63" i="4"/>
  <c r="I63" i="4"/>
  <c r="O62" i="4"/>
  <c r="L62" i="4"/>
  <c r="M62" i="4" s="1"/>
  <c r="J62" i="4"/>
  <c r="K62" i="4" s="1"/>
  <c r="I62" i="4"/>
  <c r="F59" i="1" l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33" i="1"/>
  <c r="L221" i="3" l="1"/>
  <c r="I219" i="1" s="1"/>
  <c r="L222" i="3"/>
  <c r="I220" i="1" s="1"/>
  <c r="L223" i="3"/>
  <c r="L224" i="3"/>
  <c r="L199" i="3"/>
  <c r="L152" i="3"/>
  <c r="I150" i="1" s="1"/>
  <c r="H83" i="3"/>
  <c r="M83" i="3" s="1"/>
  <c r="G81" i="1" s="1"/>
  <c r="I83" i="3"/>
  <c r="J83" i="3"/>
  <c r="K83" i="3"/>
  <c r="L83" i="3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E353" i="1" s="1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E75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43" i="3" l="1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F227" i="1"/>
  <c r="M240" i="3"/>
  <c r="G238" i="1" s="1"/>
  <c r="F288" i="1"/>
  <c r="Q297" i="3"/>
  <c r="Q300" i="3"/>
  <c r="F358" i="1"/>
  <c r="E117" i="1"/>
  <c r="E178" i="1"/>
  <c r="E187" i="1"/>
  <c r="E200" i="1"/>
  <c r="F200" i="1" s="1"/>
  <c r="E286" i="1"/>
  <c r="E291" i="1"/>
  <c r="F291" i="1" s="1"/>
  <c r="E295" i="1"/>
  <c r="E299" i="1"/>
  <c r="F299" i="1" s="1"/>
  <c r="E309" i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E195" i="1"/>
  <c r="E222" i="1"/>
  <c r="F222" i="1" s="1"/>
  <c r="E227" i="1"/>
  <c r="E231" i="1"/>
  <c r="E235" i="1"/>
  <c r="F235" i="1" s="1"/>
  <c r="E239" i="1"/>
  <c r="E244" i="1"/>
  <c r="E248" i="1"/>
  <c r="E277" i="1"/>
  <c r="E281" i="1"/>
  <c r="E304" i="1"/>
  <c r="E344" i="1"/>
  <c r="F286" i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E335" i="1"/>
  <c r="F335" i="1" s="1"/>
  <c r="E348" i="1"/>
  <c r="E352" i="1"/>
  <c r="F352" i="1" s="1"/>
  <c r="F117" i="1"/>
  <c r="F187" i="1"/>
  <c r="F242" i="1"/>
  <c r="F275" i="1"/>
  <c r="F295" i="1"/>
  <c r="F301" i="1"/>
  <c r="F309" i="1"/>
  <c r="Q321" i="3"/>
  <c r="Q324" i="3"/>
  <c r="Q341" i="3"/>
  <c r="M348" i="3"/>
  <c r="G346" i="1" s="1"/>
  <c r="M362" i="3"/>
  <c r="G360" i="1" s="1"/>
  <c r="E185" i="1"/>
  <c r="E316" i="1"/>
  <c r="E320" i="1"/>
  <c r="E334" i="1"/>
  <c r="F231" i="1"/>
  <c r="F239" i="1"/>
  <c r="F250" i="1"/>
  <c r="F348" i="1"/>
  <c r="Q84" i="4"/>
  <c r="E85" i="1"/>
  <c r="E158" i="1"/>
  <c r="E167" i="1"/>
  <c r="E198" i="1"/>
  <c r="E212" i="1"/>
  <c r="E216" i="1"/>
  <c r="E293" i="1"/>
  <c r="E297" i="1"/>
  <c r="E302" i="1"/>
  <c r="F302" i="1" s="1"/>
  <c r="E311" i="1"/>
  <c r="E324" i="1"/>
  <c r="E347" i="1"/>
  <c r="E63" i="1"/>
  <c r="F63" i="1" s="1"/>
  <c r="Q98" i="3"/>
  <c r="M105" i="3"/>
  <c r="G103" i="1" s="1"/>
  <c r="F163" i="1"/>
  <c r="F178" i="1"/>
  <c r="F232" i="1"/>
  <c r="O336" i="3"/>
  <c r="F344" i="1"/>
  <c r="E91" i="1"/>
  <c r="E140" i="1"/>
  <c r="E149" i="1"/>
  <c r="E154" i="1"/>
  <c r="E214" i="1"/>
  <c r="F214" i="1" s="1"/>
  <c r="E219" i="1"/>
  <c r="F219" i="1" s="1"/>
  <c r="E224" i="1"/>
  <c r="E241" i="1"/>
  <c r="E118" i="1"/>
  <c r="E177" i="1"/>
  <c r="F177" i="1" s="1"/>
  <c r="E218" i="1"/>
  <c r="E223" i="1"/>
  <c r="E287" i="1"/>
  <c r="E42" i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E84" i="1"/>
  <c r="E90" i="1"/>
  <c r="E112" i="1"/>
  <c r="E148" i="1"/>
  <c r="Q213" i="4"/>
  <c r="E192" i="1"/>
  <c r="F192" i="1" s="1"/>
  <c r="E197" i="1"/>
  <c r="E202" i="1"/>
  <c r="Q244" i="4"/>
  <c r="E240" i="1"/>
  <c r="F240" i="1" s="1"/>
  <c r="O32" i="3"/>
  <c r="G66" i="1"/>
  <c r="F228" i="1"/>
  <c r="Q265" i="3"/>
  <c r="F278" i="1"/>
  <c r="F290" i="1"/>
  <c r="F334" i="1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F180" i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E50" i="1"/>
  <c r="E55" i="1"/>
  <c r="E74" i="1"/>
  <c r="F74" i="1" s="1"/>
  <c r="E79" i="1"/>
  <c r="E83" i="1"/>
  <c r="F83" i="1" s="1"/>
  <c r="E88" i="1"/>
  <c r="F88" i="1" s="1"/>
  <c r="E156" i="1"/>
  <c r="F156" i="1" s="1"/>
  <c r="E161" i="1"/>
  <c r="E166" i="1"/>
  <c r="F166" i="1" s="1"/>
  <c r="E171" i="1"/>
  <c r="F171" i="1" s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F356" i="1"/>
  <c r="E5" i="1"/>
  <c r="Q27" i="4"/>
  <c r="E9" i="1"/>
  <c r="E13" i="1"/>
  <c r="Q59" i="4"/>
  <c r="E60" i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Q121" i="4"/>
  <c r="E96" i="1"/>
  <c r="E100" i="1"/>
  <c r="E104" i="1"/>
  <c r="F104" i="1" s="1"/>
  <c r="Q148" i="4"/>
  <c r="E159" i="1"/>
  <c r="E164" i="1"/>
  <c r="F164" i="1" s="1"/>
  <c r="E169" i="1"/>
  <c r="F169" i="1" s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238" i="1"/>
  <c r="E14" i="1"/>
  <c r="E23" i="1"/>
  <c r="E43" i="1"/>
  <c r="E48" i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E68" i="1"/>
  <c r="F68" i="1" s="1"/>
  <c r="E73" i="1"/>
  <c r="F73" i="1" s="1"/>
  <c r="M87" i="4"/>
  <c r="E86" i="1"/>
  <c r="F86" i="1" s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E64" i="1"/>
  <c r="F64" i="1" s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115" i="1"/>
  <c r="F234" i="1"/>
  <c r="F251" i="1"/>
  <c r="F259" i="1"/>
  <c r="E3" i="1"/>
  <c r="E12" i="1"/>
  <c r="E53" i="1"/>
  <c r="E61" i="1"/>
  <c r="F61" i="1" s="1"/>
  <c r="E72" i="1"/>
  <c r="F72" i="1" s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E7" i="1"/>
  <c r="E16" i="1"/>
  <c r="E35" i="1"/>
  <c r="E40" i="1"/>
  <c r="E51" i="1"/>
  <c r="M98" i="4"/>
  <c r="E97" i="1"/>
  <c r="M103" i="4"/>
  <c r="E102" i="1"/>
  <c r="M114" i="4"/>
  <c r="E113" i="1"/>
  <c r="F113" i="1" s="1"/>
  <c r="M143" i="4"/>
  <c r="E142" i="1"/>
  <c r="M363" i="4"/>
  <c r="E362" i="1"/>
  <c r="F100" i="1"/>
  <c r="F143" i="1"/>
  <c r="F152" i="1"/>
  <c r="F247" i="1"/>
  <c r="F267" i="1"/>
  <c r="F287" i="1"/>
  <c r="F298" i="1"/>
  <c r="F362" i="1"/>
  <c r="I371" i="4"/>
  <c r="E2" i="1"/>
  <c r="E11" i="1"/>
  <c r="E20" i="1"/>
  <c r="E26" i="1"/>
  <c r="E65" i="1"/>
  <c r="F65" i="1" s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94" i="1"/>
  <c r="F97" i="1"/>
  <c r="F105" i="1"/>
  <c r="F125" i="1"/>
  <c r="F128" i="1"/>
  <c r="F185" i="1"/>
  <c r="F218" i="1"/>
  <c r="F230" i="1"/>
  <c r="E6" i="1"/>
  <c r="E15" i="1"/>
  <c r="E39" i="1"/>
  <c r="E44" i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O93" i="3" s="1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<sst xmlns="http://schemas.openxmlformats.org/spreadsheetml/2006/main" count="606" uniqueCount="76">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</sst>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58" workbookViewId="0">
      <selection activeCell="J74" sqref="J74:J75"/>
    </sheetView>
  </sheetViews>
  <sheetFormatPr defaultRowHeight="14.5" x14ac:dyDescent="0.35"/>
  <cols>
    <col min="1" max="1" width="23.453125" customWidth="1"/>
    <col min="5" max="5" width="13.54296875" customWidth="1"/>
    <col min="6" max="6" width="11.81640625" style="156" customWidth="1"/>
    <col min="7" max="7" width="11.1796875" customWidth="1"/>
    <col min="8" max="8" width="11" style="156" customWidth="1"/>
    <col min="9" max="9" width="11.54296875" customWidth="1"/>
    <col min="10" max="10" width="13.1796875" style="156" customWidth="1"/>
    <col min="11" max="11" width="11.1796875" customWidth="1"/>
    <col min="12" max="12" width="11.54296875" customWidth="1"/>
  </cols>
  <sheetData>
    <row r="1" spans="1:13" s="7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3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3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3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3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3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3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3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3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3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3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3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3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3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3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3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3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3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3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3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3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3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3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3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3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3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3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3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3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3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3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3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3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3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3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3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3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3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3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3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3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3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3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3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3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3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3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3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3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3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3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3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3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3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3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3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3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3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3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3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3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3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3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3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3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3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3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3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3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3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3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3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3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3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3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3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3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3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3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3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3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3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3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3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3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3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3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3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3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3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3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3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3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3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3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3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3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3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3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3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3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3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3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3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3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3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3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3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3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3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3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3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3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3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3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3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3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3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3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3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3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3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3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3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3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3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3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3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3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3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3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3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3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3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3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3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3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3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3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3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3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3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3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3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3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3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3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3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3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3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3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3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3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3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3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3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3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3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3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3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3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3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3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3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3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3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3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3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3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3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3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3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3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3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3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3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3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3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3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3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3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3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3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3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3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3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3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3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3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3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3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3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3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3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3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3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3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3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3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3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3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3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3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3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3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3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3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3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3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3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3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3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3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3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3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3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3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3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3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3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3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3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3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3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3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3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3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3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3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3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3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3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3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3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3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3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3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3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3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3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3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3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3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3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3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3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3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3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3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3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3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3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3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3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3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3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3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3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3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3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3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3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3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3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3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3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3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3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3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3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3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3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3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3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3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3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3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3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3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3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3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3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3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3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3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3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3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3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3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3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3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3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3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3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3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3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3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3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3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3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3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3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3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3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3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3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3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3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3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3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3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3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3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3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3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3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3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3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3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3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3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3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3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3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3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3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3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3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3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3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3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3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3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3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3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3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3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3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3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3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3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3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3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3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3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3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3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3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3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3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3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3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3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3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3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3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3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3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3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3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3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3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3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3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3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3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52" workbookViewId="0">
      <selection activeCell="L77" sqref="L77"/>
    </sheetView>
  </sheetViews>
  <sheetFormatPr defaultColWidth="9.1796875" defaultRowHeight="12.5" x14ac:dyDescent="0.35"/>
  <cols>
    <col min="1" max="1" width="2.54296875" style="9" customWidth="1"/>
    <col min="2" max="2" width="10.7265625" style="9" customWidth="1"/>
    <col min="3" max="3" width="11.1796875" style="9" customWidth="1"/>
    <col min="4" max="4" width="11.26953125" style="9" customWidth="1"/>
    <col min="5" max="6" width="12.81640625" style="9" customWidth="1"/>
    <col min="7" max="8" width="11" style="9" customWidth="1"/>
    <col min="9" max="9" width="11.26953125" style="9" customWidth="1"/>
    <col min="10" max="10" width="15.81640625" style="9" customWidth="1"/>
    <col min="11" max="11" width="12.1796875" style="9" customWidth="1"/>
    <col min="12" max="12" width="11.26953125" style="9" customWidth="1"/>
    <col min="13" max="13" width="11.453125" style="9" customWidth="1"/>
    <col min="14" max="14" width="13.26953125" style="9" customWidth="1"/>
    <col min="15" max="15" width="14.54296875" style="9" customWidth="1"/>
    <col min="16" max="17" width="9.1796875" style="9"/>
    <col min="18" max="18" width="10.1796875" style="9" bestFit="1" customWidth="1"/>
    <col min="19" max="256" width="9.1796875" style="9"/>
    <col min="257" max="257" width="2.54296875" style="9" customWidth="1"/>
    <col min="258" max="258" width="10.7265625" style="9" customWidth="1"/>
    <col min="259" max="259" width="11.1796875" style="9" customWidth="1"/>
    <col min="260" max="260" width="11.26953125" style="9" customWidth="1"/>
    <col min="261" max="262" width="12.81640625" style="9" customWidth="1"/>
    <col min="263" max="264" width="11" style="9" customWidth="1"/>
    <col min="265" max="265" width="11.26953125" style="9" customWidth="1"/>
    <col min="266" max="266" width="15.81640625" style="9" customWidth="1"/>
    <col min="267" max="267" width="12.1796875" style="9" customWidth="1"/>
    <col min="268" max="268" width="11.26953125" style="9" customWidth="1"/>
    <col min="269" max="269" width="11.453125" style="9" customWidth="1"/>
    <col min="270" max="270" width="13.26953125" style="9" customWidth="1"/>
    <col min="271" max="271" width="14.54296875" style="9" customWidth="1"/>
    <col min="272" max="273" width="9.1796875" style="9"/>
    <col min="274" max="274" width="10.1796875" style="9" bestFit="1" customWidth="1"/>
    <col min="275" max="512" width="9.1796875" style="9"/>
    <col min="513" max="513" width="2.54296875" style="9" customWidth="1"/>
    <col min="514" max="514" width="10.7265625" style="9" customWidth="1"/>
    <col min="515" max="515" width="11.1796875" style="9" customWidth="1"/>
    <col min="516" max="516" width="11.26953125" style="9" customWidth="1"/>
    <col min="517" max="518" width="12.81640625" style="9" customWidth="1"/>
    <col min="519" max="520" width="11" style="9" customWidth="1"/>
    <col min="521" max="521" width="11.26953125" style="9" customWidth="1"/>
    <col min="522" max="522" width="15.81640625" style="9" customWidth="1"/>
    <col min="523" max="523" width="12.1796875" style="9" customWidth="1"/>
    <col min="524" max="524" width="11.26953125" style="9" customWidth="1"/>
    <col min="525" max="525" width="11.453125" style="9" customWidth="1"/>
    <col min="526" max="526" width="13.26953125" style="9" customWidth="1"/>
    <col min="527" max="527" width="14.54296875" style="9" customWidth="1"/>
    <col min="528" max="529" width="9.1796875" style="9"/>
    <col min="530" max="530" width="10.1796875" style="9" bestFit="1" customWidth="1"/>
    <col min="531" max="768" width="9.1796875" style="9"/>
    <col min="769" max="769" width="2.54296875" style="9" customWidth="1"/>
    <col min="770" max="770" width="10.7265625" style="9" customWidth="1"/>
    <col min="771" max="771" width="11.1796875" style="9" customWidth="1"/>
    <col min="772" max="772" width="11.26953125" style="9" customWidth="1"/>
    <col min="773" max="774" width="12.81640625" style="9" customWidth="1"/>
    <col min="775" max="776" width="11" style="9" customWidth="1"/>
    <col min="777" max="777" width="11.26953125" style="9" customWidth="1"/>
    <col min="778" max="778" width="15.81640625" style="9" customWidth="1"/>
    <col min="779" max="779" width="12.1796875" style="9" customWidth="1"/>
    <col min="780" max="780" width="11.26953125" style="9" customWidth="1"/>
    <col min="781" max="781" width="11.453125" style="9" customWidth="1"/>
    <col min="782" max="782" width="13.26953125" style="9" customWidth="1"/>
    <col min="783" max="783" width="14.54296875" style="9" customWidth="1"/>
    <col min="784" max="785" width="9.1796875" style="9"/>
    <col min="786" max="786" width="10.1796875" style="9" bestFit="1" customWidth="1"/>
    <col min="787" max="1024" width="9.1796875" style="9"/>
    <col min="1025" max="1025" width="2.54296875" style="9" customWidth="1"/>
    <col min="1026" max="1026" width="10.7265625" style="9" customWidth="1"/>
    <col min="1027" max="1027" width="11.1796875" style="9" customWidth="1"/>
    <col min="1028" max="1028" width="11.26953125" style="9" customWidth="1"/>
    <col min="1029" max="1030" width="12.81640625" style="9" customWidth="1"/>
    <col min="1031" max="1032" width="11" style="9" customWidth="1"/>
    <col min="1033" max="1033" width="11.26953125" style="9" customWidth="1"/>
    <col min="1034" max="1034" width="15.81640625" style="9" customWidth="1"/>
    <col min="1035" max="1035" width="12.1796875" style="9" customWidth="1"/>
    <col min="1036" max="1036" width="11.26953125" style="9" customWidth="1"/>
    <col min="1037" max="1037" width="11.453125" style="9" customWidth="1"/>
    <col min="1038" max="1038" width="13.26953125" style="9" customWidth="1"/>
    <col min="1039" max="1039" width="14.54296875" style="9" customWidth="1"/>
    <col min="1040" max="1041" width="9.1796875" style="9"/>
    <col min="1042" max="1042" width="10.1796875" style="9" bestFit="1" customWidth="1"/>
    <col min="1043" max="1280" width="9.1796875" style="9"/>
    <col min="1281" max="1281" width="2.54296875" style="9" customWidth="1"/>
    <col min="1282" max="1282" width="10.7265625" style="9" customWidth="1"/>
    <col min="1283" max="1283" width="11.1796875" style="9" customWidth="1"/>
    <col min="1284" max="1284" width="11.26953125" style="9" customWidth="1"/>
    <col min="1285" max="1286" width="12.81640625" style="9" customWidth="1"/>
    <col min="1287" max="1288" width="11" style="9" customWidth="1"/>
    <col min="1289" max="1289" width="11.26953125" style="9" customWidth="1"/>
    <col min="1290" max="1290" width="15.81640625" style="9" customWidth="1"/>
    <col min="1291" max="1291" width="12.1796875" style="9" customWidth="1"/>
    <col min="1292" max="1292" width="11.26953125" style="9" customWidth="1"/>
    <col min="1293" max="1293" width="11.453125" style="9" customWidth="1"/>
    <col min="1294" max="1294" width="13.26953125" style="9" customWidth="1"/>
    <col min="1295" max="1295" width="14.54296875" style="9" customWidth="1"/>
    <col min="1296" max="1297" width="9.1796875" style="9"/>
    <col min="1298" max="1298" width="10.1796875" style="9" bestFit="1" customWidth="1"/>
    <col min="1299" max="1536" width="9.1796875" style="9"/>
    <col min="1537" max="1537" width="2.54296875" style="9" customWidth="1"/>
    <col min="1538" max="1538" width="10.7265625" style="9" customWidth="1"/>
    <col min="1539" max="1539" width="11.1796875" style="9" customWidth="1"/>
    <col min="1540" max="1540" width="11.26953125" style="9" customWidth="1"/>
    <col min="1541" max="1542" width="12.81640625" style="9" customWidth="1"/>
    <col min="1543" max="1544" width="11" style="9" customWidth="1"/>
    <col min="1545" max="1545" width="11.26953125" style="9" customWidth="1"/>
    <col min="1546" max="1546" width="15.81640625" style="9" customWidth="1"/>
    <col min="1547" max="1547" width="12.1796875" style="9" customWidth="1"/>
    <col min="1548" max="1548" width="11.26953125" style="9" customWidth="1"/>
    <col min="1549" max="1549" width="11.453125" style="9" customWidth="1"/>
    <col min="1550" max="1550" width="13.26953125" style="9" customWidth="1"/>
    <col min="1551" max="1551" width="14.54296875" style="9" customWidth="1"/>
    <col min="1552" max="1553" width="9.1796875" style="9"/>
    <col min="1554" max="1554" width="10.1796875" style="9" bestFit="1" customWidth="1"/>
    <col min="1555" max="1792" width="9.1796875" style="9"/>
    <col min="1793" max="1793" width="2.54296875" style="9" customWidth="1"/>
    <col min="1794" max="1794" width="10.7265625" style="9" customWidth="1"/>
    <col min="1795" max="1795" width="11.1796875" style="9" customWidth="1"/>
    <col min="1796" max="1796" width="11.26953125" style="9" customWidth="1"/>
    <col min="1797" max="1798" width="12.81640625" style="9" customWidth="1"/>
    <col min="1799" max="1800" width="11" style="9" customWidth="1"/>
    <col min="1801" max="1801" width="11.26953125" style="9" customWidth="1"/>
    <col min="1802" max="1802" width="15.81640625" style="9" customWidth="1"/>
    <col min="1803" max="1803" width="12.1796875" style="9" customWidth="1"/>
    <col min="1804" max="1804" width="11.26953125" style="9" customWidth="1"/>
    <col min="1805" max="1805" width="11.453125" style="9" customWidth="1"/>
    <col min="1806" max="1806" width="13.26953125" style="9" customWidth="1"/>
    <col min="1807" max="1807" width="14.54296875" style="9" customWidth="1"/>
    <col min="1808" max="1809" width="9.1796875" style="9"/>
    <col min="1810" max="1810" width="10.1796875" style="9" bestFit="1" customWidth="1"/>
    <col min="1811" max="2048" width="9.1796875" style="9"/>
    <col min="2049" max="2049" width="2.54296875" style="9" customWidth="1"/>
    <col min="2050" max="2050" width="10.7265625" style="9" customWidth="1"/>
    <col min="2051" max="2051" width="11.1796875" style="9" customWidth="1"/>
    <col min="2052" max="2052" width="11.26953125" style="9" customWidth="1"/>
    <col min="2053" max="2054" width="12.81640625" style="9" customWidth="1"/>
    <col min="2055" max="2056" width="11" style="9" customWidth="1"/>
    <col min="2057" max="2057" width="11.26953125" style="9" customWidth="1"/>
    <col min="2058" max="2058" width="15.81640625" style="9" customWidth="1"/>
    <col min="2059" max="2059" width="12.1796875" style="9" customWidth="1"/>
    <col min="2060" max="2060" width="11.26953125" style="9" customWidth="1"/>
    <col min="2061" max="2061" width="11.453125" style="9" customWidth="1"/>
    <col min="2062" max="2062" width="13.26953125" style="9" customWidth="1"/>
    <col min="2063" max="2063" width="14.54296875" style="9" customWidth="1"/>
    <col min="2064" max="2065" width="9.1796875" style="9"/>
    <col min="2066" max="2066" width="10.1796875" style="9" bestFit="1" customWidth="1"/>
    <col min="2067" max="2304" width="9.1796875" style="9"/>
    <col min="2305" max="2305" width="2.54296875" style="9" customWidth="1"/>
    <col min="2306" max="2306" width="10.7265625" style="9" customWidth="1"/>
    <col min="2307" max="2307" width="11.1796875" style="9" customWidth="1"/>
    <col min="2308" max="2308" width="11.26953125" style="9" customWidth="1"/>
    <col min="2309" max="2310" width="12.81640625" style="9" customWidth="1"/>
    <col min="2311" max="2312" width="11" style="9" customWidth="1"/>
    <col min="2313" max="2313" width="11.26953125" style="9" customWidth="1"/>
    <col min="2314" max="2314" width="15.81640625" style="9" customWidth="1"/>
    <col min="2315" max="2315" width="12.1796875" style="9" customWidth="1"/>
    <col min="2316" max="2316" width="11.26953125" style="9" customWidth="1"/>
    <col min="2317" max="2317" width="11.453125" style="9" customWidth="1"/>
    <col min="2318" max="2318" width="13.26953125" style="9" customWidth="1"/>
    <col min="2319" max="2319" width="14.54296875" style="9" customWidth="1"/>
    <col min="2320" max="2321" width="9.1796875" style="9"/>
    <col min="2322" max="2322" width="10.1796875" style="9" bestFit="1" customWidth="1"/>
    <col min="2323" max="2560" width="9.1796875" style="9"/>
    <col min="2561" max="2561" width="2.54296875" style="9" customWidth="1"/>
    <col min="2562" max="2562" width="10.7265625" style="9" customWidth="1"/>
    <col min="2563" max="2563" width="11.1796875" style="9" customWidth="1"/>
    <col min="2564" max="2564" width="11.26953125" style="9" customWidth="1"/>
    <col min="2565" max="2566" width="12.81640625" style="9" customWidth="1"/>
    <col min="2567" max="2568" width="11" style="9" customWidth="1"/>
    <col min="2569" max="2569" width="11.26953125" style="9" customWidth="1"/>
    <col min="2570" max="2570" width="15.81640625" style="9" customWidth="1"/>
    <col min="2571" max="2571" width="12.1796875" style="9" customWidth="1"/>
    <col min="2572" max="2572" width="11.26953125" style="9" customWidth="1"/>
    <col min="2573" max="2573" width="11.453125" style="9" customWidth="1"/>
    <col min="2574" max="2574" width="13.26953125" style="9" customWidth="1"/>
    <col min="2575" max="2575" width="14.54296875" style="9" customWidth="1"/>
    <col min="2576" max="2577" width="9.1796875" style="9"/>
    <col min="2578" max="2578" width="10.1796875" style="9" bestFit="1" customWidth="1"/>
    <col min="2579" max="2816" width="9.1796875" style="9"/>
    <col min="2817" max="2817" width="2.54296875" style="9" customWidth="1"/>
    <col min="2818" max="2818" width="10.7265625" style="9" customWidth="1"/>
    <col min="2819" max="2819" width="11.1796875" style="9" customWidth="1"/>
    <col min="2820" max="2820" width="11.26953125" style="9" customWidth="1"/>
    <col min="2821" max="2822" width="12.81640625" style="9" customWidth="1"/>
    <col min="2823" max="2824" width="11" style="9" customWidth="1"/>
    <col min="2825" max="2825" width="11.26953125" style="9" customWidth="1"/>
    <col min="2826" max="2826" width="15.81640625" style="9" customWidth="1"/>
    <col min="2827" max="2827" width="12.1796875" style="9" customWidth="1"/>
    <col min="2828" max="2828" width="11.26953125" style="9" customWidth="1"/>
    <col min="2829" max="2829" width="11.453125" style="9" customWidth="1"/>
    <col min="2830" max="2830" width="13.26953125" style="9" customWidth="1"/>
    <col min="2831" max="2831" width="14.54296875" style="9" customWidth="1"/>
    <col min="2832" max="2833" width="9.1796875" style="9"/>
    <col min="2834" max="2834" width="10.1796875" style="9" bestFit="1" customWidth="1"/>
    <col min="2835" max="3072" width="9.1796875" style="9"/>
    <col min="3073" max="3073" width="2.54296875" style="9" customWidth="1"/>
    <col min="3074" max="3074" width="10.7265625" style="9" customWidth="1"/>
    <col min="3075" max="3075" width="11.1796875" style="9" customWidth="1"/>
    <col min="3076" max="3076" width="11.26953125" style="9" customWidth="1"/>
    <col min="3077" max="3078" width="12.81640625" style="9" customWidth="1"/>
    <col min="3079" max="3080" width="11" style="9" customWidth="1"/>
    <col min="3081" max="3081" width="11.26953125" style="9" customWidth="1"/>
    <col min="3082" max="3082" width="15.81640625" style="9" customWidth="1"/>
    <col min="3083" max="3083" width="12.1796875" style="9" customWidth="1"/>
    <col min="3084" max="3084" width="11.26953125" style="9" customWidth="1"/>
    <col min="3085" max="3085" width="11.453125" style="9" customWidth="1"/>
    <col min="3086" max="3086" width="13.26953125" style="9" customWidth="1"/>
    <col min="3087" max="3087" width="14.54296875" style="9" customWidth="1"/>
    <col min="3088" max="3089" width="9.1796875" style="9"/>
    <col min="3090" max="3090" width="10.1796875" style="9" bestFit="1" customWidth="1"/>
    <col min="3091" max="3328" width="9.1796875" style="9"/>
    <col min="3329" max="3329" width="2.54296875" style="9" customWidth="1"/>
    <col min="3330" max="3330" width="10.7265625" style="9" customWidth="1"/>
    <col min="3331" max="3331" width="11.1796875" style="9" customWidth="1"/>
    <col min="3332" max="3332" width="11.26953125" style="9" customWidth="1"/>
    <col min="3333" max="3334" width="12.81640625" style="9" customWidth="1"/>
    <col min="3335" max="3336" width="11" style="9" customWidth="1"/>
    <col min="3337" max="3337" width="11.26953125" style="9" customWidth="1"/>
    <col min="3338" max="3338" width="15.81640625" style="9" customWidth="1"/>
    <col min="3339" max="3339" width="12.1796875" style="9" customWidth="1"/>
    <col min="3340" max="3340" width="11.26953125" style="9" customWidth="1"/>
    <col min="3341" max="3341" width="11.453125" style="9" customWidth="1"/>
    <col min="3342" max="3342" width="13.26953125" style="9" customWidth="1"/>
    <col min="3343" max="3343" width="14.54296875" style="9" customWidth="1"/>
    <col min="3344" max="3345" width="9.1796875" style="9"/>
    <col min="3346" max="3346" width="10.1796875" style="9" bestFit="1" customWidth="1"/>
    <col min="3347" max="3584" width="9.1796875" style="9"/>
    <col min="3585" max="3585" width="2.54296875" style="9" customWidth="1"/>
    <col min="3586" max="3586" width="10.7265625" style="9" customWidth="1"/>
    <col min="3587" max="3587" width="11.1796875" style="9" customWidth="1"/>
    <col min="3588" max="3588" width="11.26953125" style="9" customWidth="1"/>
    <col min="3589" max="3590" width="12.81640625" style="9" customWidth="1"/>
    <col min="3591" max="3592" width="11" style="9" customWidth="1"/>
    <col min="3593" max="3593" width="11.26953125" style="9" customWidth="1"/>
    <col min="3594" max="3594" width="15.81640625" style="9" customWidth="1"/>
    <col min="3595" max="3595" width="12.1796875" style="9" customWidth="1"/>
    <col min="3596" max="3596" width="11.26953125" style="9" customWidth="1"/>
    <col min="3597" max="3597" width="11.453125" style="9" customWidth="1"/>
    <col min="3598" max="3598" width="13.26953125" style="9" customWidth="1"/>
    <col min="3599" max="3599" width="14.54296875" style="9" customWidth="1"/>
    <col min="3600" max="3601" width="9.1796875" style="9"/>
    <col min="3602" max="3602" width="10.1796875" style="9" bestFit="1" customWidth="1"/>
    <col min="3603" max="3840" width="9.1796875" style="9"/>
    <col min="3841" max="3841" width="2.54296875" style="9" customWidth="1"/>
    <col min="3842" max="3842" width="10.7265625" style="9" customWidth="1"/>
    <col min="3843" max="3843" width="11.1796875" style="9" customWidth="1"/>
    <col min="3844" max="3844" width="11.26953125" style="9" customWidth="1"/>
    <col min="3845" max="3846" width="12.81640625" style="9" customWidth="1"/>
    <col min="3847" max="3848" width="11" style="9" customWidth="1"/>
    <col min="3849" max="3849" width="11.26953125" style="9" customWidth="1"/>
    <col min="3850" max="3850" width="15.81640625" style="9" customWidth="1"/>
    <col min="3851" max="3851" width="12.1796875" style="9" customWidth="1"/>
    <col min="3852" max="3852" width="11.26953125" style="9" customWidth="1"/>
    <col min="3853" max="3853" width="11.453125" style="9" customWidth="1"/>
    <col min="3854" max="3854" width="13.26953125" style="9" customWidth="1"/>
    <col min="3855" max="3855" width="14.54296875" style="9" customWidth="1"/>
    <col min="3856" max="3857" width="9.1796875" style="9"/>
    <col min="3858" max="3858" width="10.1796875" style="9" bestFit="1" customWidth="1"/>
    <col min="3859" max="4096" width="9.1796875" style="9"/>
    <col min="4097" max="4097" width="2.54296875" style="9" customWidth="1"/>
    <col min="4098" max="4098" width="10.7265625" style="9" customWidth="1"/>
    <col min="4099" max="4099" width="11.1796875" style="9" customWidth="1"/>
    <col min="4100" max="4100" width="11.26953125" style="9" customWidth="1"/>
    <col min="4101" max="4102" width="12.81640625" style="9" customWidth="1"/>
    <col min="4103" max="4104" width="11" style="9" customWidth="1"/>
    <col min="4105" max="4105" width="11.26953125" style="9" customWidth="1"/>
    <col min="4106" max="4106" width="15.81640625" style="9" customWidth="1"/>
    <col min="4107" max="4107" width="12.1796875" style="9" customWidth="1"/>
    <col min="4108" max="4108" width="11.26953125" style="9" customWidth="1"/>
    <col min="4109" max="4109" width="11.453125" style="9" customWidth="1"/>
    <col min="4110" max="4110" width="13.26953125" style="9" customWidth="1"/>
    <col min="4111" max="4111" width="14.54296875" style="9" customWidth="1"/>
    <col min="4112" max="4113" width="9.1796875" style="9"/>
    <col min="4114" max="4114" width="10.1796875" style="9" bestFit="1" customWidth="1"/>
    <col min="4115" max="4352" width="9.1796875" style="9"/>
    <col min="4353" max="4353" width="2.54296875" style="9" customWidth="1"/>
    <col min="4354" max="4354" width="10.7265625" style="9" customWidth="1"/>
    <col min="4355" max="4355" width="11.1796875" style="9" customWidth="1"/>
    <col min="4356" max="4356" width="11.26953125" style="9" customWidth="1"/>
    <col min="4357" max="4358" width="12.81640625" style="9" customWidth="1"/>
    <col min="4359" max="4360" width="11" style="9" customWidth="1"/>
    <col min="4361" max="4361" width="11.26953125" style="9" customWidth="1"/>
    <col min="4362" max="4362" width="15.81640625" style="9" customWidth="1"/>
    <col min="4363" max="4363" width="12.1796875" style="9" customWidth="1"/>
    <col min="4364" max="4364" width="11.26953125" style="9" customWidth="1"/>
    <col min="4365" max="4365" width="11.453125" style="9" customWidth="1"/>
    <col min="4366" max="4366" width="13.26953125" style="9" customWidth="1"/>
    <col min="4367" max="4367" width="14.54296875" style="9" customWidth="1"/>
    <col min="4368" max="4369" width="9.1796875" style="9"/>
    <col min="4370" max="4370" width="10.1796875" style="9" bestFit="1" customWidth="1"/>
    <col min="4371" max="4608" width="9.1796875" style="9"/>
    <col min="4609" max="4609" width="2.54296875" style="9" customWidth="1"/>
    <col min="4610" max="4610" width="10.7265625" style="9" customWidth="1"/>
    <col min="4611" max="4611" width="11.1796875" style="9" customWidth="1"/>
    <col min="4612" max="4612" width="11.26953125" style="9" customWidth="1"/>
    <col min="4613" max="4614" width="12.81640625" style="9" customWidth="1"/>
    <col min="4615" max="4616" width="11" style="9" customWidth="1"/>
    <col min="4617" max="4617" width="11.26953125" style="9" customWidth="1"/>
    <col min="4618" max="4618" width="15.81640625" style="9" customWidth="1"/>
    <col min="4619" max="4619" width="12.1796875" style="9" customWidth="1"/>
    <col min="4620" max="4620" width="11.26953125" style="9" customWidth="1"/>
    <col min="4621" max="4621" width="11.453125" style="9" customWidth="1"/>
    <col min="4622" max="4622" width="13.26953125" style="9" customWidth="1"/>
    <col min="4623" max="4623" width="14.54296875" style="9" customWidth="1"/>
    <col min="4624" max="4625" width="9.1796875" style="9"/>
    <col min="4626" max="4626" width="10.1796875" style="9" bestFit="1" customWidth="1"/>
    <col min="4627" max="4864" width="9.1796875" style="9"/>
    <col min="4865" max="4865" width="2.54296875" style="9" customWidth="1"/>
    <col min="4866" max="4866" width="10.7265625" style="9" customWidth="1"/>
    <col min="4867" max="4867" width="11.1796875" style="9" customWidth="1"/>
    <col min="4868" max="4868" width="11.26953125" style="9" customWidth="1"/>
    <col min="4869" max="4870" width="12.81640625" style="9" customWidth="1"/>
    <col min="4871" max="4872" width="11" style="9" customWidth="1"/>
    <col min="4873" max="4873" width="11.26953125" style="9" customWidth="1"/>
    <col min="4874" max="4874" width="15.81640625" style="9" customWidth="1"/>
    <col min="4875" max="4875" width="12.1796875" style="9" customWidth="1"/>
    <col min="4876" max="4876" width="11.26953125" style="9" customWidth="1"/>
    <col min="4877" max="4877" width="11.453125" style="9" customWidth="1"/>
    <col min="4878" max="4878" width="13.26953125" style="9" customWidth="1"/>
    <col min="4879" max="4879" width="14.54296875" style="9" customWidth="1"/>
    <col min="4880" max="4881" width="9.1796875" style="9"/>
    <col min="4882" max="4882" width="10.1796875" style="9" bestFit="1" customWidth="1"/>
    <col min="4883" max="5120" width="9.1796875" style="9"/>
    <col min="5121" max="5121" width="2.54296875" style="9" customWidth="1"/>
    <col min="5122" max="5122" width="10.7265625" style="9" customWidth="1"/>
    <col min="5123" max="5123" width="11.1796875" style="9" customWidth="1"/>
    <col min="5124" max="5124" width="11.26953125" style="9" customWidth="1"/>
    <col min="5125" max="5126" width="12.81640625" style="9" customWidth="1"/>
    <col min="5127" max="5128" width="11" style="9" customWidth="1"/>
    <col min="5129" max="5129" width="11.26953125" style="9" customWidth="1"/>
    <col min="5130" max="5130" width="15.81640625" style="9" customWidth="1"/>
    <col min="5131" max="5131" width="12.1796875" style="9" customWidth="1"/>
    <col min="5132" max="5132" width="11.26953125" style="9" customWidth="1"/>
    <col min="5133" max="5133" width="11.453125" style="9" customWidth="1"/>
    <col min="5134" max="5134" width="13.26953125" style="9" customWidth="1"/>
    <col min="5135" max="5135" width="14.54296875" style="9" customWidth="1"/>
    <col min="5136" max="5137" width="9.1796875" style="9"/>
    <col min="5138" max="5138" width="10.1796875" style="9" bestFit="1" customWidth="1"/>
    <col min="5139" max="5376" width="9.1796875" style="9"/>
    <col min="5377" max="5377" width="2.54296875" style="9" customWidth="1"/>
    <col min="5378" max="5378" width="10.7265625" style="9" customWidth="1"/>
    <col min="5379" max="5379" width="11.1796875" style="9" customWidth="1"/>
    <col min="5380" max="5380" width="11.26953125" style="9" customWidth="1"/>
    <col min="5381" max="5382" width="12.81640625" style="9" customWidth="1"/>
    <col min="5383" max="5384" width="11" style="9" customWidth="1"/>
    <col min="5385" max="5385" width="11.26953125" style="9" customWidth="1"/>
    <col min="5386" max="5386" width="15.81640625" style="9" customWidth="1"/>
    <col min="5387" max="5387" width="12.1796875" style="9" customWidth="1"/>
    <col min="5388" max="5388" width="11.26953125" style="9" customWidth="1"/>
    <col min="5389" max="5389" width="11.453125" style="9" customWidth="1"/>
    <col min="5390" max="5390" width="13.26953125" style="9" customWidth="1"/>
    <col min="5391" max="5391" width="14.54296875" style="9" customWidth="1"/>
    <col min="5392" max="5393" width="9.1796875" style="9"/>
    <col min="5394" max="5394" width="10.1796875" style="9" bestFit="1" customWidth="1"/>
    <col min="5395" max="5632" width="9.1796875" style="9"/>
    <col min="5633" max="5633" width="2.54296875" style="9" customWidth="1"/>
    <col min="5634" max="5634" width="10.7265625" style="9" customWidth="1"/>
    <col min="5635" max="5635" width="11.1796875" style="9" customWidth="1"/>
    <col min="5636" max="5636" width="11.26953125" style="9" customWidth="1"/>
    <col min="5637" max="5638" width="12.81640625" style="9" customWidth="1"/>
    <col min="5639" max="5640" width="11" style="9" customWidth="1"/>
    <col min="5641" max="5641" width="11.26953125" style="9" customWidth="1"/>
    <col min="5642" max="5642" width="15.81640625" style="9" customWidth="1"/>
    <col min="5643" max="5643" width="12.1796875" style="9" customWidth="1"/>
    <col min="5644" max="5644" width="11.26953125" style="9" customWidth="1"/>
    <col min="5645" max="5645" width="11.453125" style="9" customWidth="1"/>
    <col min="5646" max="5646" width="13.26953125" style="9" customWidth="1"/>
    <col min="5647" max="5647" width="14.54296875" style="9" customWidth="1"/>
    <col min="5648" max="5649" width="9.1796875" style="9"/>
    <col min="5650" max="5650" width="10.1796875" style="9" bestFit="1" customWidth="1"/>
    <col min="5651" max="5888" width="9.1796875" style="9"/>
    <col min="5889" max="5889" width="2.54296875" style="9" customWidth="1"/>
    <col min="5890" max="5890" width="10.7265625" style="9" customWidth="1"/>
    <col min="5891" max="5891" width="11.1796875" style="9" customWidth="1"/>
    <col min="5892" max="5892" width="11.26953125" style="9" customWidth="1"/>
    <col min="5893" max="5894" width="12.81640625" style="9" customWidth="1"/>
    <col min="5895" max="5896" width="11" style="9" customWidth="1"/>
    <col min="5897" max="5897" width="11.26953125" style="9" customWidth="1"/>
    <col min="5898" max="5898" width="15.81640625" style="9" customWidth="1"/>
    <col min="5899" max="5899" width="12.1796875" style="9" customWidth="1"/>
    <col min="5900" max="5900" width="11.26953125" style="9" customWidth="1"/>
    <col min="5901" max="5901" width="11.453125" style="9" customWidth="1"/>
    <col min="5902" max="5902" width="13.26953125" style="9" customWidth="1"/>
    <col min="5903" max="5903" width="14.54296875" style="9" customWidth="1"/>
    <col min="5904" max="5905" width="9.1796875" style="9"/>
    <col min="5906" max="5906" width="10.1796875" style="9" bestFit="1" customWidth="1"/>
    <col min="5907" max="6144" width="9.1796875" style="9"/>
    <col min="6145" max="6145" width="2.54296875" style="9" customWidth="1"/>
    <col min="6146" max="6146" width="10.7265625" style="9" customWidth="1"/>
    <col min="6147" max="6147" width="11.1796875" style="9" customWidth="1"/>
    <col min="6148" max="6148" width="11.26953125" style="9" customWidth="1"/>
    <col min="6149" max="6150" width="12.81640625" style="9" customWidth="1"/>
    <col min="6151" max="6152" width="11" style="9" customWidth="1"/>
    <col min="6153" max="6153" width="11.26953125" style="9" customWidth="1"/>
    <col min="6154" max="6154" width="15.81640625" style="9" customWidth="1"/>
    <col min="6155" max="6155" width="12.1796875" style="9" customWidth="1"/>
    <col min="6156" max="6156" width="11.26953125" style="9" customWidth="1"/>
    <col min="6157" max="6157" width="11.453125" style="9" customWidth="1"/>
    <col min="6158" max="6158" width="13.26953125" style="9" customWidth="1"/>
    <col min="6159" max="6159" width="14.54296875" style="9" customWidth="1"/>
    <col min="6160" max="6161" width="9.1796875" style="9"/>
    <col min="6162" max="6162" width="10.1796875" style="9" bestFit="1" customWidth="1"/>
    <col min="6163" max="6400" width="9.1796875" style="9"/>
    <col min="6401" max="6401" width="2.54296875" style="9" customWidth="1"/>
    <col min="6402" max="6402" width="10.7265625" style="9" customWidth="1"/>
    <col min="6403" max="6403" width="11.1796875" style="9" customWidth="1"/>
    <col min="6404" max="6404" width="11.26953125" style="9" customWidth="1"/>
    <col min="6405" max="6406" width="12.81640625" style="9" customWidth="1"/>
    <col min="6407" max="6408" width="11" style="9" customWidth="1"/>
    <col min="6409" max="6409" width="11.26953125" style="9" customWidth="1"/>
    <col min="6410" max="6410" width="15.81640625" style="9" customWidth="1"/>
    <col min="6411" max="6411" width="12.1796875" style="9" customWidth="1"/>
    <col min="6412" max="6412" width="11.26953125" style="9" customWidth="1"/>
    <col min="6413" max="6413" width="11.453125" style="9" customWidth="1"/>
    <col min="6414" max="6414" width="13.26953125" style="9" customWidth="1"/>
    <col min="6415" max="6415" width="14.54296875" style="9" customWidth="1"/>
    <col min="6416" max="6417" width="9.1796875" style="9"/>
    <col min="6418" max="6418" width="10.1796875" style="9" bestFit="1" customWidth="1"/>
    <col min="6419" max="6656" width="9.1796875" style="9"/>
    <col min="6657" max="6657" width="2.54296875" style="9" customWidth="1"/>
    <col min="6658" max="6658" width="10.7265625" style="9" customWidth="1"/>
    <col min="6659" max="6659" width="11.1796875" style="9" customWidth="1"/>
    <col min="6660" max="6660" width="11.26953125" style="9" customWidth="1"/>
    <col min="6661" max="6662" width="12.81640625" style="9" customWidth="1"/>
    <col min="6663" max="6664" width="11" style="9" customWidth="1"/>
    <col min="6665" max="6665" width="11.26953125" style="9" customWidth="1"/>
    <col min="6666" max="6666" width="15.81640625" style="9" customWidth="1"/>
    <col min="6667" max="6667" width="12.1796875" style="9" customWidth="1"/>
    <col min="6668" max="6668" width="11.26953125" style="9" customWidth="1"/>
    <col min="6669" max="6669" width="11.453125" style="9" customWidth="1"/>
    <col min="6670" max="6670" width="13.26953125" style="9" customWidth="1"/>
    <col min="6671" max="6671" width="14.54296875" style="9" customWidth="1"/>
    <col min="6672" max="6673" width="9.1796875" style="9"/>
    <col min="6674" max="6674" width="10.1796875" style="9" bestFit="1" customWidth="1"/>
    <col min="6675" max="6912" width="9.1796875" style="9"/>
    <col min="6913" max="6913" width="2.54296875" style="9" customWidth="1"/>
    <col min="6914" max="6914" width="10.7265625" style="9" customWidth="1"/>
    <col min="6915" max="6915" width="11.1796875" style="9" customWidth="1"/>
    <col min="6916" max="6916" width="11.26953125" style="9" customWidth="1"/>
    <col min="6917" max="6918" width="12.81640625" style="9" customWidth="1"/>
    <col min="6919" max="6920" width="11" style="9" customWidth="1"/>
    <col min="6921" max="6921" width="11.26953125" style="9" customWidth="1"/>
    <col min="6922" max="6922" width="15.81640625" style="9" customWidth="1"/>
    <col min="6923" max="6923" width="12.1796875" style="9" customWidth="1"/>
    <col min="6924" max="6924" width="11.26953125" style="9" customWidth="1"/>
    <col min="6925" max="6925" width="11.453125" style="9" customWidth="1"/>
    <col min="6926" max="6926" width="13.26953125" style="9" customWidth="1"/>
    <col min="6927" max="6927" width="14.54296875" style="9" customWidth="1"/>
    <col min="6928" max="6929" width="9.1796875" style="9"/>
    <col min="6930" max="6930" width="10.1796875" style="9" bestFit="1" customWidth="1"/>
    <col min="6931" max="7168" width="9.1796875" style="9"/>
    <col min="7169" max="7169" width="2.54296875" style="9" customWidth="1"/>
    <col min="7170" max="7170" width="10.7265625" style="9" customWidth="1"/>
    <col min="7171" max="7171" width="11.1796875" style="9" customWidth="1"/>
    <col min="7172" max="7172" width="11.26953125" style="9" customWidth="1"/>
    <col min="7173" max="7174" width="12.81640625" style="9" customWidth="1"/>
    <col min="7175" max="7176" width="11" style="9" customWidth="1"/>
    <col min="7177" max="7177" width="11.26953125" style="9" customWidth="1"/>
    <col min="7178" max="7178" width="15.81640625" style="9" customWidth="1"/>
    <col min="7179" max="7179" width="12.1796875" style="9" customWidth="1"/>
    <col min="7180" max="7180" width="11.26953125" style="9" customWidth="1"/>
    <col min="7181" max="7181" width="11.453125" style="9" customWidth="1"/>
    <col min="7182" max="7182" width="13.26953125" style="9" customWidth="1"/>
    <col min="7183" max="7183" width="14.54296875" style="9" customWidth="1"/>
    <col min="7184" max="7185" width="9.1796875" style="9"/>
    <col min="7186" max="7186" width="10.1796875" style="9" bestFit="1" customWidth="1"/>
    <col min="7187" max="7424" width="9.1796875" style="9"/>
    <col min="7425" max="7425" width="2.54296875" style="9" customWidth="1"/>
    <col min="7426" max="7426" width="10.7265625" style="9" customWidth="1"/>
    <col min="7427" max="7427" width="11.1796875" style="9" customWidth="1"/>
    <col min="7428" max="7428" width="11.26953125" style="9" customWidth="1"/>
    <col min="7429" max="7430" width="12.81640625" style="9" customWidth="1"/>
    <col min="7431" max="7432" width="11" style="9" customWidth="1"/>
    <col min="7433" max="7433" width="11.26953125" style="9" customWidth="1"/>
    <col min="7434" max="7434" width="15.81640625" style="9" customWidth="1"/>
    <col min="7435" max="7435" width="12.1796875" style="9" customWidth="1"/>
    <col min="7436" max="7436" width="11.26953125" style="9" customWidth="1"/>
    <col min="7437" max="7437" width="11.453125" style="9" customWidth="1"/>
    <col min="7438" max="7438" width="13.26953125" style="9" customWidth="1"/>
    <col min="7439" max="7439" width="14.54296875" style="9" customWidth="1"/>
    <col min="7440" max="7441" width="9.1796875" style="9"/>
    <col min="7442" max="7442" width="10.1796875" style="9" bestFit="1" customWidth="1"/>
    <col min="7443" max="7680" width="9.1796875" style="9"/>
    <col min="7681" max="7681" width="2.54296875" style="9" customWidth="1"/>
    <col min="7682" max="7682" width="10.7265625" style="9" customWidth="1"/>
    <col min="7683" max="7683" width="11.1796875" style="9" customWidth="1"/>
    <col min="7684" max="7684" width="11.26953125" style="9" customWidth="1"/>
    <col min="7685" max="7686" width="12.81640625" style="9" customWidth="1"/>
    <col min="7687" max="7688" width="11" style="9" customWidth="1"/>
    <col min="7689" max="7689" width="11.26953125" style="9" customWidth="1"/>
    <col min="7690" max="7690" width="15.81640625" style="9" customWidth="1"/>
    <col min="7691" max="7691" width="12.1796875" style="9" customWidth="1"/>
    <col min="7692" max="7692" width="11.26953125" style="9" customWidth="1"/>
    <col min="7693" max="7693" width="11.453125" style="9" customWidth="1"/>
    <col min="7694" max="7694" width="13.26953125" style="9" customWidth="1"/>
    <col min="7695" max="7695" width="14.54296875" style="9" customWidth="1"/>
    <col min="7696" max="7697" width="9.1796875" style="9"/>
    <col min="7698" max="7698" width="10.1796875" style="9" bestFit="1" customWidth="1"/>
    <col min="7699" max="7936" width="9.1796875" style="9"/>
    <col min="7937" max="7937" width="2.54296875" style="9" customWidth="1"/>
    <col min="7938" max="7938" width="10.7265625" style="9" customWidth="1"/>
    <col min="7939" max="7939" width="11.1796875" style="9" customWidth="1"/>
    <col min="7940" max="7940" width="11.26953125" style="9" customWidth="1"/>
    <col min="7941" max="7942" width="12.81640625" style="9" customWidth="1"/>
    <col min="7943" max="7944" width="11" style="9" customWidth="1"/>
    <col min="7945" max="7945" width="11.26953125" style="9" customWidth="1"/>
    <col min="7946" max="7946" width="15.81640625" style="9" customWidth="1"/>
    <col min="7947" max="7947" width="12.1796875" style="9" customWidth="1"/>
    <col min="7948" max="7948" width="11.26953125" style="9" customWidth="1"/>
    <col min="7949" max="7949" width="11.453125" style="9" customWidth="1"/>
    <col min="7950" max="7950" width="13.26953125" style="9" customWidth="1"/>
    <col min="7951" max="7951" width="14.54296875" style="9" customWidth="1"/>
    <col min="7952" max="7953" width="9.1796875" style="9"/>
    <col min="7954" max="7954" width="10.1796875" style="9" bestFit="1" customWidth="1"/>
    <col min="7955" max="8192" width="9.1796875" style="9"/>
    <col min="8193" max="8193" width="2.54296875" style="9" customWidth="1"/>
    <col min="8194" max="8194" width="10.7265625" style="9" customWidth="1"/>
    <col min="8195" max="8195" width="11.1796875" style="9" customWidth="1"/>
    <col min="8196" max="8196" width="11.26953125" style="9" customWidth="1"/>
    <col min="8197" max="8198" width="12.81640625" style="9" customWidth="1"/>
    <col min="8199" max="8200" width="11" style="9" customWidth="1"/>
    <col min="8201" max="8201" width="11.26953125" style="9" customWidth="1"/>
    <col min="8202" max="8202" width="15.81640625" style="9" customWidth="1"/>
    <col min="8203" max="8203" width="12.1796875" style="9" customWidth="1"/>
    <col min="8204" max="8204" width="11.26953125" style="9" customWidth="1"/>
    <col min="8205" max="8205" width="11.453125" style="9" customWidth="1"/>
    <col min="8206" max="8206" width="13.26953125" style="9" customWidth="1"/>
    <col min="8207" max="8207" width="14.54296875" style="9" customWidth="1"/>
    <col min="8208" max="8209" width="9.1796875" style="9"/>
    <col min="8210" max="8210" width="10.1796875" style="9" bestFit="1" customWidth="1"/>
    <col min="8211" max="8448" width="9.1796875" style="9"/>
    <col min="8449" max="8449" width="2.54296875" style="9" customWidth="1"/>
    <col min="8450" max="8450" width="10.7265625" style="9" customWidth="1"/>
    <col min="8451" max="8451" width="11.1796875" style="9" customWidth="1"/>
    <col min="8452" max="8452" width="11.26953125" style="9" customWidth="1"/>
    <col min="8453" max="8454" width="12.81640625" style="9" customWidth="1"/>
    <col min="8455" max="8456" width="11" style="9" customWidth="1"/>
    <col min="8457" max="8457" width="11.26953125" style="9" customWidth="1"/>
    <col min="8458" max="8458" width="15.81640625" style="9" customWidth="1"/>
    <col min="8459" max="8459" width="12.1796875" style="9" customWidth="1"/>
    <col min="8460" max="8460" width="11.26953125" style="9" customWidth="1"/>
    <col min="8461" max="8461" width="11.453125" style="9" customWidth="1"/>
    <col min="8462" max="8462" width="13.26953125" style="9" customWidth="1"/>
    <col min="8463" max="8463" width="14.54296875" style="9" customWidth="1"/>
    <col min="8464" max="8465" width="9.1796875" style="9"/>
    <col min="8466" max="8466" width="10.1796875" style="9" bestFit="1" customWidth="1"/>
    <col min="8467" max="8704" width="9.1796875" style="9"/>
    <col min="8705" max="8705" width="2.54296875" style="9" customWidth="1"/>
    <col min="8706" max="8706" width="10.7265625" style="9" customWidth="1"/>
    <col min="8707" max="8707" width="11.1796875" style="9" customWidth="1"/>
    <col min="8708" max="8708" width="11.26953125" style="9" customWidth="1"/>
    <col min="8709" max="8710" width="12.81640625" style="9" customWidth="1"/>
    <col min="8711" max="8712" width="11" style="9" customWidth="1"/>
    <col min="8713" max="8713" width="11.26953125" style="9" customWidth="1"/>
    <col min="8714" max="8714" width="15.81640625" style="9" customWidth="1"/>
    <col min="8715" max="8715" width="12.1796875" style="9" customWidth="1"/>
    <col min="8716" max="8716" width="11.26953125" style="9" customWidth="1"/>
    <col min="8717" max="8717" width="11.453125" style="9" customWidth="1"/>
    <col min="8718" max="8718" width="13.26953125" style="9" customWidth="1"/>
    <col min="8719" max="8719" width="14.54296875" style="9" customWidth="1"/>
    <col min="8720" max="8721" width="9.1796875" style="9"/>
    <col min="8722" max="8722" width="10.1796875" style="9" bestFit="1" customWidth="1"/>
    <col min="8723" max="8960" width="9.1796875" style="9"/>
    <col min="8961" max="8961" width="2.54296875" style="9" customWidth="1"/>
    <col min="8962" max="8962" width="10.7265625" style="9" customWidth="1"/>
    <col min="8963" max="8963" width="11.1796875" style="9" customWidth="1"/>
    <col min="8964" max="8964" width="11.26953125" style="9" customWidth="1"/>
    <col min="8965" max="8966" width="12.81640625" style="9" customWidth="1"/>
    <col min="8967" max="8968" width="11" style="9" customWidth="1"/>
    <col min="8969" max="8969" width="11.26953125" style="9" customWidth="1"/>
    <col min="8970" max="8970" width="15.81640625" style="9" customWidth="1"/>
    <col min="8971" max="8971" width="12.1796875" style="9" customWidth="1"/>
    <col min="8972" max="8972" width="11.26953125" style="9" customWidth="1"/>
    <col min="8973" max="8973" width="11.453125" style="9" customWidth="1"/>
    <col min="8974" max="8974" width="13.26953125" style="9" customWidth="1"/>
    <col min="8975" max="8975" width="14.54296875" style="9" customWidth="1"/>
    <col min="8976" max="8977" width="9.1796875" style="9"/>
    <col min="8978" max="8978" width="10.1796875" style="9" bestFit="1" customWidth="1"/>
    <col min="8979" max="9216" width="9.1796875" style="9"/>
    <col min="9217" max="9217" width="2.54296875" style="9" customWidth="1"/>
    <col min="9218" max="9218" width="10.7265625" style="9" customWidth="1"/>
    <col min="9219" max="9219" width="11.1796875" style="9" customWidth="1"/>
    <col min="9220" max="9220" width="11.26953125" style="9" customWidth="1"/>
    <col min="9221" max="9222" width="12.81640625" style="9" customWidth="1"/>
    <col min="9223" max="9224" width="11" style="9" customWidth="1"/>
    <col min="9225" max="9225" width="11.26953125" style="9" customWidth="1"/>
    <col min="9226" max="9226" width="15.81640625" style="9" customWidth="1"/>
    <col min="9227" max="9227" width="12.1796875" style="9" customWidth="1"/>
    <col min="9228" max="9228" width="11.26953125" style="9" customWidth="1"/>
    <col min="9229" max="9229" width="11.453125" style="9" customWidth="1"/>
    <col min="9230" max="9230" width="13.26953125" style="9" customWidth="1"/>
    <col min="9231" max="9231" width="14.54296875" style="9" customWidth="1"/>
    <col min="9232" max="9233" width="9.1796875" style="9"/>
    <col min="9234" max="9234" width="10.1796875" style="9" bestFit="1" customWidth="1"/>
    <col min="9235" max="9472" width="9.1796875" style="9"/>
    <col min="9473" max="9473" width="2.54296875" style="9" customWidth="1"/>
    <col min="9474" max="9474" width="10.7265625" style="9" customWidth="1"/>
    <col min="9475" max="9475" width="11.1796875" style="9" customWidth="1"/>
    <col min="9476" max="9476" width="11.26953125" style="9" customWidth="1"/>
    <col min="9477" max="9478" width="12.81640625" style="9" customWidth="1"/>
    <col min="9479" max="9480" width="11" style="9" customWidth="1"/>
    <col min="9481" max="9481" width="11.26953125" style="9" customWidth="1"/>
    <col min="9482" max="9482" width="15.81640625" style="9" customWidth="1"/>
    <col min="9483" max="9483" width="12.1796875" style="9" customWidth="1"/>
    <col min="9484" max="9484" width="11.26953125" style="9" customWidth="1"/>
    <col min="9485" max="9485" width="11.453125" style="9" customWidth="1"/>
    <col min="9486" max="9486" width="13.26953125" style="9" customWidth="1"/>
    <col min="9487" max="9487" width="14.54296875" style="9" customWidth="1"/>
    <col min="9488" max="9489" width="9.1796875" style="9"/>
    <col min="9490" max="9490" width="10.1796875" style="9" bestFit="1" customWidth="1"/>
    <col min="9491" max="9728" width="9.1796875" style="9"/>
    <col min="9729" max="9729" width="2.54296875" style="9" customWidth="1"/>
    <col min="9730" max="9730" width="10.7265625" style="9" customWidth="1"/>
    <col min="9731" max="9731" width="11.1796875" style="9" customWidth="1"/>
    <col min="9732" max="9732" width="11.26953125" style="9" customWidth="1"/>
    <col min="9733" max="9734" width="12.81640625" style="9" customWidth="1"/>
    <col min="9735" max="9736" width="11" style="9" customWidth="1"/>
    <col min="9737" max="9737" width="11.26953125" style="9" customWidth="1"/>
    <col min="9738" max="9738" width="15.81640625" style="9" customWidth="1"/>
    <col min="9739" max="9739" width="12.1796875" style="9" customWidth="1"/>
    <col min="9740" max="9740" width="11.26953125" style="9" customWidth="1"/>
    <col min="9741" max="9741" width="11.453125" style="9" customWidth="1"/>
    <col min="9742" max="9742" width="13.26953125" style="9" customWidth="1"/>
    <col min="9743" max="9743" width="14.54296875" style="9" customWidth="1"/>
    <col min="9744" max="9745" width="9.1796875" style="9"/>
    <col min="9746" max="9746" width="10.1796875" style="9" bestFit="1" customWidth="1"/>
    <col min="9747" max="9984" width="9.1796875" style="9"/>
    <col min="9985" max="9985" width="2.54296875" style="9" customWidth="1"/>
    <col min="9986" max="9986" width="10.7265625" style="9" customWidth="1"/>
    <col min="9987" max="9987" width="11.1796875" style="9" customWidth="1"/>
    <col min="9988" max="9988" width="11.26953125" style="9" customWidth="1"/>
    <col min="9989" max="9990" width="12.81640625" style="9" customWidth="1"/>
    <col min="9991" max="9992" width="11" style="9" customWidth="1"/>
    <col min="9993" max="9993" width="11.26953125" style="9" customWidth="1"/>
    <col min="9994" max="9994" width="15.81640625" style="9" customWidth="1"/>
    <col min="9995" max="9995" width="12.1796875" style="9" customWidth="1"/>
    <col min="9996" max="9996" width="11.26953125" style="9" customWidth="1"/>
    <col min="9997" max="9997" width="11.453125" style="9" customWidth="1"/>
    <col min="9998" max="9998" width="13.26953125" style="9" customWidth="1"/>
    <col min="9999" max="9999" width="14.54296875" style="9" customWidth="1"/>
    <col min="10000" max="10001" width="9.1796875" style="9"/>
    <col min="10002" max="10002" width="10.1796875" style="9" bestFit="1" customWidth="1"/>
    <col min="10003" max="10240" width="9.1796875" style="9"/>
    <col min="10241" max="10241" width="2.54296875" style="9" customWidth="1"/>
    <col min="10242" max="10242" width="10.7265625" style="9" customWidth="1"/>
    <col min="10243" max="10243" width="11.1796875" style="9" customWidth="1"/>
    <col min="10244" max="10244" width="11.26953125" style="9" customWidth="1"/>
    <col min="10245" max="10246" width="12.81640625" style="9" customWidth="1"/>
    <col min="10247" max="10248" width="11" style="9" customWidth="1"/>
    <col min="10249" max="10249" width="11.26953125" style="9" customWidth="1"/>
    <col min="10250" max="10250" width="15.81640625" style="9" customWidth="1"/>
    <col min="10251" max="10251" width="12.1796875" style="9" customWidth="1"/>
    <col min="10252" max="10252" width="11.26953125" style="9" customWidth="1"/>
    <col min="10253" max="10253" width="11.453125" style="9" customWidth="1"/>
    <col min="10254" max="10254" width="13.26953125" style="9" customWidth="1"/>
    <col min="10255" max="10255" width="14.54296875" style="9" customWidth="1"/>
    <col min="10256" max="10257" width="9.1796875" style="9"/>
    <col min="10258" max="10258" width="10.1796875" style="9" bestFit="1" customWidth="1"/>
    <col min="10259" max="10496" width="9.1796875" style="9"/>
    <col min="10497" max="10497" width="2.54296875" style="9" customWidth="1"/>
    <col min="10498" max="10498" width="10.7265625" style="9" customWidth="1"/>
    <col min="10499" max="10499" width="11.1796875" style="9" customWidth="1"/>
    <col min="10500" max="10500" width="11.26953125" style="9" customWidth="1"/>
    <col min="10501" max="10502" width="12.81640625" style="9" customWidth="1"/>
    <col min="10503" max="10504" width="11" style="9" customWidth="1"/>
    <col min="10505" max="10505" width="11.26953125" style="9" customWidth="1"/>
    <col min="10506" max="10506" width="15.81640625" style="9" customWidth="1"/>
    <col min="10507" max="10507" width="12.1796875" style="9" customWidth="1"/>
    <col min="10508" max="10508" width="11.26953125" style="9" customWidth="1"/>
    <col min="10509" max="10509" width="11.453125" style="9" customWidth="1"/>
    <col min="10510" max="10510" width="13.26953125" style="9" customWidth="1"/>
    <col min="10511" max="10511" width="14.54296875" style="9" customWidth="1"/>
    <col min="10512" max="10513" width="9.1796875" style="9"/>
    <col min="10514" max="10514" width="10.1796875" style="9" bestFit="1" customWidth="1"/>
    <col min="10515" max="10752" width="9.1796875" style="9"/>
    <col min="10753" max="10753" width="2.54296875" style="9" customWidth="1"/>
    <col min="10754" max="10754" width="10.7265625" style="9" customWidth="1"/>
    <col min="10755" max="10755" width="11.1796875" style="9" customWidth="1"/>
    <col min="10756" max="10756" width="11.26953125" style="9" customWidth="1"/>
    <col min="10757" max="10758" width="12.81640625" style="9" customWidth="1"/>
    <col min="10759" max="10760" width="11" style="9" customWidth="1"/>
    <col min="10761" max="10761" width="11.26953125" style="9" customWidth="1"/>
    <col min="10762" max="10762" width="15.81640625" style="9" customWidth="1"/>
    <col min="10763" max="10763" width="12.1796875" style="9" customWidth="1"/>
    <col min="10764" max="10764" width="11.26953125" style="9" customWidth="1"/>
    <col min="10765" max="10765" width="11.453125" style="9" customWidth="1"/>
    <col min="10766" max="10766" width="13.26953125" style="9" customWidth="1"/>
    <col min="10767" max="10767" width="14.54296875" style="9" customWidth="1"/>
    <col min="10768" max="10769" width="9.1796875" style="9"/>
    <col min="10770" max="10770" width="10.1796875" style="9" bestFit="1" customWidth="1"/>
    <col min="10771" max="11008" width="9.1796875" style="9"/>
    <col min="11009" max="11009" width="2.54296875" style="9" customWidth="1"/>
    <col min="11010" max="11010" width="10.7265625" style="9" customWidth="1"/>
    <col min="11011" max="11011" width="11.1796875" style="9" customWidth="1"/>
    <col min="11012" max="11012" width="11.26953125" style="9" customWidth="1"/>
    <col min="11013" max="11014" width="12.81640625" style="9" customWidth="1"/>
    <col min="11015" max="11016" width="11" style="9" customWidth="1"/>
    <col min="11017" max="11017" width="11.26953125" style="9" customWidth="1"/>
    <col min="11018" max="11018" width="15.81640625" style="9" customWidth="1"/>
    <col min="11019" max="11019" width="12.1796875" style="9" customWidth="1"/>
    <col min="11020" max="11020" width="11.26953125" style="9" customWidth="1"/>
    <col min="11021" max="11021" width="11.453125" style="9" customWidth="1"/>
    <col min="11022" max="11022" width="13.26953125" style="9" customWidth="1"/>
    <col min="11023" max="11023" width="14.54296875" style="9" customWidth="1"/>
    <col min="11024" max="11025" width="9.1796875" style="9"/>
    <col min="11026" max="11026" width="10.1796875" style="9" bestFit="1" customWidth="1"/>
    <col min="11027" max="11264" width="9.1796875" style="9"/>
    <col min="11265" max="11265" width="2.54296875" style="9" customWidth="1"/>
    <col min="11266" max="11266" width="10.7265625" style="9" customWidth="1"/>
    <col min="11267" max="11267" width="11.1796875" style="9" customWidth="1"/>
    <col min="11268" max="11268" width="11.26953125" style="9" customWidth="1"/>
    <col min="11269" max="11270" width="12.81640625" style="9" customWidth="1"/>
    <col min="11271" max="11272" width="11" style="9" customWidth="1"/>
    <col min="11273" max="11273" width="11.26953125" style="9" customWidth="1"/>
    <col min="11274" max="11274" width="15.81640625" style="9" customWidth="1"/>
    <col min="11275" max="11275" width="12.1796875" style="9" customWidth="1"/>
    <col min="11276" max="11276" width="11.26953125" style="9" customWidth="1"/>
    <col min="11277" max="11277" width="11.453125" style="9" customWidth="1"/>
    <col min="11278" max="11278" width="13.26953125" style="9" customWidth="1"/>
    <col min="11279" max="11279" width="14.54296875" style="9" customWidth="1"/>
    <col min="11280" max="11281" width="9.1796875" style="9"/>
    <col min="11282" max="11282" width="10.1796875" style="9" bestFit="1" customWidth="1"/>
    <col min="11283" max="11520" width="9.1796875" style="9"/>
    <col min="11521" max="11521" width="2.54296875" style="9" customWidth="1"/>
    <col min="11522" max="11522" width="10.7265625" style="9" customWidth="1"/>
    <col min="11523" max="11523" width="11.1796875" style="9" customWidth="1"/>
    <col min="11524" max="11524" width="11.26953125" style="9" customWidth="1"/>
    <col min="11525" max="11526" width="12.81640625" style="9" customWidth="1"/>
    <col min="11527" max="11528" width="11" style="9" customWidth="1"/>
    <col min="11529" max="11529" width="11.26953125" style="9" customWidth="1"/>
    <col min="11530" max="11530" width="15.81640625" style="9" customWidth="1"/>
    <col min="11531" max="11531" width="12.1796875" style="9" customWidth="1"/>
    <col min="11532" max="11532" width="11.26953125" style="9" customWidth="1"/>
    <col min="11533" max="11533" width="11.453125" style="9" customWidth="1"/>
    <col min="11534" max="11534" width="13.26953125" style="9" customWidth="1"/>
    <col min="11535" max="11535" width="14.54296875" style="9" customWidth="1"/>
    <col min="11536" max="11537" width="9.1796875" style="9"/>
    <col min="11538" max="11538" width="10.1796875" style="9" bestFit="1" customWidth="1"/>
    <col min="11539" max="11776" width="9.1796875" style="9"/>
    <col min="11777" max="11777" width="2.54296875" style="9" customWidth="1"/>
    <col min="11778" max="11778" width="10.7265625" style="9" customWidth="1"/>
    <col min="11779" max="11779" width="11.1796875" style="9" customWidth="1"/>
    <col min="11780" max="11780" width="11.26953125" style="9" customWidth="1"/>
    <col min="11781" max="11782" width="12.81640625" style="9" customWidth="1"/>
    <col min="11783" max="11784" width="11" style="9" customWidth="1"/>
    <col min="11785" max="11785" width="11.26953125" style="9" customWidth="1"/>
    <col min="11786" max="11786" width="15.81640625" style="9" customWidth="1"/>
    <col min="11787" max="11787" width="12.1796875" style="9" customWidth="1"/>
    <col min="11788" max="11788" width="11.26953125" style="9" customWidth="1"/>
    <col min="11789" max="11789" width="11.453125" style="9" customWidth="1"/>
    <col min="11790" max="11790" width="13.26953125" style="9" customWidth="1"/>
    <col min="11791" max="11791" width="14.54296875" style="9" customWidth="1"/>
    <col min="11792" max="11793" width="9.1796875" style="9"/>
    <col min="11794" max="11794" width="10.1796875" style="9" bestFit="1" customWidth="1"/>
    <col min="11795" max="12032" width="9.1796875" style="9"/>
    <col min="12033" max="12033" width="2.54296875" style="9" customWidth="1"/>
    <col min="12034" max="12034" width="10.7265625" style="9" customWidth="1"/>
    <col min="12035" max="12035" width="11.1796875" style="9" customWidth="1"/>
    <col min="12036" max="12036" width="11.26953125" style="9" customWidth="1"/>
    <col min="12037" max="12038" width="12.81640625" style="9" customWidth="1"/>
    <col min="12039" max="12040" width="11" style="9" customWidth="1"/>
    <col min="12041" max="12041" width="11.26953125" style="9" customWidth="1"/>
    <col min="12042" max="12042" width="15.81640625" style="9" customWidth="1"/>
    <col min="12043" max="12043" width="12.1796875" style="9" customWidth="1"/>
    <col min="12044" max="12044" width="11.26953125" style="9" customWidth="1"/>
    <col min="12045" max="12045" width="11.453125" style="9" customWidth="1"/>
    <col min="12046" max="12046" width="13.26953125" style="9" customWidth="1"/>
    <col min="12047" max="12047" width="14.54296875" style="9" customWidth="1"/>
    <col min="12048" max="12049" width="9.1796875" style="9"/>
    <col min="12050" max="12050" width="10.1796875" style="9" bestFit="1" customWidth="1"/>
    <col min="12051" max="12288" width="9.1796875" style="9"/>
    <col min="12289" max="12289" width="2.54296875" style="9" customWidth="1"/>
    <col min="12290" max="12290" width="10.7265625" style="9" customWidth="1"/>
    <col min="12291" max="12291" width="11.1796875" style="9" customWidth="1"/>
    <col min="12292" max="12292" width="11.26953125" style="9" customWidth="1"/>
    <col min="12293" max="12294" width="12.81640625" style="9" customWidth="1"/>
    <col min="12295" max="12296" width="11" style="9" customWidth="1"/>
    <col min="12297" max="12297" width="11.26953125" style="9" customWidth="1"/>
    <col min="12298" max="12298" width="15.81640625" style="9" customWidth="1"/>
    <col min="12299" max="12299" width="12.1796875" style="9" customWidth="1"/>
    <col min="12300" max="12300" width="11.26953125" style="9" customWidth="1"/>
    <col min="12301" max="12301" width="11.453125" style="9" customWidth="1"/>
    <col min="12302" max="12302" width="13.26953125" style="9" customWidth="1"/>
    <col min="12303" max="12303" width="14.54296875" style="9" customWidth="1"/>
    <col min="12304" max="12305" width="9.1796875" style="9"/>
    <col min="12306" max="12306" width="10.1796875" style="9" bestFit="1" customWidth="1"/>
    <col min="12307" max="12544" width="9.1796875" style="9"/>
    <col min="12545" max="12545" width="2.54296875" style="9" customWidth="1"/>
    <col min="12546" max="12546" width="10.7265625" style="9" customWidth="1"/>
    <col min="12547" max="12547" width="11.1796875" style="9" customWidth="1"/>
    <col min="12548" max="12548" width="11.26953125" style="9" customWidth="1"/>
    <col min="12549" max="12550" width="12.81640625" style="9" customWidth="1"/>
    <col min="12551" max="12552" width="11" style="9" customWidth="1"/>
    <col min="12553" max="12553" width="11.26953125" style="9" customWidth="1"/>
    <col min="12554" max="12554" width="15.81640625" style="9" customWidth="1"/>
    <col min="12555" max="12555" width="12.1796875" style="9" customWidth="1"/>
    <col min="12556" max="12556" width="11.26953125" style="9" customWidth="1"/>
    <col min="12557" max="12557" width="11.453125" style="9" customWidth="1"/>
    <col min="12558" max="12558" width="13.26953125" style="9" customWidth="1"/>
    <col min="12559" max="12559" width="14.54296875" style="9" customWidth="1"/>
    <col min="12560" max="12561" width="9.1796875" style="9"/>
    <col min="12562" max="12562" width="10.1796875" style="9" bestFit="1" customWidth="1"/>
    <col min="12563" max="12800" width="9.1796875" style="9"/>
    <col min="12801" max="12801" width="2.54296875" style="9" customWidth="1"/>
    <col min="12802" max="12802" width="10.7265625" style="9" customWidth="1"/>
    <col min="12803" max="12803" width="11.1796875" style="9" customWidth="1"/>
    <col min="12804" max="12804" width="11.26953125" style="9" customWidth="1"/>
    <col min="12805" max="12806" width="12.81640625" style="9" customWidth="1"/>
    <col min="12807" max="12808" width="11" style="9" customWidth="1"/>
    <col min="12809" max="12809" width="11.26953125" style="9" customWidth="1"/>
    <col min="12810" max="12810" width="15.81640625" style="9" customWidth="1"/>
    <col min="12811" max="12811" width="12.1796875" style="9" customWidth="1"/>
    <col min="12812" max="12812" width="11.26953125" style="9" customWidth="1"/>
    <col min="12813" max="12813" width="11.453125" style="9" customWidth="1"/>
    <col min="12814" max="12814" width="13.26953125" style="9" customWidth="1"/>
    <col min="12815" max="12815" width="14.54296875" style="9" customWidth="1"/>
    <col min="12816" max="12817" width="9.1796875" style="9"/>
    <col min="12818" max="12818" width="10.1796875" style="9" bestFit="1" customWidth="1"/>
    <col min="12819" max="13056" width="9.1796875" style="9"/>
    <col min="13057" max="13057" width="2.54296875" style="9" customWidth="1"/>
    <col min="13058" max="13058" width="10.7265625" style="9" customWidth="1"/>
    <col min="13059" max="13059" width="11.1796875" style="9" customWidth="1"/>
    <col min="13060" max="13060" width="11.26953125" style="9" customWidth="1"/>
    <col min="13061" max="13062" width="12.81640625" style="9" customWidth="1"/>
    <col min="13063" max="13064" width="11" style="9" customWidth="1"/>
    <col min="13065" max="13065" width="11.26953125" style="9" customWidth="1"/>
    <col min="13066" max="13066" width="15.81640625" style="9" customWidth="1"/>
    <col min="13067" max="13067" width="12.1796875" style="9" customWidth="1"/>
    <col min="13068" max="13068" width="11.26953125" style="9" customWidth="1"/>
    <col min="13069" max="13069" width="11.453125" style="9" customWidth="1"/>
    <col min="13070" max="13070" width="13.26953125" style="9" customWidth="1"/>
    <col min="13071" max="13071" width="14.54296875" style="9" customWidth="1"/>
    <col min="13072" max="13073" width="9.1796875" style="9"/>
    <col min="13074" max="13074" width="10.1796875" style="9" bestFit="1" customWidth="1"/>
    <col min="13075" max="13312" width="9.1796875" style="9"/>
    <col min="13313" max="13313" width="2.54296875" style="9" customWidth="1"/>
    <col min="13314" max="13314" width="10.7265625" style="9" customWidth="1"/>
    <col min="13315" max="13315" width="11.1796875" style="9" customWidth="1"/>
    <col min="13316" max="13316" width="11.26953125" style="9" customWidth="1"/>
    <col min="13317" max="13318" width="12.81640625" style="9" customWidth="1"/>
    <col min="13319" max="13320" width="11" style="9" customWidth="1"/>
    <col min="13321" max="13321" width="11.26953125" style="9" customWidth="1"/>
    <col min="13322" max="13322" width="15.81640625" style="9" customWidth="1"/>
    <col min="13323" max="13323" width="12.1796875" style="9" customWidth="1"/>
    <col min="13324" max="13324" width="11.26953125" style="9" customWidth="1"/>
    <col min="13325" max="13325" width="11.453125" style="9" customWidth="1"/>
    <col min="13326" max="13326" width="13.26953125" style="9" customWidth="1"/>
    <col min="13327" max="13327" width="14.54296875" style="9" customWidth="1"/>
    <col min="13328" max="13329" width="9.1796875" style="9"/>
    <col min="13330" max="13330" width="10.1796875" style="9" bestFit="1" customWidth="1"/>
    <col min="13331" max="13568" width="9.1796875" style="9"/>
    <col min="13569" max="13569" width="2.54296875" style="9" customWidth="1"/>
    <col min="13570" max="13570" width="10.7265625" style="9" customWidth="1"/>
    <col min="13571" max="13571" width="11.1796875" style="9" customWidth="1"/>
    <col min="13572" max="13572" width="11.26953125" style="9" customWidth="1"/>
    <col min="13573" max="13574" width="12.81640625" style="9" customWidth="1"/>
    <col min="13575" max="13576" width="11" style="9" customWidth="1"/>
    <col min="13577" max="13577" width="11.26953125" style="9" customWidth="1"/>
    <col min="13578" max="13578" width="15.81640625" style="9" customWidth="1"/>
    <col min="13579" max="13579" width="12.1796875" style="9" customWidth="1"/>
    <col min="13580" max="13580" width="11.26953125" style="9" customWidth="1"/>
    <col min="13581" max="13581" width="11.453125" style="9" customWidth="1"/>
    <col min="13582" max="13582" width="13.26953125" style="9" customWidth="1"/>
    <col min="13583" max="13583" width="14.54296875" style="9" customWidth="1"/>
    <col min="13584" max="13585" width="9.1796875" style="9"/>
    <col min="13586" max="13586" width="10.1796875" style="9" bestFit="1" customWidth="1"/>
    <col min="13587" max="13824" width="9.1796875" style="9"/>
    <col min="13825" max="13825" width="2.54296875" style="9" customWidth="1"/>
    <col min="13826" max="13826" width="10.7265625" style="9" customWidth="1"/>
    <col min="13827" max="13827" width="11.1796875" style="9" customWidth="1"/>
    <col min="13828" max="13828" width="11.26953125" style="9" customWidth="1"/>
    <col min="13829" max="13830" width="12.81640625" style="9" customWidth="1"/>
    <col min="13831" max="13832" width="11" style="9" customWidth="1"/>
    <col min="13833" max="13833" width="11.26953125" style="9" customWidth="1"/>
    <col min="13834" max="13834" width="15.81640625" style="9" customWidth="1"/>
    <col min="13835" max="13835" width="12.1796875" style="9" customWidth="1"/>
    <col min="13836" max="13836" width="11.26953125" style="9" customWidth="1"/>
    <col min="13837" max="13837" width="11.453125" style="9" customWidth="1"/>
    <col min="13838" max="13838" width="13.26953125" style="9" customWidth="1"/>
    <col min="13839" max="13839" width="14.54296875" style="9" customWidth="1"/>
    <col min="13840" max="13841" width="9.1796875" style="9"/>
    <col min="13842" max="13842" width="10.1796875" style="9" bestFit="1" customWidth="1"/>
    <col min="13843" max="14080" width="9.1796875" style="9"/>
    <col min="14081" max="14081" width="2.54296875" style="9" customWidth="1"/>
    <col min="14082" max="14082" width="10.7265625" style="9" customWidth="1"/>
    <col min="14083" max="14083" width="11.1796875" style="9" customWidth="1"/>
    <col min="14084" max="14084" width="11.26953125" style="9" customWidth="1"/>
    <col min="14085" max="14086" width="12.81640625" style="9" customWidth="1"/>
    <col min="14087" max="14088" width="11" style="9" customWidth="1"/>
    <col min="14089" max="14089" width="11.26953125" style="9" customWidth="1"/>
    <col min="14090" max="14090" width="15.81640625" style="9" customWidth="1"/>
    <col min="14091" max="14091" width="12.1796875" style="9" customWidth="1"/>
    <col min="14092" max="14092" width="11.26953125" style="9" customWidth="1"/>
    <col min="14093" max="14093" width="11.453125" style="9" customWidth="1"/>
    <col min="14094" max="14094" width="13.26953125" style="9" customWidth="1"/>
    <col min="14095" max="14095" width="14.54296875" style="9" customWidth="1"/>
    <col min="14096" max="14097" width="9.1796875" style="9"/>
    <col min="14098" max="14098" width="10.1796875" style="9" bestFit="1" customWidth="1"/>
    <col min="14099" max="14336" width="9.1796875" style="9"/>
    <col min="14337" max="14337" width="2.54296875" style="9" customWidth="1"/>
    <col min="14338" max="14338" width="10.7265625" style="9" customWidth="1"/>
    <col min="14339" max="14339" width="11.1796875" style="9" customWidth="1"/>
    <col min="14340" max="14340" width="11.26953125" style="9" customWidth="1"/>
    <col min="14341" max="14342" width="12.81640625" style="9" customWidth="1"/>
    <col min="14343" max="14344" width="11" style="9" customWidth="1"/>
    <col min="14345" max="14345" width="11.26953125" style="9" customWidth="1"/>
    <col min="14346" max="14346" width="15.81640625" style="9" customWidth="1"/>
    <col min="14347" max="14347" width="12.1796875" style="9" customWidth="1"/>
    <col min="14348" max="14348" width="11.26953125" style="9" customWidth="1"/>
    <col min="14349" max="14349" width="11.453125" style="9" customWidth="1"/>
    <col min="14350" max="14350" width="13.26953125" style="9" customWidth="1"/>
    <col min="14351" max="14351" width="14.54296875" style="9" customWidth="1"/>
    <col min="14352" max="14353" width="9.1796875" style="9"/>
    <col min="14354" max="14354" width="10.1796875" style="9" bestFit="1" customWidth="1"/>
    <col min="14355" max="14592" width="9.1796875" style="9"/>
    <col min="14593" max="14593" width="2.54296875" style="9" customWidth="1"/>
    <col min="14594" max="14594" width="10.7265625" style="9" customWidth="1"/>
    <col min="14595" max="14595" width="11.1796875" style="9" customWidth="1"/>
    <col min="14596" max="14596" width="11.26953125" style="9" customWidth="1"/>
    <col min="14597" max="14598" width="12.81640625" style="9" customWidth="1"/>
    <col min="14599" max="14600" width="11" style="9" customWidth="1"/>
    <col min="14601" max="14601" width="11.26953125" style="9" customWidth="1"/>
    <col min="14602" max="14602" width="15.81640625" style="9" customWidth="1"/>
    <col min="14603" max="14603" width="12.1796875" style="9" customWidth="1"/>
    <col min="14604" max="14604" width="11.26953125" style="9" customWidth="1"/>
    <col min="14605" max="14605" width="11.453125" style="9" customWidth="1"/>
    <col min="14606" max="14606" width="13.26953125" style="9" customWidth="1"/>
    <col min="14607" max="14607" width="14.54296875" style="9" customWidth="1"/>
    <col min="14608" max="14609" width="9.1796875" style="9"/>
    <col min="14610" max="14610" width="10.1796875" style="9" bestFit="1" customWidth="1"/>
    <col min="14611" max="14848" width="9.1796875" style="9"/>
    <col min="14849" max="14849" width="2.54296875" style="9" customWidth="1"/>
    <col min="14850" max="14850" width="10.7265625" style="9" customWidth="1"/>
    <col min="14851" max="14851" width="11.1796875" style="9" customWidth="1"/>
    <col min="14852" max="14852" width="11.26953125" style="9" customWidth="1"/>
    <col min="14853" max="14854" width="12.81640625" style="9" customWidth="1"/>
    <col min="14855" max="14856" width="11" style="9" customWidth="1"/>
    <col min="14857" max="14857" width="11.26953125" style="9" customWidth="1"/>
    <col min="14858" max="14858" width="15.81640625" style="9" customWidth="1"/>
    <col min="14859" max="14859" width="12.1796875" style="9" customWidth="1"/>
    <col min="14860" max="14860" width="11.26953125" style="9" customWidth="1"/>
    <col min="14861" max="14861" width="11.453125" style="9" customWidth="1"/>
    <col min="14862" max="14862" width="13.26953125" style="9" customWidth="1"/>
    <col min="14863" max="14863" width="14.54296875" style="9" customWidth="1"/>
    <col min="14864" max="14865" width="9.1796875" style="9"/>
    <col min="14866" max="14866" width="10.1796875" style="9" bestFit="1" customWidth="1"/>
    <col min="14867" max="15104" width="9.1796875" style="9"/>
    <col min="15105" max="15105" width="2.54296875" style="9" customWidth="1"/>
    <col min="15106" max="15106" width="10.7265625" style="9" customWidth="1"/>
    <col min="15107" max="15107" width="11.1796875" style="9" customWidth="1"/>
    <col min="15108" max="15108" width="11.26953125" style="9" customWidth="1"/>
    <col min="15109" max="15110" width="12.81640625" style="9" customWidth="1"/>
    <col min="15111" max="15112" width="11" style="9" customWidth="1"/>
    <col min="15113" max="15113" width="11.26953125" style="9" customWidth="1"/>
    <col min="15114" max="15114" width="15.81640625" style="9" customWidth="1"/>
    <col min="15115" max="15115" width="12.1796875" style="9" customWidth="1"/>
    <col min="15116" max="15116" width="11.26953125" style="9" customWidth="1"/>
    <col min="15117" max="15117" width="11.453125" style="9" customWidth="1"/>
    <col min="15118" max="15118" width="13.26953125" style="9" customWidth="1"/>
    <col min="15119" max="15119" width="14.54296875" style="9" customWidth="1"/>
    <col min="15120" max="15121" width="9.1796875" style="9"/>
    <col min="15122" max="15122" width="10.1796875" style="9" bestFit="1" customWidth="1"/>
    <col min="15123" max="15360" width="9.1796875" style="9"/>
    <col min="15361" max="15361" width="2.54296875" style="9" customWidth="1"/>
    <col min="15362" max="15362" width="10.7265625" style="9" customWidth="1"/>
    <col min="15363" max="15363" width="11.1796875" style="9" customWidth="1"/>
    <col min="15364" max="15364" width="11.26953125" style="9" customWidth="1"/>
    <col min="15365" max="15366" width="12.81640625" style="9" customWidth="1"/>
    <col min="15367" max="15368" width="11" style="9" customWidth="1"/>
    <col min="15369" max="15369" width="11.26953125" style="9" customWidth="1"/>
    <col min="15370" max="15370" width="15.81640625" style="9" customWidth="1"/>
    <col min="15371" max="15371" width="12.1796875" style="9" customWidth="1"/>
    <col min="15372" max="15372" width="11.26953125" style="9" customWidth="1"/>
    <col min="15373" max="15373" width="11.453125" style="9" customWidth="1"/>
    <col min="15374" max="15374" width="13.26953125" style="9" customWidth="1"/>
    <col min="15375" max="15375" width="14.54296875" style="9" customWidth="1"/>
    <col min="15376" max="15377" width="9.1796875" style="9"/>
    <col min="15378" max="15378" width="10.1796875" style="9" bestFit="1" customWidth="1"/>
    <col min="15379" max="15616" width="9.1796875" style="9"/>
    <col min="15617" max="15617" width="2.54296875" style="9" customWidth="1"/>
    <col min="15618" max="15618" width="10.7265625" style="9" customWidth="1"/>
    <col min="15619" max="15619" width="11.1796875" style="9" customWidth="1"/>
    <col min="15620" max="15620" width="11.26953125" style="9" customWidth="1"/>
    <col min="15621" max="15622" width="12.81640625" style="9" customWidth="1"/>
    <col min="15623" max="15624" width="11" style="9" customWidth="1"/>
    <col min="15625" max="15625" width="11.26953125" style="9" customWidth="1"/>
    <col min="15626" max="15626" width="15.81640625" style="9" customWidth="1"/>
    <col min="15627" max="15627" width="12.1796875" style="9" customWidth="1"/>
    <col min="15628" max="15628" width="11.26953125" style="9" customWidth="1"/>
    <col min="15629" max="15629" width="11.453125" style="9" customWidth="1"/>
    <col min="15630" max="15630" width="13.26953125" style="9" customWidth="1"/>
    <col min="15631" max="15631" width="14.54296875" style="9" customWidth="1"/>
    <col min="15632" max="15633" width="9.1796875" style="9"/>
    <col min="15634" max="15634" width="10.1796875" style="9" bestFit="1" customWidth="1"/>
    <col min="15635" max="15872" width="9.1796875" style="9"/>
    <col min="15873" max="15873" width="2.54296875" style="9" customWidth="1"/>
    <col min="15874" max="15874" width="10.7265625" style="9" customWidth="1"/>
    <col min="15875" max="15875" width="11.1796875" style="9" customWidth="1"/>
    <col min="15876" max="15876" width="11.26953125" style="9" customWidth="1"/>
    <col min="15877" max="15878" width="12.81640625" style="9" customWidth="1"/>
    <col min="15879" max="15880" width="11" style="9" customWidth="1"/>
    <col min="15881" max="15881" width="11.26953125" style="9" customWidth="1"/>
    <col min="15882" max="15882" width="15.81640625" style="9" customWidth="1"/>
    <col min="15883" max="15883" width="12.1796875" style="9" customWidth="1"/>
    <col min="15884" max="15884" width="11.26953125" style="9" customWidth="1"/>
    <col min="15885" max="15885" width="11.453125" style="9" customWidth="1"/>
    <col min="15886" max="15886" width="13.26953125" style="9" customWidth="1"/>
    <col min="15887" max="15887" width="14.54296875" style="9" customWidth="1"/>
    <col min="15888" max="15889" width="9.1796875" style="9"/>
    <col min="15890" max="15890" width="10.1796875" style="9" bestFit="1" customWidth="1"/>
    <col min="15891" max="16128" width="9.1796875" style="9"/>
    <col min="16129" max="16129" width="2.54296875" style="9" customWidth="1"/>
    <col min="16130" max="16130" width="10.7265625" style="9" customWidth="1"/>
    <col min="16131" max="16131" width="11.1796875" style="9" customWidth="1"/>
    <col min="16132" max="16132" width="11.26953125" style="9" customWidth="1"/>
    <col min="16133" max="16134" width="12.81640625" style="9" customWidth="1"/>
    <col min="16135" max="16136" width="11" style="9" customWidth="1"/>
    <col min="16137" max="16137" width="11.26953125" style="9" customWidth="1"/>
    <col min="16138" max="16138" width="15.81640625" style="9" customWidth="1"/>
    <col min="16139" max="16139" width="12.1796875" style="9" customWidth="1"/>
    <col min="16140" max="16140" width="11.26953125" style="9" customWidth="1"/>
    <col min="16141" max="16141" width="11.453125" style="9" customWidth="1"/>
    <col min="16142" max="16142" width="13.26953125" style="9" customWidth="1"/>
    <col min="16143" max="16143" width="14.54296875" style="9" customWidth="1"/>
    <col min="16144" max="16145" width="9.1796875" style="9"/>
    <col min="16146" max="16146" width="10.1796875" style="9" bestFit="1" customWidth="1"/>
    <col min="16147" max="16384" width="9.1796875" style="9"/>
  </cols>
  <sheetData>
    <row r="1" spans="1:23" ht="13.5" thickBot="1" x14ac:dyDescent="0.4">
      <c r="B1" s="201"/>
      <c r="C1" s="201"/>
      <c r="D1" s="201"/>
      <c r="E1" s="201"/>
      <c r="F1" s="201"/>
    </row>
    <row r="2" spans="1:23" s="10" customFormat="1" ht="40" customHeight="1" thickBot="1" x14ac:dyDescent="0.4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" thickBot="1" x14ac:dyDescent="0.4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3" customHeight="1" x14ac:dyDescent="0.25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3" customHeight="1" x14ac:dyDescent="0.25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3" customHeight="1" x14ac:dyDescent="0.25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3" customHeight="1" x14ac:dyDescent="0.25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3" customHeight="1" x14ac:dyDescent="0.25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3" customHeight="1" x14ac:dyDescent="0.25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3" customHeight="1" x14ac:dyDescent="0.25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3" customHeight="1" x14ac:dyDescent="0.25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3" customHeight="1" x14ac:dyDescent="0.25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3" customHeight="1" x14ac:dyDescent="0.25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3" customHeight="1" x14ac:dyDescent="0.25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3" customHeight="1" x14ac:dyDescent="0.25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3" customHeight="1" x14ac:dyDescent="0.25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3" customHeight="1" x14ac:dyDescent="0.25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3" customHeight="1" x14ac:dyDescent="0.25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3" customHeight="1" x14ac:dyDescent="0.25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3" customHeight="1" x14ac:dyDescent="0.25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3" customHeight="1" x14ac:dyDescent="0.25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3" customHeight="1" x14ac:dyDescent="0.25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3" customHeight="1" x14ac:dyDescent="0.25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3" customHeight="1" thickBot="1" x14ac:dyDescent="0.3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3" customHeight="1" x14ac:dyDescent="0.25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3" customHeight="1" x14ac:dyDescent="0.25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3" customHeight="1" thickBot="1" x14ac:dyDescent="0.3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3" customHeight="1" thickBot="1" x14ac:dyDescent="0.3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3" customHeight="1" x14ac:dyDescent="0.25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3" customHeight="1" thickBot="1" x14ac:dyDescent="0.3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3" customHeight="1" thickBot="1" x14ac:dyDescent="0.3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3" customHeight="1" x14ac:dyDescent="0.25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3" customHeight="1" x14ac:dyDescent="0.25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3" customHeight="1" x14ac:dyDescent="0.25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3" customHeight="1" x14ac:dyDescent="0.25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3" customHeight="1" x14ac:dyDescent="0.25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3" customHeight="1" x14ac:dyDescent="0.25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3" customHeight="1" x14ac:dyDescent="0.25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3" customHeight="1" x14ac:dyDescent="0.25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3" customHeight="1" x14ac:dyDescent="0.25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3" customHeight="1" x14ac:dyDescent="0.25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3" customHeight="1" x14ac:dyDescent="0.25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3" customHeight="1" x14ac:dyDescent="0.25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3" customHeight="1" x14ac:dyDescent="0.25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3" customHeight="1" x14ac:dyDescent="0.25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3" customHeight="1" x14ac:dyDescent="0.25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3" customHeight="1" x14ac:dyDescent="0.25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3" customHeight="1" x14ac:dyDescent="0.25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3" customHeight="1" x14ac:dyDescent="0.25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3" customHeight="1" x14ac:dyDescent="0.25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3" customHeight="1" x14ac:dyDescent="0.25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3" customHeight="1" thickBot="1" x14ac:dyDescent="0.3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3" customHeight="1" x14ac:dyDescent="0.25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3" customHeight="1" x14ac:dyDescent="0.25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3" customHeight="1" thickBot="1" x14ac:dyDescent="0.3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3" customHeight="1" thickBot="1" x14ac:dyDescent="0.3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3" customHeight="1" x14ac:dyDescent="0.25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3" customHeight="1" thickBot="1" x14ac:dyDescent="0.3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3" customHeight="1" thickBot="1" x14ac:dyDescent="0.3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3" customHeight="1" x14ac:dyDescent="0.25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3" customHeight="1" thickBot="1" x14ac:dyDescent="0.3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3" customHeight="1" thickBot="1" x14ac:dyDescent="0.3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3" customHeight="1" x14ac:dyDescent="0.25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3" customHeight="1" x14ac:dyDescent="0.25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3" customHeight="1" x14ac:dyDescent="0.25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3" customHeight="1" x14ac:dyDescent="0.25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3" customHeight="1" x14ac:dyDescent="0.25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3" customHeight="1" x14ac:dyDescent="0.25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3" customHeight="1" x14ac:dyDescent="0.25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3" customHeight="1" x14ac:dyDescent="0.25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3" customHeight="1" x14ac:dyDescent="0.25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3" customHeight="1" x14ac:dyDescent="0.25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3" customHeight="1" x14ac:dyDescent="0.25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3" customHeight="1" x14ac:dyDescent="0.25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3" customHeight="1" x14ac:dyDescent="0.25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3" customHeight="1" x14ac:dyDescent="0.25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3" customHeight="1" x14ac:dyDescent="0.25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3" customHeight="1" x14ac:dyDescent="0.25">
      <c r="B78" s="22">
        <v>44271</v>
      </c>
      <c r="C78" s="23"/>
      <c r="D78" s="24"/>
      <c r="E78" s="25"/>
      <c r="F78" s="26"/>
      <c r="G78" s="27"/>
      <c r="H78" s="28" t="str">
        <f t="shared" ref="H78:K133" si="2">IF(C78="","",+(C78-C77))</f>
        <v/>
      </c>
      <c r="I78" s="28" t="str">
        <f t="shared" si="2"/>
        <v/>
      </c>
      <c r="J78" s="28" t="str">
        <f t="shared" si="2"/>
        <v/>
      </c>
      <c r="K78" s="28" t="str">
        <f t="shared" si="2"/>
        <v/>
      </c>
      <c r="L78" s="29" t="str">
        <f t="shared" ref="L78:L98" si="3">IF(G78="","",+(G77-G78))</f>
        <v/>
      </c>
      <c r="M78" s="30" t="str">
        <f t="shared" ref="M78:M133" si="4">IF(H78="","",+(H78+I78+J78+K78))</f>
        <v/>
      </c>
      <c r="Q78" s="20">
        <f t="shared" si="1"/>
        <v>1</v>
      </c>
    </row>
    <row r="79" spans="2:17" ht="13" customHeight="1" x14ac:dyDescent="0.25">
      <c r="B79" s="22">
        <v>44272</v>
      </c>
      <c r="C79" s="23"/>
      <c r="D79" s="24"/>
      <c r="E79" s="25"/>
      <c r="F79" s="26"/>
      <c r="G79" s="27"/>
      <c r="H79" s="28" t="str">
        <f t="shared" si="2"/>
        <v/>
      </c>
      <c r="I79" s="28" t="str">
        <f t="shared" si="2"/>
        <v/>
      </c>
      <c r="J79" s="28" t="str">
        <f t="shared" si="2"/>
        <v/>
      </c>
      <c r="K79" s="28" t="str">
        <f t="shared" si="2"/>
        <v/>
      </c>
      <c r="L79" s="29" t="str">
        <f t="shared" si="3"/>
        <v/>
      </c>
      <c r="M79" s="30" t="str">
        <f t="shared" si="4"/>
        <v/>
      </c>
      <c r="Q79" s="20">
        <f t="shared" si="1"/>
        <v>1</v>
      </c>
    </row>
    <row r="80" spans="2:17" ht="13" customHeight="1" x14ac:dyDescent="0.25">
      <c r="B80" s="22">
        <v>44273</v>
      </c>
      <c r="C80" s="23"/>
      <c r="D80" s="24"/>
      <c r="E80" s="25"/>
      <c r="F80" s="26"/>
      <c r="G80" s="27"/>
      <c r="H80" s="28" t="str">
        <f t="shared" si="2"/>
        <v/>
      </c>
      <c r="I80" s="28" t="str">
        <f t="shared" si="2"/>
        <v/>
      </c>
      <c r="J80" s="28" t="str">
        <f t="shared" si="2"/>
        <v/>
      </c>
      <c r="K80" s="28" t="str">
        <f t="shared" si="2"/>
        <v/>
      </c>
      <c r="L80" s="29" t="str">
        <f t="shared" si="3"/>
        <v/>
      </c>
      <c r="M80" s="30" t="str">
        <f t="shared" si="4"/>
        <v/>
      </c>
      <c r="Q80" s="20">
        <f t="shared" si="1"/>
        <v>1</v>
      </c>
    </row>
    <row r="81" spans="2:18" ht="13" customHeight="1" x14ac:dyDescent="0.25">
      <c r="B81" s="22">
        <v>44274</v>
      </c>
      <c r="C81" s="23"/>
      <c r="D81" s="24"/>
      <c r="E81" s="25"/>
      <c r="F81" s="26"/>
      <c r="G81" s="27"/>
      <c r="H81" s="28" t="str">
        <f t="shared" si="2"/>
        <v/>
      </c>
      <c r="I81" s="28" t="str">
        <f t="shared" si="2"/>
        <v/>
      </c>
      <c r="J81" s="28" t="str">
        <f t="shared" si="2"/>
        <v/>
      </c>
      <c r="K81" s="28" t="str">
        <f t="shared" si="2"/>
        <v/>
      </c>
      <c r="L81" s="29" t="str">
        <f t="shared" si="3"/>
        <v/>
      </c>
      <c r="M81" s="30" t="str">
        <f t="shared" si="4"/>
        <v/>
      </c>
      <c r="Q81" s="20">
        <f t="shared" si="1"/>
        <v>1</v>
      </c>
    </row>
    <row r="82" spans="2:18" ht="13" customHeight="1" x14ac:dyDescent="0.25">
      <c r="B82" s="22">
        <v>44275</v>
      </c>
      <c r="C82" s="23"/>
      <c r="D82" s="24"/>
      <c r="E82" s="25"/>
      <c r="F82" s="26"/>
      <c r="G82" s="27"/>
      <c r="H82" s="28" t="str">
        <f t="shared" si="2"/>
        <v/>
      </c>
      <c r="I82" s="28" t="str">
        <f t="shared" si="2"/>
        <v/>
      </c>
      <c r="J82" s="28" t="str">
        <f t="shared" si="2"/>
        <v/>
      </c>
      <c r="K82" s="28" t="str">
        <f t="shared" si="2"/>
        <v/>
      </c>
      <c r="L82" s="29" t="str">
        <f t="shared" si="3"/>
        <v/>
      </c>
      <c r="M82" s="30" t="str">
        <f t="shared" si="4"/>
        <v/>
      </c>
      <c r="Q82" s="20">
        <f t="shared" si="1"/>
        <v>1</v>
      </c>
    </row>
    <row r="83" spans="2:18" ht="14.25" customHeight="1" thickBot="1" x14ac:dyDescent="0.3">
      <c r="B83" s="22">
        <v>44276</v>
      </c>
      <c r="C83" s="23"/>
      <c r="D83" s="24"/>
      <c r="E83" s="25"/>
      <c r="F83" s="26"/>
      <c r="G83" s="27"/>
      <c r="H83" s="28" t="str">
        <f t="shared" ref="H83" si="5">IF(C83="","",+(C83-C82))</f>
        <v/>
      </c>
      <c r="I83" s="28" t="str">
        <f t="shared" ref="I83" si="6">IF(D83="","",+(D83-D82))</f>
        <v/>
      </c>
      <c r="J83" s="28" t="str">
        <f t="shared" ref="J83" si="7">IF(E83="","",+(E83-E82))</f>
        <v/>
      </c>
      <c r="K83" s="28" t="str">
        <f t="shared" ref="K83" si="8">IF(F83="","",+(F83-F82))</f>
        <v/>
      </c>
      <c r="L83" s="29" t="str">
        <f t="shared" ref="L83" si="9">IF(G83="","",+(G82-G83))</f>
        <v/>
      </c>
      <c r="M83" s="30" t="str">
        <f t="shared" ref="M83" si="10">IF(H83="","",+(H83+I83+J83+K83))</f>
        <v/>
      </c>
      <c r="Q83" s="20">
        <f t="shared" si="1"/>
        <v>1</v>
      </c>
    </row>
    <row r="84" spans="2:18" ht="13" customHeight="1" x14ac:dyDescent="0.25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2"/>
        <v/>
      </c>
      <c r="J84" s="28" t="str">
        <f t="shared" si="2"/>
        <v/>
      </c>
      <c r="K84" s="28" t="str">
        <f t="shared" si="2"/>
        <v/>
      </c>
      <c r="L84" s="29" t="str">
        <f t="shared" si="3"/>
        <v/>
      </c>
      <c r="M84" s="30" t="str">
        <f t="shared" si="4"/>
        <v/>
      </c>
      <c r="N84" s="198" t="s">
        <v>21</v>
      </c>
      <c r="O84" s="198" t="s">
        <v>22</v>
      </c>
      <c r="Q84" s="20">
        <f t="shared" si="1"/>
        <v>1</v>
      </c>
    </row>
    <row r="85" spans="2:18" ht="13" customHeight="1" x14ac:dyDescent="0.25">
      <c r="B85" s="22">
        <v>44278</v>
      </c>
      <c r="C85" s="23"/>
      <c r="D85" s="24"/>
      <c r="E85" s="25"/>
      <c r="F85" s="26"/>
      <c r="G85" s="27"/>
      <c r="H85" s="28" t="str">
        <f t="shared" si="2"/>
        <v/>
      </c>
      <c r="I85" s="28" t="str">
        <f t="shared" si="2"/>
        <v/>
      </c>
      <c r="J85" s="28" t="str">
        <f t="shared" si="2"/>
        <v/>
      </c>
      <c r="K85" s="28" t="str">
        <f t="shared" si="2"/>
        <v/>
      </c>
      <c r="L85" s="29" t="str">
        <f t="shared" si="3"/>
        <v/>
      </c>
      <c r="M85" s="30" t="str">
        <f t="shared" si="4"/>
        <v/>
      </c>
      <c r="N85" s="199"/>
      <c r="O85" s="199"/>
      <c r="Q85" s="20">
        <f t="shared" si="1"/>
        <v>1</v>
      </c>
    </row>
    <row r="86" spans="2:18" ht="13" customHeight="1" thickBot="1" x14ac:dyDescent="0.3">
      <c r="B86" s="22">
        <v>44279</v>
      </c>
      <c r="C86" s="23"/>
      <c r="D86" s="24"/>
      <c r="E86" s="25"/>
      <c r="F86" s="26"/>
      <c r="G86" s="27"/>
      <c r="H86" s="28" t="str">
        <f t="shared" si="2"/>
        <v/>
      </c>
      <c r="I86" s="28" t="str">
        <f t="shared" si="2"/>
        <v/>
      </c>
      <c r="J86" s="28" t="str">
        <f t="shared" si="2"/>
        <v/>
      </c>
      <c r="K86" s="28" t="str">
        <f t="shared" si="2"/>
        <v/>
      </c>
      <c r="L86" s="29" t="str">
        <f t="shared" si="3"/>
        <v/>
      </c>
      <c r="M86" s="30" t="str">
        <f t="shared" si="4"/>
        <v/>
      </c>
      <c r="N86" s="200"/>
      <c r="O86" s="200"/>
      <c r="Q86" s="20">
        <f t="shared" si="1"/>
        <v>1</v>
      </c>
    </row>
    <row r="87" spans="2:18" ht="13" customHeight="1" thickBot="1" x14ac:dyDescent="0.3">
      <c r="B87" s="22">
        <v>44280</v>
      </c>
      <c r="C87" s="23"/>
      <c r="D87" s="24"/>
      <c r="E87" s="25"/>
      <c r="F87" s="26"/>
      <c r="G87" s="27"/>
      <c r="H87" s="28" t="str">
        <f t="shared" si="2"/>
        <v/>
      </c>
      <c r="I87" s="28" t="str">
        <f t="shared" si="2"/>
        <v/>
      </c>
      <c r="J87" s="28" t="str">
        <f t="shared" si="2"/>
        <v/>
      </c>
      <c r="K87" s="28" t="str">
        <f t="shared" si="2"/>
        <v/>
      </c>
      <c r="L87" s="29" t="str">
        <f t="shared" si="3"/>
        <v/>
      </c>
      <c r="M87" s="30" t="str">
        <f t="shared" si="4"/>
        <v/>
      </c>
      <c r="N87" s="32">
        <f>SUM(L64:L94)</f>
        <v>2171</v>
      </c>
      <c r="O87" s="32">
        <f>SUM(M64:M94)</f>
        <v>45485</v>
      </c>
      <c r="Q87" s="20">
        <f t="shared" si="1"/>
        <v>1</v>
      </c>
    </row>
    <row r="88" spans="2:18" ht="13" customHeight="1" x14ac:dyDescent="0.25">
      <c r="B88" s="22">
        <v>44281</v>
      </c>
      <c r="C88" s="23"/>
      <c r="D88" s="24"/>
      <c r="E88" s="25"/>
      <c r="F88" s="26"/>
      <c r="G88" s="27"/>
      <c r="H88" s="28" t="str">
        <f t="shared" si="2"/>
        <v/>
      </c>
      <c r="I88" s="28" t="str">
        <f t="shared" si="2"/>
        <v/>
      </c>
      <c r="J88" s="28" t="str">
        <f t="shared" si="2"/>
        <v/>
      </c>
      <c r="K88" s="28" t="str">
        <f t="shared" si="2"/>
        <v/>
      </c>
      <c r="L88" s="29" t="str">
        <f t="shared" si="3"/>
        <v/>
      </c>
      <c r="M88" s="30" t="str">
        <f t="shared" si="4"/>
        <v/>
      </c>
      <c r="N88" s="198" t="s">
        <v>23</v>
      </c>
      <c r="O88" s="198" t="s">
        <v>24</v>
      </c>
      <c r="Q88" s="20">
        <f t="shared" si="1"/>
        <v>1</v>
      </c>
    </row>
    <row r="89" spans="2:18" ht="13" customHeight="1" thickBot="1" x14ac:dyDescent="0.3">
      <c r="B89" s="22">
        <v>44282</v>
      </c>
      <c r="C89" s="23"/>
      <c r="D89" s="24"/>
      <c r="E89" s="25"/>
      <c r="F89" s="26"/>
      <c r="G89" s="27"/>
      <c r="H89" s="28" t="str">
        <f t="shared" si="2"/>
        <v/>
      </c>
      <c r="I89" s="28" t="str">
        <f t="shared" si="2"/>
        <v/>
      </c>
      <c r="J89" s="28" t="str">
        <f t="shared" si="2"/>
        <v/>
      </c>
      <c r="K89" s="28" t="str">
        <f t="shared" si="2"/>
        <v/>
      </c>
      <c r="L89" s="29" t="str">
        <f t="shared" si="3"/>
        <v/>
      </c>
      <c r="M89" s="30" t="str">
        <f t="shared" si="4"/>
        <v/>
      </c>
      <c r="N89" s="200"/>
      <c r="O89" s="200"/>
      <c r="Q89" s="20">
        <f t="shared" si="1"/>
        <v>1</v>
      </c>
    </row>
    <row r="90" spans="2:18" ht="13" customHeight="1" thickBot="1" x14ac:dyDescent="0.3">
      <c r="B90" s="22">
        <v>44283</v>
      </c>
      <c r="C90" s="23"/>
      <c r="D90" s="24"/>
      <c r="E90" s="25"/>
      <c r="F90" s="26"/>
      <c r="G90" s="27"/>
      <c r="H90" s="28" t="str">
        <f t="shared" si="2"/>
        <v/>
      </c>
      <c r="I90" s="28" t="str">
        <f t="shared" si="2"/>
        <v/>
      </c>
      <c r="J90" s="28" t="str">
        <f t="shared" si="2"/>
        <v/>
      </c>
      <c r="K90" s="28" t="str">
        <f t="shared" si="2"/>
        <v/>
      </c>
      <c r="L90" s="29" t="str">
        <f t="shared" si="3"/>
        <v/>
      </c>
      <c r="M90" s="30" t="str">
        <f t="shared" si="4"/>
        <v/>
      </c>
      <c r="N90" s="32">
        <f>AVERAGE(L64:L94)</f>
        <v>155.07142857142858</v>
      </c>
      <c r="O90" s="32">
        <f>AVERAGE(M64:M94)</f>
        <v>3248.9285714285716</v>
      </c>
      <c r="Q90" s="20">
        <f t="shared" si="1"/>
        <v>1</v>
      </c>
    </row>
    <row r="91" spans="2:18" ht="13" customHeight="1" x14ac:dyDescent="0.25">
      <c r="B91" s="22">
        <v>44284</v>
      </c>
      <c r="C91" s="23"/>
      <c r="D91" s="24"/>
      <c r="E91" s="25"/>
      <c r="F91" s="26"/>
      <c r="G91" s="27"/>
      <c r="H91" s="28" t="str">
        <f t="shared" si="2"/>
        <v/>
      </c>
      <c r="I91" s="28" t="str">
        <f t="shared" si="2"/>
        <v/>
      </c>
      <c r="J91" s="28" t="str">
        <f t="shared" si="2"/>
        <v/>
      </c>
      <c r="K91" s="28" t="str">
        <f t="shared" si="2"/>
        <v/>
      </c>
      <c r="L91" s="29" t="str">
        <f t="shared" si="3"/>
        <v/>
      </c>
      <c r="M91" s="30" t="str">
        <f t="shared" si="4"/>
        <v/>
      </c>
      <c r="N91" s="198" t="s">
        <v>25</v>
      </c>
      <c r="O91" s="198" t="s">
        <v>26</v>
      </c>
      <c r="Q91" s="20">
        <f t="shared" si="1"/>
        <v>1</v>
      </c>
    </row>
    <row r="92" spans="2:18" ht="13" customHeight="1" thickBot="1" x14ac:dyDescent="0.3">
      <c r="B92" s="22">
        <v>44285</v>
      </c>
      <c r="C92" s="23"/>
      <c r="D92" s="24"/>
      <c r="E92" s="25"/>
      <c r="F92" s="26"/>
      <c r="G92" s="27"/>
      <c r="H92" s="28" t="str">
        <f t="shared" si="2"/>
        <v/>
      </c>
      <c r="I92" s="28" t="str">
        <f t="shared" si="2"/>
        <v/>
      </c>
      <c r="J92" s="28" t="str">
        <f t="shared" si="2"/>
        <v/>
      </c>
      <c r="K92" s="28" t="str">
        <f t="shared" si="2"/>
        <v/>
      </c>
      <c r="L92" s="29" t="str">
        <f t="shared" si="3"/>
        <v/>
      </c>
      <c r="M92" s="30" t="str">
        <f t="shared" si="4"/>
        <v/>
      </c>
      <c r="N92" s="200"/>
      <c r="O92" s="200"/>
      <c r="Q92" s="20">
        <f t="shared" si="1"/>
        <v>1</v>
      </c>
    </row>
    <row r="93" spans="2:18" ht="13" customHeight="1" thickBot="1" x14ac:dyDescent="0.3">
      <c r="B93" s="22">
        <v>44286</v>
      </c>
      <c r="C93" s="23"/>
      <c r="D93" s="24"/>
      <c r="E93" s="25"/>
      <c r="F93" s="26"/>
      <c r="G93" s="27"/>
      <c r="H93" s="28" t="str">
        <f t="shared" si="2"/>
        <v/>
      </c>
      <c r="I93" s="28" t="str">
        <f t="shared" si="2"/>
        <v/>
      </c>
      <c r="J93" s="28" t="str">
        <f t="shared" si="2"/>
        <v/>
      </c>
      <c r="K93" s="28" t="str">
        <f t="shared" si="2"/>
        <v/>
      </c>
      <c r="L93" s="29" t="str">
        <f t="shared" si="3"/>
        <v/>
      </c>
      <c r="M93" s="30" t="str">
        <f t="shared" si="4"/>
        <v/>
      </c>
      <c r="N93" s="32">
        <f>N87+(N90*SUM(Q64:Q94))</f>
        <v>4807.2142857142862</v>
      </c>
      <c r="O93" s="32">
        <f>O87+(O90*SUM(Q64:Q94))</f>
        <v>100716.78571428571</v>
      </c>
      <c r="Q93" s="20">
        <f t="shared" si="1"/>
        <v>1</v>
      </c>
      <c r="R93" s="41"/>
    </row>
    <row r="94" spans="2:18" ht="13" customHeight="1" x14ac:dyDescent="0.25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36" t="str">
        <f t="shared" si="3"/>
        <v/>
      </c>
      <c r="M94" s="35" t="str">
        <f t="shared" si="4"/>
        <v/>
      </c>
      <c r="Q94" s="20">
        <f t="shared" si="1"/>
        <v>1</v>
      </c>
    </row>
    <row r="95" spans="2:18" ht="13" customHeight="1" x14ac:dyDescent="0.25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si="3"/>
        <v/>
      </c>
      <c r="M95" s="30" t="str">
        <f t="shared" si="4"/>
        <v/>
      </c>
      <c r="Q95" s="20">
        <f t="shared" si="1"/>
        <v>1</v>
      </c>
    </row>
    <row r="96" spans="2:18" ht="13" customHeight="1" x14ac:dyDescent="0.25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3"/>
        <v/>
      </c>
      <c r="M96" s="30" t="str">
        <f t="shared" si="4"/>
        <v/>
      </c>
      <c r="Q96" s="20">
        <f t="shared" si="1"/>
        <v>1</v>
      </c>
    </row>
    <row r="97" spans="2:17" ht="13" customHeight="1" x14ac:dyDescent="0.25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3"/>
        <v/>
      </c>
      <c r="M97" s="30" t="str">
        <f t="shared" si="4"/>
        <v/>
      </c>
      <c r="Q97" s="20">
        <f t="shared" si="1"/>
        <v>1</v>
      </c>
    </row>
    <row r="98" spans="2:17" ht="13" customHeight="1" x14ac:dyDescent="0.25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3"/>
        <v/>
      </c>
      <c r="M98" s="30" t="str">
        <f t="shared" si="4"/>
        <v/>
      </c>
      <c r="Q98" s="20">
        <f t="shared" si="1"/>
        <v>1</v>
      </c>
    </row>
    <row r="99" spans="2:17" ht="13" customHeight="1" x14ac:dyDescent="0.25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4"/>
        <v/>
      </c>
      <c r="Q99" s="20">
        <f t="shared" si="1"/>
        <v>1</v>
      </c>
    </row>
    <row r="100" spans="2:17" ht="13" customHeight="1" x14ac:dyDescent="0.25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4"/>
        <v/>
      </c>
      <c r="Q100" s="20">
        <f t="shared" si="1"/>
        <v>1</v>
      </c>
    </row>
    <row r="101" spans="2:17" ht="13" customHeight="1" x14ac:dyDescent="0.25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4"/>
        <v/>
      </c>
      <c r="Q101" s="20">
        <f t="shared" si="1"/>
        <v>1</v>
      </c>
    </row>
    <row r="102" spans="2:17" ht="13" customHeight="1" x14ac:dyDescent="0.25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4"/>
        <v/>
      </c>
      <c r="Q102" s="20">
        <f t="shared" si="1"/>
        <v>1</v>
      </c>
    </row>
    <row r="103" spans="2:17" ht="13" customHeight="1" x14ac:dyDescent="0.25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4"/>
        <v/>
      </c>
      <c r="Q103" s="20">
        <f t="shared" si="1"/>
        <v>1</v>
      </c>
    </row>
    <row r="104" spans="2:17" ht="13" customHeight="1" x14ac:dyDescent="0.25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4"/>
        <v/>
      </c>
      <c r="Q104" s="20">
        <f t="shared" si="1"/>
        <v>1</v>
      </c>
    </row>
    <row r="105" spans="2:17" ht="13" customHeight="1" x14ac:dyDescent="0.25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4"/>
        <v/>
      </c>
      <c r="Q105" s="20">
        <f t="shared" si="1"/>
        <v>1</v>
      </c>
    </row>
    <row r="106" spans="2:17" ht="13" customHeight="1" x14ac:dyDescent="0.25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4"/>
        <v/>
      </c>
      <c r="Q106" s="20">
        <f t="shared" si="1"/>
        <v>1</v>
      </c>
    </row>
    <row r="107" spans="2:17" ht="13" customHeight="1" x14ac:dyDescent="0.25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4"/>
        <v/>
      </c>
      <c r="Q107" s="20">
        <f t="shared" si="1"/>
        <v>1</v>
      </c>
    </row>
    <row r="108" spans="2:17" ht="13" customHeight="1" x14ac:dyDescent="0.25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4"/>
        <v/>
      </c>
      <c r="Q108" s="20">
        <f t="shared" si="1"/>
        <v>1</v>
      </c>
    </row>
    <row r="109" spans="2:17" ht="13" customHeight="1" x14ac:dyDescent="0.25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4"/>
        <v/>
      </c>
      <c r="Q109" s="20">
        <f t="shared" si="1"/>
        <v>1</v>
      </c>
    </row>
    <row r="110" spans="2:17" ht="13" customHeight="1" x14ac:dyDescent="0.25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4"/>
        <v/>
      </c>
      <c r="Q110" s="20">
        <f t="shared" si="1"/>
        <v>1</v>
      </c>
    </row>
    <row r="111" spans="2:17" ht="13" customHeight="1" x14ac:dyDescent="0.25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4"/>
        <v/>
      </c>
      <c r="Q111" s="20">
        <f t="shared" si="1"/>
        <v>1</v>
      </c>
    </row>
    <row r="112" spans="2:17" ht="13" customHeight="1" x14ac:dyDescent="0.25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4"/>
        <v/>
      </c>
      <c r="Q112" s="20">
        <f t="shared" si="1"/>
        <v>1</v>
      </c>
    </row>
    <row r="113" spans="2:17" ht="13" customHeight="1" thickBot="1" x14ac:dyDescent="0.3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4"/>
        <v/>
      </c>
      <c r="Q113" s="20">
        <f t="shared" si="1"/>
        <v>1</v>
      </c>
    </row>
    <row r="114" spans="2:17" ht="13" customHeight="1" x14ac:dyDescent="0.25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4"/>
        <v/>
      </c>
      <c r="N114" s="198" t="s">
        <v>21</v>
      </c>
      <c r="O114" s="198" t="s">
        <v>22</v>
      </c>
      <c r="Q114" s="20">
        <f t="shared" si="1"/>
        <v>1</v>
      </c>
    </row>
    <row r="115" spans="2:17" ht="13" x14ac:dyDescent="0.25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4"/>
        <v/>
      </c>
      <c r="N115" s="199"/>
      <c r="O115" s="199"/>
      <c r="Q115" s="20">
        <f t="shared" si="1"/>
        <v>1</v>
      </c>
    </row>
    <row r="116" spans="2:17" ht="13" customHeight="1" thickBot="1" x14ac:dyDescent="0.3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4"/>
        <v/>
      </c>
      <c r="N116" s="200"/>
      <c r="O116" s="200"/>
      <c r="Q116" s="20">
        <f t="shared" si="1"/>
        <v>1</v>
      </c>
    </row>
    <row r="117" spans="2:17" ht="13" customHeight="1" thickBot="1" x14ac:dyDescent="0.3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4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3" customHeight="1" x14ac:dyDescent="0.25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4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3" customHeight="1" thickBot="1" x14ac:dyDescent="0.3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4"/>
        <v/>
      </c>
      <c r="N119" s="200"/>
      <c r="O119" s="200"/>
      <c r="Q119" s="20">
        <f t="shared" si="1"/>
        <v>1</v>
      </c>
    </row>
    <row r="120" spans="2:17" ht="13" customHeight="1" thickBot="1" x14ac:dyDescent="0.3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4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3" customHeight="1" x14ac:dyDescent="0.25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4"/>
        <v/>
      </c>
      <c r="O121" s="20">
        <f>IF(L121="",1,0)</f>
        <v>1</v>
      </c>
    </row>
    <row r="122" spans="2:17" ht="13" customHeight="1" x14ac:dyDescent="0.25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4"/>
        <v/>
      </c>
      <c r="O122" s="20">
        <f>IF(L122="",1,0)</f>
        <v>1</v>
      </c>
    </row>
    <row r="123" spans="2:17" ht="13" customHeight="1" x14ac:dyDescent="0.25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4"/>
        <v/>
      </c>
      <c r="O123" s="20">
        <f>IF(L123="",1,0)</f>
        <v>1</v>
      </c>
      <c r="P123" s="41"/>
    </row>
    <row r="124" spans="2:17" ht="13" customHeight="1" x14ac:dyDescent="0.25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4"/>
        <v/>
      </c>
      <c r="Q124" s="20">
        <f t="shared" si="1"/>
        <v>1</v>
      </c>
    </row>
    <row r="125" spans="2:17" ht="13" customHeight="1" x14ac:dyDescent="0.25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4"/>
        <v/>
      </c>
      <c r="Q125" s="20">
        <f t="shared" si="1"/>
        <v>1</v>
      </c>
    </row>
    <row r="126" spans="2:17" ht="13" customHeight="1" x14ac:dyDescent="0.25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4"/>
        <v/>
      </c>
      <c r="Q126" s="20">
        <f t="shared" si="1"/>
        <v>1</v>
      </c>
    </row>
    <row r="127" spans="2:17" ht="13" customHeight="1" x14ac:dyDescent="0.25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4"/>
        <v/>
      </c>
      <c r="Q127" s="20">
        <f t="shared" si="1"/>
        <v>1</v>
      </c>
    </row>
    <row r="128" spans="2:17" ht="13" customHeight="1" x14ac:dyDescent="0.25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4"/>
        <v/>
      </c>
      <c r="Q128" s="20">
        <f t="shared" si="1"/>
        <v>1</v>
      </c>
    </row>
    <row r="129" spans="2:17" ht="13" customHeight="1" x14ac:dyDescent="0.25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4"/>
        <v/>
      </c>
      <c r="Q129" s="20">
        <f t="shared" si="1"/>
        <v>1</v>
      </c>
    </row>
    <row r="130" spans="2:17" ht="13" customHeight="1" x14ac:dyDescent="0.25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4"/>
        <v/>
      </c>
      <c r="Q130" s="20">
        <f t="shared" si="1"/>
        <v>1</v>
      </c>
    </row>
    <row r="131" spans="2:17" ht="13" customHeight="1" x14ac:dyDescent="0.25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4"/>
        <v/>
      </c>
      <c r="Q131" s="20">
        <f t="shared" si="1"/>
        <v>1</v>
      </c>
    </row>
    <row r="132" spans="2:17" ht="13" customHeight="1" x14ac:dyDescent="0.25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4"/>
        <v/>
      </c>
      <c r="Q132" s="20">
        <f t="shared" si="1"/>
        <v>1</v>
      </c>
    </row>
    <row r="133" spans="2:17" ht="13" customHeight="1" x14ac:dyDescent="0.25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4"/>
        <v/>
      </c>
      <c r="Q133" s="20">
        <f t="shared" si="1"/>
        <v>1</v>
      </c>
    </row>
    <row r="134" spans="2:17" ht="13" customHeight="1" x14ac:dyDescent="0.25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3" customHeight="1" x14ac:dyDescent="0.25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3" customHeight="1" x14ac:dyDescent="0.25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3" customHeight="1" x14ac:dyDescent="0.25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3" customHeight="1" x14ac:dyDescent="0.25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3" customHeight="1" x14ac:dyDescent="0.25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3" customHeight="1" x14ac:dyDescent="0.25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3" customHeight="1" x14ac:dyDescent="0.25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3" customHeight="1" x14ac:dyDescent="0.25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3" customHeight="1" x14ac:dyDescent="0.25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3" customHeight="1" thickBot="1" x14ac:dyDescent="0.3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3" customHeight="1" x14ac:dyDescent="0.25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3" customHeight="1" x14ac:dyDescent="0.25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3" customHeight="1" thickBot="1" x14ac:dyDescent="0.3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3" customHeight="1" thickBot="1" x14ac:dyDescent="0.3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214123</v>
      </c>
      <c r="Q148" s="20">
        <f>IF(L148="",1,0)</f>
        <v>1</v>
      </c>
    </row>
    <row r="149" spans="2:18" ht="13" customHeight="1" x14ac:dyDescent="0.25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3" customHeight="1" thickBot="1" x14ac:dyDescent="0.3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3" customHeight="1" thickBot="1" x14ac:dyDescent="0.3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3" customHeight="1" x14ac:dyDescent="0.25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3" customHeight="1" x14ac:dyDescent="0.25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3" customHeight="1" x14ac:dyDescent="0.25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3" customHeight="1" x14ac:dyDescent="0.25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3" customHeight="1" x14ac:dyDescent="0.25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3" customHeight="1" x14ac:dyDescent="0.25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3" customHeight="1" x14ac:dyDescent="0.25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3" customHeight="1" x14ac:dyDescent="0.25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3" customHeight="1" x14ac:dyDescent="0.25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3" customHeight="1" x14ac:dyDescent="0.25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3" customHeight="1" x14ac:dyDescent="0.25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3" customHeight="1" x14ac:dyDescent="0.25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3" customHeight="1" x14ac:dyDescent="0.25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3" customHeight="1" x14ac:dyDescent="0.25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3" customHeight="1" x14ac:dyDescent="0.25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3" customHeight="1" x14ac:dyDescent="0.25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3" customHeight="1" x14ac:dyDescent="0.25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3" customHeight="1" x14ac:dyDescent="0.25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3" customHeight="1" x14ac:dyDescent="0.25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3" customHeight="1" x14ac:dyDescent="0.25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3" customHeight="1" x14ac:dyDescent="0.25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3" customHeight="1" x14ac:dyDescent="0.25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3" customHeight="1" thickBot="1" x14ac:dyDescent="0.3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3" customHeight="1" x14ac:dyDescent="0.25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3" customHeight="1" x14ac:dyDescent="0.25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3" customHeight="1" thickBot="1" x14ac:dyDescent="0.3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3" customHeight="1" thickBot="1" x14ac:dyDescent="0.3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3" customHeight="1" x14ac:dyDescent="0.25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3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3" customHeight="1" thickBot="1" x14ac:dyDescent="0.3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3" customHeight="1" x14ac:dyDescent="0.25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3" customHeight="1" x14ac:dyDescent="0.25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3" customHeight="1" x14ac:dyDescent="0.25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3" customHeight="1" x14ac:dyDescent="0.25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3" customHeight="1" x14ac:dyDescent="0.25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3" customHeight="1" x14ac:dyDescent="0.25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3" customHeight="1" x14ac:dyDescent="0.25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3" customHeight="1" x14ac:dyDescent="0.25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3" customHeight="1" x14ac:dyDescent="0.25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3" customHeight="1" x14ac:dyDescent="0.25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3" customHeight="1" x14ac:dyDescent="0.25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3" customHeight="1" x14ac:dyDescent="0.25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3" customHeight="1" x14ac:dyDescent="0.25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3" customHeight="1" x14ac:dyDescent="0.25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3" customHeight="1" x14ac:dyDescent="0.25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3" customHeight="1" x14ac:dyDescent="0.25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3" customHeight="1" x14ac:dyDescent="0.25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3" customHeight="1" x14ac:dyDescent="0.25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3" customHeight="1" x14ac:dyDescent="0.25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3" customHeight="1" x14ac:dyDescent="0.25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3" customHeight="1" x14ac:dyDescent="0.25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3" customHeight="1" x14ac:dyDescent="0.25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3" customHeight="1" x14ac:dyDescent="0.25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3" customHeight="1" thickBot="1" x14ac:dyDescent="0.3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3" customHeight="1" x14ac:dyDescent="0.25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3" customHeight="1" x14ac:dyDescent="0.25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3" customHeight="1" thickBot="1" x14ac:dyDescent="0.3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3" customHeight="1" thickBot="1" x14ac:dyDescent="0.3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3" customHeight="1" x14ac:dyDescent="0.25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3" customHeight="1" thickBot="1" x14ac:dyDescent="0.3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3" customHeight="1" thickBot="1" x14ac:dyDescent="0.3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3" customHeight="1" x14ac:dyDescent="0.25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3" customHeight="1" x14ac:dyDescent="0.25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3" customHeight="1" x14ac:dyDescent="0.25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3" customHeight="1" x14ac:dyDescent="0.25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3" customHeight="1" x14ac:dyDescent="0.25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3" customHeight="1" x14ac:dyDescent="0.25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3" customHeight="1" x14ac:dyDescent="0.25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3" customHeight="1" x14ac:dyDescent="0.25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3" customHeight="1" x14ac:dyDescent="0.25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3" customHeight="1" x14ac:dyDescent="0.25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3" customHeight="1" x14ac:dyDescent="0.25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3" customHeight="1" x14ac:dyDescent="0.25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3" customHeight="1" x14ac:dyDescent="0.25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3" customHeight="1" x14ac:dyDescent="0.25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3" customHeight="1" x14ac:dyDescent="0.25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3" customHeight="1" x14ac:dyDescent="0.25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3" customHeight="1" x14ac:dyDescent="0.25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3" customHeight="1" x14ac:dyDescent="0.25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3" customHeight="1" x14ac:dyDescent="0.25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3" customHeight="1" x14ac:dyDescent="0.25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3" customHeight="1" x14ac:dyDescent="0.25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3" customHeight="1" x14ac:dyDescent="0.25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3" customHeight="1" x14ac:dyDescent="0.25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3" customHeight="1" thickBot="1" x14ac:dyDescent="0.3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3" customHeight="1" x14ac:dyDescent="0.25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3" customHeight="1" x14ac:dyDescent="0.25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3" customHeight="1" thickBot="1" x14ac:dyDescent="0.3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3" customHeight="1" thickBot="1" x14ac:dyDescent="0.3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3" customHeight="1" x14ac:dyDescent="0.25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3" customHeight="1" thickBot="1" x14ac:dyDescent="0.3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3" customHeight="1" thickBot="1" x14ac:dyDescent="0.3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3" customHeight="1" x14ac:dyDescent="0.25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3" customHeight="1" x14ac:dyDescent="0.25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3" customHeight="1" x14ac:dyDescent="0.25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3" customHeight="1" x14ac:dyDescent="0.25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3" customHeight="1" x14ac:dyDescent="0.25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3" customHeight="1" x14ac:dyDescent="0.25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3" customHeight="1" x14ac:dyDescent="0.25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3" customHeight="1" x14ac:dyDescent="0.25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3" customHeight="1" x14ac:dyDescent="0.25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3" customHeight="1" x14ac:dyDescent="0.25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3" customHeight="1" x14ac:dyDescent="0.25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3" customHeight="1" x14ac:dyDescent="0.25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3" customHeight="1" x14ac:dyDescent="0.25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3" customHeight="1" x14ac:dyDescent="0.25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3" customHeight="1" x14ac:dyDescent="0.25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3" customHeight="1" x14ac:dyDescent="0.25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3" customHeight="1" x14ac:dyDescent="0.25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3" customHeight="1" x14ac:dyDescent="0.25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3" customHeight="1" x14ac:dyDescent="0.25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3" customHeight="1" x14ac:dyDescent="0.25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3" customHeight="1" x14ac:dyDescent="0.25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3" customHeight="1" x14ac:dyDescent="0.25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3" customHeight="1" thickBot="1" x14ac:dyDescent="0.3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3" customHeight="1" x14ac:dyDescent="0.25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3" customHeight="1" x14ac:dyDescent="0.25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3" customHeight="1" thickBot="1" x14ac:dyDescent="0.3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3" customHeight="1" thickBot="1" x14ac:dyDescent="0.3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3" customHeight="1" x14ac:dyDescent="0.25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3" customHeight="1" thickBot="1" x14ac:dyDescent="0.3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3" customHeight="1" thickBot="1" x14ac:dyDescent="0.3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3" customHeight="1" x14ac:dyDescent="0.25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3" customHeight="1" x14ac:dyDescent="0.25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3" customHeight="1" x14ac:dyDescent="0.25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3" customHeight="1" x14ac:dyDescent="0.25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3" customHeight="1" x14ac:dyDescent="0.25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3" customHeight="1" x14ac:dyDescent="0.25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3" customHeight="1" x14ac:dyDescent="0.25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3" customHeight="1" x14ac:dyDescent="0.25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3" customHeight="1" x14ac:dyDescent="0.25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3" customHeight="1" x14ac:dyDescent="0.25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3" customHeight="1" x14ac:dyDescent="0.25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3" customHeight="1" x14ac:dyDescent="0.25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3" customHeight="1" x14ac:dyDescent="0.25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3" customHeight="1" x14ac:dyDescent="0.25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3" customHeight="1" x14ac:dyDescent="0.25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3" customHeight="1" x14ac:dyDescent="0.25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3" customHeight="1" x14ac:dyDescent="0.25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3" customHeight="1" x14ac:dyDescent="0.25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3" customHeight="1" x14ac:dyDescent="0.25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3" customHeight="1" x14ac:dyDescent="0.25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3" customHeight="1" x14ac:dyDescent="0.25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3" customHeight="1" x14ac:dyDescent="0.25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3" customHeight="1" x14ac:dyDescent="0.25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3" customHeight="1" thickBot="1" x14ac:dyDescent="0.3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3" customHeight="1" x14ac:dyDescent="0.25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3" customHeight="1" x14ac:dyDescent="0.25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3" customHeight="1" thickBot="1" x14ac:dyDescent="0.3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3" customHeight="1" thickBot="1" x14ac:dyDescent="0.3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3" customHeight="1" x14ac:dyDescent="0.25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3" customHeight="1" thickBot="1" x14ac:dyDescent="0.3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3" customHeight="1" thickBot="1" x14ac:dyDescent="0.3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3" customHeight="1" x14ac:dyDescent="0.25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3" customHeight="1" x14ac:dyDescent="0.25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3" customHeight="1" x14ac:dyDescent="0.25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3" customHeight="1" x14ac:dyDescent="0.25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3" customHeight="1" x14ac:dyDescent="0.25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3" customHeight="1" x14ac:dyDescent="0.25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3" customHeight="1" x14ac:dyDescent="0.25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3" customHeight="1" x14ac:dyDescent="0.25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3" customHeight="1" x14ac:dyDescent="0.25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3" customHeight="1" x14ac:dyDescent="0.25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3" customHeight="1" x14ac:dyDescent="0.25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3" customHeight="1" x14ac:dyDescent="0.25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3" customHeight="1" x14ac:dyDescent="0.25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3" customHeight="1" x14ac:dyDescent="0.25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3" customHeight="1" x14ac:dyDescent="0.25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3" customHeight="1" x14ac:dyDescent="0.25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3" customHeight="1" x14ac:dyDescent="0.25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3" customHeight="1" x14ac:dyDescent="0.25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3" customHeight="1" x14ac:dyDescent="0.25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3" customHeight="1" x14ac:dyDescent="0.25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3" customHeight="1" x14ac:dyDescent="0.25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3" customHeight="1" x14ac:dyDescent="0.25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3" customHeight="1" thickBot="1" x14ac:dyDescent="0.3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3" customHeight="1" x14ac:dyDescent="0.25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3" customHeight="1" x14ac:dyDescent="0.25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3" customHeight="1" thickBot="1" x14ac:dyDescent="0.3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3" customHeight="1" thickBot="1" x14ac:dyDescent="0.3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3" customHeight="1" x14ac:dyDescent="0.25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3" customHeight="1" thickBot="1" x14ac:dyDescent="0.3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3" customHeight="1" thickBot="1" x14ac:dyDescent="0.3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3" customHeight="1" x14ac:dyDescent="0.25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3" customHeight="1" x14ac:dyDescent="0.25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3" customHeight="1" x14ac:dyDescent="0.25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3" customHeight="1" x14ac:dyDescent="0.25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3" customHeight="1" x14ac:dyDescent="0.25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3" customHeight="1" x14ac:dyDescent="0.25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3" customHeight="1" x14ac:dyDescent="0.25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3" customHeight="1" x14ac:dyDescent="0.25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3" customHeight="1" x14ac:dyDescent="0.25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3" customHeight="1" x14ac:dyDescent="0.25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3" customHeight="1" x14ac:dyDescent="0.25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3" customHeight="1" x14ac:dyDescent="0.25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3" customHeight="1" x14ac:dyDescent="0.25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3" customHeight="1" x14ac:dyDescent="0.25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3" customHeight="1" x14ac:dyDescent="0.25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3" customHeight="1" x14ac:dyDescent="0.25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3" customHeight="1" x14ac:dyDescent="0.25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3" customHeight="1" x14ac:dyDescent="0.25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3" customHeight="1" x14ac:dyDescent="0.25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3" customHeight="1" x14ac:dyDescent="0.25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3" customHeight="1" x14ac:dyDescent="0.25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3" customHeight="1" x14ac:dyDescent="0.25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3" customHeight="1" x14ac:dyDescent="0.25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3" customHeight="1" thickBot="1" x14ac:dyDescent="0.3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3" customHeight="1" x14ac:dyDescent="0.25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3" customHeight="1" x14ac:dyDescent="0.25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3" customHeight="1" thickBot="1" x14ac:dyDescent="0.3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3" customHeight="1" thickBot="1" x14ac:dyDescent="0.3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3" customHeight="1" x14ac:dyDescent="0.25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3" customHeight="1" thickBot="1" x14ac:dyDescent="0.3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3" customHeight="1" thickBot="1" x14ac:dyDescent="0.3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3" customHeight="1" x14ac:dyDescent="0.25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3" customHeight="1" x14ac:dyDescent="0.25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3" customHeight="1" x14ac:dyDescent="0.25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3" customHeight="1" x14ac:dyDescent="0.25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ht="13" x14ac:dyDescent="0.35">
      <c r="I370" s="48" t="str">
        <f>IF(D370="","",+(D370-D369))</f>
        <v/>
      </c>
    </row>
    <row r="371" spans="2:17" ht="13" x14ac:dyDescent="0.35">
      <c r="H371" s="41">
        <f t="shared" ref="H371:M371" si="31">SUM(H4:H369)</f>
        <v>0</v>
      </c>
      <c r="I371" s="48">
        <f>SUM(I4:I369)</f>
        <v>211467</v>
      </c>
      <c r="J371" s="41">
        <f t="shared" si="31"/>
        <v>10257</v>
      </c>
      <c r="K371" s="41">
        <f t="shared" si="31"/>
        <v>9452</v>
      </c>
      <c r="L371" s="41">
        <f t="shared" si="31"/>
        <v>9142</v>
      </c>
      <c r="M371" s="41">
        <f t="shared" si="31"/>
        <v>231176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G1:G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WVO1:WVO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58" workbookViewId="0">
      <selection activeCell="I66" sqref="I66"/>
    </sheetView>
  </sheetViews>
  <sheetFormatPr defaultColWidth="9.1796875" defaultRowHeight="14.5" x14ac:dyDescent="0.35"/>
  <cols>
    <col min="1" max="1" width="10.81640625" style="153" customWidth="1"/>
    <col min="2" max="2" width="0.1796875" style="1" customWidth="1"/>
    <col min="3" max="3" width="4.453125" style="1" hidden="1" customWidth="1"/>
    <col min="4" max="4" width="13.54296875" style="143" customWidth="1"/>
    <col min="5" max="5" width="10" style="143" customWidth="1"/>
    <col min="6" max="6" width="9.7265625" style="143" customWidth="1"/>
    <col min="7" max="7" width="11.26953125" style="68" hidden="1" customWidth="1"/>
    <col min="8" max="8" width="11.26953125" style="68" customWidth="1"/>
    <col min="9" max="9" width="11.7265625" style="68" customWidth="1"/>
    <col min="10" max="10" width="12" style="68" customWidth="1"/>
    <col min="11" max="11" width="10.453125" style="68" customWidth="1"/>
    <col min="12" max="12" width="12.7265625" style="68" bestFit="1" customWidth="1"/>
    <col min="13" max="13" width="10.7265625" style="68" bestFit="1" customWidth="1"/>
    <col min="14" max="14" width="14.1796875" style="68" bestFit="1" customWidth="1"/>
    <col min="15" max="15" width="13.81640625" style="1" customWidth="1"/>
    <col min="16" max="16" width="14.81640625" style="1" customWidth="1"/>
    <col min="17" max="17" width="15" style="1" customWidth="1"/>
    <col min="18" max="18" width="11" style="20" customWidth="1"/>
    <col min="19" max="19" width="8.7265625" style="6" customWidth="1"/>
    <col min="20" max="20" width="12.26953125" style="21" customWidth="1"/>
    <col min="21" max="21" width="11.54296875" style="1" bestFit="1" customWidth="1"/>
    <col min="22" max="22" width="8.7265625" style="6" customWidth="1"/>
    <col min="23" max="25" width="9.1796875" style="1"/>
    <col min="26" max="26" width="11.54296875" style="1" bestFit="1" customWidth="1"/>
    <col min="27" max="256" width="9.1796875" style="1"/>
    <col min="257" max="257" width="10.81640625" style="1" customWidth="1"/>
    <col min="258" max="258" width="0.1796875" style="1" customWidth="1"/>
    <col min="259" max="259" width="0" style="1" hidden="1" customWidth="1"/>
    <col min="260" max="260" width="13.54296875" style="1" customWidth="1"/>
    <col min="261" max="261" width="10" style="1" customWidth="1"/>
    <col min="262" max="262" width="9.7265625" style="1" customWidth="1"/>
    <col min="263" max="263" width="0" style="1" hidden="1" customWidth="1"/>
    <col min="264" max="264" width="11.26953125" style="1" customWidth="1"/>
    <col min="265" max="265" width="11.7265625" style="1" customWidth="1"/>
    <col min="266" max="266" width="12" style="1" customWidth="1"/>
    <col min="267" max="267" width="10.453125" style="1" customWidth="1"/>
    <col min="268" max="268" width="12.7265625" style="1" bestFit="1" customWidth="1"/>
    <col min="269" max="269" width="10.7265625" style="1" bestFit="1" customWidth="1"/>
    <col min="270" max="270" width="14.1796875" style="1" bestFit="1" customWidth="1"/>
    <col min="271" max="271" width="13.81640625" style="1" customWidth="1"/>
    <col min="272" max="272" width="14.81640625" style="1" customWidth="1"/>
    <col min="273" max="273" width="15" style="1" customWidth="1"/>
    <col min="274" max="274" width="11" style="1" customWidth="1"/>
    <col min="275" max="275" width="8.7265625" style="1" customWidth="1"/>
    <col min="276" max="276" width="12.26953125" style="1" customWidth="1"/>
    <col min="277" max="277" width="11.54296875" style="1" bestFit="1" customWidth="1"/>
    <col min="278" max="278" width="8.7265625" style="1" customWidth="1"/>
    <col min="279" max="281" width="9.1796875" style="1"/>
    <col min="282" max="282" width="11.54296875" style="1" bestFit="1" customWidth="1"/>
    <col min="283" max="512" width="9.1796875" style="1"/>
    <col min="513" max="513" width="10.81640625" style="1" customWidth="1"/>
    <col min="514" max="514" width="0.1796875" style="1" customWidth="1"/>
    <col min="515" max="515" width="0" style="1" hidden="1" customWidth="1"/>
    <col min="516" max="516" width="13.54296875" style="1" customWidth="1"/>
    <col min="517" max="517" width="10" style="1" customWidth="1"/>
    <col min="518" max="518" width="9.7265625" style="1" customWidth="1"/>
    <col min="519" max="519" width="0" style="1" hidden="1" customWidth="1"/>
    <col min="520" max="520" width="11.26953125" style="1" customWidth="1"/>
    <col min="521" max="521" width="11.7265625" style="1" customWidth="1"/>
    <col min="522" max="522" width="12" style="1" customWidth="1"/>
    <col min="523" max="523" width="10.453125" style="1" customWidth="1"/>
    <col min="524" max="524" width="12.7265625" style="1" bestFit="1" customWidth="1"/>
    <col min="525" max="525" width="10.7265625" style="1" bestFit="1" customWidth="1"/>
    <col min="526" max="526" width="14.1796875" style="1" bestFit="1" customWidth="1"/>
    <col min="527" max="527" width="13.81640625" style="1" customWidth="1"/>
    <col min="528" max="528" width="14.81640625" style="1" customWidth="1"/>
    <col min="529" max="529" width="15" style="1" customWidth="1"/>
    <col min="530" max="530" width="11" style="1" customWidth="1"/>
    <col min="531" max="531" width="8.7265625" style="1" customWidth="1"/>
    <col min="532" max="532" width="12.26953125" style="1" customWidth="1"/>
    <col min="533" max="533" width="11.54296875" style="1" bestFit="1" customWidth="1"/>
    <col min="534" max="534" width="8.7265625" style="1" customWidth="1"/>
    <col min="535" max="537" width="9.1796875" style="1"/>
    <col min="538" max="538" width="11.54296875" style="1" bestFit="1" customWidth="1"/>
    <col min="539" max="768" width="9.1796875" style="1"/>
    <col min="769" max="769" width="10.81640625" style="1" customWidth="1"/>
    <col min="770" max="770" width="0.1796875" style="1" customWidth="1"/>
    <col min="771" max="771" width="0" style="1" hidden="1" customWidth="1"/>
    <col min="772" max="772" width="13.54296875" style="1" customWidth="1"/>
    <col min="773" max="773" width="10" style="1" customWidth="1"/>
    <col min="774" max="774" width="9.7265625" style="1" customWidth="1"/>
    <col min="775" max="775" width="0" style="1" hidden="1" customWidth="1"/>
    <col min="776" max="776" width="11.26953125" style="1" customWidth="1"/>
    <col min="777" max="777" width="11.7265625" style="1" customWidth="1"/>
    <col min="778" max="778" width="12" style="1" customWidth="1"/>
    <col min="779" max="779" width="10.453125" style="1" customWidth="1"/>
    <col min="780" max="780" width="12.7265625" style="1" bestFit="1" customWidth="1"/>
    <col min="781" max="781" width="10.7265625" style="1" bestFit="1" customWidth="1"/>
    <col min="782" max="782" width="14.1796875" style="1" bestFit="1" customWidth="1"/>
    <col min="783" max="783" width="13.81640625" style="1" customWidth="1"/>
    <col min="784" max="784" width="14.81640625" style="1" customWidth="1"/>
    <col min="785" max="785" width="15" style="1" customWidth="1"/>
    <col min="786" max="786" width="11" style="1" customWidth="1"/>
    <col min="787" max="787" width="8.7265625" style="1" customWidth="1"/>
    <col min="788" max="788" width="12.26953125" style="1" customWidth="1"/>
    <col min="789" max="789" width="11.54296875" style="1" bestFit="1" customWidth="1"/>
    <col min="790" max="790" width="8.7265625" style="1" customWidth="1"/>
    <col min="791" max="793" width="9.1796875" style="1"/>
    <col min="794" max="794" width="11.54296875" style="1" bestFit="1" customWidth="1"/>
    <col min="795" max="1024" width="9.1796875" style="1"/>
    <col min="1025" max="1025" width="10.81640625" style="1" customWidth="1"/>
    <col min="1026" max="1026" width="0.1796875" style="1" customWidth="1"/>
    <col min="1027" max="1027" width="0" style="1" hidden="1" customWidth="1"/>
    <col min="1028" max="1028" width="13.54296875" style="1" customWidth="1"/>
    <col min="1029" max="1029" width="10" style="1" customWidth="1"/>
    <col min="1030" max="1030" width="9.7265625" style="1" customWidth="1"/>
    <col min="1031" max="1031" width="0" style="1" hidden="1" customWidth="1"/>
    <col min="1032" max="1032" width="11.26953125" style="1" customWidth="1"/>
    <col min="1033" max="1033" width="11.7265625" style="1" customWidth="1"/>
    <col min="1034" max="1034" width="12" style="1" customWidth="1"/>
    <col min="1035" max="1035" width="10.453125" style="1" customWidth="1"/>
    <col min="1036" max="1036" width="12.7265625" style="1" bestFit="1" customWidth="1"/>
    <col min="1037" max="1037" width="10.7265625" style="1" bestFit="1" customWidth="1"/>
    <col min="1038" max="1038" width="14.1796875" style="1" bestFit="1" customWidth="1"/>
    <col min="1039" max="1039" width="13.81640625" style="1" customWidth="1"/>
    <col min="1040" max="1040" width="14.81640625" style="1" customWidth="1"/>
    <col min="1041" max="1041" width="15" style="1" customWidth="1"/>
    <col min="1042" max="1042" width="11" style="1" customWidth="1"/>
    <col min="1043" max="1043" width="8.7265625" style="1" customWidth="1"/>
    <col min="1044" max="1044" width="12.26953125" style="1" customWidth="1"/>
    <col min="1045" max="1045" width="11.54296875" style="1" bestFit="1" customWidth="1"/>
    <col min="1046" max="1046" width="8.7265625" style="1" customWidth="1"/>
    <col min="1047" max="1049" width="9.1796875" style="1"/>
    <col min="1050" max="1050" width="11.54296875" style="1" bestFit="1" customWidth="1"/>
    <col min="1051" max="1280" width="9.1796875" style="1"/>
    <col min="1281" max="1281" width="10.81640625" style="1" customWidth="1"/>
    <col min="1282" max="1282" width="0.1796875" style="1" customWidth="1"/>
    <col min="1283" max="1283" width="0" style="1" hidden="1" customWidth="1"/>
    <col min="1284" max="1284" width="13.54296875" style="1" customWidth="1"/>
    <col min="1285" max="1285" width="10" style="1" customWidth="1"/>
    <col min="1286" max="1286" width="9.7265625" style="1" customWidth="1"/>
    <col min="1287" max="1287" width="0" style="1" hidden="1" customWidth="1"/>
    <col min="1288" max="1288" width="11.26953125" style="1" customWidth="1"/>
    <col min="1289" max="1289" width="11.7265625" style="1" customWidth="1"/>
    <col min="1290" max="1290" width="12" style="1" customWidth="1"/>
    <col min="1291" max="1291" width="10.453125" style="1" customWidth="1"/>
    <col min="1292" max="1292" width="12.7265625" style="1" bestFit="1" customWidth="1"/>
    <col min="1293" max="1293" width="10.7265625" style="1" bestFit="1" customWidth="1"/>
    <col min="1294" max="1294" width="14.1796875" style="1" bestFit="1" customWidth="1"/>
    <col min="1295" max="1295" width="13.81640625" style="1" customWidth="1"/>
    <col min="1296" max="1296" width="14.81640625" style="1" customWidth="1"/>
    <col min="1297" max="1297" width="15" style="1" customWidth="1"/>
    <col min="1298" max="1298" width="11" style="1" customWidth="1"/>
    <col min="1299" max="1299" width="8.7265625" style="1" customWidth="1"/>
    <col min="1300" max="1300" width="12.26953125" style="1" customWidth="1"/>
    <col min="1301" max="1301" width="11.54296875" style="1" bestFit="1" customWidth="1"/>
    <col min="1302" max="1302" width="8.7265625" style="1" customWidth="1"/>
    <col min="1303" max="1305" width="9.1796875" style="1"/>
    <col min="1306" max="1306" width="11.54296875" style="1" bestFit="1" customWidth="1"/>
    <col min="1307" max="1536" width="9.1796875" style="1"/>
    <col min="1537" max="1537" width="10.81640625" style="1" customWidth="1"/>
    <col min="1538" max="1538" width="0.1796875" style="1" customWidth="1"/>
    <col min="1539" max="1539" width="0" style="1" hidden="1" customWidth="1"/>
    <col min="1540" max="1540" width="13.54296875" style="1" customWidth="1"/>
    <col min="1541" max="1541" width="10" style="1" customWidth="1"/>
    <col min="1542" max="1542" width="9.7265625" style="1" customWidth="1"/>
    <col min="1543" max="1543" width="0" style="1" hidden="1" customWidth="1"/>
    <col min="1544" max="1544" width="11.26953125" style="1" customWidth="1"/>
    <col min="1545" max="1545" width="11.7265625" style="1" customWidth="1"/>
    <col min="1546" max="1546" width="12" style="1" customWidth="1"/>
    <col min="1547" max="1547" width="10.453125" style="1" customWidth="1"/>
    <col min="1548" max="1548" width="12.7265625" style="1" bestFit="1" customWidth="1"/>
    <col min="1549" max="1549" width="10.7265625" style="1" bestFit="1" customWidth="1"/>
    <col min="1550" max="1550" width="14.1796875" style="1" bestFit="1" customWidth="1"/>
    <col min="1551" max="1551" width="13.81640625" style="1" customWidth="1"/>
    <col min="1552" max="1552" width="14.81640625" style="1" customWidth="1"/>
    <col min="1553" max="1553" width="15" style="1" customWidth="1"/>
    <col min="1554" max="1554" width="11" style="1" customWidth="1"/>
    <col min="1555" max="1555" width="8.7265625" style="1" customWidth="1"/>
    <col min="1556" max="1556" width="12.26953125" style="1" customWidth="1"/>
    <col min="1557" max="1557" width="11.54296875" style="1" bestFit="1" customWidth="1"/>
    <col min="1558" max="1558" width="8.7265625" style="1" customWidth="1"/>
    <col min="1559" max="1561" width="9.1796875" style="1"/>
    <col min="1562" max="1562" width="11.54296875" style="1" bestFit="1" customWidth="1"/>
    <col min="1563" max="1792" width="9.1796875" style="1"/>
    <col min="1793" max="1793" width="10.81640625" style="1" customWidth="1"/>
    <col min="1794" max="1794" width="0.1796875" style="1" customWidth="1"/>
    <col min="1795" max="1795" width="0" style="1" hidden="1" customWidth="1"/>
    <col min="1796" max="1796" width="13.54296875" style="1" customWidth="1"/>
    <col min="1797" max="1797" width="10" style="1" customWidth="1"/>
    <col min="1798" max="1798" width="9.7265625" style="1" customWidth="1"/>
    <col min="1799" max="1799" width="0" style="1" hidden="1" customWidth="1"/>
    <col min="1800" max="1800" width="11.26953125" style="1" customWidth="1"/>
    <col min="1801" max="1801" width="11.7265625" style="1" customWidth="1"/>
    <col min="1802" max="1802" width="12" style="1" customWidth="1"/>
    <col min="1803" max="1803" width="10.453125" style="1" customWidth="1"/>
    <col min="1804" max="1804" width="12.7265625" style="1" bestFit="1" customWidth="1"/>
    <col min="1805" max="1805" width="10.7265625" style="1" bestFit="1" customWidth="1"/>
    <col min="1806" max="1806" width="14.1796875" style="1" bestFit="1" customWidth="1"/>
    <col min="1807" max="1807" width="13.81640625" style="1" customWidth="1"/>
    <col min="1808" max="1808" width="14.81640625" style="1" customWidth="1"/>
    <col min="1809" max="1809" width="15" style="1" customWidth="1"/>
    <col min="1810" max="1810" width="11" style="1" customWidth="1"/>
    <col min="1811" max="1811" width="8.7265625" style="1" customWidth="1"/>
    <col min="1812" max="1812" width="12.26953125" style="1" customWidth="1"/>
    <col min="1813" max="1813" width="11.54296875" style="1" bestFit="1" customWidth="1"/>
    <col min="1814" max="1814" width="8.7265625" style="1" customWidth="1"/>
    <col min="1815" max="1817" width="9.1796875" style="1"/>
    <col min="1818" max="1818" width="11.54296875" style="1" bestFit="1" customWidth="1"/>
    <col min="1819" max="2048" width="9.1796875" style="1"/>
    <col min="2049" max="2049" width="10.81640625" style="1" customWidth="1"/>
    <col min="2050" max="2050" width="0.1796875" style="1" customWidth="1"/>
    <col min="2051" max="2051" width="0" style="1" hidden="1" customWidth="1"/>
    <col min="2052" max="2052" width="13.54296875" style="1" customWidth="1"/>
    <col min="2053" max="2053" width="10" style="1" customWidth="1"/>
    <col min="2054" max="2054" width="9.7265625" style="1" customWidth="1"/>
    <col min="2055" max="2055" width="0" style="1" hidden="1" customWidth="1"/>
    <col min="2056" max="2056" width="11.26953125" style="1" customWidth="1"/>
    <col min="2057" max="2057" width="11.7265625" style="1" customWidth="1"/>
    <col min="2058" max="2058" width="12" style="1" customWidth="1"/>
    <col min="2059" max="2059" width="10.453125" style="1" customWidth="1"/>
    <col min="2060" max="2060" width="12.7265625" style="1" bestFit="1" customWidth="1"/>
    <col min="2061" max="2061" width="10.7265625" style="1" bestFit="1" customWidth="1"/>
    <col min="2062" max="2062" width="14.1796875" style="1" bestFit="1" customWidth="1"/>
    <col min="2063" max="2063" width="13.81640625" style="1" customWidth="1"/>
    <col min="2064" max="2064" width="14.81640625" style="1" customWidth="1"/>
    <col min="2065" max="2065" width="15" style="1" customWidth="1"/>
    <col min="2066" max="2066" width="11" style="1" customWidth="1"/>
    <col min="2067" max="2067" width="8.7265625" style="1" customWidth="1"/>
    <col min="2068" max="2068" width="12.26953125" style="1" customWidth="1"/>
    <col min="2069" max="2069" width="11.54296875" style="1" bestFit="1" customWidth="1"/>
    <col min="2070" max="2070" width="8.7265625" style="1" customWidth="1"/>
    <col min="2071" max="2073" width="9.1796875" style="1"/>
    <col min="2074" max="2074" width="11.54296875" style="1" bestFit="1" customWidth="1"/>
    <col min="2075" max="2304" width="9.1796875" style="1"/>
    <col min="2305" max="2305" width="10.81640625" style="1" customWidth="1"/>
    <col min="2306" max="2306" width="0.1796875" style="1" customWidth="1"/>
    <col min="2307" max="2307" width="0" style="1" hidden="1" customWidth="1"/>
    <col min="2308" max="2308" width="13.54296875" style="1" customWidth="1"/>
    <col min="2309" max="2309" width="10" style="1" customWidth="1"/>
    <col min="2310" max="2310" width="9.7265625" style="1" customWidth="1"/>
    <col min="2311" max="2311" width="0" style="1" hidden="1" customWidth="1"/>
    <col min="2312" max="2312" width="11.26953125" style="1" customWidth="1"/>
    <col min="2313" max="2313" width="11.7265625" style="1" customWidth="1"/>
    <col min="2314" max="2314" width="12" style="1" customWidth="1"/>
    <col min="2315" max="2315" width="10.453125" style="1" customWidth="1"/>
    <col min="2316" max="2316" width="12.7265625" style="1" bestFit="1" customWidth="1"/>
    <col min="2317" max="2317" width="10.7265625" style="1" bestFit="1" customWidth="1"/>
    <col min="2318" max="2318" width="14.1796875" style="1" bestFit="1" customWidth="1"/>
    <col min="2319" max="2319" width="13.81640625" style="1" customWidth="1"/>
    <col min="2320" max="2320" width="14.81640625" style="1" customWidth="1"/>
    <col min="2321" max="2321" width="15" style="1" customWidth="1"/>
    <col min="2322" max="2322" width="11" style="1" customWidth="1"/>
    <col min="2323" max="2323" width="8.7265625" style="1" customWidth="1"/>
    <col min="2324" max="2324" width="12.26953125" style="1" customWidth="1"/>
    <col min="2325" max="2325" width="11.54296875" style="1" bestFit="1" customWidth="1"/>
    <col min="2326" max="2326" width="8.7265625" style="1" customWidth="1"/>
    <col min="2327" max="2329" width="9.1796875" style="1"/>
    <col min="2330" max="2330" width="11.54296875" style="1" bestFit="1" customWidth="1"/>
    <col min="2331" max="2560" width="9.1796875" style="1"/>
    <col min="2561" max="2561" width="10.81640625" style="1" customWidth="1"/>
    <col min="2562" max="2562" width="0.1796875" style="1" customWidth="1"/>
    <col min="2563" max="2563" width="0" style="1" hidden="1" customWidth="1"/>
    <col min="2564" max="2564" width="13.54296875" style="1" customWidth="1"/>
    <col min="2565" max="2565" width="10" style="1" customWidth="1"/>
    <col min="2566" max="2566" width="9.7265625" style="1" customWidth="1"/>
    <col min="2567" max="2567" width="0" style="1" hidden="1" customWidth="1"/>
    <col min="2568" max="2568" width="11.26953125" style="1" customWidth="1"/>
    <col min="2569" max="2569" width="11.7265625" style="1" customWidth="1"/>
    <col min="2570" max="2570" width="12" style="1" customWidth="1"/>
    <col min="2571" max="2571" width="10.453125" style="1" customWidth="1"/>
    <col min="2572" max="2572" width="12.7265625" style="1" bestFit="1" customWidth="1"/>
    <col min="2573" max="2573" width="10.7265625" style="1" bestFit="1" customWidth="1"/>
    <col min="2574" max="2574" width="14.1796875" style="1" bestFit="1" customWidth="1"/>
    <col min="2575" max="2575" width="13.81640625" style="1" customWidth="1"/>
    <col min="2576" max="2576" width="14.81640625" style="1" customWidth="1"/>
    <col min="2577" max="2577" width="15" style="1" customWidth="1"/>
    <col min="2578" max="2578" width="11" style="1" customWidth="1"/>
    <col min="2579" max="2579" width="8.7265625" style="1" customWidth="1"/>
    <col min="2580" max="2580" width="12.26953125" style="1" customWidth="1"/>
    <col min="2581" max="2581" width="11.54296875" style="1" bestFit="1" customWidth="1"/>
    <col min="2582" max="2582" width="8.7265625" style="1" customWidth="1"/>
    <col min="2583" max="2585" width="9.1796875" style="1"/>
    <col min="2586" max="2586" width="11.54296875" style="1" bestFit="1" customWidth="1"/>
    <col min="2587" max="2816" width="9.1796875" style="1"/>
    <col min="2817" max="2817" width="10.81640625" style="1" customWidth="1"/>
    <col min="2818" max="2818" width="0.1796875" style="1" customWidth="1"/>
    <col min="2819" max="2819" width="0" style="1" hidden="1" customWidth="1"/>
    <col min="2820" max="2820" width="13.54296875" style="1" customWidth="1"/>
    <col min="2821" max="2821" width="10" style="1" customWidth="1"/>
    <col min="2822" max="2822" width="9.7265625" style="1" customWidth="1"/>
    <col min="2823" max="2823" width="0" style="1" hidden="1" customWidth="1"/>
    <col min="2824" max="2824" width="11.26953125" style="1" customWidth="1"/>
    <col min="2825" max="2825" width="11.7265625" style="1" customWidth="1"/>
    <col min="2826" max="2826" width="12" style="1" customWidth="1"/>
    <col min="2827" max="2827" width="10.453125" style="1" customWidth="1"/>
    <col min="2828" max="2828" width="12.7265625" style="1" bestFit="1" customWidth="1"/>
    <col min="2829" max="2829" width="10.7265625" style="1" bestFit="1" customWidth="1"/>
    <col min="2830" max="2830" width="14.1796875" style="1" bestFit="1" customWidth="1"/>
    <col min="2831" max="2831" width="13.81640625" style="1" customWidth="1"/>
    <col min="2832" max="2832" width="14.81640625" style="1" customWidth="1"/>
    <col min="2833" max="2833" width="15" style="1" customWidth="1"/>
    <col min="2834" max="2834" width="11" style="1" customWidth="1"/>
    <col min="2835" max="2835" width="8.7265625" style="1" customWidth="1"/>
    <col min="2836" max="2836" width="12.26953125" style="1" customWidth="1"/>
    <col min="2837" max="2837" width="11.54296875" style="1" bestFit="1" customWidth="1"/>
    <col min="2838" max="2838" width="8.7265625" style="1" customWidth="1"/>
    <col min="2839" max="2841" width="9.1796875" style="1"/>
    <col min="2842" max="2842" width="11.54296875" style="1" bestFit="1" customWidth="1"/>
    <col min="2843" max="3072" width="9.1796875" style="1"/>
    <col min="3073" max="3073" width="10.81640625" style="1" customWidth="1"/>
    <col min="3074" max="3074" width="0.1796875" style="1" customWidth="1"/>
    <col min="3075" max="3075" width="0" style="1" hidden="1" customWidth="1"/>
    <col min="3076" max="3076" width="13.54296875" style="1" customWidth="1"/>
    <col min="3077" max="3077" width="10" style="1" customWidth="1"/>
    <col min="3078" max="3078" width="9.7265625" style="1" customWidth="1"/>
    <col min="3079" max="3079" width="0" style="1" hidden="1" customWidth="1"/>
    <col min="3080" max="3080" width="11.26953125" style="1" customWidth="1"/>
    <col min="3081" max="3081" width="11.7265625" style="1" customWidth="1"/>
    <col min="3082" max="3082" width="12" style="1" customWidth="1"/>
    <col min="3083" max="3083" width="10.453125" style="1" customWidth="1"/>
    <col min="3084" max="3084" width="12.7265625" style="1" bestFit="1" customWidth="1"/>
    <col min="3085" max="3085" width="10.7265625" style="1" bestFit="1" customWidth="1"/>
    <col min="3086" max="3086" width="14.1796875" style="1" bestFit="1" customWidth="1"/>
    <col min="3087" max="3087" width="13.81640625" style="1" customWidth="1"/>
    <col min="3088" max="3088" width="14.81640625" style="1" customWidth="1"/>
    <col min="3089" max="3089" width="15" style="1" customWidth="1"/>
    <col min="3090" max="3090" width="11" style="1" customWidth="1"/>
    <col min="3091" max="3091" width="8.7265625" style="1" customWidth="1"/>
    <col min="3092" max="3092" width="12.26953125" style="1" customWidth="1"/>
    <col min="3093" max="3093" width="11.54296875" style="1" bestFit="1" customWidth="1"/>
    <col min="3094" max="3094" width="8.7265625" style="1" customWidth="1"/>
    <col min="3095" max="3097" width="9.1796875" style="1"/>
    <col min="3098" max="3098" width="11.54296875" style="1" bestFit="1" customWidth="1"/>
    <col min="3099" max="3328" width="9.1796875" style="1"/>
    <col min="3329" max="3329" width="10.81640625" style="1" customWidth="1"/>
    <col min="3330" max="3330" width="0.1796875" style="1" customWidth="1"/>
    <col min="3331" max="3331" width="0" style="1" hidden="1" customWidth="1"/>
    <col min="3332" max="3332" width="13.54296875" style="1" customWidth="1"/>
    <col min="3333" max="3333" width="10" style="1" customWidth="1"/>
    <col min="3334" max="3334" width="9.7265625" style="1" customWidth="1"/>
    <col min="3335" max="3335" width="0" style="1" hidden="1" customWidth="1"/>
    <col min="3336" max="3336" width="11.26953125" style="1" customWidth="1"/>
    <col min="3337" max="3337" width="11.7265625" style="1" customWidth="1"/>
    <col min="3338" max="3338" width="12" style="1" customWidth="1"/>
    <col min="3339" max="3339" width="10.453125" style="1" customWidth="1"/>
    <col min="3340" max="3340" width="12.7265625" style="1" bestFit="1" customWidth="1"/>
    <col min="3341" max="3341" width="10.7265625" style="1" bestFit="1" customWidth="1"/>
    <col min="3342" max="3342" width="14.1796875" style="1" bestFit="1" customWidth="1"/>
    <col min="3343" max="3343" width="13.81640625" style="1" customWidth="1"/>
    <col min="3344" max="3344" width="14.81640625" style="1" customWidth="1"/>
    <col min="3345" max="3345" width="15" style="1" customWidth="1"/>
    <col min="3346" max="3346" width="11" style="1" customWidth="1"/>
    <col min="3347" max="3347" width="8.7265625" style="1" customWidth="1"/>
    <col min="3348" max="3348" width="12.26953125" style="1" customWidth="1"/>
    <col min="3349" max="3349" width="11.54296875" style="1" bestFit="1" customWidth="1"/>
    <col min="3350" max="3350" width="8.7265625" style="1" customWidth="1"/>
    <col min="3351" max="3353" width="9.1796875" style="1"/>
    <col min="3354" max="3354" width="11.54296875" style="1" bestFit="1" customWidth="1"/>
    <col min="3355" max="3584" width="9.1796875" style="1"/>
    <col min="3585" max="3585" width="10.81640625" style="1" customWidth="1"/>
    <col min="3586" max="3586" width="0.1796875" style="1" customWidth="1"/>
    <col min="3587" max="3587" width="0" style="1" hidden="1" customWidth="1"/>
    <col min="3588" max="3588" width="13.54296875" style="1" customWidth="1"/>
    <col min="3589" max="3589" width="10" style="1" customWidth="1"/>
    <col min="3590" max="3590" width="9.7265625" style="1" customWidth="1"/>
    <col min="3591" max="3591" width="0" style="1" hidden="1" customWidth="1"/>
    <col min="3592" max="3592" width="11.26953125" style="1" customWidth="1"/>
    <col min="3593" max="3593" width="11.7265625" style="1" customWidth="1"/>
    <col min="3594" max="3594" width="12" style="1" customWidth="1"/>
    <col min="3595" max="3595" width="10.453125" style="1" customWidth="1"/>
    <col min="3596" max="3596" width="12.7265625" style="1" bestFit="1" customWidth="1"/>
    <col min="3597" max="3597" width="10.7265625" style="1" bestFit="1" customWidth="1"/>
    <col min="3598" max="3598" width="14.1796875" style="1" bestFit="1" customWidth="1"/>
    <col min="3599" max="3599" width="13.81640625" style="1" customWidth="1"/>
    <col min="3600" max="3600" width="14.81640625" style="1" customWidth="1"/>
    <col min="3601" max="3601" width="15" style="1" customWidth="1"/>
    <col min="3602" max="3602" width="11" style="1" customWidth="1"/>
    <col min="3603" max="3603" width="8.7265625" style="1" customWidth="1"/>
    <col min="3604" max="3604" width="12.26953125" style="1" customWidth="1"/>
    <col min="3605" max="3605" width="11.54296875" style="1" bestFit="1" customWidth="1"/>
    <col min="3606" max="3606" width="8.7265625" style="1" customWidth="1"/>
    <col min="3607" max="3609" width="9.1796875" style="1"/>
    <col min="3610" max="3610" width="11.54296875" style="1" bestFit="1" customWidth="1"/>
    <col min="3611" max="3840" width="9.1796875" style="1"/>
    <col min="3841" max="3841" width="10.81640625" style="1" customWidth="1"/>
    <col min="3842" max="3842" width="0.1796875" style="1" customWidth="1"/>
    <col min="3843" max="3843" width="0" style="1" hidden="1" customWidth="1"/>
    <col min="3844" max="3844" width="13.54296875" style="1" customWidth="1"/>
    <col min="3845" max="3845" width="10" style="1" customWidth="1"/>
    <col min="3846" max="3846" width="9.7265625" style="1" customWidth="1"/>
    <col min="3847" max="3847" width="0" style="1" hidden="1" customWidth="1"/>
    <col min="3848" max="3848" width="11.26953125" style="1" customWidth="1"/>
    <col min="3849" max="3849" width="11.7265625" style="1" customWidth="1"/>
    <col min="3850" max="3850" width="12" style="1" customWidth="1"/>
    <col min="3851" max="3851" width="10.453125" style="1" customWidth="1"/>
    <col min="3852" max="3852" width="12.7265625" style="1" bestFit="1" customWidth="1"/>
    <col min="3853" max="3853" width="10.7265625" style="1" bestFit="1" customWidth="1"/>
    <col min="3854" max="3854" width="14.1796875" style="1" bestFit="1" customWidth="1"/>
    <col min="3855" max="3855" width="13.81640625" style="1" customWidth="1"/>
    <col min="3856" max="3856" width="14.81640625" style="1" customWidth="1"/>
    <col min="3857" max="3857" width="15" style="1" customWidth="1"/>
    <col min="3858" max="3858" width="11" style="1" customWidth="1"/>
    <col min="3859" max="3859" width="8.7265625" style="1" customWidth="1"/>
    <col min="3860" max="3860" width="12.26953125" style="1" customWidth="1"/>
    <col min="3861" max="3861" width="11.54296875" style="1" bestFit="1" customWidth="1"/>
    <col min="3862" max="3862" width="8.7265625" style="1" customWidth="1"/>
    <col min="3863" max="3865" width="9.1796875" style="1"/>
    <col min="3866" max="3866" width="11.54296875" style="1" bestFit="1" customWidth="1"/>
    <col min="3867" max="4096" width="9.1796875" style="1"/>
    <col min="4097" max="4097" width="10.81640625" style="1" customWidth="1"/>
    <col min="4098" max="4098" width="0.1796875" style="1" customWidth="1"/>
    <col min="4099" max="4099" width="0" style="1" hidden="1" customWidth="1"/>
    <col min="4100" max="4100" width="13.54296875" style="1" customWidth="1"/>
    <col min="4101" max="4101" width="10" style="1" customWidth="1"/>
    <col min="4102" max="4102" width="9.7265625" style="1" customWidth="1"/>
    <col min="4103" max="4103" width="0" style="1" hidden="1" customWidth="1"/>
    <col min="4104" max="4104" width="11.26953125" style="1" customWidth="1"/>
    <col min="4105" max="4105" width="11.7265625" style="1" customWidth="1"/>
    <col min="4106" max="4106" width="12" style="1" customWidth="1"/>
    <col min="4107" max="4107" width="10.453125" style="1" customWidth="1"/>
    <col min="4108" max="4108" width="12.7265625" style="1" bestFit="1" customWidth="1"/>
    <col min="4109" max="4109" width="10.7265625" style="1" bestFit="1" customWidth="1"/>
    <col min="4110" max="4110" width="14.1796875" style="1" bestFit="1" customWidth="1"/>
    <col min="4111" max="4111" width="13.81640625" style="1" customWidth="1"/>
    <col min="4112" max="4112" width="14.81640625" style="1" customWidth="1"/>
    <col min="4113" max="4113" width="15" style="1" customWidth="1"/>
    <col min="4114" max="4114" width="11" style="1" customWidth="1"/>
    <col min="4115" max="4115" width="8.7265625" style="1" customWidth="1"/>
    <col min="4116" max="4116" width="12.26953125" style="1" customWidth="1"/>
    <col min="4117" max="4117" width="11.54296875" style="1" bestFit="1" customWidth="1"/>
    <col min="4118" max="4118" width="8.7265625" style="1" customWidth="1"/>
    <col min="4119" max="4121" width="9.1796875" style="1"/>
    <col min="4122" max="4122" width="11.54296875" style="1" bestFit="1" customWidth="1"/>
    <col min="4123" max="4352" width="9.1796875" style="1"/>
    <col min="4353" max="4353" width="10.81640625" style="1" customWidth="1"/>
    <col min="4354" max="4354" width="0.1796875" style="1" customWidth="1"/>
    <col min="4355" max="4355" width="0" style="1" hidden="1" customWidth="1"/>
    <col min="4356" max="4356" width="13.54296875" style="1" customWidth="1"/>
    <col min="4357" max="4357" width="10" style="1" customWidth="1"/>
    <col min="4358" max="4358" width="9.7265625" style="1" customWidth="1"/>
    <col min="4359" max="4359" width="0" style="1" hidden="1" customWidth="1"/>
    <col min="4360" max="4360" width="11.26953125" style="1" customWidth="1"/>
    <col min="4361" max="4361" width="11.7265625" style="1" customWidth="1"/>
    <col min="4362" max="4362" width="12" style="1" customWidth="1"/>
    <col min="4363" max="4363" width="10.453125" style="1" customWidth="1"/>
    <col min="4364" max="4364" width="12.7265625" style="1" bestFit="1" customWidth="1"/>
    <col min="4365" max="4365" width="10.7265625" style="1" bestFit="1" customWidth="1"/>
    <col min="4366" max="4366" width="14.1796875" style="1" bestFit="1" customWidth="1"/>
    <col min="4367" max="4367" width="13.81640625" style="1" customWidth="1"/>
    <col min="4368" max="4368" width="14.81640625" style="1" customWidth="1"/>
    <col min="4369" max="4369" width="15" style="1" customWidth="1"/>
    <col min="4370" max="4370" width="11" style="1" customWidth="1"/>
    <col min="4371" max="4371" width="8.7265625" style="1" customWidth="1"/>
    <col min="4372" max="4372" width="12.26953125" style="1" customWidth="1"/>
    <col min="4373" max="4373" width="11.54296875" style="1" bestFit="1" customWidth="1"/>
    <col min="4374" max="4374" width="8.7265625" style="1" customWidth="1"/>
    <col min="4375" max="4377" width="9.1796875" style="1"/>
    <col min="4378" max="4378" width="11.54296875" style="1" bestFit="1" customWidth="1"/>
    <col min="4379" max="4608" width="9.1796875" style="1"/>
    <col min="4609" max="4609" width="10.81640625" style="1" customWidth="1"/>
    <col min="4610" max="4610" width="0.1796875" style="1" customWidth="1"/>
    <col min="4611" max="4611" width="0" style="1" hidden="1" customWidth="1"/>
    <col min="4612" max="4612" width="13.54296875" style="1" customWidth="1"/>
    <col min="4613" max="4613" width="10" style="1" customWidth="1"/>
    <col min="4614" max="4614" width="9.7265625" style="1" customWidth="1"/>
    <col min="4615" max="4615" width="0" style="1" hidden="1" customWidth="1"/>
    <col min="4616" max="4616" width="11.26953125" style="1" customWidth="1"/>
    <col min="4617" max="4617" width="11.7265625" style="1" customWidth="1"/>
    <col min="4618" max="4618" width="12" style="1" customWidth="1"/>
    <col min="4619" max="4619" width="10.453125" style="1" customWidth="1"/>
    <col min="4620" max="4620" width="12.7265625" style="1" bestFit="1" customWidth="1"/>
    <col min="4621" max="4621" width="10.7265625" style="1" bestFit="1" customWidth="1"/>
    <col min="4622" max="4622" width="14.1796875" style="1" bestFit="1" customWidth="1"/>
    <col min="4623" max="4623" width="13.81640625" style="1" customWidth="1"/>
    <col min="4624" max="4624" width="14.81640625" style="1" customWidth="1"/>
    <col min="4625" max="4625" width="15" style="1" customWidth="1"/>
    <col min="4626" max="4626" width="11" style="1" customWidth="1"/>
    <col min="4627" max="4627" width="8.7265625" style="1" customWidth="1"/>
    <col min="4628" max="4628" width="12.26953125" style="1" customWidth="1"/>
    <col min="4629" max="4629" width="11.54296875" style="1" bestFit="1" customWidth="1"/>
    <col min="4630" max="4630" width="8.7265625" style="1" customWidth="1"/>
    <col min="4631" max="4633" width="9.1796875" style="1"/>
    <col min="4634" max="4634" width="11.54296875" style="1" bestFit="1" customWidth="1"/>
    <col min="4635" max="4864" width="9.1796875" style="1"/>
    <col min="4865" max="4865" width="10.81640625" style="1" customWidth="1"/>
    <col min="4866" max="4866" width="0.1796875" style="1" customWidth="1"/>
    <col min="4867" max="4867" width="0" style="1" hidden="1" customWidth="1"/>
    <col min="4868" max="4868" width="13.54296875" style="1" customWidth="1"/>
    <col min="4869" max="4869" width="10" style="1" customWidth="1"/>
    <col min="4870" max="4870" width="9.7265625" style="1" customWidth="1"/>
    <col min="4871" max="4871" width="0" style="1" hidden="1" customWidth="1"/>
    <col min="4872" max="4872" width="11.26953125" style="1" customWidth="1"/>
    <col min="4873" max="4873" width="11.7265625" style="1" customWidth="1"/>
    <col min="4874" max="4874" width="12" style="1" customWidth="1"/>
    <col min="4875" max="4875" width="10.453125" style="1" customWidth="1"/>
    <col min="4876" max="4876" width="12.7265625" style="1" bestFit="1" customWidth="1"/>
    <col min="4877" max="4877" width="10.7265625" style="1" bestFit="1" customWidth="1"/>
    <col min="4878" max="4878" width="14.1796875" style="1" bestFit="1" customWidth="1"/>
    <col min="4879" max="4879" width="13.81640625" style="1" customWidth="1"/>
    <col min="4880" max="4880" width="14.81640625" style="1" customWidth="1"/>
    <col min="4881" max="4881" width="15" style="1" customWidth="1"/>
    <col min="4882" max="4882" width="11" style="1" customWidth="1"/>
    <col min="4883" max="4883" width="8.7265625" style="1" customWidth="1"/>
    <col min="4884" max="4884" width="12.26953125" style="1" customWidth="1"/>
    <col min="4885" max="4885" width="11.54296875" style="1" bestFit="1" customWidth="1"/>
    <col min="4886" max="4886" width="8.7265625" style="1" customWidth="1"/>
    <col min="4887" max="4889" width="9.1796875" style="1"/>
    <col min="4890" max="4890" width="11.54296875" style="1" bestFit="1" customWidth="1"/>
    <col min="4891" max="5120" width="9.1796875" style="1"/>
    <col min="5121" max="5121" width="10.81640625" style="1" customWidth="1"/>
    <col min="5122" max="5122" width="0.1796875" style="1" customWidth="1"/>
    <col min="5123" max="5123" width="0" style="1" hidden="1" customWidth="1"/>
    <col min="5124" max="5124" width="13.54296875" style="1" customWidth="1"/>
    <col min="5125" max="5125" width="10" style="1" customWidth="1"/>
    <col min="5126" max="5126" width="9.7265625" style="1" customWidth="1"/>
    <col min="5127" max="5127" width="0" style="1" hidden="1" customWidth="1"/>
    <col min="5128" max="5128" width="11.26953125" style="1" customWidth="1"/>
    <col min="5129" max="5129" width="11.7265625" style="1" customWidth="1"/>
    <col min="5130" max="5130" width="12" style="1" customWidth="1"/>
    <col min="5131" max="5131" width="10.453125" style="1" customWidth="1"/>
    <col min="5132" max="5132" width="12.7265625" style="1" bestFit="1" customWidth="1"/>
    <col min="5133" max="5133" width="10.7265625" style="1" bestFit="1" customWidth="1"/>
    <col min="5134" max="5134" width="14.1796875" style="1" bestFit="1" customWidth="1"/>
    <col min="5135" max="5135" width="13.81640625" style="1" customWidth="1"/>
    <col min="5136" max="5136" width="14.81640625" style="1" customWidth="1"/>
    <col min="5137" max="5137" width="15" style="1" customWidth="1"/>
    <col min="5138" max="5138" width="11" style="1" customWidth="1"/>
    <col min="5139" max="5139" width="8.7265625" style="1" customWidth="1"/>
    <col min="5140" max="5140" width="12.26953125" style="1" customWidth="1"/>
    <col min="5141" max="5141" width="11.54296875" style="1" bestFit="1" customWidth="1"/>
    <col min="5142" max="5142" width="8.7265625" style="1" customWidth="1"/>
    <col min="5143" max="5145" width="9.1796875" style="1"/>
    <col min="5146" max="5146" width="11.54296875" style="1" bestFit="1" customWidth="1"/>
    <col min="5147" max="5376" width="9.1796875" style="1"/>
    <col min="5377" max="5377" width="10.81640625" style="1" customWidth="1"/>
    <col min="5378" max="5378" width="0.1796875" style="1" customWidth="1"/>
    <col min="5379" max="5379" width="0" style="1" hidden="1" customWidth="1"/>
    <col min="5380" max="5380" width="13.54296875" style="1" customWidth="1"/>
    <col min="5381" max="5381" width="10" style="1" customWidth="1"/>
    <col min="5382" max="5382" width="9.7265625" style="1" customWidth="1"/>
    <col min="5383" max="5383" width="0" style="1" hidden="1" customWidth="1"/>
    <col min="5384" max="5384" width="11.26953125" style="1" customWidth="1"/>
    <col min="5385" max="5385" width="11.7265625" style="1" customWidth="1"/>
    <col min="5386" max="5386" width="12" style="1" customWidth="1"/>
    <col min="5387" max="5387" width="10.453125" style="1" customWidth="1"/>
    <col min="5388" max="5388" width="12.7265625" style="1" bestFit="1" customWidth="1"/>
    <col min="5389" max="5389" width="10.7265625" style="1" bestFit="1" customWidth="1"/>
    <col min="5390" max="5390" width="14.1796875" style="1" bestFit="1" customWidth="1"/>
    <col min="5391" max="5391" width="13.81640625" style="1" customWidth="1"/>
    <col min="5392" max="5392" width="14.81640625" style="1" customWidth="1"/>
    <col min="5393" max="5393" width="15" style="1" customWidth="1"/>
    <col min="5394" max="5394" width="11" style="1" customWidth="1"/>
    <col min="5395" max="5395" width="8.7265625" style="1" customWidth="1"/>
    <col min="5396" max="5396" width="12.26953125" style="1" customWidth="1"/>
    <col min="5397" max="5397" width="11.54296875" style="1" bestFit="1" customWidth="1"/>
    <col min="5398" max="5398" width="8.7265625" style="1" customWidth="1"/>
    <col min="5399" max="5401" width="9.1796875" style="1"/>
    <col min="5402" max="5402" width="11.54296875" style="1" bestFit="1" customWidth="1"/>
    <col min="5403" max="5632" width="9.1796875" style="1"/>
    <col min="5633" max="5633" width="10.81640625" style="1" customWidth="1"/>
    <col min="5634" max="5634" width="0.1796875" style="1" customWidth="1"/>
    <col min="5635" max="5635" width="0" style="1" hidden="1" customWidth="1"/>
    <col min="5636" max="5636" width="13.54296875" style="1" customWidth="1"/>
    <col min="5637" max="5637" width="10" style="1" customWidth="1"/>
    <col min="5638" max="5638" width="9.7265625" style="1" customWidth="1"/>
    <col min="5639" max="5639" width="0" style="1" hidden="1" customWidth="1"/>
    <col min="5640" max="5640" width="11.26953125" style="1" customWidth="1"/>
    <col min="5641" max="5641" width="11.7265625" style="1" customWidth="1"/>
    <col min="5642" max="5642" width="12" style="1" customWidth="1"/>
    <col min="5643" max="5643" width="10.453125" style="1" customWidth="1"/>
    <col min="5644" max="5644" width="12.7265625" style="1" bestFit="1" customWidth="1"/>
    <col min="5645" max="5645" width="10.7265625" style="1" bestFit="1" customWidth="1"/>
    <col min="5646" max="5646" width="14.1796875" style="1" bestFit="1" customWidth="1"/>
    <col min="5647" max="5647" width="13.81640625" style="1" customWidth="1"/>
    <col min="5648" max="5648" width="14.81640625" style="1" customWidth="1"/>
    <col min="5649" max="5649" width="15" style="1" customWidth="1"/>
    <col min="5650" max="5650" width="11" style="1" customWidth="1"/>
    <col min="5651" max="5651" width="8.7265625" style="1" customWidth="1"/>
    <col min="5652" max="5652" width="12.26953125" style="1" customWidth="1"/>
    <col min="5653" max="5653" width="11.54296875" style="1" bestFit="1" customWidth="1"/>
    <col min="5654" max="5654" width="8.7265625" style="1" customWidth="1"/>
    <col min="5655" max="5657" width="9.1796875" style="1"/>
    <col min="5658" max="5658" width="11.54296875" style="1" bestFit="1" customWidth="1"/>
    <col min="5659" max="5888" width="9.1796875" style="1"/>
    <col min="5889" max="5889" width="10.81640625" style="1" customWidth="1"/>
    <col min="5890" max="5890" width="0.1796875" style="1" customWidth="1"/>
    <col min="5891" max="5891" width="0" style="1" hidden="1" customWidth="1"/>
    <col min="5892" max="5892" width="13.54296875" style="1" customWidth="1"/>
    <col min="5893" max="5893" width="10" style="1" customWidth="1"/>
    <col min="5894" max="5894" width="9.7265625" style="1" customWidth="1"/>
    <col min="5895" max="5895" width="0" style="1" hidden="1" customWidth="1"/>
    <col min="5896" max="5896" width="11.26953125" style="1" customWidth="1"/>
    <col min="5897" max="5897" width="11.7265625" style="1" customWidth="1"/>
    <col min="5898" max="5898" width="12" style="1" customWidth="1"/>
    <col min="5899" max="5899" width="10.453125" style="1" customWidth="1"/>
    <col min="5900" max="5900" width="12.7265625" style="1" bestFit="1" customWidth="1"/>
    <col min="5901" max="5901" width="10.7265625" style="1" bestFit="1" customWidth="1"/>
    <col min="5902" max="5902" width="14.1796875" style="1" bestFit="1" customWidth="1"/>
    <col min="5903" max="5903" width="13.81640625" style="1" customWidth="1"/>
    <col min="5904" max="5904" width="14.81640625" style="1" customWidth="1"/>
    <col min="5905" max="5905" width="15" style="1" customWidth="1"/>
    <col min="5906" max="5906" width="11" style="1" customWidth="1"/>
    <col min="5907" max="5907" width="8.7265625" style="1" customWidth="1"/>
    <col min="5908" max="5908" width="12.26953125" style="1" customWidth="1"/>
    <col min="5909" max="5909" width="11.54296875" style="1" bestFit="1" customWidth="1"/>
    <col min="5910" max="5910" width="8.7265625" style="1" customWidth="1"/>
    <col min="5911" max="5913" width="9.1796875" style="1"/>
    <col min="5914" max="5914" width="11.54296875" style="1" bestFit="1" customWidth="1"/>
    <col min="5915" max="6144" width="9.1796875" style="1"/>
    <col min="6145" max="6145" width="10.81640625" style="1" customWidth="1"/>
    <col min="6146" max="6146" width="0.1796875" style="1" customWidth="1"/>
    <col min="6147" max="6147" width="0" style="1" hidden="1" customWidth="1"/>
    <col min="6148" max="6148" width="13.54296875" style="1" customWidth="1"/>
    <col min="6149" max="6149" width="10" style="1" customWidth="1"/>
    <col min="6150" max="6150" width="9.7265625" style="1" customWidth="1"/>
    <col min="6151" max="6151" width="0" style="1" hidden="1" customWidth="1"/>
    <col min="6152" max="6152" width="11.26953125" style="1" customWidth="1"/>
    <col min="6153" max="6153" width="11.7265625" style="1" customWidth="1"/>
    <col min="6154" max="6154" width="12" style="1" customWidth="1"/>
    <col min="6155" max="6155" width="10.453125" style="1" customWidth="1"/>
    <col min="6156" max="6156" width="12.7265625" style="1" bestFit="1" customWidth="1"/>
    <col min="6157" max="6157" width="10.7265625" style="1" bestFit="1" customWidth="1"/>
    <col min="6158" max="6158" width="14.1796875" style="1" bestFit="1" customWidth="1"/>
    <col min="6159" max="6159" width="13.81640625" style="1" customWidth="1"/>
    <col min="6160" max="6160" width="14.81640625" style="1" customWidth="1"/>
    <col min="6161" max="6161" width="15" style="1" customWidth="1"/>
    <col min="6162" max="6162" width="11" style="1" customWidth="1"/>
    <col min="6163" max="6163" width="8.7265625" style="1" customWidth="1"/>
    <col min="6164" max="6164" width="12.26953125" style="1" customWidth="1"/>
    <col min="6165" max="6165" width="11.54296875" style="1" bestFit="1" customWidth="1"/>
    <col min="6166" max="6166" width="8.7265625" style="1" customWidth="1"/>
    <col min="6167" max="6169" width="9.1796875" style="1"/>
    <col min="6170" max="6170" width="11.54296875" style="1" bestFit="1" customWidth="1"/>
    <col min="6171" max="6400" width="9.1796875" style="1"/>
    <col min="6401" max="6401" width="10.81640625" style="1" customWidth="1"/>
    <col min="6402" max="6402" width="0.1796875" style="1" customWidth="1"/>
    <col min="6403" max="6403" width="0" style="1" hidden="1" customWidth="1"/>
    <col min="6404" max="6404" width="13.54296875" style="1" customWidth="1"/>
    <col min="6405" max="6405" width="10" style="1" customWidth="1"/>
    <col min="6406" max="6406" width="9.7265625" style="1" customWidth="1"/>
    <col min="6407" max="6407" width="0" style="1" hidden="1" customWidth="1"/>
    <col min="6408" max="6408" width="11.26953125" style="1" customWidth="1"/>
    <col min="6409" max="6409" width="11.7265625" style="1" customWidth="1"/>
    <col min="6410" max="6410" width="12" style="1" customWidth="1"/>
    <col min="6411" max="6411" width="10.453125" style="1" customWidth="1"/>
    <col min="6412" max="6412" width="12.7265625" style="1" bestFit="1" customWidth="1"/>
    <col min="6413" max="6413" width="10.7265625" style="1" bestFit="1" customWidth="1"/>
    <col min="6414" max="6414" width="14.1796875" style="1" bestFit="1" customWidth="1"/>
    <col min="6415" max="6415" width="13.81640625" style="1" customWidth="1"/>
    <col min="6416" max="6416" width="14.81640625" style="1" customWidth="1"/>
    <col min="6417" max="6417" width="15" style="1" customWidth="1"/>
    <col min="6418" max="6418" width="11" style="1" customWidth="1"/>
    <col min="6419" max="6419" width="8.7265625" style="1" customWidth="1"/>
    <col min="6420" max="6420" width="12.26953125" style="1" customWidth="1"/>
    <col min="6421" max="6421" width="11.54296875" style="1" bestFit="1" customWidth="1"/>
    <col min="6422" max="6422" width="8.7265625" style="1" customWidth="1"/>
    <col min="6423" max="6425" width="9.1796875" style="1"/>
    <col min="6426" max="6426" width="11.54296875" style="1" bestFit="1" customWidth="1"/>
    <col min="6427" max="6656" width="9.1796875" style="1"/>
    <col min="6657" max="6657" width="10.81640625" style="1" customWidth="1"/>
    <col min="6658" max="6658" width="0.1796875" style="1" customWidth="1"/>
    <col min="6659" max="6659" width="0" style="1" hidden="1" customWidth="1"/>
    <col min="6660" max="6660" width="13.54296875" style="1" customWidth="1"/>
    <col min="6661" max="6661" width="10" style="1" customWidth="1"/>
    <col min="6662" max="6662" width="9.7265625" style="1" customWidth="1"/>
    <col min="6663" max="6663" width="0" style="1" hidden="1" customWidth="1"/>
    <col min="6664" max="6664" width="11.26953125" style="1" customWidth="1"/>
    <col min="6665" max="6665" width="11.7265625" style="1" customWidth="1"/>
    <col min="6666" max="6666" width="12" style="1" customWidth="1"/>
    <col min="6667" max="6667" width="10.453125" style="1" customWidth="1"/>
    <col min="6668" max="6668" width="12.7265625" style="1" bestFit="1" customWidth="1"/>
    <col min="6669" max="6669" width="10.7265625" style="1" bestFit="1" customWidth="1"/>
    <col min="6670" max="6670" width="14.1796875" style="1" bestFit="1" customWidth="1"/>
    <col min="6671" max="6671" width="13.81640625" style="1" customWidth="1"/>
    <col min="6672" max="6672" width="14.81640625" style="1" customWidth="1"/>
    <col min="6673" max="6673" width="15" style="1" customWidth="1"/>
    <col min="6674" max="6674" width="11" style="1" customWidth="1"/>
    <col min="6675" max="6675" width="8.7265625" style="1" customWidth="1"/>
    <col min="6676" max="6676" width="12.26953125" style="1" customWidth="1"/>
    <col min="6677" max="6677" width="11.54296875" style="1" bestFit="1" customWidth="1"/>
    <col min="6678" max="6678" width="8.7265625" style="1" customWidth="1"/>
    <col min="6679" max="6681" width="9.1796875" style="1"/>
    <col min="6682" max="6682" width="11.54296875" style="1" bestFit="1" customWidth="1"/>
    <col min="6683" max="6912" width="9.1796875" style="1"/>
    <col min="6913" max="6913" width="10.81640625" style="1" customWidth="1"/>
    <col min="6914" max="6914" width="0.1796875" style="1" customWidth="1"/>
    <col min="6915" max="6915" width="0" style="1" hidden="1" customWidth="1"/>
    <col min="6916" max="6916" width="13.54296875" style="1" customWidth="1"/>
    <col min="6917" max="6917" width="10" style="1" customWidth="1"/>
    <col min="6918" max="6918" width="9.7265625" style="1" customWidth="1"/>
    <col min="6919" max="6919" width="0" style="1" hidden="1" customWidth="1"/>
    <col min="6920" max="6920" width="11.26953125" style="1" customWidth="1"/>
    <col min="6921" max="6921" width="11.7265625" style="1" customWidth="1"/>
    <col min="6922" max="6922" width="12" style="1" customWidth="1"/>
    <col min="6923" max="6923" width="10.453125" style="1" customWidth="1"/>
    <col min="6924" max="6924" width="12.7265625" style="1" bestFit="1" customWidth="1"/>
    <col min="6925" max="6925" width="10.7265625" style="1" bestFit="1" customWidth="1"/>
    <col min="6926" max="6926" width="14.1796875" style="1" bestFit="1" customWidth="1"/>
    <col min="6927" max="6927" width="13.81640625" style="1" customWidth="1"/>
    <col min="6928" max="6928" width="14.81640625" style="1" customWidth="1"/>
    <col min="6929" max="6929" width="15" style="1" customWidth="1"/>
    <col min="6930" max="6930" width="11" style="1" customWidth="1"/>
    <col min="6931" max="6931" width="8.7265625" style="1" customWidth="1"/>
    <col min="6932" max="6932" width="12.26953125" style="1" customWidth="1"/>
    <col min="6933" max="6933" width="11.54296875" style="1" bestFit="1" customWidth="1"/>
    <col min="6934" max="6934" width="8.7265625" style="1" customWidth="1"/>
    <col min="6935" max="6937" width="9.1796875" style="1"/>
    <col min="6938" max="6938" width="11.54296875" style="1" bestFit="1" customWidth="1"/>
    <col min="6939" max="7168" width="9.1796875" style="1"/>
    <col min="7169" max="7169" width="10.81640625" style="1" customWidth="1"/>
    <col min="7170" max="7170" width="0.1796875" style="1" customWidth="1"/>
    <col min="7171" max="7171" width="0" style="1" hidden="1" customWidth="1"/>
    <col min="7172" max="7172" width="13.54296875" style="1" customWidth="1"/>
    <col min="7173" max="7173" width="10" style="1" customWidth="1"/>
    <col min="7174" max="7174" width="9.7265625" style="1" customWidth="1"/>
    <col min="7175" max="7175" width="0" style="1" hidden="1" customWidth="1"/>
    <col min="7176" max="7176" width="11.26953125" style="1" customWidth="1"/>
    <col min="7177" max="7177" width="11.7265625" style="1" customWidth="1"/>
    <col min="7178" max="7178" width="12" style="1" customWidth="1"/>
    <col min="7179" max="7179" width="10.453125" style="1" customWidth="1"/>
    <col min="7180" max="7180" width="12.7265625" style="1" bestFit="1" customWidth="1"/>
    <col min="7181" max="7181" width="10.7265625" style="1" bestFit="1" customWidth="1"/>
    <col min="7182" max="7182" width="14.1796875" style="1" bestFit="1" customWidth="1"/>
    <col min="7183" max="7183" width="13.81640625" style="1" customWidth="1"/>
    <col min="7184" max="7184" width="14.81640625" style="1" customWidth="1"/>
    <col min="7185" max="7185" width="15" style="1" customWidth="1"/>
    <col min="7186" max="7186" width="11" style="1" customWidth="1"/>
    <col min="7187" max="7187" width="8.7265625" style="1" customWidth="1"/>
    <col min="7188" max="7188" width="12.26953125" style="1" customWidth="1"/>
    <col min="7189" max="7189" width="11.54296875" style="1" bestFit="1" customWidth="1"/>
    <col min="7190" max="7190" width="8.7265625" style="1" customWidth="1"/>
    <col min="7191" max="7193" width="9.1796875" style="1"/>
    <col min="7194" max="7194" width="11.54296875" style="1" bestFit="1" customWidth="1"/>
    <col min="7195" max="7424" width="9.1796875" style="1"/>
    <col min="7425" max="7425" width="10.81640625" style="1" customWidth="1"/>
    <col min="7426" max="7426" width="0.1796875" style="1" customWidth="1"/>
    <col min="7427" max="7427" width="0" style="1" hidden="1" customWidth="1"/>
    <col min="7428" max="7428" width="13.54296875" style="1" customWidth="1"/>
    <col min="7429" max="7429" width="10" style="1" customWidth="1"/>
    <col min="7430" max="7430" width="9.7265625" style="1" customWidth="1"/>
    <col min="7431" max="7431" width="0" style="1" hidden="1" customWidth="1"/>
    <col min="7432" max="7432" width="11.26953125" style="1" customWidth="1"/>
    <col min="7433" max="7433" width="11.7265625" style="1" customWidth="1"/>
    <col min="7434" max="7434" width="12" style="1" customWidth="1"/>
    <col min="7435" max="7435" width="10.453125" style="1" customWidth="1"/>
    <col min="7436" max="7436" width="12.7265625" style="1" bestFit="1" customWidth="1"/>
    <col min="7437" max="7437" width="10.7265625" style="1" bestFit="1" customWidth="1"/>
    <col min="7438" max="7438" width="14.1796875" style="1" bestFit="1" customWidth="1"/>
    <col min="7439" max="7439" width="13.81640625" style="1" customWidth="1"/>
    <col min="7440" max="7440" width="14.81640625" style="1" customWidth="1"/>
    <col min="7441" max="7441" width="15" style="1" customWidth="1"/>
    <col min="7442" max="7442" width="11" style="1" customWidth="1"/>
    <col min="7443" max="7443" width="8.7265625" style="1" customWidth="1"/>
    <col min="7444" max="7444" width="12.26953125" style="1" customWidth="1"/>
    <col min="7445" max="7445" width="11.54296875" style="1" bestFit="1" customWidth="1"/>
    <col min="7446" max="7446" width="8.7265625" style="1" customWidth="1"/>
    <col min="7447" max="7449" width="9.1796875" style="1"/>
    <col min="7450" max="7450" width="11.54296875" style="1" bestFit="1" customWidth="1"/>
    <col min="7451" max="7680" width="9.1796875" style="1"/>
    <col min="7681" max="7681" width="10.81640625" style="1" customWidth="1"/>
    <col min="7682" max="7682" width="0.1796875" style="1" customWidth="1"/>
    <col min="7683" max="7683" width="0" style="1" hidden="1" customWidth="1"/>
    <col min="7684" max="7684" width="13.54296875" style="1" customWidth="1"/>
    <col min="7685" max="7685" width="10" style="1" customWidth="1"/>
    <col min="7686" max="7686" width="9.7265625" style="1" customWidth="1"/>
    <col min="7687" max="7687" width="0" style="1" hidden="1" customWidth="1"/>
    <col min="7688" max="7688" width="11.26953125" style="1" customWidth="1"/>
    <col min="7689" max="7689" width="11.7265625" style="1" customWidth="1"/>
    <col min="7690" max="7690" width="12" style="1" customWidth="1"/>
    <col min="7691" max="7691" width="10.453125" style="1" customWidth="1"/>
    <col min="7692" max="7692" width="12.7265625" style="1" bestFit="1" customWidth="1"/>
    <col min="7693" max="7693" width="10.7265625" style="1" bestFit="1" customWidth="1"/>
    <col min="7694" max="7694" width="14.1796875" style="1" bestFit="1" customWidth="1"/>
    <col min="7695" max="7695" width="13.81640625" style="1" customWidth="1"/>
    <col min="7696" max="7696" width="14.81640625" style="1" customWidth="1"/>
    <col min="7697" max="7697" width="15" style="1" customWidth="1"/>
    <col min="7698" max="7698" width="11" style="1" customWidth="1"/>
    <col min="7699" max="7699" width="8.7265625" style="1" customWidth="1"/>
    <col min="7700" max="7700" width="12.26953125" style="1" customWidth="1"/>
    <col min="7701" max="7701" width="11.54296875" style="1" bestFit="1" customWidth="1"/>
    <col min="7702" max="7702" width="8.7265625" style="1" customWidth="1"/>
    <col min="7703" max="7705" width="9.1796875" style="1"/>
    <col min="7706" max="7706" width="11.54296875" style="1" bestFit="1" customWidth="1"/>
    <col min="7707" max="7936" width="9.1796875" style="1"/>
    <col min="7937" max="7937" width="10.81640625" style="1" customWidth="1"/>
    <col min="7938" max="7938" width="0.1796875" style="1" customWidth="1"/>
    <col min="7939" max="7939" width="0" style="1" hidden="1" customWidth="1"/>
    <col min="7940" max="7940" width="13.54296875" style="1" customWidth="1"/>
    <col min="7941" max="7941" width="10" style="1" customWidth="1"/>
    <col min="7942" max="7942" width="9.7265625" style="1" customWidth="1"/>
    <col min="7943" max="7943" width="0" style="1" hidden="1" customWidth="1"/>
    <col min="7944" max="7944" width="11.26953125" style="1" customWidth="1"/>
    <col min="7945" max="7945" width="11.7265625" style="1" customWidth="1"/>
    <col min="7946" max="7946" width="12" style="1" customWidth="1"/>
    <col min="7947" max="7947" width="10.453125" style="1" customWidth="1"/>
    <col min="7948" max="7948" width="12.7265625" style="1" bestFit="1" customWidth="1"/>
    <col min="7949" max="7949" width="10.7265625" style="1" bestFit="1" customWidth="1"/>
    <col min="7950" max="7950" width="14.1796875" style="1" bestFit="1" customWidth="1"/>
    <col min="7951" max="7951" width="13.81640625" style="1" customWidth="1"/>
    <col min="7952" max="7952" width="14.81640625" style="1" customWidth="1"/>
    <col min="7953" max="7953" width="15" style="1" customWidth="1"/>
    <col min="7954" max="7954" width="11" style="1" customWidth="1"/>
    <col min="7955" max="7955" width="8.7265625" style="1" customWidth="1"/>
    <col min="7956" max="7956" width="12.26953125" style="1" customWidth="1"/>
    <col min="7957" max="7957" width="11.54296875" style="1" bestFit="1" customWidth="1"/>
    <col min="7958" max="7958" width="8.7265625" style="1" customWidth="1"/>
    <col min="7959" max="7961" width="9.1796875" style="1"/>
    <col min="7962" max="7962" width="11.54296875" style="1" bestFit="1" customWidth="1"/>
    <col min="7963" max="8192" width="9.1796875" style="1"/>
    <col min="8193" max="8193" width="10.81640625" style="1" customWidth="1"/>
    <col min="8194" max="8194" width="0.1796875" style="1" customWidth="1"/>
    <col min="8195" max="8195" width="0" style="1" hidden="1" customWidth="1"/>
    <col min="8196" max="8196" width="13.54296875" style="1" customWidth="1"/>
    <col min="8197" max="8197" width="10" style="1" customWidth="1"/>
    <col min="8198" max="8198" width="9.7265625" style="1" customWidth="1"/>
    <col min="8199" max="8199" width="0" style="1" hidden="1" customWidth="1"/>
    <col min="8200" max="8200" width="11.26953125" style="1" customWidth="1"/>
    <col min="8201" max="8201" width="11.7265625" style="1" customWidth="1"/>
    <col min="8202" max="8202" width="12" style="1" customWidth="1"/>
    <col min="8203" max="8203" width="10.453125" style="1" customWidth="1"/>
    <col min="8204" max="8204" width="12.7265625" style="1" bestFit="1" customWidth="1"/>
    <col min="8205" max="8205" width="10.7265625" style="1" bestFit="1" customWidth="1"/>
    <col min="8206" max="8206" width="14.1796875" style="1" bestFit="1" customWidth="1"/>
    <col min="8207" max="8207" width="13.81640625" style="1" customWidth="1"/>
    <col min="8208" max="8208" width="14.81640625" style="1" customWidth="1"/>
    <col min="8209" max="8209" width="15" style="1" customWidth="1"/>
    <col min="8210" max="8210" width="11" style="1" customWidth="1"/>
    <col min="8211" max="8211" width="8.7265625" style="1" customWidth="1"/>
    <col min="8212" max="8212" width="12.26953125" style="1" customWidth="1"/>
    <col min="8213" max="8213" width="11.54296875" style="1" bestFit="1" customWidth="1"/>
    <col min="8214" max="8214" width="8.7265625" style="1" customWidth="1"/>
    <col min="8215" max="8217" width="9.1796875" style="1"/>
    <col min="8218" max="8218" width="11.54296875" style="1" bestFit="1" customWidth="1"/>
    <col min="8219" max="8448" width="9.1796875" style="1"/>
    <col min="8449" max="8449" width="10.81640625" style="1" customWidth="1"/>
    <col min="8450" max="8450" width="0.1796875" style="1" customWidth="1"/>
    <col min="8451" max="8451" width="0" style="1" hidden="1" customWidth="1"/>
    <col min="8452" max="8452" width="13.54296875" style="1" customWidth="1"/>
    <col min="8453" max="8453" width="10" style="1" customWidth="1"/>
    <col min="8454" max="8454" width="9.7265625" style="1" customWidth="1"/>
    <col min="8455" max="8455" width="0" style="1" hidden="1" customWidth="1"/>
    <col min="8456" max="8456" width="11.26953125" style="1" customWidth="1"/>
    <col min="8457" max="8457" width="11.7265625" style="1" customWidth="1"/>
    <col min="8458" max="8458" width="12" style="1" customWidth="1"/>
    <col min="8459" max="8459" width="10.453125" style="1" customWidth="1"/>
    <col min="8460" max="8460" width="12.7265625" style="1" bestFit="1" customWidth="1"/>
    <col min="8461" max="8461" width="10.7265625" style="1" bestFit="1" customWidth="1"/>
    <col min="8462" max="8462" width="14.1796875" style="1" bestFit="1" customWidth="1"/>
    <col min="8463" max="8463" width="13.81640625" style="1" customWidth="1"/>
    <col min="8464" max="8464" width="14.81640625" style="1" customWidth="1"/>
    <col min="8465" max="8465" width="15" style="1" customWidth="1"/>
    <col min="8466" max="8466" width="11" style="1" customWidth="1"/>
    <col min="8467" max="8467" width="8.7265625" style="1" customWidth="1"/>
    <col min="8468" max="8468" width="12.26953125" style="1" customWidth="1"/>
    <col min="8469" max="8469" width="11.54296875" style="1" bestFit="1" customWidth="1"/>
    <col min="8470" max="8470" width="8.7265625" style="1" customWidth="1"/>
    <col min="8471" max="8473" width="9.1796875" style="1"/>
    <col min="8474" max="8474" width="11.54296875" style="1" bestFit="1" customWidth="1"/>
    <col min="8475" max="8704" width="9.1796875" style="1"/>
    <col min="8705" max="8705" width="10.81640625" style="1" customWidth="1"/>
    <col min="8706" max="8706" width="0.1796875" style="1" customWidth="1"/>
    <col min="8707" max="8707" width="0" style="1" hidden="1" customWidth="1"/>
    <col min="8708" max="8708" width="13.54296875" style="1" customWidth="1"/>
    <col min="8709" max="8709" width="10" style="1" customWidth="1"/>
    <col min="8710" max="8710" width="9.7265625" style="1" customWidth="1"/>
    <col min="8711" max="8711" width="0" style="1" hidden="1" customWidth="1"/>
    <col min="8712" max="8712" width="11.26953125" style="1" customWidth="1"/>
    <col min="8713" max="8713" width="11.7265625" style="1" customWidth="1"/>
    <col min="8714" max="8714" width="12" style="1" customWidth="1"/>
    <col min="8715" max="8715" width="10.453125" style="1" customWidth="1"/>
    <col min="8716" max="8716" width="12.7265625" style="1" bestFit="1" customWidth="1"/>
    <col min="8717" max="8717" width="10.7265625" style="1" bestFit="1" customWidth="1"/>
    <col min="8718" max="8718" width="14.1796875" style="1" bestFit="1" customWidth="1"/>
    <col min="8719" max="8719" width="13.81640625" style="1" customWidth="1"/>
    <col min="8720" max="8720" width="14.81640625" style="1" customWidth="1"/>
    <col min="8721" max="8721" width="15" style="1" customWidth="1"/>
    <col min="8722" max="8722" width="11" style="1" customWidth="1"/>
    <col min="8723" max="8723" width="8.7265625" style="1" customWidth="1"/>
    <col min="8724" max="8724" width="12.26953125" style="1" customWidth="1"/>
    <col min="8725" max="8725" width="11.54296875" style="1" bestFit="1" customWidth="1"/>
    <col min="8726" max="8726" width="8.7265625" style="1" customWidth="1"/>
    <col min="8727" max="8729" width="9.1796875" style="1"/>
    <col min="8730" max="8730" width="11.54296875" style="1" bestFit="1" customWidth="1"/>
    <col min="8731" max="8960" width="9.1796875" style="1"/>
    <col min="8961" max="8961" width="10.81640625" style="1" customWidth="1"/>
    <col min="8962" max="8962" width="0.1796875" style="1" customWidth="1"/>
    <col min="8963" max="8963" width="0" style="1" hidden="1" customWidth="1"/>
    <col min="8964" max="8964" width="13.54296875" style="1" customWidth="1"/>
    <col min="8965" max="8965" width="10" style="1" customWidth="1"/>
    <col min="8966" max="8966" width="9.7265625" style="1" customWidth="1"/>
    <col min="8967" max="8967" width="0" style="1" hidden="1" customWidth="1"/>
    <col min="8968" max="8968" width="11.26953125" style="1" customWidth="1"/>
    <col min="8969" max="8969" width="11.7265625" style="1" customWidth="1"/>
    <col min="8970" max="8970" width="12" style="1" customWidth="1"/>
    <col min="8971" max="8971" width="10.453125" style="1" customWidth="1"/>
    <col min="8972" max="8972" width="12.7265625" style="1" bestFit="1" customWidth="1"/>
    <col min="8973" max="8973" width="10.7265625" style="1" bestFit="1" customWidth="1"/>
    <col min="8974" max="8974" width="14.1796875" style="1" bestFit="1" customWidth="1"/>
    <col min="8975" max="8975" width="13.81640625" style="1" customWidth="1"/>
    <col min="8976" max="8976" width="14.81640625" style="1" customWidth="1"/>
    <col min="8977" max="8977" width="15" style="1" customWidth="1"/>
    <col min="8978" max="8978" width="11" style="1" customWidth="1"/>
    <col min="8979" max="8979" width="8.7265625" style="1" customWidth="1"/>
    <col min="8980" max="8980" width="12.26953125" style="1" customWidth="1"/>
    <col min="8981" max="8981" width="11.54296875" style="1" bestFit="1" customWidth="1"/>
    <col min="8982" max="8982" width="8.7265625" style="1" customWidth="1"/>
    <col min="8983" max="8985" width="9.1796875" style="1"/>
    <col min="8986" max="8986" width="11.54296875" style="1" bestFit="1" customWidth="1"/>
    <col min="8987" max="9216" width="9.1796875" style="1"/>
    <col min="9217" max="9217" width="10.81640625" style="1" customWidth="1"/>
    <col min="9218" max="9218" width="0.1796875" style="1" customWidth="1"/>
    <col min="9219" max="9219" width="0" style="1" hidden="1" customWidth="1"/>
    <col min="9220" max="9220" width="13.54296875" style="1" customWidth="1"/>
    <col min="9221" max="9221" width="10" style="1" customWidth="1"/>
    <col min="9222" max="9222" width="9.7265625" style="1" customWidth="1"/>
    <col min="9223" max="9223" width="0" style="1" hidden="1" customWidth="1"/>
    <col min="9224" max="9224" width="11.26953125" style="1" customWidth="1"/>
    <col min="9225" max="9225" width="11.7265625" style="1" customWidth="1"/>
    <col min="9226" max="9226" width="12" style="1" customWidth="1"/>
    <col min="9227" max="9227" width="10.453125" style="1" customWidth="1"/>
    <col min="9228" max="9228" width="12.7265625" style="1" bestFit="1" customWidth="1"/>
    <col min="9229" max="9229" width="10.7265625" style="1" bestFit="1" customWidth="1"/>
    <col min="9230" max="9230" width="14.1796875" style="1" bestFit="1" customWidth="1"/>
    <col min="9231" max="9231" width="13.81640625" style="1" customWidth="1"/>
    <col min="9232" max="9232" width="14.81640625" style="1" customWidth="1"/>
    <col min="9233" max="9233" width="15" style="1" customWidth="1"/>
    <col min="9234" max="9234" width="11" style="1" customWidth="1"/>
    <col min="9235" max="9235" width="8.7265625" style="1" customWidth="1"/>
    <col min="9236" max="9236" width="12.26953125" style="1" customWidth="1"/>
    <col min="9237" max="9237" width="11.54296875" style="1" bestFit="1" customWidth="1"/>
    <col min="9238" max="9238" width="8.7265625" style="1" customWidth="1"/>
    <col min="9239" max="9241" width="9.1796875" style="1"/>
    <col min="9242" max="9242" width="11.54296875" style="1" bestFit="1" customWidth="1"/>
    <col min="9243" max="9472" width="9.1796875" style="1"/>
    <col min="9473" max="9473" width="10.81640625" style="1" customWidth="1"/>
    <col min="9474" max="9474" width="0.1796875" style="1" customWidth="1"/>
    <col min="9475" max="9475" width="0" style="1" hidden="1" customWidth="1"/>
    <col min="9476" max="9476" width="13.54296875" style="1" customWidth="1"/>
    <col min="9477" max="9477" width="10" style="1" customWidth="1"/>
    <col min="9478" max="9478" width="9.7265625" style="1" customWidth="1"/>
    <col min="9479" max="9479" width="0" style="1" hidden="1" customWidth="1"/>
    <col min="9480" max="9480" width="11.26953125" style="1" customWidth="1"/>
    <col min="9481" max="9481" width="11.7265625" style="1" customWidth="1"/>
    <col min="9482" max="9482" width="12" style="1" customWidth="1"/>
    <col min="9483" max="9483" width="10.453125" style="1" customWidth="1"/>
    <col min="9484" max="9484" width="12.7265625" style="1" bestFit="1" customWidth="1"/>
    <col min="9485" max="9485" width="10.7265625" style="1" bestFit="1" customWidth="1"/>
    <col min="9486" max="9486" width="14.1796875" style="1" bestFit="1" customWidth="1"/>
    <col min="9487" max="9487" width="13.81640625" style="1" customWidth="1"/>
    <col min="9488" max="9488" width="14.81640625" style="1" customWidth="1"/>
    <col min="9489" max="9489" width="15" style="1" customWidth="1"/>
    <col min="9490" max="9490" width="11" style="1" customWidth="1"/>
    <col min="9491" max="9491" width="8.7265625" style="1" customWidth="1"/>
    <col min="9492" max="9492" width="12.26953125" style="1" customWidth="1"/>
    <col min="9493" max="9493" width="11.54296875" style="1" bestFit="1" customWidth="1"/>
    <col min="9494" max="9494" width="8.7265625" style="1" customWidth="1"/>
    <col min="9495" max="9497" width="9.1796875" style="1"/>
    <col min="9498" max="9498" width="11.54296875" style="1" bestFit="1" customWidth="1"/>
    <col min="9499" max="9728" width="9.1796875" style="1"/>
    <col min="9729" max="9729" width="10.81640625" style="1" customWidth="1"/>
    <col min="9730" max="9730" width="0.1796875" style="1" customWidth="1"/>
    <col min="9731" max="9731" width="0" style="1" hidden="1" customWidth="1"/>
    <col min="9732" max="9732" width="13.54296875" style="1" customWidth="1"/>
    <col min="9733" max="9733" width="10" style="1" customWidth="1"/>
    <col min="9734" max="9734" width="9.7265625" style="1" customWidth="1"/>
    <col min="9735" max="9735" width="0" style="1" hidden="1" customWidth="1"/>
    <col min="9736" max="9736" width="11.26953125" style="1" customWidth="1"/>
    <col min="9737" max="9737" width="11.7265625" style="1" customWidth="1"/>
    <col min="9738" max="9738" width="12" style="1" customWidth="1"/>
    <col min="9739" max="9739" width="10.453125" style="1" customWidth="1"/>
    <col min="9740" max="9740" width="12.7265625" style="1" bestFit="1" customWidth="1"/>
    <col min="9741" max="9741" width="10.7265625" style="1" bestFit="1" customWidth="1"/>
    <col min="9742" max="9742" width="14.1796875" style="1" bestFit="1" customWidth="1"/>
    <col min="9743" max="9743" width="13.81640625" style="1" customWidth="1"/>
    <col min="9744" max="9744" width="14.81640625" style="1" customWidth="1"/>
    <col min="9745" max="9745" width="15" style="1" customWidth="1"/>
    <col min="9746" max="9746" width="11" style="1" customWidth="1"/>
    <col min="9747" max="9747" width="8.7265625" style="1" customWidth="1"/>
    <col min="9748" max="9748" width="12.26953125" style="1" customWidth="1"/>
    <col min="9749" max="9749" width="11.54296875" style="1" bestFit="1" customWidth="1"/>
    <col min="9750" max="9750" width="8.7265625" style="1" customWidth="1"/>
    <col min="9751" max="9753" width="9.1796875" style="1"/>
    <col min="9754" max="9754" width="11.54296875" style="1" bestFit="1" customWidth="1"/>
    <col min="9755" max="9984" width="9.1796875" style="1"/>
    <col min="9985" max="9985" width="10.81640625" style="1" customWidth="1"/>
    <col min="9986" max="9986" width="0.1796875" style="1" customWidth="1"/>
    <col min="9987" max="9987" width="0" style="1" hidden="1" customWidth="1"/>
    <col min="9988" max="9988" width="13.54296875" style="1" customWidth="1"/>
    <col min="9989" max="9989" width="10" style="1" customWidth="1"/>
    <col min="9990" max="9990" width="9.7265625" style="1" customWidth="1"/>
    <col min="9991" max="9991" width="0" style="1" hidden="1" customWidth="1"/>
    <col min="9992" max="9992" width="11.26953125" style="1" customWidth="1"/>
    <col min="9993" max="9993" width="11.7265625" style="1" customWidth="1"/>
    <col min="9994" max="9994" width="12" style="1" customWidth="1"/>
    <col min="9995" max="9995" width="10.453125" style="1" customWidth="1"/>
    <col min="9996" max="9996" width="12.7265625" style="1" bestFit="1" customWidth="1"/>
    <col min="9997" max="9997" width="10.7265625" style="1" bestFit="1" customWidth="1"/>
    <col min="9998" max="9998" width="14.1796875" style="1" bestFit="1" customWidth="1"/>
    <col min="9999" max="9999" width="13.81640625" style="1" customWidth="1"/>
    <col min="10000" max="10000" width="14.81640625" style="1" customWidth="1"/>
    <col min="10001" max="10001" width="15" style="1" customWidth="1"/>
    <col min="10002" max="10002" width="11" style="1" customWidth="1"/>
    <col min="10003" max="10003" width="8.7265625" style="1" customWidth="1"/>
    <col min="10004" max="10004" width="12.26953125" style="1" customWidth="1"/>
    <col min="10005" max="10005" width="11.54296875" style="1" bestFit="1" customWidth="1"/>
    <col min="10006" max="10006" width="8.7265625" style="1" customWidth="1"/>
    <col min="10007" max="10009" width="9.1796875" style="1"/>
    <col min="10010" max="10010" width="11.54296875" style="1" bestFit="1" customWidth="1"/>
    <col min="10011" max="10240" width="9.1796875" style="1"/>
    <col min="10241" max="10241" width="10.81640625" style="1" customWidth="1"/>
    <col min="10242" max="10242" width="0.1796875" style="1" customWidth="1"/>
    <col min="10243" max="10243" width="0" style="1" hidden="1" customWidth="1"/>
    <col min="10244" max="10244" width="13.54296875" style="1" customWidth="1"/>
    <col min="10245" max="10245" width="10" style="1" customWidth="1"/>
    <col min="10246" max="10246" width="9.7265625" style="1" customWidth="1"/>
    <col min="10247" max="10247" width="0" style="1" hidden="1" customWidth="1"/>
    <col min="10248" max="10248" width="11.26953125" style="1" customWidth="1"/>
    <col min="10249" max="10249" width="11.7265625" style="1" customWidth="1"/>
    <col min="10250" max="10250" width="12" style="1" customWidth="1"/>
    <col min="10251" max="10251" width="10.453125" style="1" customWidth="1"/>
    <col min="10252" max="10252" width="12.7265625" style="1" bestFit="1" customWidth="1"/>
    <col min="10253" max="10253" width="10.7265625" style="1" bestFit="1" customWidth="1"/>
    <col min="10254" max="10254" width="14.1796875" style="1" bestFit="1" customWidth="1"/>
    <col min="10255" max="10255" width="13.81640625" style="1" customWidth="1"/>
    <col min="10256" max="10256" width="14.81640625" style="1" customWidth="1"/>
    <col min="10257" max="10257" width="15" style="1" customWidth="1"/>
    <col min="10258" max="10258" width="11" style="1" customWidth="1"/>
    <col min="10259" max="10259" width="8.7265625" style="1" customWidth="1"/>
    <col min="10260" max="10260" width="12.26953125" style="1" customWidth="1"/>
    <col min="10261" max="10261" width="11.54296875" style="1" bestFit="1" customWidth="1"/>
    <col min="10262" max="10262" width="8.7265625" style="1" customWidth="1"/>
    <col min="10263" max="10265" width="9.1796875" style="1"/>
    <col min="10266" max="10266" width="11.54296875" style="1" bestFit="1" customWidth="1"/>
    <col min="10267" max="10496" width="9.1796875" style="1"/>
    <col min="10497" max="10497" width="10.81640625" style="1" customWidth="1"/>
    <col min="10498" max="10498" width="0.1796875" style="1" customWidth="1"/>
    <col min="10499" max="10499" width="0" style="1" hidden="1" customWidth="1"/>
    <col min="10500" max="10500" width="13.54296875" style="1" customWidth="1"/>
    <col min="10501" max="10501" width="10" style="1" customWidth="1"/>
    <col min="10502" max="10502" width="9.7265625" style="1" customWidth="1"/>
    <col min="10503" max="10503" width="0" style="1" hidden="1" customWidth="1"/>
    <col min="10504" max="10504" width="11.26953125" style="1" customWidth="1"/>
    <col min="10505" max="10505" width="11.7265625" style="1" customWidth="1"/>
    <col min="10506" max="10506" width="12" style="1" customWidth="1"/>
    <col min="10507" max="10507" width="10.453125" style="1" customWidth="1"/>
    <col min="10508" max="10508" width="12.7265625" style="1" bestFit="1" customWidth="1"/>
    <col min="10509" max="10509" width="10.7265625" style="1" bestFit="1" customWidth="1"/>
    <col min="10510" max="10510" width="14.1796875" style="1" bestFit="1" customWidth="1"/>
    <col min="10511" max="10511" width="13.81640625" style="1" customWidth="1"/>
    <col min="10512" max="10512" width="14.81640625" style="1" customWidth="1"/>
    <col min="10513" max="10513" width="15" style="1" customWidth="1"/>
    <col min="10514" max="10514" width="11" style="1" customWidth="1"/>
    <col min="10515" max="10515" width="8.7265625" style="1" customWidth="1"/>
    <col min="10516" max="10516" width="12.26953125" style="1" customWidth="1"/>
    <col min="10517" max="10517" width="11.54296875" style="1" bestFit="1" customWidth="1"/>
    <col min="10518" max="10518" width="8.7265625" style="1" customWidth="1"/>
    <col min="10519" max="10521" width="9.1796875" style="1"/>
    <col min="10522" max="10522" width="11.54296875" style="1" bestFit="1" customWidth="1"/>
    <col min="10523" max="10752" width="9.1796875" style="1"/>
    <col min="10753" max="10753" width="10.81640625" style="1" customWidth="1"/>
    <col min="10754" max="10754" width="0.1796875" style="1" customWidth="1"/>
    <col min="10755" max="10755" width="0" style="1" hidden="1" customWidth="1"/>
    <col min="10756" max="10756" width="13.54296875" style="1" customWidth="1"/>
    <col min="10757" max="10757" width="10" style="1" customWidth="1"/>
    <col min="10758" max="10758" width="9.7265625" style="1" customWidth="1"/>
    <col min="10759" max="10759" width="0" style="1" hidden="1" customWidth="1"/>
    <col min="10760" max="10760" width="11.26953125" style="1" customWidth="1"/>
    <col min="10761" max="10761" width="11.7265625" style="1" customWidth="1"/>
    <col min="10762" max="10762" width="12" style="1" customWidth="1"/>
    <col min="10763" max="10763" width="10.453125" style="1" customWidth="1"/>
    <col min="10764" max="10764" width="12.7265625" style="1" bestFit="1" customWidth="1"/>
    <col min="10765" max="10765" width="10.7265625" style="1" bestFit="1" customWidth="1"/>
    <col min="10766" max="10766" width="14.1796875" style="1" bestFit="1" customWidth="1"/>
    <col min="10767" max="10767" width="13.81640625" style="1" customWidth="1"/>
    <col min="10768" max="10768" width="14.81640625" style="1" customWidth="1"/>
    <col min="10769" max="10769" width="15" style="1" customWidth="1"/>
    <col min="10770" max="10770" width="11" style="1" customWidth="1"/>
    <col min="10771" max="10771" width="8.7265625" style="1" customWidth="1"/>
    <col min="10772" max="10772" width="12.26953125" style="1" customWidth="1"/>
    <col min="10773" max="10773" width="11.54296875" style="1" bestFit="1" customWidth="1"/>
    <col min="10774" max="10774" width="8.7265625" style="1" customWidth="1"/>
    <col min="10775" max="10777" width="9.1796875" style="1"/>
    <col min="10778" max="10778" width="11.54296875" style="1" bestFit="1" customWidth="1"/>
    <col min="10779" max="11008" width="9.1796875" style="1"/>
    <col min="11009" max="11009" width="10.81640625" style="1" customWidth="1"/>
    <col min="11010" max="11010" width="0.1796875" style="1" customWidth="1"/>
    <col min="11011" max="11011" width="0" style="1" hidden="1" customWidth="1"/>
    <col min="11012" max="11012" width="13.54296875" style="1" customWidth="1"/>
    <col min="11013" max="11013" width="10" style="1" customWidth="1"/>
    <col min="11014" max="11014" width="9.7265625" style="1" customWidth="1"/>
    <col min="11015" max="11015" width="0" style="1" hidden="1" customWidth="1"/>
    <col min="11016" max="11016" width="11.26953125" style="1" customWidth="1"/>
    <col min="11017" max="11017" width="11.7265625" style="1" customWidth="1"/>
    <col min="11018" max="11018" width="12" style="1" customWidth="1"/>
    <col min="11019" max="11019" width="10.453125" style="1" customWidth="1"/>
    <col min="11020" max="11020" width="12.7265625" style="1" bestFit="1" customWidth="1"/>
    <col min="11021" max="11021" width="10.7265625" style="1" bestFit="1" customWidth="1"/>
    <col min="11022" max="11022" width="14.1796875" style="1" bestFit="1" customWidth="1"/>
    <col min="11023" max="11023" width="13.81640625" style="1" customWidth="1"/>
    <col min="11024" max="11024" width="14.81640625" style="1" customWidth="1"/>
    <col min="11025" max="11025" width="15" style="1" customWidth="1"/>
    <col min="11026" max="11026" width="11" style="1" customWidth="1"/>
    <col min="11027" max="11027" width="8.7265625" style="1" customWidth="1"/>
    <col min="11028" max="11028" width="12.26953125" style="1" customWidth="1"/>
    <col min="11029" max="11029" width="11.54296875" style="1" bestFit="1" customWidth="1"/>
    <col min="11030" max="11030" width="8.7265625" style="1" customWidth="1"/>
    <col min="11031" max="11033" width="9.1796875" style="1"/>
    <col min="11034" max="11034" width="11.54296875" style="1" bestFit="1" customWidth="1"/>
    <col min="11035" max="11264" width="9.1796875" style="1"/>
    <col min="11265" max="11265" width="10.81640625" style="1" customWidth="1"/>
    <col min="11266" max="11266" width="0.1796875" style="1" customWidth="1"/>
    <col min="11267" max="11267" width="0" style="1" hidden="1" customWidth="1"/>
    <col min="11268" max="11268" width="13.54296875" style="1" customWidth="1"/>
    <col min="11269" max="11269" width="10" style="1" customWidth="1"/>
    <col min="11270" max="11270" width="9.7265625" style="1" customWidth="1"/>
    <col min="11271" max="11271" width="0" style="1" hidden="1" customWidth="1"/>
    <col min="11272" max="11272" width="11.26953125" style="1" customWidth="1"/>
    <col min="11273" max="11273" width="11.7265625" style="1" customWidth="1"/>
    <col min="11274" max="11274" width="12" style="1" customWidth="1"/>
    <col min="11275" max="11275" width="10.453125" style="1" customWidth="1"/>
    <col min="11276" max="11276" width="12.7265625" style="1" bestFit="1" customWidth="1"/>
    <col min="11277" max="11277" width="10.7265625" style="1" bestFit="1" customWidth="1"/>
    <col min="11278" max="11278" width="14.1796875" style="1" bestFit="1" customWidth="1"/>
    <col min="11279" max="11279" width="13.81640625" style="1" customWidth="1"/>
    <col min="11280" max="11280" width="14.81640625" style="1" customWidth="1"/>
    <col min="11281" max="11281" width="15" style="1" customWidth="1"/>
    <col min="11282" max="11282" width="11" style="1" customWidth="1"/>
    <col min="11283" max="11283" width="8.7265625" style="1" customWidth="1"/>
    <col min="11284" max="11284" width="12.26953125" style="1" customWidth="1"/>
    <col min="11285" max="11285" width="11.54296875" style="1" bestFit="1" customWidth="1"/>
    <col min="11286" max="11286" width="8.7265625" style="1" customWidth="1"/>
    <col min="11287" max="11289" width="9.1796875" style="1"/>
    <col min="11290" max="11290" width="11.54296875" style="1" bestFit="1" customWidth="1"/>
    <col min="11291" max="11520" width="9.1796875" style="1"/>
    <col min="11521" max="11521" width="10.81640625" style="1" customWidth="1"/>
    <col min="11522" max="11522" width="0.1796875" style="1" customWidth="1"/>
    <col min="11523" max="11523" width="0" style="1" hidden="1" customWidth="1"/>
    <col min="11524" max="11524" width="13.54296875" style="1" customWidth="1"/>
    <col min="11525" max="11525" width="10" style="1" customWidth="1"/>
    <col min="11526" max="11526" width="9.7265625" style="1" customWidth="1"/>
    <col min="11527" max="11527" width="0" style="1" hidden="1" customWidth="1"/>
    <col min="11528" max="11528" width="11.26953125" style="1" customWidth="1"/>
    <col min="11529" max="11529" width="11.7265625" style="1" customWidth="1"/>
    <col min="11530" max="11530" width="12" style="1" customWidth="1"/>
    <col min="11531" max="11531" width="10.453125" style="1" customWidth="1"/>
    <col min="11532" max="11532" width="12.7265625" style="1" bestFit="1" customWidth="1"/>
    <col min="11533" max="11533" width="10.7265625" style="1" bestFit="1" customWidth="1"/>
    <col min="11534" max="11534" width="14.1796875" style="1" bestFit="1" customWidth="1"/>
    <col min="11535" max="11535" width="13.81640625" style="1" customWidth="1"/>
    <col min="11536" max="11536" width="14.81640625" style="1" customWidth="1"/>
    <col min="11537" max="11537" width="15" style="1" customWidth="1"/>
    <col min="11538" max="11538" width="11" style="1" customWidth="1"/>
    <col min="11539" max="11539" width="8.7265625" style="1" customWidth="1"/>
    <col min="11540" max="11540" width="12.26953125" style="1" customWidth="1"/>
    <col min="11541" max="11541" width="11.54296875" style="1" bestFit="1" customWidth="1"/>
    <col min="11542" max="11542" width="8.7265625" style="1" customWidth="1"/>
    <col min="11543" max="11545" width="9.1796875" style="1"/>
    <col min="11546" max="11546" width="11.54296875" style="1" bestFit="1" customWidth="1"/>
    <col min="11547" max="11776" width="9.1796875" style="1"/>
    <col min="11777" max="11777" width="10.81640625" style="1" customWidth="1"/>
    <col min="11778" max="11778" width="0.1796875" style="1" customWidth="1"/>
    <col min="11779" max="11779" width="0" style="1" hidden="1" customWidth="1"/>
    <col min="11780" max="11780" width="13.54296875" style="1" customWidth="1"/>
    <col min="11781" max="11781" width="10" style="1" customWidth="1"/>
    <col min="11782" max="11782" width="9.7265625" style="1" customWidth="1"/>
    <col min="11783" max="11783" width="0" style="1" hidden="1" customWidth="1"/>
    <col min="11784" max="11784" width="11.26953125" style="1" customWidth="1"/>
    <col min="11785" max="11785" width="11.7265625" style="1" customWidth="1"/>
    <col min="11786" max="11786" width="12" style="1" customWidth="1"/>
    <col min="11787" max="11787" width="10.453125" style="1" customWidth="1"/>
    <col min="11788" max="11788" width="12.7265625" style="1" bestFit="1" customWidth="1"/>
    <col min="11789" max="11789" width="10.7265625" style="1" bestFit="1" customWidth="1"/>
    <col min="11790" max="11790" width="14.1796875" style="1" bestFit="1" customWidth="1"/>
    <col min="11791" max="11791" width="13.81640625" style="1" customWidth="1"/>
    <col min="11792" max="11792" width="14.81640625" style="1" customWidth="1"/>
    <col min="11793" max="11793" width="15" style="1" customWidth="1"/>
    <col min="11794" max="11794" width="11" style="1" customWidth="1"/>
    <col min="11795" max="11795" width="8.7265625" style="1" customWidth="1"/>
    <col min="11796" max="11796" width="12.26953125" style="1" customWidth="1"/>
    <col min="11797" max="11797" width="11.54296875" style="1" bestFit="1" customWidth="1"/>
    <col min="11798" max="11798" width="8.7265625" style="1" customWidth="1"/>
    <col min="11799" max="11801" width="9.1796875" style="1"/>
    <col min="11802" max="11802" width="11.54296875" style="1" bestFit="1" customWidth="1"/>
    <col min="11803" max="12032" width="9.1796875" style="1"/>
    <col min="12033" max="12033" width="10.81640625" style="1" customWidth="1"/>
    <col min="12034" max="12034" width="0.1796875" style="1" customWidth="1"/>
    <col min="12035" max="12035" width="0" style="1" hidden="1" customWidth="1"/>
    <col min="12036" max="12036" width="13.54296875" style="1" customWidth="1"/>
    <col min="12037" max="12037" width="10" style="1" customWidth="1"/>
    <col min="12038" max="12038" width="9.7265625" style="1" customWidth="1"/>
    <col min="12039" max="12039" width="0" style="1" hidden="1" customWidth="1"/>
    <col min="12040" max="12040" width="11.26953125" style="1" customWidth="1"/>
    <col min="12041" max="12041" width="11.7265625" style="1" customWidth="1"/>
    <col min="12042" max="12042" width="12" style="1" customWidth="1"/>
    <col min="12043" max="12043" width="10.453125" style="1" customWidth="1"/>
    <col min="12044" max="12044" width="12.7265625" style="1" bestFit="1" customWidth="1"/>
    <col min="12045" max="12045" width="10.7265625" style="1" bestFit="1" customWidth="1"/>
    <col min="12046" max="12046" width="14.1796875" style="1" bestFit="1" customWidth="1"/>
    <col min="12047" max="12047" width="13.81640625" style="1" customWidth="1"/>
    <col min="12048" max="12048" width="14.81640625" style="1" customWidth="1"/>
    <col min="12049" max="12049" width="15" style="1" customWidth="1"/>
    <col min="12050" max="12050" width="11" style="1" customWidth="1"/>
    <col min="12051" max="12051" width="8.7265625" style="1" customWidth="1"/>
    <col min="12052" max="12052" width="12.26953125" style="1" customWidth="1"/>
    <col min="12053" max="12053" width="11.54296875" style="1" bestFit="1" customWidth="1"/>
    <col min="12054" max="12054" width="8.7265625" style="1" customWidth="1"/>
    <col min="12055" max="12057" width="9.1796875" style="1"/>
    <col min="12058" max="12058" width="11.54296875" style="1" bestFit="1" customWidth="1"/>
    <col min="12059" max="12288" width="9.1796875" style="1"/>
    <col min="12289" max="12289" width="10.81640625" style="1" customWidth="1"/>
    <col min="12290" max="12290" width="0.1796875" style="1" customWidth="1"/>
    <col min="12291" max="12291" width="0" style="1" hidden="1" customWidth="1"/>
    <col min="12292" max="12292" width="13.54296875" style="1" customWidth="1"/>
    <col min="12293" max="12293" width="10" style="1" customWidth="1"/>
    <col min="12294" max="12294" width="9.7265625" style="1" customWidth="1"/>
    <col min="12295" max="12295" width="0" style="1" hidden="1" customWidth="1"/>
    <col min="12296" max="12296" width="11.26953125" style="1" customWidth="1"/>
    <col min="12297" max="12297" width="11.7265625" style="1" customWidth="1"/>
    <col min="12298" max="12298" width="12" style="1" customWidth="1"/>
    <col min="12299" max="12299" width="10.453125" style="1" customWidth="1"/>
    <col min="12300" max="12300" width="12.7265625" style="1" bestFit="1" customWidth="1"/>
    <col min="12301" max="12301" width="10.7265625" style="1" bestFit="1" customWidth="1"/>
    <col min="12302" max="12302" width="14.1796875" style="1" bestFit="1" customWidth="1"/>
    <col min="12303" max="12303" width="13.81640625" style="1" customWidth="1"/>
    <col min="12304" max="12304" width="14.81640625" style="1" customWidth="1"/>
    <col min="12305" max="12305" width="15" style="1" customWidth="1"/>
    <col min="12306" max="12306" width="11" style="1" customWidth="1"/>
    <col min="12307" max="12307" width="8.7265625" style="1" customWidth="1"/>
    <col min="12308" max="12308" width="12.26953125" style="1" customWidth="1"/>
    <col min="12309" max="12309" width="11.54296875" style="1" bestFit="1" customWidth="1"/>
    <col min="12310" max="12310" width="8.7265625" style="1" customWidth="1"/>
    <col min="12311" max="12313" width="9.1796875" style="1"/>
    <col min="12314" max="12314" width="11.54296875" style="1" bestFit="1" customWidth="1"/>
    <col min="12315" max="12544" width="9.1796875" style="1"/>
    <col min="12545" max="12545" width="10.81640625" style="1" customWidth="1"/>
    <col min="12546" max="12546" width="0.1796875" style="1" customWidth="1"/>
    <col min="12547" max="12547" width="0" style="1" hidden="1" customWidth="1"/>
    <col min="12548" max="12548" width="13.54296875" style="1" customWidth="1"/>
    <col min="12549" max="12549" width="10" style="1" customWidth="1"/>
    <col min="12550" max="12550" width="9.7265625" style="1" customWidth="1"/>
    <col min="12551" max="12551" width="0" style="1" hidden="1" customWidth="1"/>
    <col min="12552" max="12552" width="11.26953125" style="1" customWidth="1"/>
    <col min="12553" max="12553" width="11.7265625" style="1" customWidth="1"/>
    <col min="12554" max="12554" width="12" style="1" customWidth="1"/>
    <col min="12555" max="12555" width="10.453125" style="1" customWidth="1"/>
    <col min="12556" max="12556" width="12.7265625" style="1" bestFit="1" customWidth="1"/>
    <col min="12557" max="12557" width="10.7265625" style="1" bestFit="1" customWidth="1"/>
    <col min="12558" max="12558" width="14.1796875" style="1" bestFit="1" customWidth="1"/>
    <col min="12559" max="12559" width="13.81640625" style="1" customWidth="1"/>
    <col min="12560" max="12560" width="14.81640625" style="1" customWidth="1"/>
    <col min="12561" max="12561" width="15" style="1" customWidth="1"/>
    <col min="12562" max="12562" width="11" style="1" customWidth="1"/>
    <col min="12563" max="12563" width="8.7265625" style="1" customWidth="1"/>
    <col min="12564" max="12564" width="12.26953125" style="1" customWidth="1"/>
    <col min="12565" max="12565" width="11.54296875" style="1" bestFit="1" customWidth="1"/>
    <col min="12566" max="12566" width="8.7265625" style="1" customWidth="1"/>
    <col min="12567" max="12569" width="9.1796875" style="1"/>
    <col min="12570" max="12570" width="11.54296875" style="1" bestFit="1" customWidth="1"/>
    <col min="12571" max="12800" width="9.1796875" style="1"/>
    <col min="12801" max="12801" width="10.81640625" style="1" customWidth="1"/>
    <col min="12802" max="12802" width="0.1796875" style="1" customWidth="1"/>
    <col min="12803" max="12803" width="0" style="1" hidden="1" customWidth="1"/>
    <col min="12804" max="12804" width="13.54296875" style="1" customWidth="1"/>
    <col min="12805" max="12805" width="10" style="1" customWidth="1"/>
    <col min="12806" max="12806" width="9.7265625" style="1" customWidth="1"/>
    <col min="12807" max="12807" width="0" style="1" hidden="1" customWidth="1"/>
    <col min="12808" max="12808" width="11.26953125" style="1" customWidth="1"/>
    <col min="12809" max="12809" width="11.7265625" style="1" customWidth="1"/>
    <col min="12810" max="12810" width="12" style="1" customWidth="1"/>
    <col min="12811" max="12811" width="10.453125" style="1" customWidth="1"/>
    <col min="12812" max="12812" width="12.7265625" style="1" bestFit="1" customWidth="1"/>
    <col min="12813" max="12813" width="10.7265625" style="1" bestFit="1" customWidth="1"/>
    <col min="12814" max="12814" width="14.1796875" style="1" bestFit="1" customWidth="1"/>
    <col min="12815" max="12815" width="13.81640625" style="1" customWidth="1"/>
    <col min="12816" max="12816" width="14.81640625" style="1" customWidth="1"/>
    <col min="12817" max="12817" width="15" style="1" customWidth="1"/>
    <col min="12818" max="12818" width="11" style="1" customWidth="1"/>
    <col min="12819" max="12819" width="8.7265625" style="1" customWidth="1"/>
    <col min="12820" max="12820" width="12.26953125" style="1" customWidth="1"/>
    <col min="12821" max="12821" width="11.54296875" style="1" bestFit="1" customWidth="1"/>
    <col min="12822" max="12822" width="8.7265625" style="1" customWidth="1"/>
    <col min="12823" max="12825" width="9.1796875" style="1"/>
    <col min="12826" max="12826" width="11.54296875" style="1" bestFit="1" customWidth="1"/>
    <col min="12827" max="13056" width="9.1796875" style="1"/>
    <col min="13057" max="13057" width="10.81640625" style="1" customWidth="1"/>
    <col min="13058" max="13058" width="0.1796875" style="1" customWidth="1"/>
    <col min="13059" max="13059" width="0" style="1" hidden="1" customWidth="1"/>
    <col min="13060" max="13060" width="13.54296875" style="1" customWidth="1"/>
    <col min="13061" max="13061" width="10" style="1" customWidth="1"/>
    <col min="13062" max="13062" width="9.7265625" style="1" customWidth="1"/>
    <col min="13063" max="13063" width="0" style="1" hidden="1" customWidth="1"/>
    <col min="13064" max="13064" width="11.26953125" style="1" customWidth="1"/>
    <col min="13065" max="13065" width="11.7265625" style="1" customWidth="1"/>
    <col min="13066" max="13066" width="12" style="1" customWidth="1"/>
    <col min="13067" max="13067" width="10.453125" style="1" customWidth="1"/>
    <col min="13068" max="13068" width="12.7265625" style="1" bestFit="1" customWidth="1"/>
    <col min="13069" max="13069" width="10.7265625" style="1" bestFit="1" customWidth="1"/>
    <col min="13070" max="13070" width="14.1796875" style="1" bestFit="1" customWidth="1"/>
    <col min="13071" max="13071" width="13.81640625" style="1" customWidth="1"/>
    <col min="13072" max="13072" width="14.81640625" style="1" customWidth="1"/>
    <col min="13073" max="13073" width="15" style="1" customWidth="1"/>
    <col min="13074" max="13074" width="11" style="1" customWidth="1"/>
    <col min="13075" max="13075" width="8.7265625" style="1" customWidth="1"/>
    <col min="13076" max="13076" width="12.26953125" style="1" customWidth="1"/>
    <col min="13077" max="13077" width="11.54296875" style="1" bestFit="1" customWidth="1"/>
    <col min="13078" max="13078" width="8.7265625" style="1" customWidth="1"/>
    <col min="13079" max="13081" width="9.1796875" style="1"/>
    <col min="13082" max="13082" width="11.54296875" style="1" bestFit="1" customWidth="1"/>
    <col min="13083" max="13312" width="9.1796875" style="1"/>
    <col min="13313" max="13313" width="10.81640625" style="1" customWidth="1"/>
    <col min="13314" max="13314" width="0.1796875" style="1" customWidth="1"/>
    <col min="13315" max="13315" width="0" style="1" hidden="1" customWidth="1"/>
    <col min="13316" max="13316" width="13.54296875" style="1" customWidth="1"/>
    <col min="13317" max="13317" width="10" style="1" customWidth="1"/>
    <col min="13318" max="13318" width="9.7265625" style="1" customWidth="1"/>
    <col min="13319" max="13319" width="0" style="1" hidden="1" customWidth="1"/>
    <col min="13320" max="13320" width="11.26953125" style="1" customWidth="1"/>
    <col min="13321" max="13321" width="11.7265625" style="1" customWidth="1"/>
    <col min="13322" max="13322" width="12" style="1" customWidth="1"/>
    <col min="13323" max="13323" width="10.453125" style="1" customWidth="1"/>
    <col min="13324" max="13324" width="12.7265625" style="1" bestFit="1" customWidth="1"/>
    <col min="13325" max="13325" width="10.7265625" style="1" bestFit="1" customWidth="1"/>
    <col min="13326" max="13326" width="14.1796875" style="1" bestFit="1" customWidth="1"/>
    <col min="13327" max="13327" width="13.81640625" style="1" customWidth="1"/>
    <col min="13328" max="13328" width="14.81640625" style="1" customWidth="1"/>
    <col min="13329" max="13329" width="15" style="1" customWidth="1"/>
    <col min="13330" max="13330" width="11" style="1" customWidth="1"/>
    <col min="13331" max="13331" width="8.7265625" style="1" customWidth="1"/>
    <col min="13332" max="13332" width="12.26953125" style="1" customWidth="1"/>
    <col min="13333" max="13333" width="11.54296875" style="1" bestFit="1" customWidth="1"/>
    <col min="13334" max="13334" width="8.7265625" style="1" customWidth="1"/>
    <col min="13335" max="13337" width="9.1796875" style="1"/>
    <col min="13338" max="13338" width="11.54296875" style="1" bestFit="1" customWidth="1"/>
    <col min="13339" max="13568" width="9.1796875" style="1"/>
    <col min="13569" max="13569" width="10.81640625" style="1" customWidth="1"/>
    <col min="13570" max="13570" width="0.1796875" style="1" customWidth="1"/>
    <col min="13571" max="13571" width="0" style="1" hidden="1" customWidth="1"/>
    <col min="13572" max="13572" width="13.54296875" style="1" customWidth="1"/>
    <col min="13573" max="13573" width="10" style="1" customWidth="1"/>
    <col min="13574" max="13574" width="9.7265625" style="1" customWidth="1"/>
    <col min="13575" max="13575" width="0" style="1" hidden="1" customWidth="1"/>
    <col min="13576" max="13576" width="11.26953125" style="1" customWidth="1"/>
    <col min="13577" max="13577" width="11.7265625" style="1" customWidth="1"/>
    <col min="13578" max="13578" width="12" style="1" customWidth="1"/>
    <col min="13579" max="13579" width="10.453125" style="1" customWidth="1"/>
    <col min="13580" max="13580" width="12.7265625" style="1" bestFit="1" customWidth="1"/>
    <col min="13581" max="13581" width="10.7265625" style="1" bestFit="1" customWidth="1"/>
    <col min="13582" max="13582" width="14.1796875" style="1" bestFit="1" customWidth="1"/>
    <col min="13583" max="13583" width="13.81640625" style="1" customWidth="1"/>
    <col min="13584" max="13584" width="14.81640625" style="1" customWidth="1"/>
    <col min="13585" max="13585" width="15" style="1" customWidth="1"/>
    <col min="13586" max="13586" width="11" style="1" customWidth="1"/>
    <col min="13587" max="13587" width="8.7265625" style="1" customWidth="1"/>
    <col min="13588" max="13588" width="12.26953125" style="1" customWidth="1"/>
    <col min="13589" max="13589" width="11.54296875" style="1" bestFit="1" customWidth="1"/>
    <col min="13590" max="13590" width="8.7265625" style="1" customWidth="1"/>
    <col min="13591" max="13593" width="9.1796875" style="1"/>
    <col min="13594" max="13594" width="11.54296875" style="1" bestFit="1" customWidth="1"/>
    <col min="13595" max="13824" width="9.1796875" style="1"/>
    <col min="13825" max="13825" width="10.81640625" style="1" customWidth="1"/>
    <col min="13826" max="13826" width="0.1796875" style="1" customWidth="1"/>
    <col min="13827" max="13827" width="0" style="1" hidden="1" customWidth="1"/>
    <col min="13828" max="13828" width="13.54296875" style="1" customWidth="1"/>
    <col min="13829" max="13829" width="10" style="1" customWidth="1"/>
    <col min="13830" max="13830" width="9.7265625" style="1" customWidth="1"/>
    <col min="13831" max="13831" width="0" style="1" hidden="1" customWidth="1"/>
    <col min="13832" max="13832" width="11.26953125" style="1" customWidth="1"/>
    <col min="13833" max="13833" width="11.7265625" style="1" customWidth="1"/>
    <col min="13834" max="13834" width="12" style="1" customWidth="1"/>
    <col min="13835" max="13835" width="10.453125" style="1" customWidth="1"/>
    <col min="13836" max="13836" width="12.7265625" style="1" bestFit="1" customWidth="1"/>
    <col min="13837" max="13837" width="10.7265625" style="1" bestFit="1" customWidth="1"/>
    <col min="13838" max="13838" width="14.1796875" style="1" bestFit="1" customWidth="1"/>
    <col min="13839" max="13839" width="13.81640625" style="1" customWidth="1"/>
    <col min="13840" max="13840" width="14.81640625" style="1" customWidth="1"/>
    <col min="13841" max="13841" width="15" style="1" customWidth="1"/>
    <col min="13842" max="13842" width="11" style="1" customWidth="1"/>
    <col min="13843" max="13843" width="8.7265625" style="1" customWidth="1"/>
    <col min="13844" max="13844" width="12.26953125" style="1" customWidth="1"/>
    <col min="13845" max="13845" width="11.54296875" style="1" bestFit="1" customWidth="1"/>
    <col min="13846" max="13846" width="8.7265625" style="1" customWidth="1"/>
    <col min="13847" max="13849" width="9.1796875" style="1"/>
    <col min="13850" max="13850" width="11.54296875" style="1" bestFit="1" customWidth="1"/>
    <col min="13851" max="14080" width="9.1796875" style="1"/>
    <col min="14081" max="14081" width="10.81640625" style="1" customWidth="1"/>
    <col min="14082" max="14082" width="0.1796875" style="1" customWidth="1"/>
    <col min="14083" max="14083" width="0" style="1" hidden="1" customWidth="1"/>
    <col min="14084" max="14084" width="13.54296875" style="1" customWidth="1"/>
    <col min="14085" max="14085" width="10" style="1" customWidth="1"/>
    <col min="14086" max="14086" width="9.7265625" style="1" customWidth="1"/>
    <col min="14087" max="14087" width="0" style="1" hidden="1" customWidth="1"/>
    <col min="14088" max="14088" width="11.26953125" style="1" customWidth="1"/>
    <col min="14089" max="14089" width="11.7265625" style="1" customWidth="1"/>
    <col min="14090" max="14090" width="12" style="1" customWidth="1"/>
    <col min="14091" max="14091" width="10.453125" style="1" customWidth="1"/>
    <col min="14092" max="14092" width="12.7265625" style="1" bestFit="1" customWidth="1"/>
    <col min="14093" max="14093" width="10.7265625" style="1" bestFit="1" customWidth="1"/>
    <col min="14094" max="14094" width="14.1796875" style="1" bestFit="1" customWidth="1"/>
    <col min="14095" max="14095" width="13.81640625" style="1" customWidth="1"/>
    <col min="14096" max="14096" width="14.81640625" style="1" customWidth="1"/>
    <col min="14097" max="14097" width="15" style="1" customWidth="1"/>
    <col min="14098" max="14098" width="11" style="1" customWidth="1"/>
    <col min="14099" max="14099" width="8.7265625" style="1" customWidth="1"/>
    <col min="14100" max="14100" width="12.26953125" style="1" customWidth="1"/>
    <col min="14101" max="14101" width="11.54296875" style="1" bestFit="1" customWidth="1"/>
    <col min="14102" max="14102" width="8.7265625" style="1" customWidth="1"/>
    <col min="14103" max="14105" width="9.1796875" style="1"/>
    <col min="14106" max="14106" width="11.54296875" style="1" bestFit="1" customWidth="1"/>
    <col min="14107" max="14336" width="9.1796875" style="1"/>
    <col min="14337" max="14337" width="10.81640625" style="1" customWidth="1"/>
    <col min="14338" max="14338" width="0.1796875" style="1" customWidth="1"/>
    <col min="14339" max="14339" width="0" style="1" hidden="1" customWidth="1"/>
    <col min="14340" max="14340" width="13.54296875" style="1" customWidth="1"/>
    <col min="14341" max="14341" width="10" style="1" customWidth="1"/>
    <col min="14342" max="14342" width="9.7265625" style="1" customWidth="1"/>
    <col min="14343" max="14343" width="0" style="1" hidden="1" customWidth="1"/>
    <col min="14344" max="14344" width="11.26953125" style="1" customWidth="1"/>
    <col min="14345" max="14345" width="11.7265625" style="1" customWidth="1"/>
    <col min="14346" max="14346" width="12" style="1" customWidth="1"/>
    <col min="14347" max="14347" width="10.453125" style="1" customWidth="1"/>
    <col min="14348" max="14348" width="12.7265625" style="1" bestFit="1" customWidth="1"/>
    <col min="14349" max="14349" width="10.7265625" style="1" bestFit="1" customWidth="1"/>
    <col min="14350" max="14350" width="14.1796875" style="1" bestFit="1" customWidth="1"/>
    <col min="14351" max="14351" width="13.81640625" style="1" customWidth="1"/>
    <col min="14352" max="14352" width="14.81640625" style="1" customWidth="1"/>
    <col min="14353" max="14353" width="15" style="1" customWidth="1"/>
    <col min="14354" max="14354" width="11" style="1" customWidth="1"/>
    <col min="14355" max="14355" width="8.7265625" style="1" customWidth="1"/>
    <col min="14356" max="14356" width="12.26953125" style="1" customWidth="1"/>
    <col min="14357" max="14357" width="11.54296875" style="1" bestFit="1" customWidth="1"/>
    <col min="14358" max="14358" width="8.7265625" style="1" customWidth="1"/>
    <col min="14359" max="14361" width="9.1796875" style="1"/>
    <col min="14362" max="14362" width="11.54296875" style="1" bestFit="1" customWidth="1"/>
    <col min="14363" max="14592" width="9.1796875" style="1"/>
    <col min="14593" max="14593" width="10.81640625" style="1" customWidth="1"/>
    <col min="14594" max="14594" width="0.1796875" style="1" customWidth="1"/>
    <col min="14595" max="14595" width="0" style="1" hidden="1" customWidth="1"/>
    <col min="14596" max="14596" width="13.54296875" style="1" customWidth="1"/>
    <col min="14597" max="14597" width="10" style="1" customWidth="1"/>
    <col min="14598" max="14598" width="9.7265625" style="1" customWidth="1"/>
    <col min="14599" max="14599" width="0" style="1" hidden="1" customWidth="1"/>
    <col min="14600" max="14600" width="11.26953125" style="1" customWidth="1"/>
    <col min="14601" max="14601" width="11.7265625" style="1" customWidth="1"/>
    <col min="14602" max="14602" width="12" style="1" customWidth="1"/>
    <col min="14603" max="14603" width="10.453125" style="1" customWidth="1"/>
    <col min="14604" max="14604" width="12.7265625" style="1" bestFit="1" customWidth="1"/>
    <col min="14605" max="14605" width="10.7265625" style="1" bestFit="1" customWidth="1"/>
    <col min="14606" max="14606" width="14.1796875" style="1" bestFit="1" customWidth="1"/>
    <col min="14607" max="14607" width="13.81640625" style="1" customWidth="1"/>
    <col min="14608" max="14608" width="14.81640625" style="1" customWidth="1"/>
    <col min="14609" max="14609" width="15" style="1" customWidth="1"/>
    <col min="14610" max="14610" width="11" style="1" customWidth="1"/>
    <col min="14611" max="14611" width="8.7265625" style="1" customWidth="1"/>
    <col min="14612" max="14612" width="12.26953125" style="1" customWidth="1"/>
    <col min="14613" max="14613" width="11.54296875" style="1" bestFit="1" customWidth="1"/>
    <col min="14614" max="14614" width="8.7265625" style="1" customWidth="1"/>
    <col min="14615" max="14617" width="9.1796875" style="1"/>
    <col min="14618" max="14618" width="11.54296875" style="1" bestFit="1" customWidth="1"/>
    <col min="14619" max="14848" width="9.1796875" style="1"/>
    <col min="14849" max="14849" width="10.81640625" style="1" customWidth="1"/>
    <col min="14850" max="14850" width="0.1796875" style="1" customWidth="1"/>
    <col min="14851" max="14851" width="0" style="1" hidden="1" customWidth="1"/>
    <col min="14852" max="14852" width="13.54296875" style="1" customWidth="1"/>
    <col min="14853" max="14853" width="10" style="1" customWidth="1"/>
    <col min="14854" max="14854" width="9.7265625" style="1" customWidth="1"/>
    <col min="14855" max="14855" width="0" style="1" hidden="1" customWidth="1"/>
    <col min="14856" max="14856" width="11.26953125" style="1" customWidth="1"/>
    <col min="14857" max="14857" width="11.7265625" style="1" customWidth="1"/>
    <col min="14858" max="14858" width="12" style="1" customWidth="1"/>
    <col min="14859" max="14859" width="10.453125" style="1" customWidth="1"/>
    <col min="14860" max="14860" width="12.7265625" style="1" bestFit="1" customWidth="1"/>
    <col min="14861" max="14861" width="10.7265625" style="1" bestFit="1" customWidth="1"/>
    <col min="14862" max="14862" width="14.1796875" style="1" bestFit="1" customWidth="1"/>
    <col min="14863" max="14863" width="13.81640625" style="1" customWidth="1"/>
    <col min="14864" max="14864" width="14.81640625" style="1" customWidth="1"/>
    <col min="14865" max="14865" width="15" style="1" customWidth="1"/>
    <col min="14866" max="14866" width="11" style="1" customWidth="1"/>
    <col min="14867" max="14867" width="8.7265625" style="1" customWidth="1"/>
    <col min="14868" max="14868" width="12.26953125" style="1" customWidth="1"/>
    <col min="14869" max="14869" width="11.54296875" style="1" bestFit="1" customWidth="1"/>
    <col min="14870" max="14870" width="8.7265625" style="1" customWidth="1"/>
    <col min="14871" max="14873" width="9.1796875" style="1"/>
    <col min="14874" max="14874" width="11.54296875" style="1" bestFit="1" customWidth="1"/>
    <col min="14875" max="15104" width="9.1796875" style="1"/>
    <col min="15105" max="15105" width="10.81640625" style="1" customWidth="1"/>
    <col min="15106" max="15106" width="0.1796875" style="1" customWidth="1"/>
    <col min="15107" max="15107" width="0" style="1" hidden="1" customWidth="1"/>
    <col min="15108" max="15108" width="13.54296875" style="1" customWidth="1"/>
    <col min="15109" max="15109" width="10" style="1" customWidth="1"/>
    <col min="15110" max="15110" width="9.7265625" style="1" customWidth="1"/>
    <col min="15111" max="15111" width="0" style="1" hidden="1" customWidth="1"/>
    <col min="15112" max="15112" width="11.26953125" style="1" customWidth="1"/>
    <col min="15113" max="15113" width="11.7265625" style="1" customWidth="1"/>
    <col min="15114" max="15114" width="12" style="1" customWidth="1"/>
    <col min="15115" max="15115" width="10.453125" style="1" customWidth="1"/>
    <col min="15116" max="15116" width="12.7265625" style="1" bestFit="1" customWidth="1"/>
    <col min="15117" max="15117" width="10.7265625" style="1" bestFit="1" customWidth="1"/>
    <col min="15118" max="15118" width="14.1796875" style="1" bestFit="1" customWidth="1"/>
    <col min="15119" max="15119" width="13.81640625" style="1" customWidth="1"/>
    <col min="15120" max="15120" width="14.81640625" style="1" customWidth="1"/>
    <col min="15121" max="15121" width="15" style="1" customWidth="1"/>
    <col min="15122" max="15122" width="11" style="1" customWidth="1"/>
    <col min="15123" max="15123" width="8.7265625" style="1" customWidth="1"/>
    <col min="15124" max="15124" width="12.26953125" style="1" customWidth="1"/>
    <col min="15125" max="15125" width="11.54296875" style="1" bestFit="1" customWidth="1"/>
    <col min="15126" max="15126" width="8.7265625" style="1" customWidth="1"/>
    <col min="15127" max="15129" width="9.1796875" style="1"/>
    <col min="15130" max="15130" width="11.54296875" style="1" bestFit="1" customWidth="1"/>
    <col min="15131" max="15360" width="9.1796875" style="1"/>
    <col min="15361" max="15361" width="10.81640625" style="1" customWidth="1"/>
    <col min="15362" max="15362" width="0.1796875" style="1" customWidth="1"/>
    <col min="15363" max="15363" width="0" style="1" hidden="1" customWidth="1"/>
    <col min="15364" max="15364" width="13.54296875" style="1" customWidth="1"/>
    <col min="15365" max="15365" width="10" style="1" customWidth="1"/>
    <col min="15366" max="15366" width="9.7265625" style="1" customWidth="1"/>
    <col min="15367" max="15367" width="0" style="1" hidden="1" customWidth="1"/>
    <col min="15368" max="15368" width="11.26953125" style="1" customWidth="1"/>
    <col min="15369" max="15369" width="11.7265625" style="1" customWidth="1"/>
    <col min="15370" max="15370" width="12" style="1" customWidth="1"/>
    <col min="15371" max="15371" width="10.453125" style="1" customWidth="1"/>
    <col min="15372" max="15372" width="12.7265625" style="1" bestFit="1" customWidth="1"/>
    <col min="15373" max="15373" width="10.7265625" style="1" bestFit="1" customWidth="1"/>
    <col min="15374" max="15374" width="14.1796875" style="1" bestFit="1" customWidth="1"/>
    <col min="15375" max="15375" width="13.81640625" style="1" customWidth="1"/>
    <col min="15376" max="15376" width="14.81640625" style="1" customWidth="1"/>
    <col min="15377" max="15377" width="15" style="1" customWidth="1"/>
    <col min="15378" max="15378" width="11" style="1" customWidth="1"/>
    <col min="15379" max="15379" width="8.7265625" style="1" customWidth="1"/>
    <col min="15380" max="15380" width="12.26953125" style="1" customWidth="1"/>
    <col min="15381" max="15381" width="11.54296875" style="1" bestFit="1" customWidth="1"/>
    <col min="15382" max="15382" width="8.7265625" style="1" customWidth="1"/>
    <col min="15383" max="15385" width="9.1796875" style="1"/>
    <col min="15386" max="15386" width="11.54296875" style="1" bestFit="1" customWidth="1"/>
    <col min="15387" max="15616" width="9.1796875" style="1"/>
    <col min="15617" max="15617" width="10.81640625" style="1" customWidth="1"/>
    <col min="15618" max="15618" width="0.1796875" style="1" customWidth="1"/>
    <col min="15619" max="15619" width="0" style="1" hidden="1" customWidth="1"/>
    <col min="15620" max="15620" width="13.54296875" style="1" customWidth="1"/>
    <col min="15621" max="15621" width="10" style="1" customWidth="1"/>
    <col min="15622" max="15622" width="9.7265625" style="1" customWidth="1"/>
    <col min="15623" max="15623" width="0" style="1" hidden="1" customWidth="1"/>
    <col min="15624" max="15624" width="11.26953125" style="1" customWidth="1"/>
    <col min="15625" max="15625" width="11.7265625" style="1" customWidth="1"/>
    <col min="15626" max="15626" width="12" style="1" customWidth="1"/>
    <col min="15627" max="15627" width="10.453125" style="1" customWidth="1"/>
    <col min="15628" max="15628" width="12.7265625" style="1" bestFit="1" customWidth="1"/>
    <col min="15629" max="15629" width="10.7265625" style="1" bestFit="1" customWidth="1"/>
    <col min="15630" max="15630" width="14.1796875" style="1" bestFit="1" customWidth="1"/>
    <col min="15631" max="15631" width="13.81640625" style="1" customWidth="1"/>
    <col min="15632" max="15632" width="14.81640625" style="1" customWidth="1"/>
    <col min="15633" max="15633" width="15" style="1" customWidth="1"/>
    <col min="15634" max="15634" width="11" style="1" customWidth="1"/>
    <col min="15635" max="15635" width="8.7265625" style="1" customWidth="1"/>
    <col min="15636" max="15636" width="12.26953125" style="1" customWidth="1"/>
    <col min="15637" max="15637" width="11.54296875" style="1" bestFit="1" customWidth="1"/>
    <col min="15638" max="15638" width="8.7265625" style="1" customWidth="1"/>
    <col min="15639" max="15641" width="9.1796875" style="1"/>
    <col min="15642" max="15642" width="11.54296875" style="1" bestFit="1" customWidth="1"/>
    <col min="15643" max="15872" width="9.1796875" style="1"/>
    <col min="15873" max="15873" width="10.81640625" style="1" customWidth="1"/>
    <col min="15874" max="15874" width="0.1796875" style="1" customWidth="1"/>
    <col min="15875" max="15875" width="0" style="1" hidden="1" customWidth="1"/>
    <col min="15876" max="15876" width="13.54296875" style="1" customWidth="1"/>
    <col min="15877" max="15877" width="10" style="1" customWidth="1"/>
    <col min="15878" max="15878" width="9.7265625" style="1" customWidth="1"/>
    <col min="15879" max="15879" width="0" style="1" hidden="1" customWidth="1"/>
    <col min="15880" max="15880" width="11.26953125" style="1" customWidth="1"/>
    <col min="15881" max="15881" width="11.7265625" style="1" customWidth="1"/>
    <col min="15882" max="15882" width="12" style="1" customWidth="1"/>
    <col min="15883" max="15883" width="10.453125" style="1" customWidth="1"/>
    <col min="15884" max="15884" width="12.7265625" style="1" bestFit="1" customWidth="1"/>
    <col min="15885" max="15885" width="10.7265625" style="1" bestFit="1" customWidth="1"/>
    <col min="15886" max="15886" width="14.1796875" style="1" bestFit="1" customWidth="1"/>
    <col min="15887" max="15887" width="13.81640625" style="1" customWidth="1"/>
    <col min="15888" max="15888" width="14.81640625" style="1" customWidth="1"/>
    <col min="15889" max="15889" width="15" style="1" customWidth="1"/>
    <col min="15890" max="15890" width="11" style="1" customWidth="1"/>
    <col min="15891" max="15891" width="8.7265625" style="1" customWidth="1"/>
    <col min="15892" max="15892" width="12.26953125" style="1" customWidth="1"/>
    <col min="15893" max="15893" width="11.54296875" style="1" bestFit="1" customWidth="1"/>
    <col min="15894" max="15894" width="8.7265625" style="1" customWidth="1"/>
    <col min="15895" max="15897" width="9.1796875" style="1"/>
    <col min="15898" max="15898" width="11.54296875" style="1" bestFit="1" customWidth="1"/>
    <col min="15899" max="16128" width="9.1796875" style="1"/>
    <col min="16129" max="16129" width="10.81640625" style="1" customWidth="1"/>
    <col min="16130" max="16130" width="0.1796875" style="1" customWidth="1"/>
    <col min="16131" max="16131" width="0" style="1" hidden="1" customWidth="1"/>
    <col min="16132" max="16132" width="13.54296875" style="1" customWidth="1"/>
    <col min="16133" max="16133" width="10" style="1" customWidth="1"/>
    <col min="16134" max="16134" width="9.7265625" style="1" customWidth="1"/>
    <col min="16135" max="16135" width="0" style="1" hidden="1" customWidth="1"/>
    <col min="16136" max="16136" width="11.26953125" style="1" customWidth="1"/>
    <col min="16137" max="16137" width="11.7265625" style="1" customWidth="1"/>
    <col min="16138" max="16138" width="12" style="1" customWidth="1"/>
    <col min="16139" max="16139" width="10.453125" style="1" customWidth="1"/>
    <col min="16140" max="16140" width="12.7265625" style="1" bestFit="1" customWidth="1"/>
    <col min="16141" max="16141" width="10.7265625" style="1" bestFit="1" customWidth="1"/>
    <col min="16142" max="16142" width="14.1796875" style="1" bestFit="1" customWidth="1"/>
    <col min="16143" max="16143" width="13.81640625" style="1" customWidth="1"/>
    <col min="16144" max="16144" width="14.81640625" style="1" customWidth="1"/>
    <col min="16145" max="16145" width="15" style="1" customWidth="1"/>
    <col min="16146" max="16146" width="11" style="1" customWidth="1"/>
    <col min="16147" max="16147" width="8.7265625" style="1" customWidth="1"/>
    <col min="16148" max="16148" width="12.26953125" style="1" customWidth="1"/>
    <col min="16149" max="16149" width="11.54296875" style="1" bestFit="1" customWidth="1"/>
    <col min="16150" max="16150" width="8.7265625" style="1" customWidth="1"/>
    <col min="16151" max="16153" width="9.1796875" style="1"/>
    <col min="16154" max="16154" width="11.54296875" style="1" bestFit="1" customWidth="1"/>
    <col min="16155" max="16384" width="9.1796875" style="1"/>
  </cols>
  <sheetData>
    <row r="1" spans="1:41" ht="35.25" customHeight="1" thickBot="1" x14ac:dyDescent="0.4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" thickBot="1" x14ac:dyDescent="0.4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" thickBot="1" x14ac:dyDescent="0.4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" thickBot="1" x14ac:dyDescent="0.4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" thickBot="1" x14ac:dyDescent="0.4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" thickBot="1" x14ac:dyDescent="0.4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" thickBot="1" x14ac:dyDescent="0.4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" thickBot="1" x14ac:dyDescent="0.4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" thickBot="1" x14ac:dyDescent="0.4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" thickBot="1" x14ac:dyDescent="0.4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" thickBot="1" x14ac:dyDescent="0.4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" thickBot="1" x14ac:dyDescent="0.4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" thickBot="1" x14ac:dyDescent="0.4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" thickBot="1" x14ac:dyDescent="0.4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" thickBot="1" x14ac:dyDescent="0.4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" thickBot="1" x14ac:dyDescent="0.4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" thickBot="1" x14ac:dyDescent="0.4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" thickBot="1" x14ac:dyDescent="0.4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" thickBot="1" x14ac:dyDescent="0.4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" thickBot="1" x14ac:dyDescent="0.4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" thickBot="1" x14ac:dyDescent="0.4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" thickBot="1" x14ac:dyDescent="0.4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" thickBot="1" x14ac:dyDescent="0.4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" thickBot="1" x14ac:dyDescent="0.4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" thickBot="1" x14ac:dyDescent="0.4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" thickBot="1" x14ac:dyDescent="0.4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" thickBot="1" x14ac:dyDescent="0.4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" thickBot="1" x14ac:dyDescent="0.4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" thickBot="1" x14ac:dyDescent="0.4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" thickBot="1" x14ac:dyDescent="0.4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" thickBot="1" x14ac:dyDescent="0.4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4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" thickBot="1" x14ac:dyDescent="0.4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" thickBot="1" x14ac:dyDescent="0.4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" thickBot="1" x14ac:dyDescent="0.4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" thickBot="1" x14ac:dyDescent="0.4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" thickBot="1" x14ac:dyDescent="0.4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" thickBot="1" x14ac:dyDescent="0.4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" thickBot="1" x14ac:dyDescent="0.4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" thickBot="1" x14ac:dyDescent="0.4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" thickBot="1" x14ac:dyDescent="0.4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" thickBot="1" x14ac:dyDescent="0.4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" thickBot="1" x14ac:dyDescent="0.4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" thickBot="1" x14ac:dyDescent="0.4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" thickBot="1" x14ac:dyDescent="0.4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" thickBot="1" x14ac:dyDescent="0.4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" thickBot="1" x14ac:dyDescent="0.4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" thickBot="1" x14ac:dyDescent="0.4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" thickBot="1" x14ac:dyDescent="0.4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" thickBot="1" x14ac:dyDescent="0.4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" thickBot="1" x14ac:dyDescent="0.4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" thickBot="1" x14ac:dyDescent="0.4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" thickBot="1" x14ac:dyDescent="0.4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" thickBot="1" x14ac:dyDescent="0.4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" thickBot="1" x14ac:dyDescent="0.4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" thickBot="1" x14ac:dyDescent="0.4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" thickBot="1" x14ac:dyDescent="0.4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" thickBot="1" x14ac:dyDescent="0.4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" thickBot="1" x14ac:dyDescent="0.4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" thickBot="1" x14ac:dyDescent="0.4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" thickBot="1" x14ac:dyDescent="0.4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" thickBot="1" x14ac:dyDescent="0.4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" thickBot="1" x14ac:dyDescent="0.4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" thickBot="1" x14ac:dyDescent="0.4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" thickBot="1" x14ac:dyDescent="0.4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" thickBot="1" x14ac:dyDescent="0.4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" thickBot="1" x14ac:dyDescent="0.4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" thickBot="1" x14ac:dyDescent="0.4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" thickBot="1" x14ac:dyDescent="0.4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" thickBot="1" x14ac:dyDescent="0.4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" thickBot="1" x14ac:dyDescent="0.4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" thickBot="1" x14ac:dyDescent="0.4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" thickBot="1" x14ac:dyDescent="0.4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" thickBot="1" x14ac:dyDescent="0.4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" thickBot="1" x14ac:dyDescent="0.4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" thickBot="1" x14ac:dyDescent="0.4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" thickBot="1" x14ac:dyDescent="0.4">
      <c r="A77" s="56">
        <v>44271</v>
      </c>
      <c r="D77" s="58"/>
      <c r="E77" s="59"/>
      <c r="F77" s="60"/>
      <c r="G77" s="61"/>
      <c r="H77" s="61">
        <v>4140</v>
      </c>
      <c r="I77" s="61" t="str">
        <f t="shared" ref="I77:J132" si="10">IF(D77="","",+(D77-D76)*4140)</f>
        <v/>
      </c>
      <c r="J77" s="61" t="str">
        <f t="shared" si="10"/>
        <v/>
      </c>
      <c r="K77" s="62" t="str">
        <f t="shared" ref="K77:K132" si="11">IF(J77="","",+(J77/I77))</f>
        <v/>
      </c>
      <c r="L77" s="61" t="str">
        <f t="shared" ref="L77:L132" si="12">IF(F77="","",+(F77-F76)*4140)</f>
        <v/>
      </c>
      <c r="M77" s="62" t="str">
        <f t="shared" ref="M77:M132" si="13">IF(L77="","",(L77/I77))</f>
        <v/>
      </c>
      <c r="N77" s="63">
        <v>66068309</v>
      </c>
      <c r="O77" s="63">
        <f t="shared" ref="O77:O131" si="14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" thickBot="1" x14ac:dyDescent="0.4">
      <c r="A78" s="56">
        <v>44272</v>
      </c>
      <c r="D78" s="58"/>
      <c r="E78" s="59"/>
      <c r="F78" s="60"/>
      <c r="G78" s="61"/>
      <c r="H78" s="61">
        <v>4140</v>
      </c>
      <c r="I78" s="61" t="str">
        <f t="shared" si="10"/>
        <v/>
      </c>
      <c r="J78" s="61" t="str">
        <f t="shared" si="10"/>
        <v/>
      </c>
      <c r="K78" s="62" t="str">
        <f t="shared" si="11"/>
        <v/>
      </c>
      <c r="L78" s="61" t="str">
        <f t="shared" si="12"/>
        <v/>
      </c>
      <c r="M78" s="62" t="str">
        <f t="shared" si="13"/>
        <v/>
      </c>
      <c r="N78" s="63">
        <v>66068309</v>
      </c>
      <c r="O78" s="63">
        <f t="shared" si="14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" thickBot="1" x14ac:dyDescent="0.4">
      <c r="A79" s="56">
        <v>44273</v>
      </c>
      <c r="D79" s="58"/>
      <c r="E79" s="59"/>
      <c r="F79" s="60"/>
      <c r="G79" s="61"/>
      <c r="H79" s="61">
        <v>4140</v>
      </c>
      <c r="I79" s="61" t="str">
        <f t="shared" si="10"/>
        <v/>
      </c>
      <c r="J79" s="61" t="str">
        <f t="shared" si="10"/>
        <v/>
      </c>
      <c r="K79" s="62" t="str">
        <f t="shared" si="11"/>
        <v/>
      </c>
      <c r="L79" s="61" t="str">
        <f t="shared" si="12"/>
        <v/>
      </c>
      <c r="M79" s="62" t="str">
        <f t="shared" si="13"/>
        <v/>
      </c>
      <c r="N79" s="63">
        <v>66068309</v>
      </c>
      <c r="O79" s="63">
        <f t="shared" si="14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" thickBot="1" x14ac:dyDescent="0.4">
      <c r="A80" s="56">
        <v>44274</v>
      </c>
      <c r="D80" s="58"/>
      <c r="E80" s="59"/>
      <c r="F80" s="60"/>
      <c r="G80" s="61"/>
      <c r="H80" s="61">
        <v>4140</v>
      </c>
      <c r="I80" s="61" t="str">
        <f t="shared" si="10"/>
        <v/>
      </c>
      <c r="J80" s="61" t="str">
        <f t="shared" si="10"/>
        <v/>
      </c>
      <c r="K80" s="62" t="str">
        <f t="shared" si="11"/>
        <v/>
      </c>
      <c r="L80" s="61" t="str">
        <f t="shared" si="12"/>
        <v/>
      </c>
      <c r="M80" s="62" t="str">
        <f t="shared" si="13"/>
        <v/>
      </c>
      <c r="N80" s="63">
        <v>66068309</v>
      </c>
      <c r="O80" s="63">
        <f t="shared" si="14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" thickBot="1" x14ac:dyDescent="0.4">
      <c r="A81" s="56">
        <v>44275</v>
      </c>
      <c r="D81" s="58"/>
      <c r="E81" s="59"/>
      <c r="F81" s="60"/>
      <c r="G81" s="61"/>
      <c r="H81" s="61">
        <v>4140</v>
      </c>
      <c r="I81" s="61" t="str">
        <f t="shared" si="10"/>
        <v/>
      </c>
      <c r="J81" s="61" t="str">
        <f t="shared" si="10"/>
        <v/>
      </c>
      <c r="K81" s="62" t="str">
        <f t="shared" si="11"/>
        <v/>
      </c>
      <c r="L81" s="61" t="str">
        <f>IF(F81="","",+(F81-F80)*4140)</f>
        <v/>
      </c>
      <c r="M81" s="62" t="str">
        <f t="shared" si="13"/>
        <v/>
      </c>
      <c r="N81" s="63">
        <v>66068309</v>
      </c>
      <c r="O81" s="63">
        <f t="shared" si="14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" thickBot="1" x14ac:dyDescent="0.4">
      <c r="A82" s="56">
        <v>44276</v>
      </c>
      <c r="D82" s="58"/>
      <c r="E82" s="59"/>
      <c r="F82" s="60"/>
      <c r="G82" s="61"/>
      <c r="H82" s="61">
        <v>4140</v>
      </c>
      <c r="I82" s="61" t="str">
        <f t="shared" si="10"/>
        <v/>
      </c>
      <c r="J82" s="61" t="str">
        <f t="shared" si="10"/>
        <v/>
      </c>
      <c r="K82" s="62" t="str">
        <f t="shared" si="11"/>
        <v/>
      </c>
      <c r="L82" s="61" t="str">
        <f>IF(F82="","",+(F82-F81)*4140)</f>
        <v/>
      </c>
      <c r="M82" s="62" t="str">
        <f t="shared" si="13"/>
        <v/>
      </c>
      <c r="N82" s="63">
        <v>66068309</v>
      </c>
      <c r="O82" s="63">
        <f t="shared" si="14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" thickBot="1" x14ac:dyDescent="0.4">
      <c r="A83" s="56">
        <v>44277</v>
      </c>
      <c r="D83" s="58"/>
      <c r="E83" s="59"/>
      <c r="F83" s="60"/>
      <c r="G83" s="61"/>
      <c r="H83" s="61">
        <v>4140</v>
      </c>
      <c r="I83" s="61" t="str">
        <f t="shared" si="10"/>
        <v/>
      </c>
      <c r="J83" s="61" t="str">
        <f t="shared" si="10"/>
        <v/>
      </c>
      <c r="K83" s="62" t="str">
        <f t="shared" si="11"/>
        <v/>
      </c>
      <c r="L83" s="61" t="str">
        <f t="shared" si="12"/>
        <v/>
      </c>
      <c r="M83" s="62" t="str">
        <f t="shared" si="13"/>
        <v/>
      </c>
      <c r="N83" s="63">
        <v>66068309</v>
      </c>
      <c r="O83" s="63">
        <f t="shared" si="14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" thickBot="1" x14ac:dyDescent="0.4">
      <c r="A84" s="56">
        <v>44278</v>
      </c>
      <c r="D84" s="58"/>
      <c r="E84" s="59"/>
      <c r="F84" s="60"/>
      <c r="G84" s="61"/>
      <c r="H84" s="61">
        <v>4140</v>
      </c>
      <c r="I84" s="61" t="str">
        <f t="shared" si="10"/>
        <v/>
      </c>
      <c r="J84" s="61" t="str">
        <f t="shared" si="10"/>
        <v/>
      </c>
      <c r="K84" s="62" t="str">
        <f>IF(J84="","",+(J84/I84))</f>
        <v/>
      </c>
      <c r="L84" s="61" t="str">
        <f t="shared" si="12"/>
        <v/>
      </c>
      <c r="M84" s="62" t="str">
        <f t="shared" si="13"/>
        <v/>
      </c>
      <c r="N84" s="63">
        <v>66068309</v>
      </c>
      <c r="O84" s="63">
        <f t="shared" si="14"/>
        <v>0</v>
      </c>
      <c r="P84" s="72">
        <f>IF(J63="",0,+SUM(J63:J93)/SUM(I63:I93))</f>
        <v>3.9091325307694325E-2</v>
      </c>
      <c r="Q84" s="72">
        <f>IF(L63="",0,+SUM(L63:L93)/SUM(I63:I93))</f>
        <v>1.4920147585575321E-2</v>
      </c>
      <c r="R84" s="20">
        <f t="shared" si="8"/>
        <v>1</v>
      </c>
      <c r="S84" s="20">
        <f t="shared" si="9"/>
        <v>0</v>
      </c>
      <c r="T84" s="67"/>
    </row>
    <row r="85" spans="1:20" ht="15" thickBot="1" x14ac:dyDescent="0.4">
      <c r="A85" s="56">
        <v>44279</v>
      </c>
      <c r="D85" s="58"/>
      <c r="E85" s="59"/>
      <c r="F85" s="60"/>
      <c r="G85" s="61"/>
      <c r="H85" s="61">
        <v>4140</v>
      </c>
      <c r="I85" s="61" t="str">
        <f t="shared" si="10"/>
        <v/>
      </c>
      <c r="J85" s="61" t="str">
        <f t="shared" si="10"/>
        <v/>
      </c>
      <c r="K85" s="62" t="str">
        <f t="shared" si="11"/>
        <v/>
      </c>
      <c r="L85" s="61" t="str">
        <f t="shared" si="12"/>
        <v/>
      </c>
      <c r="M85" s="62" t="str">
        <f t="shared" si="13"/>
        <v/>
      </c>
      <c r="N85" s="63">
        <v>66068309</v>
      </c>
      <c r="O85" s="63">
        <f t="shared" si="14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" thickBot="1" x14ac:dyDescent="0.4">
      <c r="A86" s="56">
        <v>44280</v>
      </c>
      <c r="D86" s="58"/>
      <c r="E86" s="59"/>
      <c r="F86" s="60"/>
      <c r="G86" s="61"/>
      <c r="H86" s="61">
        <v>4140</v>
      </c>
      <c r="I86" s="61" t="str">
        <f t="shared" si="10"/>
        <v/>
      </c>
      <c r="J86" s="61" t="str">
        <f t="shared" si="10"/>
        <v/>
      </c>
      <c r="K86" s="62" t="str">
        <f t="shared" si="11"/>
        <v/>
      </c>
      <c r="L86" s="61" t="str">
        <f t="shared" si="12"/>
        <v/>
      </c>
      <c r="M86" s="62" t="str">
        <f t="shared" si="13"/>
        <v/>
      </c>
      <c r="N86" s="63">
        <v>66068309</v>
      </c>
      <c r="O86" s="63">
        <f t="shared" si="14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" thickBot="1" x14ac:dyDescent="0.4">
      <c r="A87" s="56">
        <v>44281</v>
      </c>
      <c r="D87" s="58"/>
      <c r="E87" s="59"/>
      <c r="F87" s="60"/>
      <c r="G87" s="61"/>
      <c r="H87" s="61">
        <v>4140</v>
      </c>
      <c r="I87" s="61" t="str">
        <f t="shared" si="10"/>
        <v/>
      </c>
      <c r="J87" s="61" t="str">
        <f t="shared" si="10"/>
        <v/>
      </c>
      <c r="K87" s="62" t="str">
        <f t="shared" si="11"/>
        <v/>
      </c>
      <c r="L87" s="61" t="str">
        <f>IF(F87="","",+(F87-F86)*4140)</f>
        <v/>
      </c>
      <c r="M87" s="62" t="str">
        <f t="shared" si="13"/>
        <v/>
      </c>
      <c r="N87" s="63">
        <v>66068309</v>
      </c>
      <c r="O87" s="63">
        <f t="shared" si="14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" thickBot="1" x14ac:dyDescent="0.4">
      <c r="A88" s="56">
        <v>44282</v>
      </c>
      <c r="D88" s="58"/>
      <c r="E88" s="59"/>
      <c r="F88" s="60"/>
      <c r="G88" s="61"/>
      <c r="H88" s="61">
        <v>4140</v>
      </c>
      <c r="I88" s="61" t="str">
        <f t="shared" si="10"/>
        <v/>
      </c>
      <c r="J88" s="61" t="str">
        <f t="shared" si="10"/>
        <v/>
      </c>
      <c r="K88" s="62" t="str">
        <f t="shared" si="11"/>
        <v/>
      </c>
      <c r="L88" s="61" t="str">
        <f>IF(F88="","",+(F88-F87)*4140)</f>
        <v/>
      </c>
      <c r="M88" s="62" t="str">
        <f t="shared" si="13"/>
        <v/>
      </c>
      <c r="N88" s="63">
        <v>66068309</v>
      </c>
      <c r="O88" s="63">
        <f t="shared" si="14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" thickBot="1" x14ac:dyDescent="0.4">
      <c r="A89" s="56">
        <v>44283</v>
      </c>
      <c r="D89" s="58"/>
      <c r="E89" s="59"/>
      <c r="F89" s="60"/>
      <c r="G89" s="61"/>
      <c r="H89" s="61">
        <v>4140</v>
      </c>
      <c r="I89" s="61" t="str">
        <f t="shared" si="10"/>
        <v/>
      </c>
      <c r="J89" s="61" t="str">
        <f t="shared" si="10"/>
        <v/>
      </c>
      <c r="K89" s="62" t="str">
        <f t="shared" si="11"/>
        <v/>
      </c>
      <c r="L89" s="61" t="str">
        <f>IF(F89="","",+(F89-F88)*4140)</f>
        <v/>
      </c>
      <c r="M89" s="62" t="str">
        <f t="shared" si="13"/>
        <v/>
      </c>
      <c r="N89" s="63">
        <v>66068309</v>
      </c>
      <c r="O89" s="63">
        <f t="shared" si="14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" thickBot="1" x14ac:dyDescent="0.4">
      <c r="A90" s="56">
        <v>44284</v>
      </c>
      <c r="D90" s="58"/>
      <c r="E90" s="59"/>
      <c r="F90" s="60"/>
      <c r="G90" s="61"/>
      <c r="H90" s="61">
        <v>4140</v>
      </c>
      <c r="I90" s="61" t="str">
        <f t="shared" si="10"/>
        <v/>
      </c>
      <c r="J90" s="61" t="str">
        <f t="shared" si="10"/>
        <v/>
      </c>
      <c r="K90" s="62" t="str">
        <f t="shared" si="11"/>
        <v/>
      </c>
      <c r="L90" s="61" t="str">
        <f t="shared" si="12"/>
        <v/>
      </c>
      <c r="M90" s="62" t="str">
        <f t="shared" si="13"/>
        <v/>
      </c>
      <c r="N90" s="63">
        <v>66068309</v>
      </c>
      <c r="O90" s="63">
        <f t="shared" si="14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" thickBot="1" x14ac:dyDescent="0.4">
      <c r="A91" s="56">
        <v>44285</v>
      </c>
      <c r="D91" s="58"/>
      <c r="E91" s="59"/>
      <c r="F91" s="60"/>
      <c r="G91" s="61"/>
      <c r="H91" s="61">
        <v>4140</v>
      </c>
      <c r="I91" s="61" t="str">
        <f t="shared" si="10"/>
        <v/>
      </c>
      <c r="J91" s="61" t="str">
        <f t="shared" si="10"/>
        <v/>
      </c>
      <c r="K91" s="62" t="str">
        <f t="shared" si="11"/>
        <v/>
      </c>
      <c r="L91" s="61" t="str">
        <f t="shared" si="12"/>
        <v/>
      </c>
      <c r="M91" s="62" t="str">
        <f t="shared" si="13"/>
        <v/>
      </c>
      <c r="N91" s="63">
        <v>66068309</v>
      </c>
      <c r="O91" s="63">
        <f t="shared" si="14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" thickBot="1" x14ac:dyDescent="0.4">
      <c r="A92" s="56">
        <v>44286</v>
      </c>
      <c r="D92" s="58"/>
      <c r="E92" s="59"/>
      <c r="F92" s="60"/>
      <c r="G92" s="61"/>
      <c r="H92" s="61">
        <v>4140</v>
      </c>
      <c r="I92" s="61" t="str">
        <f t="shared" si="10"/>
        <v/>
      </c>
      <c r="J92" s="61" t="str">
        <f t="shared" si="10"/>
        <v/>
      </c>
      <c r="K92" s="62" t="str">
        <f t="shared" si="11"/>
        <v/>
      </c>
      <c r="L92" s="61" t="str">
        <f t="shared" si="12"/>
        <v/>
      </c>
      <c r="M92" s="62" t="str">
        <f t="shared" si="13"/>
        <v/>
      </c>
      <c r="N92" s="63">
        <v>66068309</v>
      </c>
      <c r="O92" s="63">
        <f t="shared" si="14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" thickBot="1" x14ac:dyDescent="0.4">
      <c r="A93" s="56">
        <v>44287</v>
      </c>
      <c r="D93" s="91"/>
      <c r="E93" s="91"/>
      <c r="F93" s="91"/>
      <c r="G93" s="92"/>
      <c r="H93" s="61">
        <v>4140</v>
      </c>
      <c r="I93" s="92" t="str">
        <f t="shared" si="10"/>
        <v/>
      </c>
      <c r="J93" s="92" t="str">
        <f t="shared" si="10"/>
        <v/>
      </c>
      <c r="K93" s="93" t="str">
        <f t="shared" si="11"/>
        <v/>
      </c>
      <c r="L93" s="92" t="str">
        <f t="shared" si="12"/>
        <v/>
      </c>
      <c r="M93" s="93" t="str">
        <f t="shared" si="13"/>
        <v/>
      </c>
      <c r="N93" s="94">
        <v>66068309</v>
      </c>
      <c r="O93" s="95">
        <f t="shared" si="14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" thickBot="1" x14ac:dyDescent="0.4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0"/>
        <v/>
      </c>
      <c r="J94" s="61" t="str">
        <f t="shared" si="10"/>
        <v/>
      </c>
      <c r="K94" s="62" t="str">
        <f t="shared" si="11"/>
        <v/>
      </c>
      <c r="L94" s="61" t="str">
        <f t="shared" si="12"/>
        <v/>
      </c>
      <c r="M94" s="62" t="str">
        <f t="shared" si="13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" thickBot="1" x14ac:dyDescent="0.4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0"/>
        <v/>
      </c>
      <c r="J95" s="61" t="str">
        <f t="shared" si="10"/>
        <v/>
      </c>
      <c r="K95" s="62" t="str">
        <f t="shared" si="11"/>
        <v/>
      </c>
      <c r="L95" s="61" t="str">
        <f t="shared" si="12"/>
        <v/>
      </c>
      <c r="M95" s="62" t="str">
        <f t="shared" si="13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" thickBot="1" x14ac:dyDescent="0.4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0"/>
        <v/>
      </c>
      <c r="J96" s="61" t="str">
        <f t="shared" si="10"/>
        <v/>
      </c>
      <c r="K96" s="62" t="str">
        <f t="shared" si="11"/>
        <v/>
      </c>
      <c r="L96" s="61" t="str">
        <f t="shared" si="12"/>
        <v/>
      </c>
      <c r="M96" s="62" t="str">
        <f t="shared" si="13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" thickBot="1" x14ac:dyDescent="0.4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0"/>
        <v/>
      </c>
      <c r="J97" s="61" t="str">
        <f t="shared" si="10"/>
        <v/>
      </c>
      <c r="K97" s="62" t="str">
        <f t="shared" si="11"/>
        <v/>
      </c>
      <c r="L97" s="61" t="str">
        <f t="shared" si="12"/>
        <v/>
      </c>
      <c r="M97" s="62" t="str">
        <f t="shared" si="13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9"/>
        <v>0</v>
      </c>
      <c r="T97" s="67"/>
    </row>
    <row r="98" spans="1:20" ht="15" thickBot="1" x14ac:dyDescent="0.4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0"/>
        <v/>
      </c>
      <c r="J98" s="61" t="str">
        <f t="shared" si="10"/>
        <v/>
      </c>
      <c r="K98" s="62" t="str">
        <f t="shared" si="11"/>
        <v/>
      </c>
      <c r="L98" s="61" t="str">
        <f t="shared" si="12"/>
        <v/>
      </c>
      <c r="M98" s="62" t="str">
        <f t="shared" si="13"/>
        <v/>
      </c>
      <c r="N98" s="63">
        <v>66068309</v>
      </c>
      <c r="O98" s="63">
        <f t="shared" si="14"/>
        <v>0</v>
      </c>
      <c r="P98" s="104"/>
      <c r="Q98" s="103"/>
      <c r="R98" s="20">
        <f t="shared" si="15"/>
        <v>1</v>
      </c>
      <c r="S98" s="20">
        <f t="shared" si="9"/>
        <v>0</v>
      </c>
    </row>
    <row r="99" spans="1:20" ht="15" thickBot="1" x14ac:dyDescent="0.4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0"/>
        <v/>
      </c>
      <c r="J99" s="61" t="str">
        <f t="shared" si="10"/>
        <v/>
      </c>
      <c r="K99" s="62" t="str">
        <f t="shared" si="11"/>
        <v/>
      </c>
      <c r="L99" s="61" t="str">
        <f>IF(F99="","",+(F99-F98)*4140)</f>
        <v/>
      </c>
      <c r="M99" s="62" t="str">
        <f t="shared" si="13"/>
        <v/>
      </c>
      <c r="N99" s="63">
        <v>66068309</v>
      </c>
      <c r="O99" s="63">
        <f t="shared" si="14"/>
        <v>0</v>
      </c>
      <c r="P99" s="64"/>
      <c r="Q99" s="65"/>
      <c r="R99" s="20">
        <f t="shared" si="15"/>
        <v>1</v>
      </c>
      <c r="S99" s="20">
        <f t="shared" si="9"/>
        <v>0</v>
      </c>
    </row>
    <row r="100" spans="1:20" ht="15" thickBot="1" x14ac:dyDescent="0.4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0"/>
        <v/>
      </c>
      <c r="J100" s="61" t="str">
        <f t="shared" si="10"/>
        <v/>
      </c>
      <c r="K100" s="62" t="str">
        <f t="shared" si="11"/>
        <v/>
      </c>
      <c r="L100" s="61" t="str">
        <f t="shared" si="12"/>
        <v/>
      </c>
      <c r="M100" s="62" t="str">
        <f t="shared" si="13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9"/>
        <v>0</v>
      </c>
    </row>
    <row r="101" spans="1:20" ht="15" thickBot="1" x14ac:dyDescent="0.4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0"/>
        <v/>
      </c>
      <c r="J101" s="61" t="str">
        <f t="shared" si="10"/>
        <v/>
      </c>
      <c r="K101" s="62" t="str">
        <f t="shared" si="11"/>
        <v/>
      </c>
      <c r="L101" s="61" t="str">
        <f t="shared" si="12"/>
        <v/>
      </c>
      <c r="M101" s="62" t="str">
        <f t="shared" si="13"/>
        <v/>
      </c>
      <c r="N101" s="63">
        <v>66068309</v>
      </c>
      <c r="O101" s="63">
        <f t="shared" si="14"/>
        <v>0</v>
      </c>
      <c r="P101" s="64"/>
      <c r="Q101" s="66"/>
      <c r="R101" s="20">
        <f t="shared" si="15"/>
        <v>1</v>
      </c>
      <c r="S101" s="20">
        <f t="shared" si="9"/>
        <v>0</v>
      </c>
      <c r="T101" s="67"/>
    </row>
    <row r="102" spans="1:20" ht="15" thickBot="1" x14ac:dyDescent="0.4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0"/>
        <v/>
      </c>
      <c r="J102" s="61" t="str">
        <f t="shared" si="10"/>
        <v/>
      </c>
      <c r="K102" s="62" t="str">
        <f t="shared" si="11"/>
        <v/>
      </c>
      <c r="L102" s="61" t="str">
        <f t="shared" si="12"/>
        <v/>
      </c>
      <c r="M102" s="62" t="str">
        <f t="shared" si="13"/>
        <v/>
      </c>
      <c r="N102" s="63">
        <v>66068309</v>
      </c>
      <c r="O102" s="63">
        <f t="shared" si="14"/>
        <v>0</v>
      </c>
      <c r="P102" s="64"/>
      <c r="Q102" s="66"/>
      <c r="R102" s="20">
        <f t="shared" si="15"/>
        <v>1</v>
      </c>
      <c r="S102" s="20">
        <f t="shared" si="9"/>
        <v>0</v>
      </c>
      <c r="T102" s="67"/>
    </row>
    <row r="103" spans="1:20" ht="15" thickBot="1" x14ac:dyDescent="0.4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0"/>
        <v/>
      </c>
      <c r="J103" s="61" t="str">
        <f t="shared" si="10"/>
        <v/>
      </c>
      <c r="K103" s="62" t="str">
        <f t="shared" si="11"/>
        <v/>
      </c>
      <c r="L103" s="61" t="str">
        <f t="shared" si="12"/>
        <v/>
      </c>
      <c r="M103" s="62" t="str">
        <f t="shared" si="13"/>
        <v/>
      </c>
      <c r="N103" s="63">
        <v>66068309</v>
      </c>
      <c r="O103" s="63">
        <f t="shared" si="14"/>
        <v>0</v>
      </c>
      <c r="P103" s="64"/>
      <c r="Q103" s="65"/>
      <c r="R103" s="20">
        <f t="shared" si="15"/>
        <v>1</v>
      </c>
      <c r="S103" s="20">
        <f t="shared" si="9"/>
        <v>0</v>
      </c>
    </row>
    <row r="104" spans="1:20" ht="15" thickBot="1" x14ac:dyDescent="0.4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0"/>
        <v/>
      </c>
      <c r="J104" s="61" t="str">
        <f t="shared" si="10"/>
        <v/>
      </c>
      <c r="K104" s="62" t="str">
        <f t="shared" si="11"/>
        <v/>
      </c>
      <c r="L104" s="61" t="str">
        <f t="shared" si="12"/>
        <v/>
      </c>
      <c r="M104" s="62" t="str">
        <f t="shared" si="13"/>
        <v/>
      </c>
      <c r="N104" s="63">
        <v>66068309</v>
      </c>
      <c r="O104" s="63">
        <f t="shared" si="14"/>
        <v>0</v>
      </c>
      <c r="P104" s="64"/>
      <c r="Q104" s="65"/>
      <c r="R104" s="20">
        <f t="shared" si="15"/>
        <v>1</v>
      </c>
      <c r="S104" s="20">
        <f t="shared" si="9"/>
        <v>0</v>
      </c>
    </row>
    <row r="105" spans="1:20" ht="15" thickBot="1" x14ac:dyDescent="0.4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0"/>
        <v/>
      </c>
      <c r="J105" s="61" t="str">
        <f t="shared" si="10"/>
        <v/>
      </c>
      <c r="K105" s="62" t="str">
        <f t="shared" si="11"/>
        <v/>
      </c>
      <c r="L105" s="61" t="str">
        <f t="shared" si="12"/>
        <v/>
      </c>
      <c r="M105" s="62" t="str">
        <f t="shared" si="13"/>
        <v/>
      </c>
      <c r="N105" s="63">
        <v>66068309</v>
      </c>
      <c r="O105" s="63">
        <f t="shared" si="14"/>
        <v>0</v>
      </c>
      <c r="P105" s="64"/>
      <c r="Q105" s="66"/>
      <c r="R105" s="20">
        <f t="shared" si="15"/>
        <v>1</v>
      </c>
      <c r="S105" s="20">
        <f t="shared" si="9"/>
        <v>0</v>
      </c>
    </row>
    <row r="106" spans="1:20" ht="15" thickBot="1" x14ac:dyDescent="0.4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0"/>
        <v/>
      </c>
      <c r="J106" s="61" t="str">
        <f t="shared" si="10"/>
        <v/>
      </c>
      <c r="K106" s="62" t="str">
        <f t="shared" si="11"/>
        <v/>
      </c>
      <c r="L106" s="61" t="str">
        <f t="shared" si="12"/>
        <v/>
      </c>
      <c r="M106" s="62" t="str">
        <f>IF(L106="","",(L106/I106))</f>
        <v/>
      </c>
      <c r="N106" s="63">
        <v>66068309</v>
      </c>
      <c r="O106" s="63">
        <f t="shared" si="14"/>
        <v>0</v>
      </c>
      <c r="P106" s="64"/>
      <c r="Q106" s="66"/>
      <c r="R106" s="20">
        <f t="shared" si="15"/>
        <v>1</v>
      </c>
      <c r="S106" s="20">
        <f t="shared" si="9"/>
        <v>0</v>
      </c>
      <c r="T106" s="67"/>
    </row>
    <row r="107" spans="1:20" ht="15" thickBot="1" x14ac:dyDescent="0.4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0"/>
        <v/>
      </c>
      <c r="J107" s="61" t="str">
        <f t="shared" si="10"/>
        <v/>
      </c>
      <c r="K107" s="62" t="str">
        <f t="shared" si="11"/>
        <v/>
      </c>
      <c r="L107" s="61" t="str">
        <f t="shared" si="12"/>
        <v/>
      </c>
      <c r="M107" s="62" t="str">
        <f t="shared" si="13"/>
        <v/>
      </c>
      <c r="N107" s="63">
        <v>66068309</v>
      </c>
      <c r="O107" s="63">
        <f t="shared" si="14"/>
        <v>0</v>
      </c>
      <c r="P107" s="64"/>
      <c r="Q107" s="65"/>
      <c r="R107" s="20">
        <f t="shared" si="15"/>
        <v>1</v>
      </c>
      <c r="S107" s="20">
        <f t="shared" si="9"/>
        <v>0</v>
      </c>
      <c r="T107" s="67"/>
    </row>
    <row r="108" spans="1:20" ht="15" thickBot="1" x14ac:dyDescent="0.4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0"/>
        <v/>
      </c>
      <c r="J108" s="61" t="str">
        <f t="shared" si="10"/>
        <v/>
      </c>
      <c r="K108" s="62" t="str">
        <f t="shared" si="11"/>
        <v/>
      </c>
      <c r="L108" s="61" t="str">
        <f t="shared" si="12"/>
        <v/>
      </c>
      <c r="M108" s="62" t="str">
        <f t="shared" si="13"/>
        <v/>
      </c>
      <c r="N108" s="63">
        <v>66068309</v>
      </c>
      <c r="O108" s="63">
        <f t="shared" si="14"/>
        <v>0</v>
      </c>
      <c r="P108" s="64"/>
      <c r="Q108" s="65"/>
      <c r="R108" s="20">
        <f t="shared" si="15"/>
        <v>1</v>
      </c>
      <c r="S108" s="20">
        <f t="shared" si="9"/>
        <v>0</v>
      </c>
    </row>
    <row r="109" spans="1:20" ht="15" thickBot="1" x14ac:dyDescent="0.4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0"/>
        <v/>
      </c>
      <c r="J109" s="61" t="str">
        <f t="shared" si="10"/>
        <v/>
      </c>
      <c r="K109" s="62" t="str">
        <f t="shared" si="11"/>
        <v/>
      </c>
      <c r="L109" s="61" t="str">
        <f t="shared" si="12"/>
        <v/>
      </c>
      <c r="M109" s="62" t="str">
        <f t="shared" si="13"/>
        <v/>
      </c>
      <c r="N109" s="63">
        <v>66068309</v>
      </c>
      <c r="O109" s="63">
        <f t="shared" si="14"/>
        <v>0</v>
      </c>
      <c r="P109" s="64"/>
      <c r="Q109" s="65"/>
      <c r="R109" s="20">
        <f t="shared" si="15"/>
        <v>1</v>
      </c>
      <c r="S109" s="20">
        <f t="shared" si="9"/>
        <v>0</v>
      </c>
    </row>
    <row r="110" spans="1:20" ht="15" thickBot="1" x14ac:dyDescent="0.4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0"/>
        <v/>
      </c>
      <c r="J110" s="61" t="str">
        <f t="shared" si="10"/>
        <v/>
      </c>
      <c r="K110" s="62" t="str">
        <f t="shared" si="11"/>
        <v/>
      </c>
      <c r="L110" s="61" t="str">
        <f t="shared" si="12"/>
        <v/>
      </c>
      <c r="M110" s="62" t="str">
        <f t="shared" si="13"/>
        <v/>
      </c>
      <c r="N110" s="63">
        <v>66068309</v>
      </c>
      <c r="O110" s="63">
        <f t="shared" si="14"/>
        <v>0</v>
      </c>
      <c r="P110" s="64"/>
      <c r="Q110" s="106"/>
      <c r="R110" s="20">
        <f t="shared" si="15"/>
        <v>1</v>
      </c>
      <c r="S110" s="20">
        <f t="shared" si="9"/>
        <v>0</v>
      </c>
    </row>
    <row r="111" spans="1:20" ht="15" thickBot="1" x14ac:dyDescent="0.4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0"/>
        <v/>
      </c>
      <c r="J111" s="61" t="str">
        <f t="shared" si="10"/>
        <v/>
      </c>
      <c r="K111" s="62" t="str">
        <f t="shared" si="11"/>
        <v/>
      </c>
      <c r="L111" s="61" t="str">
        <f t="shared" si="12"/>
        <v/>
      </c>
      <c r="M111" s="62" t="str">
        <f t="shared" si="13"/>
        <v/>
      </c>
      <c r="N111" s="63">
        <v>66068309</v>
      </c>
      <c r="O111" s="63">
        <f t="shared" si="14"/>
        <v>0</v>
      </c>
      <c r="P111" s="202" t="s">
        <v>61</v>
      </c>
      <c r="Q111" s="203"/>
      <c r="R111" s="20">
        <f t="shared" si="15"/>
        <v>1</v>
      </c>
      <c r="S111" s="20">
        <f t="shared" si="9"/>
        <v>0</v>
      </c>
      <c r="T111" s="67"/>
    </row>
    <row r="112" spans="1:20" ht="15" thickBot="1" x14ac:dyDescent="0.4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0"/>
        <v/>
      </c>
      <c r="J112" s="61" t="str">
        <f t="shared" si="10"/>
        <v/>
      </c>
      <c r="K112" s="62" t="str">
        <f t="shared" si="11"/>
        <v/>
      </c>
      <c r="L112" s="61" t="str">
        <f t="shared" si="12"/>
        <v/>
      </c>
      <c r="M112" s="62" t="str">
        <f t="shared" si="13"/>
        <v/>
      </c>
      <c r="N112" s="63">
        <v>66068309</v>
      </c>
      <c r="O112" s="63">
        <f t="shared" si="14"/>
        <v>0</v>
      </c>
      <c r="P112" s="204"/>
      <c r="Q112" s="205"/>
      <c r="R112" s="20">
        <f t="shared" si="15"/>
        <v>1</v>
      </c>
      <c r="S112" s="20">
        <f t="shared" si="9"/>
        <v>0</v>
      </c>
      <c r="T112" s="67"/>
    </row>
    <row r="113" spans="1:20" ht="15" thickBot="1" x14ac:dyDescent="0.4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0"/>
        <v/>
      </c>
      <c r="J113" s="61" t="str">
        <f t="shared" si="10"/>
        <v/>
      </c>
      <c r="K113" s="62" t="str">
        <f t="shared" si="11"/>
        <v/>
      </c>
      <c r="L113" s="61" t="str">
        <f t="shared" si="12"/>
        <v/>
      </c>
      <c r="M113" s="62" t="str">
        <f t="shared" si="13"/>
        <v/>
      </c>
      <c r="N113" s="63">
        <v>66068309</v>
      </c>
      <c r="O113" s="63">
        <f t="shared" si="14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9"/>
        <v>0</v>
      </c>
    </row>
    <row r="114" spans="1:20" ht="15" thickBot="1" x14ac:dyDescent="0.4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0"/>
        <v/>
      </c>
      <c r="J114" s="61" t="str">
        <f t="shared" si="10"/>
        <v/>
      </c>
      <c r="K114" s="62" t="str">
        <f t="shared" si="11"/>
        <v/>
      </c>
      <c r="L114" s="61" t="str">
        <f t="shared" si="12"/>
        <v/>
      </c>
      <c r="M114" s="62" t="str">
        <f t="shared" si="13"/>
        <v/>
      </c>
      <c r="N114" s="63">
        <v>66068309</v>
      </c>
      <c r="O114" s="63">
        <f t="shared" si="14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9"/>
        <v>0</v>
      </c>
    </row>
    <row r="115" spans="1:20" ht="15" thickBot="1" x14ac:dyDescent="0.4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0"/>
        <v/>
      </c>
      <c r="J115" s="61" t="str">
        <f t="shared" si="10"/>
        <v/>
      </c>
      <c r="K115" s="62" t="str">
        <f t="shared" si="11"/>
        <v/>
      </c>
      <c r="L115" s="61" t="str">
        <f t="shared" si="12"/>
        <v/>
      </c>
      <c r="M115" s="62" t="str">
        <f t="shared" si="13"/>
        <v/>
      </c>
      <c r="N115" s="63">
        <v>66068309</v>
      </c>
      <c r="O115" s="63">
        <f t="shared" si="14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9"/>
        <v>0</v>
      </c>
      <c r="T115" s="67"/>
    </row>
    <row r="116" spans="1:20" ht="15" thickBot="1" x14ac:dyDescent="0.4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0"/>
        <v/>
      </c>
      <c r="J116" s="61" t="str">
        <f t="shared" si="10"/>
        <v/>
      </c>
      <c r="K116" s="62" t="str">
        <f t="shared" si="11"/>
        <v/>
      </c>
      <c r="L116" s="61" t="str">
        <f t="shared" si="12"/>
        <v/>
      </c>
      <c r="M116" s="62" t="str">
        <f t="shared" si="13"/>
        <v/>
      </c>
      <c r="N116" s="63">
        <v>66068309</v>
      </c>
      <c r="O116" s="63">
        <f t="shared" si="14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9"/>
        <v>0</v>
      </c>
      <c r="T116" s="67"/>
    </row>
    <row r="117" spans="1:20" ht="15" thickBot="1" x14ac:dyDescent="0.4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0"/>
        <v/>
      </c>
      <c r="J117" s="61" t="str">
        <f t="shared" si="10"/>
        <v/>
      </c>
      <c r="K117" s="62" t="str">
        <f t="shared" si="11"/>
        <v/>
      </c>
      <c r="L117" s="61" t="str">
        <f t="shared" si="12"/>
        <v/>
      </c>
      <c r="M117" s="62" t="str">
        <f t="shared" si="13"/>
        <v/>
      </c>
      <c r="N117" s="63">
        <v>66068309</v>
      </c>
      <c r="O117" s="63">
        <f t="shared" si="14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9"/>
        <v>0</v>
      </c>
      <c r="T117" s="67"/>
    </row>
    <row r="118" spans="1:20" ht="15" thickBot="1" x14ac:dyDescent="0.4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0"/>
        <v/>
      </c>
      <c r="J118" s="61" t="str">
        <f t="shared" si="10"/>
        <v/>
      </c>
      <c r="K118" s="62" t="str">
        <f t="shared" si="11"/>
        <v/>
      </c>
      <c r="L118" s="61" t="str">
        <f t="shared" si="12"/>
        <v/>
      </c>
      <c r="M118" s="62" t="str">
        <f t="shared" si="13"/>
        <v/>
      </c>
      <c r="N118" s="63">
        <v>66068309</v>
      </c>
      <c r="O118" s="63">
        <f t="shared" si="14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9"/>
        <v>0</v>
      </c>
      <c r="T118" s="67"/>
    </row>
    <row r="119" spans="1:20" ht="15" thickBot="1" x14ac:dyDescent="0.4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0"/>
        <v/>
      </c>
      <c r="J119" s="61" t="str">
        <f t="shared" si="10"/>
        <v/>
      </c>
      <c r="K119" s="62" t="str">
        <f t="shared" si="11"/>
        <v/>
      </c>
      <c r="L119" s="61" t="str">
        <f t="shared" si="12"/>
        <v/>
      </c>
      <c r="M119" s="62" t="str">
        <f t="shared" si="13"/>
        <v/>
      </c>
      <c r="N119" s="63">
        <v>66068309</v>
      </c>
      <c r="O119" s="63">
        <f t="shared" si="14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9"/>
        <v>0</v>
      </c>
    </row>
    <row r="120" spans="1:20" ht="15" thickBot="1" x14ac:dyDescent="0.4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0"/>
        <v/>
      </c>
      <c r="J120" s="61" t="str">
        <f t="shared" si="10"/>
        <v/>
      </c>
      <c r="K120" s="62" t="str">
        <f t="shared" si="11"/>
        <v/>
      </c>
      <c r="L120" s="61" t="str">
        <f t="shared" si="12"/>
        <v/>
      </c>
      <c r="M120" s="62" t="str">
        <f t="shared" si="13"/>
        <v/>
      </c>
      <c r="N120" s="63">
        <v>66068309</v>
      </c>
      <c r="O120" s="63">
        <f t="shared" si="14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9"/>
        <v>0</v>
      </c>
    </row>
    <row r="121" spans="1:20" ht="15" thickBot="1" x14ac:dyDescent="0.4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0"/>
        <v/>
      </c>
      <c r="J121" s="61" t="str">
        <f t="shared" si="10"/>
        <v/>
      </c>
      <c r="K121" s="62" t="str">
        <f t="shared" si="11"/>
        <v/>
      </c>
      <c r="L121" s="61" t="str">
        <f t="shared" si="12"/>
        <v/>
      </c>
      <c r="M121" s="62" t="str">
        <f t="shared" si="13"/>
        <v/>
      </c>
      <c r="N121" s="63">
        <v>66068309</v>
      </c>
      <c r="O121" s="63">
        <f t="shared" si="14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9"/>
        <v>0</v>
      </c>
      <c r="T121" s="67"/>
    </row>
    <row r="122" spans="1:20" ht="15" thickBot="1" x14ac:dyDescent="0.4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0"/>
        <v/>
      </c>
      <c r="J122" s="61" t="str">
        <f t="shared" si="10"/>
        <v/>
      </c>
      <c r="K122" s="62" t="str">
        <f t="shared" si="11"/>
        <v/>
      </c>
      <c r="L122" s="61" t="str">
        <f t="shared" si="12"/>
        <v/>
      </c>
      <c r="M122" s="62" t="str">
        <f t="shared" si="13"/>
        <v/>
      </c>
      <c r="N122" s="63">
        <v>66068309</v>
      </c>
      <c r="O122" s="63">
        <f t="shared" si="14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9"/>
        <v>0</v>
      </c>
      <c r="T122" s="67"/>
    </row>
    <row r="123" spans="1:20" ht="15" thickBot="1" x14ac:dyDescent="0.4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0"/>
        <v/>
      </c>
      <c r="J123" s="92" t="str">
        <f t="shared" si="10"/>
        <v/>
      </c>
      <c r="K123" s="93" t="str">
        <f t="shared" si="11"/>
        <v/>
      </c>
      <c r="L123" s="92" t="str">
        <f t="shared" si="12"/>
        <v/>
      </c>
      <c r="M123" s="93" t="str">
        <f t="shared" si="13"/>
        <v/>
      </c>
      <c r="N123" s="94">
        <v>66068309</v>
      </c>
      <c r="O123" s="95">
        <f t="shared" si="14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9"/>
        <v>0</v>
      </c>
    </row>
    <row r="124" spans="1:20" ht="15" thickBot="1" x14ac:dyDescent="0.4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0"/>
        <v/>
      </c>
      <c r="J124" s="61" t="str">
        <f>IF(E124="","",+(E124-E123)*4140)</f>
        <v/>
      </c>
      <c r="K124" s="62" t="str">
        <f t="shared" si="11"/>
        <v/>
      </c>
      <c r="L124" s="61" t="str">
        <f t="shared" si="12"/>
        <v/>
      </c>
      <c r="M124" s="62" t="str">
        <f t="shared" si="13"/>
        <v/>
      </c>
      <c r="N124" s="63">
        <v>66068309</v>
      </c>
      <c r="O124" s="63">
        <f t="shared" si="14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9"/>
        <v>0</v>
      </c>
    </row>
    <row r="125" spans="1:20" ht="15" thickBot="1" x14ac:dyDescent="0.4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0"/>
        <v/>
      </c>
      <c r="J125" s="61" t="str">
        <f t="shared" si="10"/>
        <v/>
      </c>
      <c r="K125" s="62" t="str">
        <f t="shared" si="11"/>
        <v/>
      </c>
      <c r="L125" s="61" t="str">
        <f t="shared" si="12"/>
        <v/>
      </c>
      <c r="M125" s="62" t="str">
        <f t="shared" si="13"/>
        <v/>
      </c>
      <c r="N125" s="63">
        <v>66068309</v>
      </c>
      <c r="O125" s="63">
        <f t="shared" si="14"/>
        <v>0</v>
      </c>
      <c r="P125" s="64"/>
      <c r="Q125" s="106"/>
      <c r="R125" s="20">
        <f t="shared" si="15"/>
        <v>1</v>
      </c>
      <c r="S125" s="20">
        <f t="shared" si="9"/>
        <v>0</v>
      </c>
    </row>
    <row r="126" spans="1:20" ht="15" thickBot="1" x14ac:dyDescent="0.4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0"/>
        <v/>
      </c>
      <c r="J126" s="61" t="str">
        <f t="shared" si="10"/>
        <v/>
      </c>
      <c r="K126" s="62" t="str">
        <f t="shared" si="11"/>
        <v/>
      </c>
      <c r="L126" s="61" t="str">
        <f t="shared" si="12"/>
        <v/>
      </c>
      <c r="M126" s="62" t="str">
        <f t="shared" si="13"/>
        <v/>
      </c>
      <c r="N126" s="63">
        <v>66068309</v>
      </c>
      <c r="O126" s="63">
        <f t="shared" si="14"/>
        <v>0</v>
      </c>
      <c r="P126" s="102"/>
      <c r="Q126" s="103"/>
      <c r="R126" s="20">
        <f t="shared" si="15"/>
        <v>1</v>
      </c>
      <c r="S126" s="20">
        <f t="shared" si="9"/>
        <v>0</v>
      </c>
      <c r="T126" s="67"/>
    </row>
    <row r="127" spans="1:20" ht="15" thickBot="1" x14ac:dyDescent="0.4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0"/>
        <v/>
      </c>
      <c r="J127" s="61" t="str">
        <f t="shared" si="10"/>
        <v/>
      </c>
      <c r="K127" s="62" t="str">
        <f t="shared" si="11"/>
        <v/>
      </c>
      <c r="L127" s="61" t="str">
        <f t="shared" si="12"/>
        <v/>
      </c>
      <c r="M127" s="62" t="str">
        <f t="shared" si="13"/>
        <v/>
      </c>
      <c r="N127" s="63">
        <v>66068309</v>
      </c>
      <c r="O127" s="63">
        <f t="shared" si="14"/>
        <v>0</v>
      </c>
      <c r="P127" s="104"/>
      <c r="Q127" s="105"/>
      <c r="R127" s="20">
        <f t="shared" si="15"/>
        <v>1</v>
      </c>
      <c r="S127" s="20">
        <f t="shared" si="9"/>
        <v>0</v>
      </c>
      <c r="T127" s="67"/>
    </row>
    <row r="128" spans="1:20" ht="15" thickBot="1" x14ac:dyDescent="0.4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0"/>
        <v/>
      </c>
      <c r="J128" s="61" t="str">
        <f>IF(E128="","",+(E128-E127)*4140)</f>
        <v/>
      </c>
      <c r="K128" s="62" t="str">
        <f t="shared" si="11"/>
        <v/>
      </c>
      <c r="L128" s="61" t="str">
        <f t="shared" si="12"/>
        <v/>
      </c>
      <c r="M128" s="62" t="str">
        <f t="shared" si="13"/>
        <v/>
      </c>
      <c r="N128" s="63">
        <v>66068309</v>
      </c>
      <c r="O128" s="63">
        <f t="shared" si="14"/>
        <v>0</v>
      </c>
      <c r="P128" s="104"/>
      <c r="Q128" s="103"/>
      <c r="R128" s="20">
        <f t="shared" si="15"/>
        <v>1</v>
      </c>
      <c r="S128" s="20">
        <f t="shared" si="9"/>
        <v>0</v>
      </c>
    </row>
    <row r="129" spans="1:20" ht="15" thickBot="1" x14ac:dyDescent="0.4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0"/>
        <v/>
      </c>
      <c r="J129" s="61" t="str">
        <f t="shared" si="10"/>
        <v/>
      </c>
      <c r="K129" s="62" t="str">
        <f t="shared" si="11"/>
        <v/>
      </c>
      <c r="L129" s="61" t="str">
        <f t="shared" si="12"/>
        <v/>
      </c>
      <c r="M129" s="62" t="str">
        <f t="shared" si="13"/>
        <v/>
      </c>
      <c r="N129" s="63">
        <v>66068309</v>
      </c>
      <c r="O129" s="63">
        <f t="shared" si="14"/>
        <v>0</v>
      </c>
      <c r="P129" s="64"/>
      <c r="Q129" s="65"/>
      <c r="R129" s="20">
        <f t="shared" si="15"/>
        <v>1</v>
      </c>
      <c r="S129" s="20">
        <f t="shared" si="9"/>
        <v>0</v>
      </c>
    </row>
    <row r="130" spans="1:20" ht="15" thickBot="1" x14ac:dyDescent="0.4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0"/>
        <v/>
      </c>
      <c r="J130" s="61" t="str">
        <f t="shared" si="10"/>
        <v/>
      </c>
      <c r="K130" s="62" t="str">
        <f t="shared" si="11"/>
        <v/>
      </c>
      <c r="L130" s="61" t="str">
        <f t="shared" si="12"/>
        <v/>
      </c>
      <c r="M130" s="62" t="str">
        <f t="shared" si="13"/>
        <v/>
      </c>
      <c r="N130" s="63">
        <v>66068309</v>
      </c>
      <c r="O130" s="63">
        <f t="shared" si="14"/>
        <v>0</v>
      </c>
      <c r="P130" s="64"/>
      <c r="Q130" s="65"/>
      <c r="R130" s="20">
        <f t="shared" si="15"/>
        <v>1</v>
      </c>
      <c r="S130" s="20">
        <f t="shared" si="9"/>
        <v>0</v>
      </c>
    </row>
    <row r="131" spans="1:20" ht="15" thickBot="1" x14ac:dyDescent="0.4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0"/>
        <v/>
      </c>
      <c r="J131" s="61" t="str">
        <f t="shared" si="10"/>
        <v/>
      </c>
      <c r="K131" s="62" t="str">
        <f t="shared" si="11"/>
        <v/>
      </c>
      <c r="L131" s="61" t="str">
        <f t="shared" si="12"/>
        <v/>
      </c>
      <c r="M131" s="62" t="str">
        <f t="shared" si="13"/>
        <v/>
      </c>
      <c r="N131" s="63">
        <v>66068309</v>
      </c>
      <c r="O131" s="63">
        <f t="shared" si="14"/>
        <v>0</v>
      </c>
      <c r="P131" s="64"/>
      <c r="Q131" s="66"/>
      <c r="R131" s="20">
        <f t="shared" si="15"/>
        <v>1</v>
      </c>
      <c r="S131" s="20">
        <f t="shared" si="9"/>
        <v>0</v>
      </c>
      <c r="T131" s="67"/>
    </row>
    <row r="132" spans="1:20" ht="15" thickBot="1" x14ac:dyDescent="0.4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0"/>
        <v/>
      </c>
      <c r="J132" s="61" t="str">
        <f>IF(E132="","",+(E132-E131)*4140)</f>
        <v/>
      </c>
      <c r="K132" s="62" t="str">
        <f t="shared" si="11"/>
        <v/>
      </c>
      <c r="L132" s="61" t="str">
        <f t="shared" si="12"/>
        <v/>
      </c>
      <c r="M132" s="62" t="str">
        <f t="shared" si="13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9"/>
        <v>0</v>
      </c>
      <c r="T132" s="67"/>
    </row>
    <row r="133" spans="1:20" ht="15" thickBot="1" x14ac:dyDescent="0.4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9"/>
        <v>0</v>
      </c>
    </row>
    <row r="134" spans="1:20" ht="15" thickBot="1" x14ac:dyDescent="0.4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9"/>
        <v>0</v>
      </c>
    </row>
    <row r="135" spans="1:20" ht="15" thickBot="1" x14ac:dyDescent="0.4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9"/>
        <v>0</v>
      </c>
    </row>
    <row r="136" spans="1:20" ht="15" thickBot="1" x14ac:dyDescent="0.4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" thickBot="1" x14ac:dyDescent="0.4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" thickBot="1" x14ac:dyDescent="0.4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" thickBot="1" x14ac:dyDescent="0.4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" thickBot="1" x14ac:dyDescent="0.4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" thickBot="1" x14ac:dyDescent="0.4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" thickBot="1" x14ac:dyDescent="0.4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202" t="s">
        <v>62</v>
      </c>
      <c r="Q142" s="203"/>
      <c r="R142" s="20">
        <f t="shared" si="15"/>
        <v>1</v>
      </c>
      <c r="S142" s="20">
        <f t="shared" si="21"/>
        <v>0</v>
      </c>
      <c r="T142" s="67"/>
    </row>
    <row r="143" spans="1:20" ht="15" thickBot="1" x14ac:dyDescent="0.4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204"/>
      <c r="Q143" s="205"/>
      <c r="R143" s="20">
        <f t="shared" si="15"/>
        <v>1</v>
      </c>
      <c r="S143" s="20">
        <f t="shared" si="21"/>
        <v>0</v>
      </c>
    </row>
    <row r="144" spans="1:20" ht="15" thickBot="1" x14ac:dyDescent="0.4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" thickBot="1" x14ac:dyDescent="0.4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" thickBot="1" x14ac:dyDescent="0.4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" thickBot="1" x14ac:dyDescent="0.4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" thickBot="1" x14ac:dyDescent="0.4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" thickBot="1" x14ac:dyDescent="0.4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" thickBot="1" x14ac:dyDescent="0.4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" thickBot="1" x14ac:dyDescent="0.4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" thickBot="1" x14ac:dyDescent="0.4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" thickBot="1" x14ac:dyDescent="0.4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" thickBot="1" x14ac:dyDescent="0.4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" thickBot="1" x14ac:dyDescent="0.4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" thickBot="1" x14ac:dyDescent="0.4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" thickBot="1" x14ac:dyDescent="0.4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" thickBot="1" x14ac:dyDescent="0.4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" thickBot="1" x14ac:dyDescent="0.4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" thickBot="1" x14ac:dyDescent="0.4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" thickBot="1" x14ac:dyDescent="0.4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" thickBot="1" x14ac:dyDescent="0.4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" thickBot="1" x14ac:dyDescent="0.4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" thickBot="1" x14ac:dyDescent="0.4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" thickBot="1" x14ac:dyDescent="0.4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" thickBot="1" x14ac:dyDescent="0.4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" thickBot="1" x14ac:dyDescent="0.4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" thickBot="1" x14ac:dyDescent="0.4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" thickBot="1" x14ac:dyDescent="0.4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" thickBot="1" x14ac:dyDescent="0.4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" thickBot="1" x14ac:dyDescent="0.4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" thickBot="1" x14ac:dyDescent="0.4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202" t="s">
        <v>63</v>
      </c>
      <c r="Q172" s="203"/>
      <c r="R172" s="20">
        <f t="shared" si="22"/>
        <v>1</v>
      </c>
      <c r="S172" s="20">
        <f t="shared" si="21"/>
        <v>0</v>
      </c>
      <c r="T172" s="67"/>
    </row>
    <row r="173" spans="1:20" ht="15" thickBot="1" x14ac:dyDescent="0.4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204"/>
      <c r="Q173" s="205"/>
      <c r="R173" s="20">
        <f t="shared" si="22"/>
        <v>1</v>
      </c>
      <c r="S173" s="20">
        <f t="shared" si="21"/>
        <v>0</v>
      </c>
      <c r="T173" s="67"/>
    </row>
    <row r="174" spans="1:20" ht="15" thickBot="1" x14ac:dyDescent="0.4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" thickBot="1" x14ac:dyDescent="0.4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" thickBot="1" x14ac:dyDescent="0.4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" thickBot="1" x14ac:dyDescent="0.4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" thickBot="1" x14ac:dyDescent="0.4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" thickBot="1" x14ac:dyDescent="0.4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" thickBot="1" x14ac:dyDescent="0.4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" thickBot="1" x14ac:dyDescent="0.4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" thickBot="1" x14ac:dyDescent="0.4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" thickBot="1" x14ac:dyDescent="0.4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" thickBot="1" x14ac:dyDescent="0.4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" thickBot="1" x14ac:dyDescent="0.4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" thickBot="1" x14ac:dyDescent="0.4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" thickBot="1" x14ac:dyDescent="0.4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" thickBot="1" x14ac:dyDescent="0.4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" thickBot="1" x14ac:dyDescent="0.4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" thickBot="1" x14ac:dyDescent="0.4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" thickBot="1" x14ac:dyDescent="0.4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" thickBot="1" x14ac:dyDescent="0.4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" thickBot="1" x14ac:dyDescent="0.4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" thickBot="1" x14ac:dyDescent="0.4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" thickBot="1" x14ac:dyDescent="0.4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" thickBot="1" x14ac:dyDescent="0.4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" thickBot="1" x14ac:dyDescent="0.4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" thickBot="1" x14ac:dyDescent="0.4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" thickBot="1" x14ac:dyDescent="0.4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" thickBot="1" x14ac:dyDescent="0.4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" thickBot="1" x14ac:dyDescent="0.4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" thickBot="1" x14ac:dyDescent="0.4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" thickBot="1" x14ac:dyDescent="0.4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206" t="s">
        <v>64</v>
      </c>
      <c r="Q203" s="207"/>
      <c r="R203" s="20">
        <f t="shared" si="22"/>
        <v>1</v>
      </c>
      <c r="S203" s="20">
        <f t="shared" si="28"/>
        <v>0</v>
      </c>
      <c r="T203" s="67"/>
    </row>
    <row r="204" spans="1:20" ht="15" thickBot="1" x14ac:dyDescent="0.4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204"/>
      <c r="Q204" s="205"/>
      <c r="R204" s="20">
        <f t="shared" si="22"/>
        <v>1</v>
      </c>
      <c r="S204" s="20">
        <f t="shared" si="28"/>
        <v>0</v>
      </c>
    </row>
    <row r="205" spans="1:20" ht="15" thickBot="1" x14ac:dyDescent="0.4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" thickBot="1" x14ac:dyDescent="0.4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" thickBot="1" x14ac:dyDescent="0.4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" thickBot="1" x14ac:dyDescent="0.4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" thickBot="1" x14ac:dyDescent="0.4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" thickBot="1" x14ac:dyDescent="0.4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" thickBot="1" x14ac:dyDescent="0.4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" thickBot="1" x14ac:dyDescent="0.4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" thickBot="1" x14ac:dyDescent="0.4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" thickBot="1" x14ac:dyDescent="0.4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" thickBot="1" x14ac:dyDescent="0.4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" thickBot="1" x14ac:dyDescent="0.4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" thickBot="1" x14ac:dyDescent="0.4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" thickBot="1" x14ac:dyDescent="0.4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" thickBot="1" x14ac:dyDescent="0.4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" thickBot="1" x14ac:dyDescent="0.4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" thickBot="1" x14ac:dyDescent="0.4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" thickBot="1" x14ac:dyDescent="0.4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" thickBot="1" x14ac:dyDescent="0.4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" thickBot="1" x14ac:dyDescent="0.4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" thickBot="1" x14ac:dyDescent="0.4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" thickBot="1" x14ac:dyDescent="0.4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" thickBot="1" x14ac:dyDescent="0.4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" thickBot="1" x14ac:dyDescent="0.4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" thickBot="1" x14ac:dyDescent="0.4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" thickBot="1" x14ac:dyDescent="0.4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" thickBot="1" x14ac:dyDescent="0.4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" thickBot="1" x14ac:dyDescent="0.4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" thickBot="1" x14ac:dyDescent="0.4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" thickBot="1" x14ac:dyDescent="0.4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206" t="s">
        <v>65</v>
      </c>
      <c r="Q234" s="207"/>
      <c r="R234" s="20">
        <f t="shared" si="29"/>
        <v>1</v>
      </c>
      <c r="S234" s="20">
        <f t="shared" si="28"/>
        <v>0</v>
      </c>
      <c r="T234" s="67"/>
    </row>
    <row r="235" spans="1:20" ht="15" thickBot="1" x14ac:dyDescent="0.4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204"/>
      <c r="Q235" s="205"/>
      <c r="R235" s="20">
        <f t="shared" si="29"/>
        <v>1</v>
      </c>
      <c r="S235" s="20">
        <f t="shared" si="28"/>
        <v>0</v>
      </c>
    </row>
    <row r="236" spans="1:20" ht="15" thickBot="1" x14ac:dyDescent="0.4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" thickBot="1" x14ac:dyDescent="0.4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" thickBot="1" x14ac:dyDescent="0.4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" thickBot="1" x14ac:dyDescent="0.4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" thickBot="1" x14ac:dyDescent="0.4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" thickBot="1" x14ac:dyDescent="0.4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" thickBot="1" x14ac:dyDescent="0.4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" thickBot="1" x14ac:dyDescent="0.4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" thickBot="1" x14ac:dyDescent="0.4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" thickBot="1" x14ac:dyDescent="0.4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" thickBot="1" x14ac:dyDescent="0.4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4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4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4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4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4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4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4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4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4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4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4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4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4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4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4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4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4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4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202" t="s">
        <v>66</v>
      </c>
      <c r="Q264" s="203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4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204"/>
      <c r="Q265" s="205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4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4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4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4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4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4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4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4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4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4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4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" thickBot="1" x14ac:dyDescent="0.4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" thickBot="1" x14ac:dyDescent="0.4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" thickBot="1" x14ac:dyDescent="0.4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" thickBot="1" x14ac:dyDescent="0.4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" thickBot="1" x14ac:dyDescent="0.4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" thickBot="1" x14ac:dyDescent="0.4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" thickBot="1" x14ac:dyDescent="0.4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" thickBot="1" x14ac:dyDescent="0.4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" thickBot="1" x14ac:dyDescent="0.4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" thickBot="1" x14ac:dyDescent="0.4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" thickBot="1" x14ac:dyDescent="0.4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" thickBot="1" x14ac:dyDescent="0.4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" thickBot="1" x14ac:dyDescent="0.4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" thickBot="1" x14ac:dyDescent="0.4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" thickBot="1" x14ac:dyDescent="0.4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" thickBot="1" x14ac:dyDescent="0.4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" thickBot="1" x14ac:dyDescent="0.4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" thickBot="1" x14ac:dyDescent="0.4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" thickBot="1" x14ac:dyDescent="0.4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202" t="s">
        <v>67</v>
      </c>
      <c r="Q295" s="203"/>
      <c r="R295" s="20">
        <f t="shared" si="30"/>
        <v>1</v>
      </c>
      <c r="S295" s="20">
        <f t="shared" si="37"/>
        <v>0</v>
      </c>
      <c r="T295" s="67"/>
    </row>
    <row r="296" spans="1:20" ht="15" thickBot="1" x14ac:dyDescent="0.4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204"/>
      <c r="Q296" s="205"/>
      <c r="R296" s="20">
        <f t="shared" si="30"/>
        <v>1</v>
      </c>
      <c r="S296" s="20">
        <f t="shared" si="37"/>
        <v>0</v>
      </c>
    </row>
    <row r="297" spans="1:20" ht="15" thickBot="1" x14ac:dyDescent="0.4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" thickBot="1" x14ac:dyDescent="0.4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" thickBot="1" x14ac:dyDescent="0.4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" thickBot="1" x14ac:dyDescent="0.4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" thickBot="1" x14ac:dyDescent="0.4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" thickBot="1" x14ac:dyDescent="0.4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" thickBot="1" x14ac:dyDescent="0.4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" thickBot="1" x14ac:dyDescent="0.4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" thickBot="1" x14ac:dyDescent="0.4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" thickBot="1" x14ac:dyDescent="0.4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" thickBot="1" x14ac:dyDescent="0.4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" thickBot="1" x14ac:dyDescent="0.4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" thickBot="1" x14ac:dyDescent="0.4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" thickBot="1" x14ac:dyDescent="0.4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" thickBot="1" x14ac:dyDescent="0.4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" thickBot="1" x14ac:dyDescent="0.4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" thickBot="1" x14ac:dyDescent="0.4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" thickBot="1" x14ac:dyDescent="0.4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" thickBot="1" x14ac:dyDescent="0.4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" thickBot="1" x14ac:dyDescent="0.4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" thickBot="1" x14ac:dyDescent="0.4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" thickBot="1" x14ac:dyDescent="0.4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" thickBot="1" x14ac:dyDescent="0.4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" thickBot="1" x14ac:dyDescent="0.4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" thickBot="1" x14ac:dyDescent="0.4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" thickBot="1" x14ac:dyDescent="0.4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" thickBot="1" x14ac:dyDescent="0.4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" thickBot="1" x14ac:dyDescent="0.4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" thickBot="1" x14ac:dyDescent="0.4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202" t="s">
        <v>68</v>
      </c>
      <c r="Q325" s="203"/>
      <c r="R325" s="20">
        <f t="shared" si="39"/>
        <v>1</v>
      </c>
      <c r="S325" s="20">
        <f t="shared" si="37"/>
        <v>0</v>
      </c>
      <c r="T325" s="67"/>
    </row>
    <row r="326" spans="1:20" ht="15" thickBot="1" x14ac:dyDescent="0.4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204"/>
      <c r="Q326" s="205"/>
      <c r="R326" s="20">
        <f t="shared" si="39"/>
        <v>1</v>
      </c>
      <c r="S326" s="20">
        <f t="shared" si="37"/>
        <v>0</v>
      </c>
      <c r="T326" s="67"/>
    </row>
    <row r="327" spans="1:20" ht="15" thickBot="1" x14ac:dyDescent="0.4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" thickBot="1" x14ac:dyDescent="0.4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" thickBot="1" x14ac:dyDescent="0.4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" thickBot="1" x14ac:dyDescent="0.4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" thickBot="1" x14ac:dyDescent="0.4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" thickBot="1" x14ac:dyDescent="0.4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" thickBot="1" x14ac:dyDescent="0.4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" thickBot="1" x14ac:dyDescent="0.4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" thickBot="1" x14ac:dyDescent="0.4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" thickBot="1" x14ac:dyDescent="0.4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" thickBot="1" x14ac:dyDescent="0.4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" thickBot="1" x14ac:dyDescent="0.4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" thickBot="1" x14ac:dyDescent="0.4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" thickBot="1" x14ac:dyDescent="0.4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" thickBot="1" x14ac:dyDescent="0.4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" thickBot="1" x14ac:dyDescent="0.4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" thickBot="1" x14ac:dyDescent="0.4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" thickBot="1" x14ac:dyDescent="0.4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" thickBot="1" x14ac:dyDescent="0.4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" thickBot="1" x14ac:dyDescent="0.4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" thickBot="1" x14ac:dyDescent="0.4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" thickBot="1" x14ac:dyDescent="0.4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" thickBot="1" x14ac:dyDescent="0.4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" thickBot="1" x14ac:dyDescent="0.4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" thickBot="1" x14ac:dyDescent="0.4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" thickBot="1" x14ac:dyDescent="0.4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" thickBot="1" x14ac:dyDescent="0.4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" thickBot="1" x14ac:dyDescent="0.4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" thickBot="1" x14ac:dyDescent="0.4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" thickBot="1" x14ac:dyDescent="0.4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202" t="s">
        <v>69</v>
      </c>
      <c r="Q356" s="203"/>
      <c r="R356" s="20">
        <f t="shared" si="39"/>
        <v>1</v>
      </c>
      <c r="S356" s="20">
        <f t="shared" si="44"/>
        <v>0</v>
      </c>
      <c r="T356" s="67"/>
    </row>
    <row r="357" spans="1:20" ht="15" thickBot="1" x14ac:dyDescent="0.4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204"/>
      <c r="Q357" s="205"/>
      <c r="R357" s="20">
        <f t="shared" si="39"/>
        <v>1</v>
      </c>
      <c r="S357" s="20">
        <f t="shared" si="44"/>
        <v>0</v>
      </c>
    </row>
    <row r="358" spans="1:20" ht="15" thickBot="1" x14ac:dyDescent="0.4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" thickBot="1" x14ac:dyDescent="0.4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" thickBot="1" x14ac:dyDescent="0.4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" thickBot="1" x14ac:dyDescent="0.4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" thickBot="1" x14ac:dyDescent="0.4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" thickBot="1" x14ac:dyDescent="0.4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" thickBot="1" x14ac:dyDescent="0.4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" thickBot="1" x14ac:dyDescent="0.4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" thickBot="1" x14ac:dyDescent="0.4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" thickBot="1" x14ac:dyDescent="0.4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" thickBot="1" x14ac:dyDescent="0.4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4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6">
      <c r="A370" s="142"/>
      <c r="N370" s="146"/>
      <c r="O370" s="147"/>
      <c r="S370" s="20"/>
    </row>
    <row r="371" spans="1:19" ht="14.25" customHeight="1" x14ac:dyDescent="0.35">
      <c r="A371" s="142"/>
      <c r="F371" s="148" t="s">
        <v>70</v>
      </c>
      <c r="I371" s="149">
        <f>SUM(I3:I368)</f>
        <v>1537898.2200000002</v>
      </c>
      <c r="N371" s="63"/>
      <c r="O371" s="150">
        <f>SUM(O3:O368)</f>
        <v>0</v>
      </c>
      <c r="P371" s="151" t="s">
        <v>71</v>
      </c>
    </row>
    <row r="372" spans="1:19" x14ac:dyDescent="0.35">
      <c r="A372" s="142"/>
    </row>
    <row r="373" spans="1:19" x14ac:dyDescent="0.35">
      <c r="A373" s="142"/>
      <c r="N373" s="152"/>
      <c r="O373" s="148"/>
    </row>
    <row r="374" spans="1:19" x14ac:dyDescent="0.35">
      <c r="A374" s="142"/>
    </row>
    <row r="375" spans="1:19" x14ac:dyDescent="0.35">
      <c r="A375" s="142"/>
    </row>
    <row r="376" spans="1:19" x14ac:dyDescent="0.35">
      <c r="A376" s="142"/>
    </row>
    <row r="377" spans="1:19" x14ac:dyDescent="0.35">
      <c r="A377" s="142"/>
    </row>
    <row r="378" spans="1:19" x14ac:dyDescent="0.35">
      <c r="A378" s="142"/>
    </row>
    <row r="379" spans="1:19" x14ac:dyDescent="0.35">
      <c r="A379" s="142"/>
    </row>
    <row r="380" spans="1:19" x14ac:dyDescent="0.35">
      <c r="A380" s="142"/>
    </row>
    <row r="381" spans="1:19" x14ac:dyDescent="0.35">
      <c r="A381" s="142"/>
    </row>
    <row r="382" spans="1:19" x14ac:dyDescent="0.35">
      <c r="A382" s="142"/>
    </row>
    <row r="383" spans="1:19" x14ac:dyDescent="0.35">
      <c r="A383" s="142"/>
    </row>
    <row r="384" spans="1:19" x14ac:dyDescent="0.35">
      <c r="A384" s="142"/>
    </row>
    <row r="385" spans="1:1" x14ac:dyDescent="0.35">
      <c r="A385" s="142"/>
    </row>
    <row r="386" spans="1:1" x14ac:dyDescent="0.35">
      <c r="A386" s="142"/>
    </row>
    <row r="387" spans="1:1" x14ac:dyDescent="0.35">
      <c r="A387" s="142"/>
    </row>
    <row r="388" spans="1:1" x14ac:dyDescent="0.35">
      <c r="A388" s="142"/>
    </row>
    <row r="389" spans="1:1" x14ac:dyDescent="0.35">
      <c r="A389" s="142"/>
    </row>
    <row r="390" spans="1:1" x14ac:dyDescent="0.35">
      <c r="A390" s="142"/>
    </row>
    <row r="391" spans="1:1" x14ac:dyDescent="0.35">
      <c r="A391" s="142"/>
    </row>
    <row r="392" spans="1:1" x14ac:dyDescent="0.35">
      <c r="A392" s="142"/>
    </row>
    <row r="393" spans="1:1" x14ac:dyDescent="0.35">
      <c r="A393" s="142"/>
    </row>
    <row r="394" spans="1:1" x14ac:dyDescent="0.35">
      <c r="A394" s="142"/>
    </row>
    <row r="395" spans="1:1" x14ac:dyDescent="0.35">
      <c r="A395" s="142"/>
    </row>
    <row r="396" spans="1:1" x14ac:dyDescent="0.35">
      <c r="A396" s="142"/>
    </row>
    <row r="397" spans="1:1" x14ac:dyDescent="0.35">
      <c r="A397" s="142"/>
    </row>
    <row r="398" spans="1:1" x14ac:dyDescent="0.35">
      <c r="A398" s="142"/>
    </row>
    <row r="399" spans="1:1" x14ac:dyDescent="0.35">
      <c r="A399" s="142"/>
    </row>
    <row r="400" spans="1:1" x14ac:dyDescent="0.35">
      <c r="A400" s="142"/>
    </row>
    <row r="401" spans="1:1" x14ac:dyDescent="0.35">
      <c r="A401" s="142"/>
    </row>
    <row r="402" spans="1:1" x14ac:dyDescent="0.3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2021-03-16T06:27:41Z</dcterms:modified>
  <cp:category/>
  <cp:contentStatus/>
</cp:coreProperties>
</file>