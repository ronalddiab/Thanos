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86" documentId="8_{9B439D3B-B023-4087-B27B-CB56FE35C246}" xr6:coauthVersionLast="47" xr6:coauthVersionMax="47" xr10:uidLastSave="{193A8733-9854-462F-BDE8-00DD6B291F3D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U43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7" i="3"/>
  <c r="V43" i="3" s="1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37" i="3"/>
  <c r="K32" i="6" s="1"/>
  <c r="Q7" i="3"/>
  <c r="R43" i="3"/>
  <c r="S43" i="3"/>
  <c r="T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AH43" i="3" l="1"/>
  <c r="I2" i="6"/>
  <c r="AC43" i="3"/>
  <c r="G2" i="6"/>
  <c r="Q43" i="3"/>
  <c r="K2" i="6"/>
  <c r="AI45" i="3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<sst xmlns="http://schemas.openxmlformats.org/spreadsheetml/2006/main" count="91" uniqueCount="53">
  <si>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</si>
  <si>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</si>
  <si>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</si>
  <si>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</si>
  <si>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</si>
  <si>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</si>
  <si>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</si>
  <si>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</si>
  <si>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</si>
  <si>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</si>
  <si>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</si>
  <si>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</si>
  <si>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</si>
  <si>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</si>
  <si>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</si>
  <si>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</si>
  <si>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OCTOBER 2021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</si>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</sst>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8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10</v>
      </c>
      <c r="D2" s="97">
        <v>2021</v>
      </c>
      <c r="E2" s="99">
        <f>'Localize Daily Bali Jimbaran'!P7</f>
        <v>13220.00000000024</v>
      </c>
      <c r="F2" s="100">
        <f>'Localize Daily Bali Jimbaran'!O7/'Localize Daily Bali Jimbaran'!P7</f>
        <v>1182.1759856278347</v>
      </c>
      <c r="G2" s="99">
        <f>'Localize Daily Bali Jimbaran'!AC7</f>
        <v>12</v>
      </c>
      <c r="H2" s="100">
        <f>'Localize Daily Bali Jimbaran'!AD7/'Localize Daily Bali Jimbaran'!AC7</f>
        <v>11458.333333333334</v>
      </c>
      <c r="I2" s="99">
        <f>'Localize Daily Bali Jimbaran'!AH7</f>
        <v>340.79000000000087</v>
      </c>
      <c r="J2" s="101">
        <f>'Localize Daily Bali Jimbaran'!AI7/'Localize Daily Bali Jimbaran'!AH7</f>
        <v>11100</v>
      </c>
      <c r="K2" s="99">
        <f>'Localize Daily Bali Jimbaran'!Q7</f>
        <v>691</v>
      </c>
      <c r="L2" s="100">
        <f>'Localize Daily Bali Jimbaran'!V7/'Localize Daily Bali Jimbaran'!Q7</f>
        <v>7370.5711143270628</v>
      </c>
      <c r="M2" s="99">
        <f>'Localize Daily Bali Jimbaran'!C7</f>
        <v>11</v>
      </c>
      <c r="N2" s="99">
        <v>32</v>
      </c>
    </row>
    <row r="3" spans="1:14" ht="15">
      <c r="A3" s="96" t="s">
        <v>14</v>
      </c>
      <c r="B3" s="97">
        <v>2</v>
      </c>
      <c r="C3" s="98">
        <v>10</v>
      </c>
      <c r="D3" s="97">
        <v>2021</v>
      </c>
      <c r="E3" s="99">
        <f>'Localize Daily Bali Jimbaran'!P8</f>
        <v>13739.999999999867</v>
      </c>
      <c r="F3" s="100">
        <f>'Localize Daily Bali Jimbaran'!O8/'Localize Daily Bali Jimbaran'!P8</f>
        <v>1181.7616572052398</v>
      </c>
      <c r="G3" s="99">
        <f>'Localize Daily Bali Jimbaran'!AC8</f>
        <v>350</v>
      </c>
      <c r="H3" s="100">
        <f>'Localize Daily Bali Jimbaran'!AD8/'Localize Daily Bali Jimbaran'!AC8</f>
        <v>15840</v>
      </c>
      <c r="I3" s="99">
        <f>'Localize Daily Bali Jimbaran'!AH8</f>
        <v>152.98999999997613</v>
      </c>
      <c r="J3" s="101">
        <f>'Localize Daily Bali Jimbaran'!AI8/'Localize Daily Bali Jimbaran'!AH8</f>
        <v>11100</v>
      </c>
      <c r="K3" s="99">
        <f>'Localize Daily Bali Jimbaran'!Q8</f>
        <v>674</v>
      </c>
      <c r="L3" s="100">
        <f>'Localize Daily Bali Jimbaran'!V8/'Localize Daily Bali Jimbaran'!Q8</f>
        <v>7478.8478635014835</v>
      </c>
      <c r="M3" s="99">
        <f>'Localize Daily Bali Jimbaran'!C8</f>
        <v>7</v>
      </c>
      <c r="N3" s="99">
        <v>20</v>
      </c>
    </row>
    <row r="4" spans="1:14" ht="15">
      <c r="A4" s="96" t="s">
        <v>14</v>
      </c>
      <c r="B4" s="97">
        <v>3</v>
      </c>
      <c r="C4" s="98">
        <v>10</v>
      </c>
      <c r="D4" s="97">
        <v>2021</v>
      </c>
      <c r="E4" s="99">
        <f>'Localize Daily Bali Jimbaran'!P9</f>
        <v>13600.000000000053</v>
      </c>
      <c r="F4" s="100">
        <f>'Localize Daily Bali Jimbaran'!O9/'Localize Daily Bali Jimbaran'!P9</f>
        <v>1177.9331889705863</v>
      </c>
      <c r="G4" s="99">
        <f>'Localize Daily Bali Jimbaran'!AC9</f>
        <v>62</v>
      </c>
      <c r="H4" s="100">
        <f>'Localize Daily Bali Jimbaran'!AD9/'Localize Daily Bali Jimbaran'!AC9</f>
        <v>14991.935483870968</v>
      </c>
      <c r="I4" s="99">
        <f>'Localize Daily Bali Jimbaran'!AH9</f>
        <v>103.4800000000032</v>
      </c>
      <c r="J4" s="101">
        <f>'Localize Daily Bali Jimbaran'!AI9/'Localize Daily Bali Jimbaran'!AH9</f>
        <v>11100</v>
      </c>
      <c r="K4" s="99">
        <f>'Localize Daily Bali Jimbaran'!Q9</f>
        <v>640</v>
      </c>
      <c r="L4" s="100">
        <f>'Localize Daily Bali Jimbaran'!V9/'Localize Daily Bali Jimbaran'!Q9</f>
        <v>7536.3357187500005</v>
      </c>
      <c r="M4" s="99">
        <f>'Localize Daily Bali Jimbaran'!C9</f>
        <v>5</v>
      </c>
      <c r="N4" s="99">
        <v>16</v>
      </c>
    </row>
    <row r="5" spans="1:14" ht="15">
      <c r="A5" s="96" t="s">
        <v>14</v>
      </c>
      <c r="B5" s="97">
        <v>4</v>
      </c>
      <c r="C5" s="98">
        <v>10</v>
      </c>
      <c r="D5" s="97">
        <v>2021</v>
      </c>
      <c r="E5" s="99">
        <f>'Localize Daily Bali Jimbaran'!P10</f>
        <v>13419.999999999602</v>
      </c>
      <c r="F5" s="100">
        <f>'Localize Daily Bali Jimbaran'!O10/'Localize Daily Bali Jimbaran'!P10</f>
        <v>1184.0076818181865</v>
      </c>
      <c r="G5" s="99">
        <f>'Localize Daily Bali Jimbaran'!AC10</f>
        <v>0</v>
      </c>
      <c r="H5" s="100" t="e">
        <f>'Localize Daily Bali Jimbaran'!AD10/'Localize Daily Bali Jimbaran'!AC10</f>
        <v>#DIV/0!</v>
      </c>
      <c r="I5" s="99">
        <f>'Localize Daily Bali Jimbaran'!AH10</f>
        <v>391.22999999999593</v>
      </c>
      <c r="J5" s="101">
        <f>'Localize Daily Bali Jimbaran'!AI10/'Localize Daily Bali Jimbaran'!AH10</f>
        <v>11099.999999999998</v>
      </c>
      <c r="K5" s="99">
        <f>'Localize Daily Bali Jimbaran'!Q10</f>
        <v>722</v>
      </c>
      <c r="L5" s="100">
        <f>'Localize Daily Bali Jimbaran'!V10/'Localize Daily Bali Jimbaran'!Q10</f>
        <v>7218.430609418283</v>
      </c>
      <c r="M5" s="99">
        <f>'Localize Daily Bali Jimbaran'!C10</f>
        <v>5</v>
      </c>
      <c r="N5" s="99">
        <v>14</v>
      </c>
    </row>
    <row r="6" spans="1:14" ht="15">
      <c r="A6" s="96" t="s">
        <v>14</v>
      </c>
      <c r="B6" s="97">
        <v>5</v>
      </c>
      <c r="C6" s="98">
        <v>10</v>
      </c>
      <c r="D6" s="97">
        <v>2021</v>
      </c>
      <c r="E6" s="99">
        <f>'Localize Daily Bali Jimbaran'!P11</f>
        <v>13080.000000000338</v>
      </c>
      <c r="F6" s="100">
        <f>'Localize Daily Bali Jimbaran'!O11/'Localize Daily Bali Jimbaran'!P11</f>
        <v>1182.3571238532104</v>
      </c>
      <c r="G6" s="99">
        <f>'Localize Daily Bali Jimbaran'!AC11</f>
        <v>12</v>
      </c>
      <c r="H6" s="100">
        <f>'Localize Daily Bali Jimbaran'!AD11/'Localize Daily Bali Jimbaran'!AC11</f>
        <v>11458.333333333334</v>
      </c>
      <c r="I6" s="99">
        <f>'Localize Daily Bali Jimbaran'!AH11</f>
        <v>101.25</v>
      </c>
      <c r="J6" s="101">
        <f>'Localize Daily Bali Jimbaran'!AI11/'Localize Daily Bali Jimbaran'!AH11</f>
        <v>11100</v>
      </c>
      <c r="K6" s="99">
        <f>'Localize Daily Bali Jimbaran'!Q11</f>
        <v>766</v>
      </c>
      <c r="L6" s="100">
        <f>'Localize Daily Bali Jimbaran'!V11/'Localize Daily Bali Jimbaran'!Q11</f>
        <v>7094.3216187989565</v>
      </c>
      <c r="M6" s="99">
        <f>'Localize Daily Bali Jimbaran'!C11</f>
        <v>4</v>
      </c>
      <c r="N6" s="99">
        <v>12</v>
      </c>
    </row>
    <row r="7" spans="1:14" ht="15">
      <c r="A7" s="96" t="s">
        <v>14</v>
      </c>
      <c r="B7" s="97">
        <v>6</v>
      </c>
      <c r="C7" s="98">
        <v>10</v>
      </c>
      <c r="D7" s="97">
        <v>2021</v>
      </c>
      <c r="E7" s="99">
        <f>'Localize Daily Bali Jimbaran'!P12</f>
        <v>13139.999999999802</v>
      </c>
      <c r="F7" s="100">
        <f>'Localize Daily Bali Jimbaran'!O12/'Localize Daily Bali Jimbaran'!P12</f>
        <v>1176.9582328767119</v>
      </c>
      <c r="G7" s="99">
        <f>'Localize Daily Bali Jimbaran'!AC12</f>
        <v>0</v>
      </c>
      <c r="H7" s="100" t="e">
        <f>'Localize Daily Bali Jimbaran'!AD12/'Localize Daily Bali Jimbaran'!AC12</f>
        <v>#DIV/0!</v>
      </c>
      <c r="I7" s="99">
        <f>'Localize Daily Bali Jimbaran'!AH12</f>
        <v>257.04000000000087</v>
      </c>
      <c r="J7" s="101">
        <f>'Localize Daily Bali Jimbaran'!AI12/'Localize Daily Bali Jimbaran'!AH12</f>
        <v>11100</v>
      </c>
      <c r="K7" s="99">
        <f>'Localize Daily Bali Jimbaran'!Q12</f>
        <v>618</v>
      </c>
      <c r="L7" s="100">
        <f>'Localize Daily Bali Jimbaran'!V12/'Localize Daily Bali Jimbaran'!Q12</f>
        <v>7658.8055016181243</v>
      </c>
      <c r="M7" s="99">
        <f>'Localize Daily Bali Jimbaran'!C12</f>
        <v>2</v>
      </c>
      <c r="N7" s="99">
        <v>8</v>
      </c>
    </row>
    <row r="8" spans="1:14" ht="15">
      <c r="A8" s="96" t="s">
        <v>14</v>
      </c>
      <c r="B8" s="97">
        <v>7</v>
      </c>
      <c r="C8" s="98">
        <v>10</v>
      </c>
      <c r="D8" s="97">
        <v>2021</v>
      </c>
      <c r="E8" s="99">
        <f>'Localize Daily Bali Jimbaran'!P13</f>
        <v>13560.000000000173</v>
      </c>
      <c r="F8" s="100">
        <f>'Localize Daily Bali Jimbaran'!O13/'Localize Daily Bali Jimbaran'!P13</f>
        <v>1185.4181283185828</v>
      </c>
      <c r="G8" s="99">
        <f>'Localize Daily Bali Jimbaran'!AC13</f>
        <v>12</v>
      </c>
      <c r="H8" s="100">
        <f>'Localize Daily Bali Jimbaran'!AD13/'Localize Daily Bali Jimbaran'!AC13</f>
        <v>11458.333333333334</v>
      </c>
      <c r="I8" s="99">
        <f>'Localize Daily Bali Jimbaran'!AH13</f>
        <v>104.77999999999884</v>
      </c>
      <c r="J8" s="101">
        <f>'Localize Daily Bali Jimbaran'!AI13/'Localize Daily Bali Jimbaran'!AH13</f>
        <v>11099.999999999998</v>
      </c>
      <c r="K8" s="99">
        <f>'Localize Daily Bali Jimbaran'!Q13</f>
        <v>793</v>
      </c>
      <c r="L8" s="100">
        <f>'Localize Daily Bali Jimbaran'!V13/'Localize Daily Bali Jimbaran'!Q13</f>
        <v>7209.7337704918045</v>
      </c>
      <c r="M8" s="99">
        <f>'Localize Daily Bali Jimbaran'!C13</f>
        <v>6</v>
      </c>
      <c r="N8" s="99">
        <v>18</v>
      </c>
    </row>
    <row r="9" spans="1:14" ht="15">
      <c r="A9" s="96" t="s">
        <v>14</v>
      </c>
      <c r="B9" s="97">
        <v>8</v>
      </c>
      <c r="C9" s="98">
        <v>10</v>
      </c>
      <c r="D9" s="97">
        <v>2021</v>
      </c>
      <c r="E9" s="99">
        <f>'Localize Daily Bali Jimbaran'!P14</f>
        <v>13500.000000000169</v>
      </c>
      <c r="F9" s="100">
        <f>'Localize Daily Bali Jimbaran'!O14/'Localize Daily Bali Jimbaran'!P14</f>
        <v>1184.2418000000005</v>
      </c>
      <c r="G9" s="99">
        <f>'Localize Daily Bali Jimbaran'!AC14</f>
        <v>412</v>
      </c>
      <c r="H9" s="100">
        <f>'Localize Daily Bali Jimbaran'!AD14/'Localize Daily Bali Jimbaran'!AC14</f>
        <v>15712.378640776698</v>
      </c>
      <c r="I9" s="99">
        <f>'Localize Daily Bali Jimbaran'!AH14</f>
        <v>339.88000000000466</v>
      </c>
      <c r="J9" s="101">
        <f>'Localize Daily Bali Jimbaran'!AI14/'Localize Daily Bali Jimbaran'!AH14</f>
        <v>11100</v>
      </c>
      <c r="K9" s="99">
        <f>'Localize Daily Bali Jimbaran'!Q14</f>
        <v>690</v>
      </c>
      <c r="L9" s="100">
        <f>'Localize Daily Bali Jimbaran'!V14/'Localize Daily Bali Jimbaran'!Q14</f>
        <v>7353.9444057971023</v>
      </c>
      <c r="M9" s="99">
        <f>'Localize Daily Bali Jimbaran'!C14</f>
        <v>17</v>
      </c>
      <c r="N9" s="99">
        <v>52</v>
      </c>
    </row>
    <row r="10" spans="1:14" ht="15">
      <c r="A10" s="96" t="s">
        <v>14</v>
      </c>
      <c r="B10" s="97">
        <v>9</v>
      </c>
      <c r="C10" s="98">
        <v>10</v>
      </c>
      <c r="D10" s="97">
        <v>2021</v>
      </c>
      <c r="E10" s="99">
        <f>'Localize Daily Bali Jimbaran'!P15</f>
        <v>14659.999999999811</v>
      </c>
      <c r="F10" s="100">
        <f>'Localize Daily Bali Jimbaran'!O15/'Localize Daily Bali Jimbaran'!P15</f>
        <v>1184.7528601637127</v>
      </c>
      <c r="G10" s="99">
        <f>'Localize Daily Bali Jimbaran'!AC15</f>
        <v>12</v>
      </c>
      <c r="H10" s="100">
        <f>'Localize Daily Bali Jimbaran'!AD15/'Localize Daily Bali Jimbaran'!AC15</f>
        <v>11458.333333333334</v>
      </c>
      <c r="I10" s="99">
        <f>'Localize Daily Bali Jimbaran'!AH15</f>
        <v>152.69999999999709</v>
      </c>
      <c r="J10" s="101">
        <f>'Localize Daily Bali Jimbaran'!AI15/'Localize Daily Bali Jimbaran'!AH15</f>
        <v>11100</v>
      </c>
      <c r="K10" s="99">
        <f>'Localize Daily Bali Jimbaran'!Q15</f>
        <v>675</v>
      </c>
      <c r="L10" s="100">
        <f>'Localize Daily Bali Jimbaran'!V15/'Localize Daily Bali Jimbaran'!Q15</f>
        <v>7391.196385185186</v>
      </c>
      <c r="M10" s="99">
        <f>'Localize Daily Bali Jimbaran'!C15</f>
        <v>14</v>
      </c>
      <c r="N10" s="99">
        <v>45</v>
      </c>
    </row>
    <row r="11" spans="1:14" ht="15">
      <c r="A11" s="96" t="s">
        <v>14</v>
      </c>
      <c r="B11" s="97">
        <v>10</v>
      </c>
      <c r="C11" s="98">
        <v>10</v>
      </c>
      <c r="D11" s="97">
        <v>2021</v>
      </c>
      <c r="E11" s="99">
        <f>'Localize Daily Bali Jimbaran'!P16</f>
        <v>14839.999999999874</v>
      </c>
      <c r="F11" s="100">
        <f>'Localize Daily Bali Jimbaran'!O16/'Localize Daily Bali Jimbaran'!P16</f>
        <v>1180.6426273584884</v>
      </c>
      <c r="G11" s="99">
        <f>'Localize Daily Bali Jimbaran'!AC16</f>
        <v>0</v>
      </c>
      <c r="H11" s="100" t="e">
        <f>'Localize Daily Bali Jimbaran'!AD16/'Localize Daily Bali Jimbaran'!AC16</f>
        <v>#DIV/0!</v>
      </c>
      <c r="I11" s="99">
        <f>'Localize Daily Bali Jimbaran'!AH16</f>
        <v>99.459999999999127</v>
      </c>
      <c r="J11" s="101">
        <f>'Localize Daily Bali Jimbaran'!AI16/'Localize Daily Bali Jimbaran'!AH16</f>
        <v>11100</v>
      </c>
      <c r="K11" s="99">
        <f>'Localize Daily Bali Jimbaran'!Q16</f>
        <v>775</v>
      </c>
      <c r="L11" s="100">
        <f>'Localize Daily Bali Jimbaran'!V16/'Localize Daily Bali Jimbaran'!Q16</f>
        <v>7066.9488258064512</v>
      </c>
      <c r="M11" s="99">
        <f>'Localize Daily Bali Jimbaran'!C16</f>
        <v>9</v>
      </c>
      <c r="N11" s="99">
        <v>25</v>
      </c>
    </row>
    <row r="12" spans="1:14" ht="15">
      <c r="A12" s="96" t="s">
        <v>14</v>
      </c>
      <c r="B12" s="97">
        <v>11</v>
      </c>
      <c r="C12" s="98">
        <v>10</v>
      </c>
      <c r="D12" s="97">
        <v>2021</v>
      </c>
      <c r="E12" s="99">
        <f>'Localize Daily Bali Jimbaran'!P17</f>
        <v>11719.999999999927</v>
      </c>
      <c r="F12" s="100">
        <f>'Localize Daily Bali Jimbaran'!O17/'Localize Daily Bali Jimbaran'!P17</f>
        <v>1197.0682679180936</v>
      </c>
      <c r="G12" s="99">
        <f>'Localize Daily Bali Jimbaran'!AC17</f>
        <v>0</v>
      </c>
      <c r="H12" s="100" t="e">
        <f>'Localize Daily Bali Jimbaran'!AD17/'Localize Daily Bali Jimbaran'!AC17</f>
        <v>#DIV/0!</v>
      </c>
      <c r="I12" s="99">
        <f>'Localize Daily Bali Jimbaran'!AH17</f>
        <v>189.56999999999971</v>
      </c>
      <c r="J12" s="101">
        <f>'Localize Daily Bali Jimbaran'!AI17/'Localize Daily Bali Jimbaran'!AH17</f>
        <v>11100</v>
      </c>
      <c r="K12" s="99">
        <f>'Localize Daily Bali Jimbaran'!Q17</f>
        <v>726</v>
      </c>
      <c r="L12" s="100">
        <f>'Localize Daily Bali Jimbaran'!V17/'Localize Daily Bali Jimbaran'!Q17</f>
        <v>7224.1894765840225</v>
      </c>
      <c r="M12" s="99">
        <f>'Localize Daily Bali Jimbaran'!C17</f>
        <v>6</v>
      </c>
      <c r="N12" s="99">
        <v>18</v>
      </c>
    </row>
    <row r="13" spans="1:14" ht="15">
      <c r="A13" s="96" t="s">
        <v>14</v>
      </c>
      <c r="B13" s="97">
        <v>12</v>
      </c>
      <c r="C13" s="98">
        <v>10</v>
      </c>
      <c r="D13" s="97">
        <v>2021</v>
      </c>
      <c r="E13" s="99">
        <f>'Localize Daily Bali Jimbaran'!P18</f>
        <v>16740.000000000065</v>
      </c>
      <c r="F13" s="100">
        <f>'Localize Daily Bali Jimbaran'!O18/'Localize Daily Bali Jimbaran'!P18</f>
        <v>1167.479983870965</v>
      </c>
      <c r="G13" s="99">
        <f>'Localize Daily Bali Jimbaran'!AC18</f>
        <v>12</v>
      </c>
      <c r="H13" s="100">
        <f>'Localize Daily Bali Jimbaran'!AD18/'Localize Daily Bali Jimbaran'!AC18</f>
        <v>11458.333333333334</v>
      </c>
      <c r="I13" s="99">
        <f>'Localize Daily Bali Jimbaran'!AH18</f>
        <v>127.4800000000032</v>
      </c>
      <c r="J13" s="101">
        <f>'Localize Daily Bali Jimbaran'!AI18/'Localize Daily Bali Jimbaran'!AH18</f>
        <v>11100</v>
      </c>
      <c r="K13" s="99">
        <f>'Localize Daily Bali Jimbaran'!Q18</f>
        <v>736</v>
      </c>
      <c r="L13" s="100">
        <f>'Localize Daily Bali Jimbaran'!V18/'Localize Daily Bali Jimbaran'!Q18</f>
        <v>7554.5429076086957</v>
      </c>
      <c r="M13" s="99">
        <f>'Localize Daily Bali Jimbaran'!C18</f>
        <v>5</v>
      </c>
      <c r="N13" s="99">
        <v>15</v>
      </c>
    </row>
    <row r="14" spans="1:14" ht="15">
      <c r="A14" s="96" t="s">
        <v>14</v>
      </c>
      <c r="B14" s="97">
        <v>13</v>
      </c>
      <c r="C14" s="98">
        <v>10</v>
      </c>
      <c r="D14" s="97">
        <v>2021</v>
      </c>
      <c r="E14" s="99">
        <f>'Localize Daily Bali Jimbaran'!P19</f>
        <v>14640.000000000002</v>
      </c>
      <c r="F14" s="100">
        <f>'Localize Daily Bali Jimbaran'!O19/'Localize Daily Bali Jimbaran'!P19</f>
        <v>1185.6285000000021</v>
      </c>
      <c r="G14" s="99">
        <f>'Localize Daily Bali Jimbaran'!AC19</f>
        <v>412</v>
      </c>
      <c r="H14" s="100">
        <f>'Localize Daily Bali Jimbaran'!AD19/'Localize Daily Bali Jimbaran'!AC19</f>
        <v>15712.378640776698</v>
      </c>
      <c r="I14" s="99">
        <f>'Localize Daily Bali Jimbaran'!AH19</f>
        <v>756.1200000000099</v>
      </c>
      <c r="J14" s="101">
        <f>'Localize Daily Bali Jimbaran'!AI19/'Localize Daily Bali Jimbaran'!AH19</f>
        <v>11100</v>
      </c>
      <c r="K14" s="99">
        <f>'Localize Daily Bali Jimbaran'!Q19</f>
        <v>628</v>
      </c>
      <c r="L14" s="100">
        <f>'Localize Daily Bali Jimbaran'!V19/'Localize Daily Bali Jimbaran'!Q19</f>
        <v>9499.0438216560506</v>
      </c>
      <c r="M14" s="99">
        <f>'Localize Daily Bali Jimbaran'!C19</f>
        <v>8</v>
      </c>
      <c r="N14" s="99">
        <v>23</v>
      </c>
    </row>
    <row r="15" spans="1:14" ht="15">
      <c r="A15" s="96" t="s">
        <v>14</v>
      </c>
      <c r="B15" s="97">
        <v>14</v>
      </c>
      <c r="C15" s="98">
        <v>10</v>
      </c>
      <c r="D15" s="97">
        <v>2021</v>
      </c>
      <c r="E15" s="99">
        <f>'Localize Daily Bali Jimbaran'!P20</f>
        <v>15019.999999999867</v>
      </c>
      <c r="F15" s="100">
        <f>'Localize Daily Bali Jimbaran'!O20/'Localize Daily Bali Jimbaran'!P20</f>
        <v>1181.6994727030622</v>
      </c>
      <c r="G15" s="99">
        <f>'Localize Daily Bali Jimbaran'!AC20</f>
        <v>0</v>
      </c>
      <c r="H15" s="100" t="e">
        <f>'Localize Daily Bali Jimbaran'!AD20/'Localize Daily Bali Jimbaran'!AC20</f>
        <v>#DIV/0!</v>
      </c>
      <c r="I15" s="99">
        <f>'Localize Daily Bali Jimbaran'!AH20</f>
        <v>286.70999999999913</v>
      </c>
      <c r="J15" s="101">
        <f>'Localize Daily Bali Jimbaran'!AI20/'Localize Daily Bali Jimbaran'!AH20</f>
        <v>11100</v>
      </c>
      <c r="K15" s="99">
        <f>'Localize Daily Bali Jimbaran'!Q20</f>
        <v>651</v>
      </c>
      <c r="L15" s="100">
        <f>'Localize Daily Bali Jimbaran'!V20/'Localize Daily Bali Jimbaran'!Q20</f>
        <v>9287.4716129032258</v>
      </c>
      <c r="M15" s="99">
        <f>'Localize Daily Bali Jimbaran'!C20</f>
        <v>8</v>
      </c>
      <c r="N15" s="99">
        <v>18</v>
      </c>
    </row>
    <row r="16" spans="1:14" ht="15">
      <c r="A16" s="96" t="s">
        <v>14</v>
      </c>
      <c r="B16" s="97">
        <v>15</v>
      </c>
      <c r="C16" s="98">
        <v>10</v>
      </c>
      <c r="D16" s="97">
        <v>2021</v>
      </c>
      <c r="E16" s="99">
        <f>'Localize Daily Bali Jimbaran'!P21</f>
        <v>16720.000000000015</v>
      </c>
      <c r="F16" s="100">
        <f>'Localize Daily Bali Jimbaran'!O21/'Localize Daily Bali Jimbaran'!P21</f>
        <v>1190.3416686602891</v>
      </c>
      <c r="G16" s="99">
        <f>'Localize Daily Bali Jimbaran'!AC21</f>
        <v>12</v>
      </c>
      <c r="H16" s="100">
        <f>'Localize Daily Bali Jimbaran'!AD21/'Localize Daily Bali Jimbaran'!AC21</f>
        <v>11458.333333333334</v>
      </c>
      <c r="I16" s="99">
        <f>'Localize Daily Bali Jimbaran'!AH21</f>
        <v>309.31999999999971</v>
      </c>
      <c r="J16" s="101">
        <f>'Localize Daily Bali Jimbaran'!AI21/'Localize Daily Bali Jimbaran'!AH21</f>
        <v>11100</v>
      </c>
      <c r="K16" s="99">
        <f>'Localize Daily Bali Jimbaran'!Q21</f>
        <v>654</v>
      </c>
      <c r="L16" s="100">
        <f>'Localize Daily Bali Jimbaran'!V21/'Localize Daily Bali Jimbaran'!Q21</f>
        <v>9266.5988990825681</v>
      </c>
      <c r="M16" s="99">
        <f>'Localize Daily Bali Jimbaran'!C21</f>
        <v>16</v>
      </c>
      <c r="N16" s="99">
        <v>29</v>
      </c>
    </row>
    <row r="17" spans="1:14" ht="15">
      <c r="A17" s="96" t="s">
        <v>14</v>
      </c>
      <c r="B17" s="97">
        <v>16</v>
      </c>
      <c r="C17" s="98">
        <v>10</v>
      </c>
      <c r="D17" s="97">
        <v>2021</v>
      </c>
      <c r="E17" s="99">
        <f>'Localize Daily Bali Jimbaran'!P22</f>
        <v>18140.000000000113</v>
      </c>
      <c r="F17" s="100">
        <f>'Localize Daily Bali Jimbaran'!O22/'Localize Daily Bali Jimbaran'!P22</f>
        <v>1197.2851670341756</v>
      </c>
      <c r="G17" s="99">
        <f>'Localize Daily Bali Jimbaran'!AC22</f>
        <v>84</v>
      </c>
      <c r="H17" s="100">
        <f>'Localize Daily Bali Jimbaran'!AD22/'Localize Daily Bali Jimbaran'!AC22</f>
        <v>11458.333333333334</v>
      </c>
      <c r="I17" s="99">
        <f>'Localize Daily Bali Jimbaran'!AH22</f>
        <v>300.65000000000146</v>
      </c>
      <c r="J17" s="101">
        <f>'Localize Daily Bali Jimbaran'!AI22/'Localize Daily Bali Jimbaran'!AH22</f>
        <v>11100</v>
      </c>
      <c r="K17" s="99">
        <f>'Localize Daily Bali Jimbaran'!Q22</f>
        <v>514</v>
      </c>
      <c r="L17" s="100">
        <f>'Localize Daily Bali Jimbaran'!V22/'Localize Daily Bali Jimbaran'!Q22</f>
        <v>10527.725019455253</v>
      </c>
      <c r="M17" s="99">
        <f>'Localize Daily Bali Jimbaran'!C22</f>
        <v>45</v>
      </c>
      <c r="N17" s="99">
        <v>103</v>
      </c>
    </row>
    <row r="18" spans="1:14" ht="15">
      <c r="A18" s="96" t="s">
        <v>14</v>
      </c>
      <c r="B18" s="97">
        <v>17</v>
      </c>
      <c r="C18" s="98">
        <v>10</v>
      </c>
      <c r="D18" s="97">
        <v>2021</v>
      </c>
      <c r="E18" s="99">
        <f>'Localize Daily Bali Jimbaran'!P23</f>
        <v>17580.000000000073</v>
      </c>
      <c r="F18" s="100">
        <f>'Localize Daily Bali Jimbaran'!O23/'Localize Daily Bali Jimbaran'!P23</f>
        <v>1186.5513890785001</v>
      </c>
      <c r="G18" s="99">
        <f>'Localize Daily Bali Jimbaran'!AC23</f>
        <v>0</v>
      </c>
      <c r="H18" s="100" t="e">
        <f>'Localize Daily Bali Jimbaran'!AD23/'Localize Daily Bali Jimbaran'!AC23</f>
        <v>#DIV/0!</v>
      </c>
      <c r="I18" s="99">
        <f>'Localize Daily Bali Jimbaran'!AH23</f>
        <v>315.23999999999796</v>
      </c>
      <c r="J18" s="101">
        <f>'Localize Daily Bali Jimbaran'!AI23/'Localize Daily Bali Jimbaran'!AH23</f>
        <v>11100</v>
      </c>
      <c r="K18" s="99">
        <f>'Localize Daily Bali Jimbaran'!Q23</f>
        <v>579</v>
      </c>
      <c r="L18" s="100">
        <f>'Localize Daily Bali Jimbaran'!V23/'Localize Daily Bali Jimbaran'!Q23</f>
        <v>9536.5959240069078</v>
      </c>
      <c r="M18" s="99">
        <f>'Localize Daily Bali Jimbaran'!C23</f>
        <v>53</v>
      </c>
      <c r="N18" s="99">
        <v>119</v>
      </c>
    </row>
    <row r="19" spans="1:14" ht="15">
      <c r="A19" s="96" t="s">
        <v>14</v>
      </c>
      <c r="B19" s="97">
        <v>18</v>
      </c>
      <c r="C19" s="98">
        <v>10</v>
      </c>
      <c r="D19" s="97">
        <v>2021</v>
      </c>
      <c r="E19" s="99">
        <f>'Localize Daily Bali Jimbaran'!P24</f>
        <v>19159.999999999956</v>
      </c>
      <c r="F19" s="100">
        <f>'Localize Daily Bali Jimbaran'!O24/'Localize Daily Bali Jimbaran'!P24</f>
        <v>1196.5529498956132</v>
      </c>
      <c r="G19" s="99">
        <f>'Localize Daily Bali Jimbaran'!AC24</f>
        <v>0</v>
      </c>
      <c r="H19" s="100" t="e">
        <f>'Localize Daily Bali Jimbaran'!AD24/'Localize Daily Bali Jimbaran'!AC24</f>
        <v>#DIV/0!</v>
      </c>
      <c r="I19" s="99">
        <f>'Localize Daily Bali Jimbaran'!AH24</f>
        <v>384.67000000000553</v>
      </c>
      <c r="J19" s="101">
        <f>'Localize Daily Bali Jimbaran'!AI24/'Localize Daily Bali Jimbaran'!AH24</f>
        <v>11100</v>
      </c>
      <c r="K19" s="99">
        <f>'Localize Daily Bali Jimbaran'!Q24</f>
        <v>706</v>
      </c>
      <c r="L19" s="100">
        <f>'Localize Daily Bali Jimbaran'!V24/'Localize Daily Bali Jimbaran'!Q24</f>
        <v>8013.9167705382442</v>
      </c>
      <c r="M19" s="99">
        <f>'Localize Daily Bali Jimbaran'!C24</f>
        <v>49</v>
      </c>
      <c r="N19" s="99">
        <v>115</v>
      </c>
    </row>
    <row r="20" spans="1:14" ht="15">
      <c r="A20" s="96" t="s">
        <v>14</v>
      </c>
      <c r="B20" s="97">
        <v>19</v>
      </c>
      <c r="C20" s="98">
        <v>10</v>
      </c>
      <c r="D20" s="97">
        <v>2021</v>
      </c>
      <c r="E20" s="99">
        <f>'Localize Daily Bali Jimbaran'!P25</f>
        <v>18719.999999999945</v>
      </c>
      <c r="F20" s="100">
        <f>'Localize Daily Bali Jimbaran'!O25/'Localize Daily Bali Jimbaran'!P25</f>
        <v>1181.1045817307709</v>
      </c>
      <c r="G20" s="99">
        <f>'Localize Daily Bali Jimbaran'!AC25</f>
        <v>0</v>
      </c>
      <c r="H20" s="100" t="e">
        <f>'Localize Daily Bali Jimbaran'!AD25/'Localize Daily Bali Jimbaran'!AC25</f>
        <v>#DIV/0!</v>
      </c>
      <c r="I20" s="99">
        <f>'Localize Daily Bali Jimbaran'!AH25</f>
        <v>400.68999999999505</v>
      </c>
      <c r="J20" s="101">
        <f>'Localize Daily Bali Jimbaran'!AI25/'Localize Daily Bali Jimbaran'!AH25</f>
        <v>11100</v>
      </c>
      <c r="K20" s="99">
        <f>'Localize Daily Bali Jimbaran'!Q25</f>
        <v>633</v>
      </c>
      <c r="L20" s="100">
        <f>'Localize Daily Bali Jimbaran'!V25/'Localize Daily Bali Jimbaran'!Q25</f>
        <v>9505.9987045813577</v>
      </c>
      <c r="M20" s="99">
        <f>'Localize Daily Bali Jimbaran'!C25</f>
        <v>20</v>
      </c>
      <c r="N20" s="99">
        <v>51</v>
      </c>
    </row>
    <row r="21" spans="1:14" ht="15">
      <c r="A21" s="96" t="s">
        <v>14</v>
      </c>
      <c r="B21" s="97">
        <v>20</v>
      </c>
      <c r="C21" s="98">
        <v>10</v>
      </c>
      <c r="D21" s="97">
        <v>2021</v>
      </c>
      <c r="E21" s="99">
        <f>'Localize Daily Bali Jimbaran'!P26</f>
        <v>16820.00000000012</v>
      </c>
      <c r="F21" s="100">
        <f>'Localize Daily Bali Jimbaran'!O26/'Localize Daily Bali Jimbaran'!P26</f>
        <v>1181.9715410225924</v>
      </c>
      <c r="G21" s="99">
        <f>'Localize Daily Bali Jimbaran'!AC26</f>
        <v>12</v>
      </c>
      <c r="H21" s="100">
        <f>'Localize Daily Bali Jimbaran'!AD26/'Localize Daily Bali Jimbaran'!AC26</f>
        <v>11458.333333333334</v>
      </c>
      <c r="I21" s="99">
        <f>'Localize Daily Bali Jimbaran'!AH26</f>
        <v>371.23999999997613</v>
      </c>
      <c r="J21" s="101">
        <f>'Localize Daily Bali Jimbaran'!AI26/'Localize Daily Bali Jimbaran'!AH26</f>
        <v>11100</v>
      </c>
      <c r="K21" s="99">
        <f>'Localize Daily Bali Jimbaran'!Q26</f>
        <v>561</v>
      </c>
      <c r="L21" s="100">
        <f>'Localize Daily Bali Jimbaran'!V26/'Localize Daily Bali Jimbaran'!Q26</f>
        <v>10118.034474153297</v>
      </c>
      <c r="M21" s="99">
        <f>'Localize Daily Bali Jimbaran'!C26</f>
        <v>13</v>
      </c>
      <c r="N21" s="99">
        <v>52</v>
      </c>
    </row>
    <row r="22" spans="1:14" ht="15">
      <c r="A22" s="96" t="s">
        <v>14</v>
      </c>
      <c r="B22" s="97">
        <v>21</v>
      </c>
      <c r="C22" s="98">
        <v>10</v>
      </c>
      <c r="D22" s="97">
        <v>2021</v>
      </c>
      <c r="E22" s="99">
        <f>'Localize Daily Bali Jimbaran'!P27</f>
        <v>16559.999999999945</v>
      </c>
      <c r="F22" s="100">
        <f>'Localize Daily Bali Jimbaran'!O27/'Localize Daily Bali Jimbaran'!P27</f>
        <v>1182.7969619565215</v>
      </c>
      <c r="G22" s="99">
        <f>'Localize Daily Bali Jimbaran'!AC27</f>
        <v>87.413240000007036</v>
      </c>
      <c r="H22" s="100">
        <f>'Localize Daily Bali Jimbaran'!AD27/'Localize Daily Bali Jimbaran'!AC27</f>
        <v>14411.872829790997</v>
      </c>
      <c r="I22" s="99">
        <f>'Localize Daily Bali Jimbaran'!AH27</f>
        <v>199.11000000000058</v>
      </c>
      <c r="J22" s="101">
        <f>'Localize Daily Bali Jimbaran'!AI27/'Localize Daily Bali Jimbaran'!AH27</f>
        <v>11100</v>
      </c>
      <c r="K22" s="99">
        <f>'Localize Daily Bali Jimbaran'!Q27</f>
        <v>613</v>
      </c>
      <c r="L22" s="100">
        <f>'Localize Daily Bali Jimbaran'!V27/'Localize Daily Bali Jimbaran'!Q27</f>
        <v>9638.5758564437201</v>
      </c>
      <c r="M22" s="99">
        <f>'Localize Daily Bali Jimbaran'!C27</f>
        <v>9</v>
      </c>
      <c r="N22" s="99">
        <v>40</v>
      </c>
    </row>
    <row r="23" spans="1:14" ht="15">
      <c r="A23" s="96" t="s">
        <v>14</v>
      </c>
      <c r="B23" s="97">
        <v>22</v>
      </c>
      <c r="C23" s="98">
        <v>10</v>
      </c>
      <c r="D23" s="97">
        <v>2021</v>
      </c>
      <c r="E23" s="99">
        <f>'Localize Daily Bali Jimbaran'!P28</f>
        <v>15300.000000000011</v>
      </c>
      <c r="F23" s="100">
        <f>'Localize Daily Bali Jimbaran'!O28/'Localize Daily Bali Jimbaran'!P28</f>
        <v>1178.5551647058824</v>
      </c>
      <c r="G23" s="99">
        <f>'Localize Daily Bali Jimbaran'!AC28</f>
        <v>0</v>
      </c>
      <c r="H23" s="100" t="e">
        <f>'Localize Daily Bali Jimbaran'!AD28/'Localize Daily Bali Jimbaran'!AC28</f>
        <v>#DIV/0!</v>
      </c>
      <c r="I23" s="99">
        <f>'Localize Daily Bali Jimbaran'!AH28</f>
        <v>379.95999999999913</v>
      </c>
      <c r="J23" s="101">
        <f>'Localize Daily Bali Jimbaran'!AI28/'Localize Daily Bali Jimbaran'!AH28</f>
        <v>11100.000000000002</v>
      </c>
      <c r="K23" s="99">
        <f>'Localize Daily Bali Jimbaran'!Q28</f>
        <v>659</v>
      </c>
      <c r="L23" s="100">
        <f>'Localize Daily Bali Jimbaran'!V28/'Localize Daily Bali Jimbaran'!Q28</f>
        <v>9275.0430045523517</v>
      </c>
      <c r="M23" s="99">
        <f>'Localize Daily Bali Jimbaran'!C28</f>
        <v>11</v>
      </c>
      <c r="N23" s="99">
        <v>32</v>
      </c>
    </row>
    <row r="24" spans="1:14" ht="15">
      <c r="A24" s="96" t="s">
        <v>14</v>
      </c>
      <c r="B24" s="97">
        <v>23</v>
      </c>
      <c r="C24" s="98">
        <v>10</v>
      </c>
      <c r="D24" s="97">
        <v>2021</v>
      </c>
      <c r="E24" s="99">
        <f>'Localize Daily Bali Jimbaran'!P29</f>
        <v>15159.999999999796</v>
      </c>
      <c r="F24" s="100">
        <f>'Localize Daily Bali Jimbaran'!O29/'Localize Daily Bali Jimbaran'!P29</f>
        <v>1182.9823753298156</v>
      </c>
      <c r="G24" s="99">
        <f>'Localize Daily Bali Jimbaran'!AC29</f>
        <v>362</v>
      </c>
      <c r="H24" s="100">
        <f>'Localize Daily Bali Jimbaran'!AD29/'Localize Daily Bali Jimbaran'!AC29</f>
        <v>15694.75138121547</v>
      </c>
      <c r="I24" s="99">
        <f>'Localize Daily Bali Jimbaran'!AH29</f>
        <v>88.630000000004657</v>
      </c>
      <c r="J24" s="101">
        <f>'Localize Daily Bali Jimbaran'!AI29/'Localize Daily Bali Jimbaran'!AH29</f>
        <v>11100</v>
      </c>
      <c r="K24" s="99">
        <f>'Localize Daily Bali Jimbaran'!Q29</f>
        <v>685</v>
      </c>
      <c r="L24" s="100">
        <f>'Localize Daily Bali Jimbaran'!V29/'Localize Daily Bali Jimbaran'!Q29</f>
        <v>9123.3968467153281</v>
      </c>
      <c r="M24" s="99">
        <f>'Localize Daily Bali Jimbaran'!C29</f>
        <v>13</v>
      </c>
      <c r="N24" s="99">
        <v>35</v>
      </c>
    </row>
    <row r="25" spans="1:14" ht="15">
      <c r="A25" s="96" t="s">
        <v>14</v>
      </c>
      <c r="B25" s="97">
        <v>24</v>
      </c>
      <c r="C25" s="98">
        <v>10</v>
      </c>
      <c r="D25" s="97">
        <v>2021</v>
      </c>
      <c r="E25" s="99">
        <f>'Localize Daily Bali Jimbaran'!P30</f>
        <v>14840.000000000429</v>
      </c>
      <c r="F25" s="100">
        <f>'Localize Daily Bali Jimbaran'!O30/'Localize Daily Bali Jimbaran'!P30</f>
        <v>1180.6426273584889</v>
      </c>
      <c r="G25" s="99">
        <f>'Localize Daily Bali Jimbaran'!AC30</f>
        <v>0</v>
      </c>
      <c r="H25" s="100" t="e">
        <f>'Localize Daily Bali Jimbaran'!AD30/'Localize Daily Bali Jimbaran'!AC30</f>
        <v>#DIV/0!</v>
      </c>
      <c r="I25" s="99">
        <f>'Localize Daily Bali Jimbaran'!AH30</f>
        <v>53.790000000000873</v>
      </c>
      <c r="J25" s="101">
        <f>'Localize Daily Bali Jimbaran'!AI30/'Localize Daily Bali Jimbaran'!AH30</f>
        <v>11100</v>
      </c>
      <c r="K25" s="99">
        <f>'Localize Daily Bali Jimbaran'!Q30</f>
        <v>606</v>
      </c>
      <c r="L25" s="100">
        <f>'Localize Daily Bali Jimbaran'!V30/'Localize Daily Bali Jimbaran'!Q30</f>
        <v>9671.9153135313518</v>
      </c>
      <c r="M25" s="99">
        <f>'Localize Daily Bali Jimbaran'!C30</f>
        <v>7</v>
      </c>
      <c r="N25" s="99">
        <v>22</v>
      </c>
    </row>
    <row r="26" spans="1:14" ht="15">
      <c r="A26" s="96" t="s">
        <v>14</v>
      </c>
      <c r="B26" s="97">
        <v>25</v>
      </c>
      <c r="C26" s="98">
        <v>10</v>
      </c>
      <c r="D26" s="97">
        <v>2021</v>
      </c>
      <c r="E26" s="99">
        <f>'Localize Daily Bali Jimbaran'!P31</f>
        <v>14979.999999999918</v>
      </c>
      <c r="F26" s="100">
        <f>'Localize Daily Bali Jimbaran'!O31/'Localize Daily Bali Jimbaran'!P31</f>
        <v>1182.6768364485974</v>
      </c>
      <c r="G26" s="99">
        <f>'Localize Daily Bali Jimbaran'!AC31</f>
        <v>0</v>
      </c>
      <c r="H26" s="100" t="e">
        <f>'Localize Daily Bali Jimbaran'!AD31/'Localize Daily Bali Jimbaran'!AC31</f>
        <v>#DIV/0!</v>
      </c>
      <c r="I26" s="99">
        <f>'Localize Daily Bali Jimbaran'!AH31</f>
        <v>339.29999999999563</v>
      </c>
      <c r="J26" s="101">
        <f>'Localize Daily Bali Jimbaran'!AI31/'Localize Daily Bali Jimbaran'!AH31</f>
        <v>11100</v>
      </c>
      <c r="K26" s="99">
        <f>'Localize Daily Bali Jimbaran'!Q31</f>
        <v>669</v>
      </c>
      <c r="L26" s="100">
        <f>'Localize Daily Bali Jimbaran'!V31/'Localize Daily Bali Jimbaran'!Q31</f>
        <v>9207.2130642750381</v>
      </c>
      <c r="M26" s="99">
        <f>'Localize Daily Bali Jimbaran'!C31</f>
        <v>13</v>
      </c>
      <c r="N26" s="99">
        <v>29</v>
      </c>
    </row>
    <row r="27" spans="1:14" ht="15">
      <c r="A27" s="96" t="s">
        <v>14</v>
      </c>
      <c r="B27" s="97">
        <v>26</v>
      </c>
      <c r="C27" s="98">
        <v>10</v>
      </c>
      <c r="D27" s="97">
        <v>2021</v>
      </c>
      <c r="E27" s="99">
        <f>'Localize Daily Bali Jimbaran'!P32</f>
        <v>14140</v>
      </c>
      <c r="F27" s="100">
        <f>'Localize Daily Bali Jimbaran'!O32/'Localize Daily Bali Jimbaran'!P32</f>
        <v>1186.7885198019824</v>
      </c>
      <c r="G27" s="99">
        <f>'Localize Daily Bali Jimbaran'!AC32</f>
        <v>0</v>
      </c>
      <c r="H27" s="100" t="e">
        <f>'Localize Daily Bali Jimbaran'!AD32/'Localize Daily Bali Jimbaran'!AC32</f>
        <v>#DIV/0!</v>
      </c>
      <c r="I27" s="99">
        <f>'Localize Daily Bali Jimbaran'!AH32</f>
        <v>299.56999999999971</v>
      </c>
      <c r="J27" s="101">
        <f>'Localize Daily Bali Jimbaran'!AI32/'Localize Daily Bali Jimbaran'!AH32</f>
        <v>11100</v>
      </c>
      <c r="K27" s="99">
        <f>'Localize Daily Bali Jimbaran'!Q32</f>
        <v>872</v>
      </c>
      <c r="L27" s="100">
        <f>'Localize Daily Bali Jimbaran'!V32/'Localize Daily Bali Jimbaran'!Q32</f>
        <v>8182.7832339449542</v>
      </c>
      <c r="M27" s="99">
        <f>'Localize Daily Bali Jimbaran'!C32</f>
        <v>3</v>
      </c>
      <c r="N27" s="99">
        <v>10</v>
      </c>
    </row>
    <row r="28" spans="1:14" ht="15">
      <c r="A28" s="96" t="s">
        <v>14</v>
      </c>
      <c r="B28" s="97">
        <v>27</v>
      </c>
      <c r="C28" s="98">
        <v>10</v>
      </c>
      <c r="D28" s="97">
        <v>2021</v>
      </c>
      <c r="E28" s="99">
        <f>'Localize Daily Bali Jimbaran'!P33</f>
        <v>14319.999999999794</v>
      </c>
      <c r="F28" s="100">
        <f>'Localize Daily Bali Jimbaran'!O33/'Localize Daily Bali Jimbaran'!P33</f>
        <v>1173.3897381284917</v>
      </c>
      <c r="G28" s="99">
        <f>'Localize Daily Bali Jimbaran'!AC33</f>
        <v>500</v>
      </c>
      <c r="H28" s="100">
        <f>'Localize Daily Bali Jimbaran'!AD33/'Localize Daily Bali Jimbaran'!AC33</f>
        <v>15840</v>
      </c>
      <c r="I28" s="99">
        <f>'Localize Daily Bali Jimbaran'!AH33</f>
        <v>187.68000000000029</v>
      </c>
      <c r="J28" s="101">
        <f>'Localize Daily Bali Jimbaran'!AI33/'Localize Daily Bali Jimbaran'!AH33</f>
        <v>11100</v>
      </c>
      <c r="K28" s="99">
        <f>'Localize Daily Bali Jimbaran'!Q33</f>
        <v>618</v>
      </c>
      <c r="L28" s="100">
        <f>'Localize Daily Bali Jimbaran'!V33/'Localize Daily Bali Jimbaran'!Q33</f>
        <v>9553.2711003236254</v>
      </c>
      <c r="M28" s="99">
        <f>'Localize Daily Bali Jimbaran'!C33</f>
        <v>3</v>
      </c>
      <c r="N28" s="99">
        <v>15</v>
      </c>
    </row>
    <row r="29" spans="1:14" ht="15">
      <c r="A29" s="96" t="s">
        <v>14</v>
      </c>
      <c r="B29" s="97">
        <v>28</v>
      </c>
      <c r="C29" s="98">
        <v>10</v>
      </c>
      <c r="D29" s="97">
        <v>2021</v>
      </c>
      <c r="E29" s="99">
        <f>'Localize Daily Bali Jimbaran'!P34</f>
        <v>14299.99999999984</v>
      </c>
      <c r="F29" s="100">
        <f>'Localize Daily Bali Jimbaran'!O34/'Localize Daily Bali Jimbaran'!P34</f>
        <v>1181.8756825174821</v>
      </c>
      <c r="G29" s="99">
        <f>'Localize Daily Bali Jimbaran'!AC34</f>
        <v>12</v>
      </c>
      <c r="H29" s="100">
        <f>'Localize Daily Bali Jimbaran'!AD34/'Localize Daily Bali Jimbaran'!AC34</f>
        <v>11458.333333333334</v>
      </c>
      <c r="I29" s="99">
        <f>'Localize Daily Bali Jimbaran'!AH34</f>
        <v>161.72000000000844</v>
      </c>
      <c r="J29" s="101">
        <f>'Localize Daily Bali Jimbaran'!AI34/'Localize Daily Bali Jimbaran'!AH34</f>
        <v>11100</v>
      </c>
      <c r="K29" s="99">
        <f>'Localize Daily Bali Jimbaran'!Q34</f>
        <v>505</v>
      </c>
      <c r="L29" s="100">
        <f>'Localize Daily Bali Jimbaran'!V34/'Localize Daily Bali Jimbaran'!Q34</f>
        <v>4737.22</v>
      </c>
      <c r="M29" s="99">
        <f>'Localize Daily Bali Jimbaran'!C34</f>
        <v>1</v>
      </c>
      <c r="N29" s="99">
        <v>10</v>
      </c>
    </row>
    <row r="30" spans="1:14" ht="15">
      <c r="A30" s="96" t="s">
        <v>14</v>
      </c>
      <c r="B30" s="97">
        <v>29</v>
      </c>
      <c r="C30" s="98">
        <v>10</v>
      </c>
      <c r="D30" s="97">
        <v>2021</v>
      </c>
      <c r="E30" s="99">
        <f>'Localize Daily Bali Jimbaran'!P35</f>
        <v>14680.000000000049</v>
      </c>
      <c r="F30" s="100">
        <f>'Localize Daily Bali Jimbaran'!O35/'Localize Daily Bali Jimbaran'!P35</f>
        <v>1180.1753521798378</v>
      </c>
      <c r="G30" s="99">
        <f>'Localize Daily Bali Jimbaran'!AC35</f>
        <v>24</v>
      </c>
      <c r="H30" s="100">
        <f>'Localize Daily Bali Jimbaran'!AD35/'Localize Daily Bali Jimbaran'!AC35</f>
        <v>11458.333333333334</v>
      </c>
      <c r="I30" s="99">
        <f>'Localize Daily Bali Jimbaran'!AH35</f>
        <v>367.62999999999738</v>
      </c>
      <c r="J30" s="101">
        <f>'Localize Daily Bali Jimbaran'!AI35/'Localize Daily Bali Jimbaran'!AH35</f>
        <v>11100</v>
      </c>
      <c r="K30" s="99">
        <f>'Localize Daily Bali Jimbaran'!Q35</f>
        <v>626</v>
      </c>
      <c r="L30" s="100">
        <f>'Localize Daily Bali Jimbaran'!V35/'Localize Daily Bali Jimbaran'!Q35</f>
        <v>9491.7241214057503</v>
      </c>
      <c r="M30" s="99">
        <f>'Localize Daily Bali Jimbaran'!C35</f>
        <v>5</v>
      </c>
      <c r="N30" s="99">
        <v>23</v>
      </c>
    </row>
    <row r="31" spans="1:14" ht="15">
      <c r="A31" s="96" t="s">
        <v>14</v>
      </c>
      <c r="B31" s="97">
        <v>30</v>
      </c>
      <c r="C31" s="98">
        <v>10</v>
      </c>
      <c r="D31" s="97">
        <v>2021</v>
      </c>
      <c r="E31" s="99">
        <f>'Localize Daily Bali Jimbaran'!P36</f>
        <v>14200.0000000004</v>
      </c>
      <c r="F31" s="100">
        <f>'Localize Daily Bali Jimbaran'!O36/'Localize Daily Bali Jimbaran'!P36</f>
        <v>1181.0080267605613</v>
      </c>
      <c r="G31" s="99">
        <f>'Localize Daily Bali Jimbaran'!AC36</f>
        <v>100</v>
      </c>
      <c r="H31" s="100">
        <f>'Localize Daily Bali Jimbaran'!AD36/'Localize Daily Bali Jimbaran'!AC36</f>
        <v>15840</v>
      </c>
      <c r="I31" s="99">
        <f>'Localize Daily Bali Jimbaran'!AH36</f>
        <v>64.160000000003492</v>
      </c>
      <c r="J31" s="101">
        <f>'Localize Daily Bali Jimbaran'!AI36/'Localize Daily Bali Jimbaran'!AH36</f>
        <v>11100</v>
      </c>
      <c r="K31" s="99">
        <f>'Localize Daily Bali Jimbaran'!Q36</f>
        <v>621</v>
      </c>
      <c r="L31" s="100">
        <f>'Localize Daily Bali Jimbaran'!V36/'Localize Daily Bali Jimbaran'!Q36</f>
        <v>9575.4343961352661</v>
      </c>
      <c r="M31" s="99">
        <f>'Localize Daily Bali Jimbaran'!C36</f>
        <v>8</v>
      </c>
      <c r="N31" s="99">
        <v>37</v>
      </c>
    </row>
    <row r="32" spans="1:14" ht="15">
      <c r="A32" s="96" t="s">
        <v>14</v>
      </c>
      <c r="B32" s="97">
        <v>31</v>
      </c>
      <c r="C32" s="98">
        <v>10</v>
      </c>
      <c r="D32" s="97">
        <v>2021</v>
      </c>
      <c r="E32" s="99">
        <f>'Localize Daily Bali Jimbaran'!P37</f>
        <v>14279.999999999973</v>
      </c>
      <c r="F32" s="100">
        <f>'Localize Daily Bali Jimbaran'!O37/'Localize Daily Bali Jimbaran'!P37</f>
        <v>1183.5309705882369</v>
      </c>
      <c r="G32" s="99">
        <f>'Localize Daily Bali Jimbaran'!AC37</f>
        <v>0</v>
      </c>
      <c r="H32" s="100" t="e">
        <f>'Localize Daily Bali Jimbaran'!AD37/'Localize Daily Bali Jimbaran'!AC37</f>
        <v>#DIV/0!</v>
      </c>
      <c r="I32" s="99">
        <f>'Localize Daily Bali Jimbaran'!AH37</f>
        <v>313.90999999999622</v>
      </c>
      <c r="J32" s="101">
        <f>'Localize Daily Bali Jimbaran'!AI37/'Localize Daily Bali Jimbaran'!AH37</f>
        <v>11100</v>
      </c>
      <c r="K32" s="99">
        <f>'Localize Daily Bali Jimbaran'!Q37</f>
        <v>489</v>
      </c>
      <c r="L32" s="100">
        <f>'Localize Daily Bali Jimbaran'!V37/'Localize Daily Bali Jimbaran'!Q37</f>
        <v>10823.763108384459</v>
      </c>
      <c r="M32" s="99">
        <f>'Localize Daily Bali Jimbaran'!C37</f>
        <v>9</v>
      </c>
      <c r="N32" s="99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P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6" t="s">
        <v>16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4"/>
    </row>
    <row r="4" spans="1:36" s="83" customFormat="1" ht="15.75" customHeight="1">
      <c r="A4" s="16"/>
      <c r="B4" s="157" t="s">
        <v>17</v>
      </c>
      <c r="C4" s="158" t="s">
        <v>18</v>
      </c>
      <c r="D4" s="159" t="s">
        <v>19</v>
      </c>
      <c r="E4" s="160" t="s">
        <v>20</v>
      </c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1" t="s">
        <v>21</v>
      </c>
      <c r="R4" s="161"/>
      <c r="S4" s="161"/>
      <c r="T4" s="161"/>
      <c r="U4" s="161"/>
      <c r="V4" s="161"/>
      <c r="W4" s="162" t="s">
        <v>22</v>
      </c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7"/>
    </row>
    <row r="5" spans="1:36" s="1" customFormat="1" ht="27" customHeight="1">
      <c r="A5" s="83"/>
      <c r="B5" s="157"/>
      <c r="C5" s="158"/>
      <c r="D5" s="159"/>
      <c r="E5" s="163" t="s">
        <v>23</v>
      </c>
      <c r="F5" s="163"/>
      <c r="G5" s="163"/>
      <c r="H5" s="163"/>
      <c r="I5" s="163"/>
      <c r="J5" s="164" t="s">
        <v>24</v>
      </c>
      <c r="K5" s="164"/>
      <c r="L5" s="164"/>
      <c r="M5" s="164"/>
      <c r="N5" s="164"/>
      <c r="O5" s="165" t="s">
        <v>25</v>
      </c>
      <c r="P5" s="167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2" t="s">
        <v>29</v>
      </c>
      <c r="X5" s="162"/>
      <c r="Y5" s="162"/>
      <c r="Z5" s="162"/>
      <c r="AA5" s="162"/>
      <c r="AB5" s="162"/>
      <c r="AC5" s="162"/>
      <c r="AD5" s="162"/>
      <c r="AE5" s="166" t="s">
        <v>30</v>
      </c>
      <c r="AF5" s="166"/>
      <c r="AG5" s="166"/>
      <c r="AH5" s="166"/>
      <c r="AI5" s="166"/>
      <c r="AJ5" s="83"/>
    </row>
    <row r="6" spans="1:36" s="1" customFormat="1" ht="58.5" customHeight="1">
      <c r="A6" s="86"/>
      <c r="B6" s="157"/>
      <c r="C6" s="158"/>
      <c r="D6" s="159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5"/>
      <c r="P6" s="167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3" t="s">
        <v>45</v>
      </c>
      <c r="AA6" s="123" t="s">
        <v>46</v>
      </c>
      <c r="AB6" s="89" t="s">
        <v>47</v>
      </c>
      <c r="AC6" s="89" t="s">
        <v>48</v>
      </c>
      <c r="AD6" s="90" t="s">
        <v>41</v>
      </c>
      <c r="AE6" s="125" t="s">
        <v>49</v>
      </c>
      <c r="AF6" s="125" t="s">
        <v>50</v>
      </c>
      <c r="AG6" s="125" t="s">
        <v>51</v>
      </c>
      <c r="AH6" s="125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11</v>
      </c>
      <c r="D7" s="103">
        <v>91</v>
      </c>
      <c r="E7" s="154">
        <v>9760.0000000002183</v>
      </c>
      <c r="F7" s="154">
        <v>10614673.440000238</v>
      </c>
      <c r="G7" s="114">
        <v>2000</v>
      </c>
      <c r="H7" s="154">
        <v>3262707</v>
      </c>
      <c r="I7" s="105">
        <f>F7+H7</f>
        <v>13877380.440000238</v>
      </c>
      <c r="J7" s="114">
        <v>1160.000000000025</v>
      </c>
      <c r="K7" s="114">
        <v>1261580.0400000273</v>
      </c>
      <c r="L7" s="117">
        <v>299.99999999999716</v>
      </c>
      <c r="M7" s="119">
        <v>489406.04999999545</v>
      </c>
      <c r="N7" s="106">
        <f>K7+M7</f>
        <v>1750986.0900000227</v>
      </c>
      <c r="O7" s="105">
        <f>I7+N7</f>
        <v>15628366.53000026</v>
      </c>
      <c r="P7" s="106">
        <f>E7+G7+J7+L7</f>
        <v>13220.00000000024</v>
      </c>
      <c r="Q7" s="121">
        <f>R7+T7</f>
        <v>691</v>
      </c>
      <c r="R7" s="114">
        <v>129</v>
      </c>
      <c r="S7" s="114">
        <v>2430747</v>
      </c>
      <c r="T7" s="114">
        <v>562</v>
      </c>
      <c r="U7" s="114">
        <v>2662317.64</v>
      </c>
      <c r="V7" s="114">
        <f>S7+U7</f>
        <v>5093064.6400000006</v>
      </c>
      <c r="W7" s="114">
        <v>0</v>
      </c>
      <c r="X7" s="114">
        <v>0</v>
      </c>
      <c r="Y7" s="114">
        <v>0</v>
      </c>
      <c r="Z7" s="114">
        <v>0</v>
      </c>
      <c r="AA7" s="114">
        <v>0</v>
      </c>
      <c r="AB7" s="111">
        <v>12</v>
      </c>
      <c r="AC7" s="121">
        <f>W7+X7+Y7+Z7+AA7+AB7</f>
        <v>12</v>
      </c>
      <c r="AD7" s="104">
        <v>137500</v>
      </c>
      <c r="AE7" s="107"/>
      <c r="AF7" s="126">
        <v>340.79000000000087</v>
      </c>
      <c r="AG7" s="128">
        <v>0</v>
      </c>
      <c r="AH7" s="128">
        <f>AF7+AG7</f>
        <v>340.79000000000087</v>
      </c>
      <c r="AI7" s="130">
        <v>3782769.0000000098</v>
      </c>
      <c r="AJ7" s="18"/>
    </row>
    <row r="8" spans="1:36" ht="15">
      <c r="A8" s="19"/>
      <c r="B8" s="64">
        <v>2</v>
      </c>
      <c r="C8" s="65">
        <v>7</v>
      </c>
      <c r="D8" s="65">
        <v>118</v>
      </c>
      <c r="E8" s="122">
        <v>10119.999999999891</v>
      </c>
      <c r="F8" s="122">
        <v>11006198.27999988</v>
      </c>
      <c r="G8" s="122">
        <v>2039.9999999999636</v>
      </c>
      <c r="H8" s="122">
        <v>3327961.139999941</v>
      </c>
      <c r="I8" s="105">
        <f>F8+H8</f>
        <v>14334159.419999821</v>
      </c>
      <c r="J8" s="155">
        <v>1240.0000000000091</v>
      </c>
      <c r="K8" s="155">
        <v>1348585.5600000101</v>
      </c>
      <c r="L8" s="118">
        <v>340.00000000000341</v>
      </c>
      <c r="M8" s="120">
        <v>554660.19000000553</v>
      </c>
      <c r="N8" s="106">
        <f>K8+M8</f>
        <v>1903245.7500000156</v>
      </c>
      <c r="O8" s="105">
        <f>I8+N8</f>
        <v>16237405.169999836</v>
      </c>
      <c r="P8" s="106">
        <f>E8+G8+J8+L8</f>
        <v>13739.999999999867</v>
      </c>
      <c r="Q8" s="121">
        <f>R8+T8</f>
        <v>674</v>
      </c>
      <c r="R8" s="122">
        <v>131</v>
      </c>
      <c r="S8" s="122">
        <v>2468433</v>
      </c>
      <c r="T8" s="115">
        <v>543</v>
      </c>
      <c r="U8" s="115">
        <v>2572310.46</v>
      </c>
      <c r="V8" s="114">
        <f>S8+U8</f>
        <v>5040743.46</v>
      </c>
      <c r="W8" s="124">
        <v>0</v>
      </c>
      <c r="X8" s="111">
        <v>0</v>
      </c>
      <c r="Y8" s="108">
        <v>350</v>
      </c>
      <c r="Z8" s="111">
        <v>0</v>
      </c>
      <c r="AA8" s="111">
        <v>0</v>
      </c>
      <c r="AB8" s="111">
        <v>0</v>
      </c>
      <c r="AC8" s="121">
        <f>W8+X8+Y8+Z8+AA8+AB8</f>
        <v>350</v>
      </c>
      <c r="AD8" s="108">
        <v>5544000</v>
      </c>
      <c r="AE8" s="112"/>
      <c r="AF8" s="127">
        <v>85.889999999999418</v>
      </c>
      <c r="AG8" s="129">
        <v>67.099999999976717</v>
      </c>
      <c r="AH8" s="128">
        <f>AF8+AG8</f>
        <v>152.98999999997613</v>
      </c>
      <c r="AI8" s="131">
        <v>1698188.999999735</v>
      </c>
      <c r="AJ8" s="21"/>
    </row>
    <row r="9" spans="1:36" ht="15">
      <c r="A9" s="19"/>
      <c r="B9" s="81">
        <v>3</v>
      </c>
      <c r="C9" s="65">
        <v>5</v>
      </c>
      <c r="D9" s="65">
        <v>114</v>
      </c>
      <c r="E9" s="122">
        <v>9920.0000000000728</v>
      </c>
      <c r="F9" s="122">
        <v>10788684.480000081</v>
      </c>
      <c r="G9" s="122">
        <v>1919.9999999999591</v>
      </c>
      <c r="H9" s="122">
        <v>3132198.7199999336</v>
      </c>
      <c r="I9" s="105">
        <f>F9+H9</f>
        <v>13920883.200000014</v>
      </c>
      <c r="J9" s="155">
        <v>1420.0000000000159</v>
      </c>
      <c r="K9" s="155">
        <v>1544347.9800000172</v>
      </c>
      <c r="L9" s="118">
        <v>340.00000000000341</v>
      </c>
      <c r="M9" s="120">
        <v>554660.19000000553</v>
      </c>
      <c r="N9" s="106">
        <f>K9+M9</f>
        <v>2099008.1700000227</v>
      </c>
      <c r="O9" s="105">
        <f>I9+N9</f>
        <v>16019891.370000036</v>
      </c>
      <c r="P9" s="106">
        <f>E9+G9+J9+L9</f>
        <v>13600.000000000053</v>
      </c>
      <c r="Q9" s="121">
        <f>R9+T9</f>
        <v>640</v>
      </c>
      <c r="R9" s="122">
        <v>127</v>
      </c>
      <c r="S9" s="122">
        <v>2393061</v>
      </c>
      <c r="T9" s="115">
        <v>513</v>
      </c>
      <c r="U9" s="115">
        <v>2430193.8600000003</v>
      </c>
      <c r="V9" s="114">
        <f>S9+U9</f>
        <v>4823254.8600000003</v>
      </c>
      <c r="W9" s="124">
        <v>0</v>
      </c>
      <c r="X9" s="111">
        <v>0</v>
      </c>
      <c r="Y9" s="108">
        <v>50</v>
      </c>
      <c r="Z9" s="111">
        <v>0</v>
      </c>
      <c r="AA9" s="111">
        <v>0</v>
      </c>
      <c r="AB9" s="111">
        <v>12</v>
      </c>
      <c r="AC9" s="121">
        <f>W9+X9+Y9+Z9+AA9+AB9</f>
        <v>62</v>
      </c>
      <c r="AD9" s="108">
        <v>929500</v>
      </c>
      <c r="AE9" s="112"/>
      <c r="AF9" s="127">
        <v>103.4800000000032</v>
      </c>
      <c r="AG9" s="129">
        <v>0</v>
      </c>
      <c r="AH9" s="128">
        <f>AF9+AG9</f>
        <v>103.4800000000032</v>
      </c>
      <c r="AI9" s="131">
        <v>1148628.0000000356</v>
      </c>
      <c r="AJ9" s="21"/>
    </row>
    <row r="10" spans="1:36" ht="15">
      <c r="A10" s="19"/>
      <c r="B10" s="64">
        <v>4</v>
      </c>
      <c r="C10" s="65">
        <v>5</v>
      </c>
      <c r="D10" s="65">
        <v>56</v>
      </c>
      <c r="E10" s="122">
        <v>9919.999999999618</v>
      </c>
      <c r="F10" s="122">
        <v>10788684.479999585</v>
      </c>
      <c r="G10" s="122">
        <v>2080.0000000000409</v>
      </c>
      <c r="H10" s="122">
        <v>3393215.2800000673</v>
      </c>
      <c r="I10" s="105">
        <f>F10+H10</f>
        <v>14181899.759999651</v>
      </c>
      <c r="J10" s="155">
        <v>1119.9999999999477</v>
      </c>
      <c r="K10" s="155">
        <v>1218077.2799999432</v>
      </c>
      <c r="L10" s="118">
        <v>299.99999999999716</v>
      </c>
      <c r="M10" s="120">
        <v>489406.04999999545</v>
      </c>
      <c r="N10" s="106">
        <f>K10+M10</f>
        <v>1707483.3299999386</v>
      </c>
      <c r="O10" s="105">
        <f>I10+N10</f>
        <v>15889383.08999959</v>
      </c>
      <c r="P10" s="106">
        <f>E10+G10+J10+L10</f>
        <v>13419.999999999602</v>
      </c>
      <c r="Q10" s="121">
        <f>R10+T10</f>
        <v>722</v>
      </c>
      <c r="R10" s="122">
        <v>127</v>
      </c>
      <c r="S10" s="122">
        <v>2393061</v>
      </c>
      <c r="T10" s="115">
        <v>595</v>
      </c>
      <c r="U10" s="115">
        <v>2818645.9000000004</v>
      </c>
      <c r="V10" s="114">
        <f>S10+U10</f>
        <v>5211706.9000000004</v>
      </c>
      <c r="W10" s="124">
        <v>0</v>
      </c>
      <c r="X10" s="111">
        <v>0</v>
      </c>
      <c r="Y10" s="108">
        <v>0</v>
      </c>
      <c r="Z10" s="111">
        <v>0</v>
      </c>
      <c r="AA10" s="111">
        <v>0</v>
      </c>
      <c r="AB10" s="111">
        <v>0</v>
      </c>
      <c r="AC10" s="121">
        <f>W10+X10+Y10+Z10+AA10+AB10</f>
        <v>0</v>
      </c>
      <c r="AD10" s="108">
        <v>0</v>
      </c>
      <c r="AE10" s="112"/>
      <c r="AF10" s="127">
        <v>391.22999999999593</v>
      </c>
      <c r="AG10" s="129">
        <v>0</v>
      </c>
      <c r="AH10" s="128">
        <f>AF10+AG10</f>
        <v>391.22999999999593</v>
      </c>
      <c r="AI10" s="131">
        <v>4342652.9999999544</v>
      </c>
      <c r="AJ10" s="21"/>
    </row>
    <row r="11" spans="1:36" ht="15">
      <c r="A11" s="19"/>
      <c r="B11" s="81">
        <v>5</v>
      </c>
      <c r="C11" s="65">
        <v>4</v>
      </c>
      <c r="D11" s="65">
        <v>76</v>
      </c>
      <c r="E11" s="122">
        <v>9680.000000000291</v>
      </c>
      <c r="F11" s="122">
        <v>10527667.920000317</v>
      </c>
      <c r="G11" s="122">
        <v>1960.0000000000364</v>
      </c>
      <c r="H11" s="122">
        <v>3197452.8600000595</v>
      </c>
      <c r="I11" s="105">
        <f>F11+H11</f>
        <v>13725120.780000376</v>
      </c>
      <c r="J11" s="155">
        <v>1120.0000000000045</v>
      </c>
      <c r="K11" s="155">
        <v>1218077.2800000052</v>
      </c>
      <c r="L11" s="118">
        <v>320.00000000000739</v>
      </c>
      <c r="M11" s="120">
        <v>522033.1200000121</v>
      </c>
      <c r="N11" s="106">
        <f>K11+M11</f>
        <v>1740110.4000000171</v>
      </c>
      <c r="O11" s="105">
        <f>I11+N11</f>
        <v>15465231.180000393</v>
      </c>
      <c r="P11" s="106">
        <f>E11+G11+J11+L11</f>
        <v>13080.000000000338</v>
      </c>
      <c r="Q11" s="121">
        <f>R11+T11</f>
        <v>766</v>
      </c>
      <c r="R11" s="122">
        <v>128</v>
      </c>
      <c r="S11" s="122">
        <v>2411904</v>
      </c>
      <c r="T11" s="115">
        <v>638</v>
      </c>
      <c r="U11" s="115">
        <v>3022346.3600000003</v>
      </c>
      <c r="V11" s="114">
        <f>S11+U11</f>
        <v>5434250.3600000003</v>
      </c>
      <c r="W11" s="124">
        <v>0</v>
      </c>
      <c r="X11" s="111">
        <v>0</v>
      </c>
      <c r="Y11" s="108">
        <v>0</v>
      </c>
      <c r="Z11" s="111">
        <v>0</v>
      </c>
      <c r="AA11" s="111">
        <v>0</v>
      </c>
      <c r="AB11" s="111">
        <v>12</v>
      </c>
      <c r="AC11" s="121">
        <f>W11+X11+Y11+Z11+AA11+AB11</f>
        <v>12</v>
      </c>
      <c r="AD11" s="108">
        <v>137500</v>
      </c>
      <c r="AE11" s="112"/>
      <c r="AF11" s="127">
        <v>101.25</v>
      </c>
      <c r="AG11" s="129">
        <v>0</v>
      </c>
      <c r="AH11" s="128">
        <f>AF11+AG11</f>
        <v>101.25</v>
      </c>
      <c r="AI11" s="131">
        <v>1123875</v>
      </c>
      <c r="AJ11" s="21"/>
    </row>
    <row r="12" spans="1:36" ht="15">
      <c r="A12" s="19"/>
      <c r="B12" s="64">
        <v>6</v>
      </c>
      <c r="C12" s="65">
        <v>2</v>
      </c>
      <c r="D12" s="65">
        <v>92</v>
      </c>
      <c r="E12" s="122">
        <v>9719.9999999997999</v>
      </c>
      <c r="F12" s="122">
        <v>10571170.679999784</v>
      </c>
      <c r="G12" s="122">
        <v>1799.9999999999545</v>
      </c>
      <c r="H12" s="122">
        <v>2936436.2999999262</v>
      </c>
      <c r="I12" s="105">
        <f>F12+H12</f>
        <v>13507606.97999971</v>
      </c>
      <c r="J12" s="155">
        <v>1260.0000000000477</v>
      </c>
      <c r="K12" s="155">
        <v>1370336.9400000519</v>
      </c>
      <c r="L12" s="118">
        <v>359.99999999999943</v>
      </c>
      <c r="M12" s="120">
        <v>587287.25999999908</v>
      </c>
      <c r="N12" s="106">
        <f>K12+M12</f>
        <v>1957624.2000000509</v>
      </c>
      <c r="O12" s="105">
        <f>I12+N12</f>
        <v>15465231.179999761</v>
      </c>
      <c r="P12" s="106">
        <f>E12+G12+J12+L12</f>
        <v>13139.999999999802</v>
      </c>
      <c r="Q12" s="121">
        <f>R12+T12</f>
        <v>618</v>
      </c>
      <c r="R12" s="122">
        <v>128</v>
      </c>
      <c r="S12" s="122">
        <v>2411904</v>
      </c>
      <c r="T12" s="115">
        <v>490</v>
      </c>
      <c r="U12" s="115">
        <v>2321237.8000000003</v>
      </c>
      <c r="V12" s="114">
        <f>S12+U12</f>
        <v>4733141.8000000007</v>
      </c>
      <c r="W12" s="124">
        <v>0</v>
      </c>
      <c r="X12" s="111">
        <v>0</v>
      </c>
      <c r="Y12" s="108">
        <v>0</v>
      </c>
      <c r="Z12" s="111">
        <v>0</v>
      </c>
      <c r="AA12" s="111">
        <v>0</v>
      </c>
      <c r="AB12" s="111">
        <v>0</v>
      </c>
      <c r="AC12" s="121">
        <f>W12+X12+Y12+Z12+AA12+AB12</f>
        <v>0</v>
      </c>
      <c r="AD12" s="108">
        <v>0</v>
      </c>
      <c r="AE12" s="112"/>
      <c r="AF12" s="127">
        <v>257.04000000000087</v>
      </c>
      <c r="AG12" s="129">
        <v>0</v>
      </c>
      <c r="AH12" s="128">
        <f>AF12+AG12</f>
        <v>257.04000000000087</v>
      </c>
      <c r="AI12" s="131">
        <v>2853144.0000000098</v>
      </c>
      <c r="AJ12" s="21"/>
    </row>
    <row r="13" spans="1:36" ht="15">
      <c r="A13" s="19"/>
      <c r="B13" s="81">
        <v>7</v>
      </c>
      <c r="C13" s="65">
        <v>6</v>
      </c>
      <c r="D13" s="65">
        <v>113</v>
      </c>
      <c r="E13" s="122">
        <v>9760.0000000002183</v>
      </c>
      <c r="F13" s="122">
        <v>10614673.440000238</v>
      </c>
      <c r="G13" s="122">
        <v>2000</v>
      </c>
      <c r="H13" s="122">
        <v>3262707</v>
      </c>
      <c r="I13" s="105">
        <f>F13+H13</f>
        <v>13877380.440000238</v>
      </c>
      <c r="J13" s="155">
        <v>1359.9999999999568</v>
      </c>
      <c r="K13" s="155">
        <v>1479093.8399999528</v>
      </c>
      <c r="L13" s="118">
        <v>439.99999999999773</v>
      </c>
      <c r="M13" s="120">
        <v>717795.53999999643</v>
      </c>
      <c r="N13" s="106">
        <f>K13+M13</f>
        <v>2196889.3799999491</v>
      </c>
      <c r="O13" s="105">
        <f>I13+N13</f>
        <v>16074269.820000187</v>
      </c>
      <c r="P13" s="106">
        <f>E13+G13+J13+L13</f>
        <v>13560.000000000173</v>
      </c>
      <c r="Q13" s="121">
        <f>R13+T13</f>
        <v>793</v>
      </c>
      <c r="R13" s="122">
        <v>139</v>
      </c>
      <c r="S13" s="122">
        <v>2619177</v>
      </c>
      <c r="T13" s="115">
        <v>654</v>
      </c>
      <c r="U13" s="115">
        <v>3098141.8800000004</v>
      </c>
      <c r="V13" s="114">
        <f>S13+U13</f>
        <v>5717318.8800000008</v>
      </c>
      <c r="W13" s="124">
        <v>0</v>
      </c>
      <c r="X13" s="111">
        <v>0</v>
      </c>
      <c r="Y13" s="108">
        <v>0</v>
      </c>
      <c r="Z13" s="111">
        <v>0</v>
      </c>
      <c r="AA13" s="111">
        <v>0</v>
      </c>
      <c r="AB13" s="111">
        <v>12</v>
      </c>
      <c r="AC13" s="121">
        <f>W13+X13+Y13+Z13+AA13+AB13</f>
        <v>12</v>
      </c>
      <c r="AD13" s="108">
        <v>137500</v>
      </c>
      <c r="AE13" s="112"/>
      <c r="AF13" s="127">
        <v>104.77999999999884</v>
      </c>
      <c r="AG13" s="129">
        <v>0</v>
      </c>
      <c r="AH13" s="128">
        <f>AF13+AG13</f>
        <v>104.77999999999884</v>
      </c>
      <c r="AI13" s="131">
        <v>1163057.999999987</v>
      </c>
      <c r="AJ13" s="21"/>
    </row>
    <row r="14" spans="1:36" ht="15">
      <c r="A14" s="19"/>
      <c r="B14" s="64">
        <v>8</v>
      </c>
      <c r="C14" s="65">
        <v>17</v>
      </c>
      <c r="D14" s="65">
        <v>113</v>
      </c>
      <c r="E14" s="122">
        <v>9880.0000000001091</v>
      </c>
      <c r="F14" s="122">
        <v>10745181.720000118</v>
      </c>
      <c r="G14" s="122">
        <v>2080.0000000000409</v>
      </c>
      <c r="H14" s="122">
        <v>3393215.2800000673</v>
      </c>
      <c r="I14" s="105">
        <f>F14+H14</f>
        <v>14138397.000000186</v>
      </c>
      <c r="J14" s="155">
        <v>1220.0000000000273</v>
      </c>
      <c r="K14" s="155">
        <v>1326834.1800000297</v>
      </c>
      <c r="L14" s="118">
        <v>319.99999999999318</v>
      </c>
      <c r="M14" s="120">
        <v>522033.11999998894</v>
      </c>
      <c r="N14" s="106">
        <f>K14+M14</f>
        <v>1848867.3000000187</v>
      </c>
      <c r="O14" s="105">
        <f>I14+N14</f>
        <v>15987264.300000206</v>
      </c>
      <c r="P14" s="106">
        <f>E14+G14+J14+L14</f>
        <v>13500.000000000169</v>
      </c>
      <c r="Q14" s="121">
        <f>R14+T14</f>
        <v>690</v>
      </c>
      <c r="R14" s="122">
        <v>128</v>
      </c>
      <c r="S14" s="122">
        <v>2411904</v>
      </c>
      <c r="T14" s="115">
        <v>562</v>
      </c>
      <c r="U14" s="115">
        <v>2662317.64</v>
      </c>
      <c r="V14" s="114">
        <f>S14+U14</f>
        <v>5074221.6400000006</v>
      </c>
      <c r="W14" s="124">
        <v>0</v>
      </c>
      <c r="X14" s="111">
        <v>0</v>
      </c>
      <c r="Y14" s="108">
        <v>400</v>
      </c>
      <c r="Z14" s="111">
        <v>0</v>
      </c>
      <c r="AA14" s="111">
        <v>0</v>
      </c>
      <c r="AB14" s="111">
        <v>12</v>
      </c>
      <c r="AC14" s="121">
        <f>W14+X14+Y14+Z14+AA14+AB14</f>
        <v>412</v>
      </c>
      <c r="AD14" s="108">
        <v>6473500</v>
      </c>
      <c r="AE14" s="112"/>
      <c r="AF14" s="127">
        <v>339.88000000000466</v>
      </c>
      <c r="AG14" s="129">
        <v>0</v>
      </c>
      <c r="AH14" s="128">
        <f>AF14+AG14</f>
        <v>339.88000000000466</v>
      </c>
      <c r="AI14" s="131">
        <v>3772668.0000000517</v>
      </c>
      <c r="AJ14" s="21"/>
    </row>
    <row r="15" spans="1:36" ht="15">
      <c r="A15" s="19"/>
      <c r="B15" s="81">
        <v>9</v>
      </c>
      <c r="C15" s="65">
        <v>14</v>
      </c>
      <c r="D15" s="65">
        <v>131</v>
      </c>
      <c r="E15" s="122">
        <v>10719.9999999998</v>
      </c>
      <c r="F15" s="122">
        <v>11658739.679999784</v>
      </c>
      <c r="G15" s="122">
        <v>2240.0000000000091</v>
      </c>
      <c r="H15" s="122">
        <v>3654231.8400000152</v>
      </c>
      <c r="I15" s="105">
        <f>F15+H15</f>
        <v>15312971.519999798</v>
      </c>
      <c r="J15" s="155">
        <v>1319.9999999999932</v>
      </c>
      <c r="K15" s="155">
        <v>1435591.0799999926</v>
      </c>
      <c r="L15" s="118">
        <v>380.00000000000966</v>
      </c>
      <c r="M15" s="120">
        <v>619914.33000001579</v>
      </c>
      <c r="N15" s="106">
        <f>K15+M15</f>
        <v>2055505.4100000085</v>
      </c>
      <c r="O15" s="105">
        <f>I15+N15</f>
        <v>17368476.929999806</v>
      </c>
      <c r="P15" s="106">
        <f>E15+G15+J15+L15</f>
        <v>14659.999999999811</v>
      </c>
      <c r="Q15" s="121">
        <f>R15+T15</f>
        <v>675</v>
      </c>
      <c r="R15" s="122">
        <v>127</v>
      </c>
      <c r="S15" s="122">
        <v>2393061</v>
      </c>
      <c r="T15" s="115">
        <v>548</v>
      </c>
      <c r="U15" s="115">
        <v>2595996.56</v>
      </c>
      <c r="V15" s="114">
        <f>S15+U15</f>
        <v>4989057.5600000005</v>
      </c>
      <c r="W15" s="124">
        <v>0</v>
      </c>
      <c r="X15" s="111">
        <v>0</v>
      </c>
      <c r="Y15" s="108">
        <v>0</v>
      </c>
      <c r="Z15" s="111">
        <v>0</v>
      </c>
      <c r="AA15" s="111">
        <v>0</v>
      </c>
      <c r="AB15" s="111">
        <v>12</v>
      </c>
      <c r="AC15" s="121">
        <f>W15+X15+Y15+Z15+AA15+AB15</f>
        <v>12</v>
      </c>
      <c r="AD15" s="108">
        <v>137500</v>
      </c>
      <c r="AE15" s="112"/>
      <c r="AF15" s="127">
        <v>152.69999999999709</v>
      </c>
      <c r="AG15" s="129">
        <v>0</v>
      </c>
      <c r="AH15" s="128">
        <f>AF15+AG15</f>
        <v>152.69999999999709</v>
      </c>
      <c r="AI15" s="131">
        <v>1694969.9999999676</v>
      </c>
      <c r="AJ15" s="21"/>
    </row>
    <row r="16" spans="1:36" ht="15">
      <c r="A16" s="19"/>
      <c r="B16" s="64">
        <v>10</v>
      </c>
      <c r="C16" s="65">
        <v>9</v>
      </c>
      <c r="D16" s="65">
        <v>172</v>
      </c>
      <c r="E16" s="122">
        <v>11039.999999999964</v>
      </c>
      <c r="F16" s="122">
        <v>12006761.759999961</v>
      </c>
      <c r="G16" s="122">
        <v>2199.9999999999318</v>
      </c>
      <c r="H16" s="122">
        <v>3588977.6999998894</v>
      </c>
      <c r="I16" s="105">
        <f>F16+H16</f>
        <v>15595739.45999985</v>
      </c>
      <c r="J16" s="155">
        <v>1259.9999999999909</v>
      </c>
      <c r="K16" s="155">
        <v>1370336.9399999902</v>
      </c>
      <c r="L16" s="118">
        <v>339.9999999999892</v>
      </c>
      <c r="M16" s="120">
        <v>554660.18999998248</v>
      </c>
      <c r="N16" s="106">
        <f>K16+M16</f>
        <v>1924997.1299999726</v>
      </c>
      <c r="O16" s="105">
        <f>I16+N16</f>
        <v>17520736.589999821</v>
      </c>
      <c r="P16" s="106">
        <f>E16+G16+J16+L16</f>
        <v>14839.999999999874</v>
      </c>
      <c r="Q16" s="121">
        <f>R16+T16</f>
        <v>775</v>
      </c>
      <c r="R16" s="122">
        <v>128</v>
      </c>
      <c r="S16" s="122">
        <v>2411904</v>
      </c>
      <c r="T16" s="115">
        <v>647</v>
      </c>
      <c r="U16" s="115">
        <v>3064981.3400000003</v>
      </c>
      <c r="V16" s="114">
        <f>S16+U16</f>
        <v>5476885.3399999999</v>
      </c>
      <c r="W16" s="124">
        <v>0</v>
      </c>
      <c r="X16" s="111">
        <v>0</v>
      </c>
      <c r="Y16" s="108">
        <v>0</v>
      </c>
      <c r="Z16" s="111">
        <v>0</v>
      </c>
      <c r="AA16" s="111">
        <v>0</v>
      </c>
      <c r="AB16" s="111">
        <v>0</v>
      </c>
      <c r="AC16" s="121">
        <f>W16+X16+Y16+Z16+AA16+AB16</f>
        <v>0</v>
      </c>
      <c r="AD16" s="108">
        <v>0</v>
      </c>
      <c r="AE16" s="112"/>
      <c r="AF16" s="127">
        <v>99.459999999999127</v>
      </c>
      <c r="AG16" s="129">
        <v>0</v>
      </c>
      <c r="AH16" s="128">
        <f>AF16+AG16</f>
        <v>99.459999999999127</v>
      </c>
      <c r="AI16" s="131">
        <v>1104005.9999999902</v>
      </c>
      <c r="AJ16" s="21"/>
    </row>
    <row r="17" spans="1:36" ht="15">
      <c r="A17" s="19"/>
      <c r="B17" s="81">
        <v>11</v>
      </c>
      <c r="C17" s="65">
        <v>6</v>
      </c>
      <c r="D17" s="65">
        <v>63</v>
      </c>
      <c r="E17" s="122">
        <v>8159.9999999998545</v>
      </c>
      <c r="F17" s="122">
        <v>8874563.0399998426</v>
      </c>
      <c r="G17" s="122">
        <v>2040.0000000000773</v>
      </c>
      <c r="H17" s="122">
        <v>3327961.1400001268</v>
      </c>
      <c r="I17" s="105">
        <f>F17+H17</f>
        <v>12202524.17999997</v>
      </c>
      <c r="J17" s="155">
        <v>1199.9999999999886</v>
      </c>
      <c r="K17" s="155">
        <v>1305082.7999999875</v>
      </c>
      <c r="L17" s="118">
        <v>320.00000000000739</v>
      </c>
      <c r="M17" s="120">
        <v>522033.1200000121</v>
      </c>
      <c r="N17" s="106">
        <f>K17+M17</f>
        <v>1827115.9199999995</v>
      </c>
      <c r="O17" s="105">
        <f>I17+N17</f>
        <v>14029640.09999997</v>
      </c>
      <c r="P17" s="106">
        <f>E17+G17+J17+L17</f>
        <v>11719.999999999927</v>
      </c>
      <c r="Q17" s="121">
        <f>R17+T17</f>
        <v>726</v>
      </c>
      <c r="R17" s="122">
        <v>128</v>
      </c>
      <c r="S17" s="122">
        <v>2411904</v>
      </c>
      <c r="T17" s="115">
        <v>598</v>
      </c>
      <c r="U17" s="115">
        <v>2832857.56</v>
      </c>
      <c r="V17" s="114">
        <f>S17+U17</f>
        <v>5244761.5600000005</v>
      </c>
      <c r="W17" s="124">
        <v>0</v>
      </c>
      <c r="X17" s="111">
        <v>0</v>
      </c>
      <c r="Y17" s="108">
        <v>0</v>
      </c>
      <c r="Z17" s="111">
        <v>0</v>
      </c>
      <c r="AA17" s="111">
        <v>0</v>
      </c>
      <c r="AB17" s="111">
        <v>0</v>
      </c>
      <c r="AC17" s="121">
        <f>W17+X17+Y17+Z17+AA17+AB17</f>
        <v>0</v>
      </c>
      <c r="AD17" s="108">
        <v>0</v>
      </c>
      <c r="AE17" s="112"/>
      <c r="AF17" s="127">
        <v>189.56999999999971</v>
      </c>
      <c r="AG17" s="129">
        <v>0</v>
      </c>
      <c r="AH17" s="128">
        <f>AF17+AG17</f>
        <v>189.56999999999971</v>
      </c>
      <c r="AI17" s="131">
        <v>2104226.9999999967</v>
      </c>
      <c r="AJ17" s="21"/>
    </row>
    <row r="18" spans="1:36" ht="15">
      <c r="A18" s="19"/>
      <c r="B18" s="64">
        <v>12</v>
      </c>
      <c r="C18" s="65">
        <v>5</v>
      </c>
      <c r="D18" s="65">
        <v>65</v>
      </c>
      <c r="E18" s="122">
        <v>12840.000000000146</v>
      </c>
      <c r="F18" s="122">
        <v>13964385.960000157</v>
      </c>
      <c r="G18" s="122">
        <v>2079.9999999999272</v>
      </c>
      <c r="H18" s="122">
        <v>3393215.2799998815</v>
      </c>
      <c r="I18" s="105">
        <f>F18+H18</f>
        <v>17357601.240000039</v>
      </c>
      <c r="J18" s="155">
        <v>1439.9999999999977</v>
      </c>
      <c r="K18" s="155">
        <v>1566099.3599999975</v>
      </c>
      <c r="L18" s="118">
        <v>379.99999999999545</v>
      </c>
      <c r="M18" s="120">
        <v>619914.32999999262</v>
      </c>
      <c r="N18" s="106">
        <f>K18+M18</f>
        <v>2186013.6899999902</v>
      </c>
      <c r="O18" s="105">
        <f>I18+N18</f>
        <v>19543614.93000003</v>
      </c>
      <c r="P18" s="106">
        <f>E18+G18+J18+L18</f>
        <v>16740.000000000065</v>
      </c>
      <c r="Q18" s="121">
        <f>R18+T18</f>
        <v>736</v>
      </c>
      <c r="R18" s="122">
        <v>147</v>
      </c>
      <c r="S18" s="122">
        <v>2769921</v>
      </c>
      <c r="T18" s="115">
        <v>589</v>
      </c>
      <c r="U18" s="115">
        <v>2790222.58</v>
      </c>
      <c r="V18" s="114">
        <f>S18+U18</f>
        <v>5560143.5800000001</v>
      </c>
      <c r="W18" s="124">
        <v>0</v>
      </c>
      <c r="X18" s="111">
        <v>0</v>
      </c>
      <c r="Y18" s="108">
        <v>0</v>
      </c>
      <c r="Z18" s="111">
        <v>0</v>
      </c>
      <c r="AA18" s="111">
        <v>0</v>
      </c>
      <c r="AB18" s="111">
        <v>12</v>
      </c>
      <c r="AC18" s="121">
        <f>W18+X18+Y18+Z18+AA18+AB18</f>
        <v>12</v>
      </c>
      <c r="AD18" s="108">
        <v>137500</v>
      </c>
      <c r="AE18" s="112"/>
      <c r="AF18" s="127">
        <v>127.4800000000032</v>
      </c>
      <c r="AG18" s="129">
        <v>0</v>
      </c>
      <c r="AH18" s="128">
        <f>AF18+AG18</f>
        <v>127.4800000000032</v>
      </c>
      <c r="AI18" s="131">
        <v>1415028.0000000356</v>
      </c>
      <c r="AJ18" s="21"/>
    </row>
    <row r="19" spans="1:36" ht="15">
      <c r="A19" s="19"/>
      <c r="B19" s="81">
        <v>13</v>
      </c>
      <c r="C19" s="65">
        <v>8</v>
      </c>
      <c r="D19" s="65">
        <v>106</v>
      </c>
      <c r="E19" s="122">
        <v>10599.999999999909</v>
      </c>
      <c r="F19" s="122">
        <v>11528231.399999902</v>
      </c>
      <c r="G19" s="122">
        <v>2320.00000000005</v>
      </c>
      <c r="H19" s="122">
        <v>3784740.1200000816</v>
      </c>
      <c r="I19" s="105">
        <f>F19+H19</f>
        <v>15312971.519999983</v>
      </c>
      <c r="J19" s="155">
        <v>1400.0000000000341</v>
      </c>
      <c r="K19" s="155">
        <v>1522596.6000000371</v>
      </c>
      <c r="L19" s="118">
        <v>320.00000000000739</v>
      </c>
      <c r="M19" s="120">
        <v>522033.1200000121</v>
      </c>
      <c r="N19" s="106">
        <f>K19+M19</f>
        <v>2044629.7200000491</v>
      </c>
      <c r="O19" s="105">
        <f>I19+N19</f>
        <v>17357601.240000032</v>
      </c>
      <c r="P19" s="106">
        <f>E19+G19+J19+L19</f>
        <v>14640.000000000002</v>
      </c>
      <c r="Q19" s="121">
        <f>R19+T19</f>
        <v>628</v>
      </c>
      <c r="R19" s="122">
        <v>212</v>
      </c>
      <c r="S19" s="122">
        <v>3994716</v>
      </c>
      <c r="T19" s="115">
        <v>416</v>
      </c>
      <c r="U19" s="115">
        <v>1970683.52</v>
      </c>
      <c r="V19" s="114">
        <f>S19+U19</f>
        <v>5965399.5199999996</v>
      </c>
      <c r="W19" s="124">
        <v>0</v>
      </c>
      <c r="X19" s="111">
        <v>0</v>
      </c>
      <c r="Y19" s="108">
        <v>400</v>
      </c>
      <c r="Z19" s="111">
        <v>0</v>
      </c>
      <c r="AA19" s="111">
        <v>0</v>
      </c>
      <c r="AB19" s="111">
        <v>12</v>
      </c>
      <c r="AC19" s="121">
        <f>W19+X19+Y19+Z19+AA19+AB19</f>
        <v>412</v>
      </c>
      <c r="AD19" s="108">
        <v>6473500</v>
      </c>
      <c r="AE19" s="112"/>
      <c r="AF19" s="127">
        <v>612.91999999999825</v>
      </c>
      <c r="AG19" s="129">
        <v>143.20000000001164</v>
      </c>
      <c r="AH19" s="128">
        <f>AF19+AG19</f>
        <v>756.1200000000099</v>
      </c>
      <c r="AI19" s="131">
        <v>8392932.0000001099</v>
      </c>
      <c r="AJ19" s="21"/>
    </row>
    <row r="20" spans="1:36" ht="15">
      <c r="A20" s="19"/>
      <c r="B20" s="64">
        <v>14</v>
      </c>
      <c r="C20" s="65">
        <v>8</v>
      </c>
      <c r="D20" s="65">
        <v>85</v>
      </c>
      <c r="E20" s="122">
        <v>11079.999999999927</v>
      </c>
      <c r="F20" s="122">
        <v>12050264.519999921</v>
      </c>
      <c r="G20" s="122">
        <v>2279.9999999999727</v>
      </c>
      <c r="H20" s="122">
        <v>3719485.9799999557</v>
      </c>
      <c r="I20" s="105">
        <f>F20+H20</f>
        <v>15769750.499999877</v>
      </c>
      <c r="J20" s="155">
        <v>1339.999999999975</v>
      </c>
      <c r="K20" s="155">
        <v>1457342.459999973</v>
      </c>
      <c r="L20" s="118">
        <v>319.99999999999318</v>
      </c>
      <c r="M20" s="120">
        <v>522033.11999998894</v>
      </c>
      <c r="N20" s="106">
        <f>K20+M20</f>
        <v>1979375.5799999619</v>
      </c>
      <c r="O20" s="105">
        <f>I20+N20</f>
        <v>17749126.079999838</v>
      </c>
      <c r="P20" s="106">
        <f>E20+G20+J20+L20</f>
        <v>15019.999999999867</v>
      </c>
      <c r="Q20" s="121">
        <f>R20+T20</f>
        <v>651</v>
      </c>
      <c r="R20" s="122">
        <v>210</v>
      </c>
      <c r="S20" s="122">
        <v>3957030</v>
      </c>
      <c r="T20" s="115">
        <v>441</v>
      </c>
      <c r="U20" s="115">
        <v>2089114.02</v>
      </c>
      <c r="V20" s="114">
        <f>S20+U20</f>
        <v>6046144.0199999996</v>
      </c>
      <c r="W20" s="124">
        <v>0</v>
      </c>
      <c r="X20" s="111">
        <v>0</v>
      </c>
      <c r="Y20" s="108">
        <v>0</v>
      </c>
      <c r="Z20" s="111">
        <v>0</v>
      </c>
      <c r="AA20" s="111">
        <v>0</v>
      </c>
      <c r="AB20" s="111">
        <v>0</v>
      </c>
      <c r="AC20" s="121">
        <f>W20+X20+Y20+Z20+AA20+AB20</f>
        <v>0</v>
      </c>
      <c r="AD20" s="108">
        <v>0</v>
      </c>
      <c r="AE20" s="112"/>
      <c r="AF20" s="127">
        <v>286.70999999999913</v>
      </c>
      <c r="AG20" s="129">
        <v>0</v>
      </c>
      <c r="AH20" s="128">
        <f>AF20+AG20</f>
        <v>286.70999999999913</v>
      </c>
      <c r="AI20" s="131">
        <v>3182480.9999999902</v>
      </c>
      <c r="AJ20" s="21"/>
    </row>
    <row r="21" spans="1:36" ht="15">
      <c r="A21" s="19"/>
      <c r="B21" s="81">
        <v>15</v>
      </c>
      <c r="C21" s="71">
        <v>16</v>
      </c>
      <c r="D21" s="71">
        <v>117</v>
      </c>
      <c r="E21" s="115">
        <v>12039.999999999964</v>
      </c>
      <c r="F21" s="115">
        <v>13094330.759999961</v>
      </c>
      <c r="G21" s="115">
        <v>2680.0000000000637</v>
      </c>
      <c r="H21" s="115">
        <v>4372027.3800001042</v>
      </c>
      <c r="I21" s="105">
        <f>F21+H21</f>
        <v>17466358.140000064</v>
      </c>
      <c r="J21" s="113">
        <v>1519.9999999999818</v>
      </c>
      <c r="K21" s="113">
        <v>1653104.8799999803</v>
      </c>
      <c r="L21" s="113">
        <v>480.00000000000398</v>
      </c>
      <c r="M21" s="115">
        <v>783049.68000000657</v>
      </c>
      <c r="N21" s="106">
        <f>K21+M21</f>
        <v>2436154.559999987</v>
      </c>
      <c r="O21" s="105">
        <f>I21+N21</f>
        <v>19902512.700000051</v>
      </c>
      <c r="P21" s="106">
        <f>E21+G21+J21+L21</f>
        <v>16720.000000000015</v>
      </c>
      <c r="Q21" s="121">
        <f>R21+T21</f>
        <v>654</v>
      </c>
      <c r="R21" s="122">
        <v>210</v>
      </c>
      <c r="S21" s="122">
        <v>3957030</v>
      </c>
      <c r="T21" s="115">
        <v>444</v>
      </c>
      <c r="U21" s="115">
        <v>2103325.6800000002</v>
      </c>
      <c r="V21" s="114">
        <f>S21+U21</f>
        <v>6060355.6799999997</v>
      </c>
      <c r="W21" s="124">
        <v>0</v>
      </c>
      <c r="X21" s="111">
        <v>0</v>
      </c>
      <c r="Y21" s="108">
        <v>0</v>
      </c>
      <c r="Z21" s="111">
        <v>0</v>
      </c>
      <c r="AA21" s="111">
        <v>0</v>
      </c>
      <c r="AB21" s="111">
        <v>12</v>
      </c>
      <c r="AC21" s="121">
        <f>W21+X21+Y21+Z21+AA21+AB21</f>
        <v>12</v>
      </c>
      <c r="AD21" s="108">
        <v>137500</v>
      </c>
      <c r="AE21" s="112"/>
      <c r="AF21" s="127">
        <v>309.31999999999971</v>
      </c>
      <c r="AG21" s="129">
        <v>0</v>
      </c>
      <c r="AH21" s="128">
        <f>AF21+AG21</f>
        <v>309.31999999999971</v>
      </c>
      <c r="AI21" s="131">
        <v>3433451.9999999967</v>
      </c>
      <c r="AJ21" s="21"/>
    </row>
    <row r="22" spans="1:36" ht="15">
      <c r="A22" s="19"/>
      <c r="B22" s="64">
        <v>16</v>
      </c>
      <c r="C22" s="71">
        <v>45</v>
      </c>
      <c r="D22" s="71">
        <v>256</v>
      </c>
      <c r="E22" s="115">
        <v>12840.000000000146</v>
      </c>
      <c r="F22" s="115">
        <v>13964385.960000157</v>
      </c>
      <c r="G22" s="115">
        <v>3199.9999999999318</v>
      </c>
      <c r="H22" s="115">
        <v>5220331.1999998884</v>
      </c>
      <c r="I22" s="105">
        <f>F22+H22</f>
        <v>19184717.160000045</v>
      </c>
      <c r="J22" s="113">
        <v>1640.0000000000432</v>
      </c>
      <c r="K22" s="113">
        <v>1783613.1600000469</v>
      </c>
      <c r="L22" s="113">
        <v>459.99999999999375</v>
      </c>
      <c r="M22" s="115">
        <v>750422.60999998986</v>
      </c>
      <c r="N22" s="106">
        <f>K22+M22</f>
        <v>2534035.7700000368</v>
      </c>
      <c r="O22" s="105">
        <f>I22+N22</f>
        <v>21718752.930000082</v>
      </c>
      <c r="P22" s="106">
        <f>E22+G22+J22+L22</f>
        <v>18140.000000000113</v>
      </c>
      <c r="Q22" s="121">
        <f>R22+T22</f>
        <v>514</v>
      </c>
      <c r="R22" s="122">
        <v>211</v>
      </c>
      <c r="S22" s="122">
        <v>3975873</v>
      </c>
      <c r="T22" s="115">
        <v>303</v>
      </c>
      <c r="U22" s="115">
        <v>1435377.6600000001</v>
      </c>
      <c r="V22" s="114">
        <f>S22+U22</f>
        <v>5411250.6600000001</v>
      </c>
      <c r="W22" s="124">
        <v>0</v>
      </c>
      <c r="X22" s="111">
        <v>0</v>
      </c>
      <c r="Y22" s="108">
        <v>0</v>
      </c>
      <c r="Z22" s="111">
        <v>0</v>
      </c>
      <c r="AA22" s="111">
        <v>0</v>
      </c>
      <c r="AB22" s="111">
        <v>84</v>
      </c>
      <c r="AC22" s="121">
        <f>W22+X22+Y22+Z22+AA22+AB22</f>
        <v>84</v>
      </c>
      <c r="AD22" s="108">
        <v>962500</v>
      </c>
      <c r="AE22" s="112"/>
      <c r="AF22" s="127">
        <v>300.65000000000146</v>
      </c>
      <c r="AG22" s="129">
        <v>0</v>
      </c>
      <c r="AH22" s="128">
        <f>AF22+AG22</f>
        <v>300.65000000000146</v>
      </c>
      <c r="AI22" s="131">
        <v>3337215.0000000163</v>
      </c>
      <c r="AJ22" s="21"/>
    </row>
    <row r="23" spans="1:36" ht="15">
      <c r="A23" s="19"/>
      <c r="B23" s="81">
        <v>17</v>
      </c>
      <c r="C23" s="71">
        <v>53</v>
      </c>
      <c r="D23" s="71">
        <v>327</v>
      </c>
      <c r="E23" s="115">
        <v>13000</v>
      </c>
      <c r="F23" s="115">
        <v>14138397</v>
      </c>
      <c r="G23" s="115">
        <v>2800.0000000000682</v>
      </c>
      <c r="H23" s="115">
        <v>4567789.8000001116</v>
      </c>
      <c r="I23" s="105">
        <f>F23+H23</f>
        <v>18706186.800000113</v>
      </c>
      <c r="J23" s="113">
        <v>1379.9999999999955</v>
      </c>
      <c r="K23" s="113">
        <v>1500845.2199999951</v>
      </c>
      <c r="L23" s="113">
        <v>400.00000000000568</v>
      </c>
      <c r="M23" s="115">
        <v>652541.40000000934</v>
      </c>
      <c r="N23" s="106">
        <f>K23+M23</f>
        <v>2153386.6200000043</v>
      </c>
      <c r="O23" s="105">
        <f>I23+N23</f>
        <v>20859573.420000117</v>
      </c>
      <c r="P23" s="106">
        <f>E23+G23+J23+L23</f>
        <v>17580.000000000073</v>
      </c>
      <c r="Q23" s="121">
        <f>R23+T23</f>
        <v>579</v>
      </c>
      <c r="R23" s="122">
        <v>197</v>
      </c>
      <c r="S23" s="122">
        <v>3712071</v>
      </c>
      <c r="T23" s="115">
        <v>382</v>
      </c>
      <c r="U23" s="115">
        <v>1809618.04</v>
      </c>
      <c r="V23" s="114">
        <f>S23+U23</f>
        <v>5521689.04</v>
      </c>
      <c r="W23" s="124">
        <v>0</v>
      </c>
      <c r="X23" s="111">
        <v>0</v>
      </c>
      <c r="Y23" s="108">
        <v>0</v>
      </c>
      <c r="Z23" s="111">
        <v>0</v>
      </c>
      <c r="AA23" s="111">
        <v>0</v>
      </c>
      <c r="AB23" s="111">
        <v>0</v>
      </c>
      <c r="AC23" s="121">
        <f>W23+X23+Y23+Z23+AA23+AB23</f>
        <v>0</v>
      </c>
      <c r="AD23" s="108">
        <v>0</v>
      </c>
      <c r="AE23" s="112"/>
      <c r="AF23" s="127">
        <v>315.23999999999796</v>
      </c>
      <c r="AG23" s="129">
        <v>0</v>
      </c>
      <c r="AH23" s="128">
        <f>AF23+AG23</f>
        <v>315.23999999999796</v>
      </c>
      <c r="AI23" s="131">
        <v>3499163.9999999772</v>
      </c>
      <c r="AJ23" s="21"/>
    </row>
    <row r="24" spans="1:36" ht="15">
      <c r="A24" s="19"/>
      <c r="B24" s="64">
        <v>18</v>
      </c>
      <c r="C24" s="71">
        <v>49</v>
      </c>
      <c r="D24" s="71">
        <v>301</v>
      </c>
      <c r="E24" s="115">
        <v>13440.000000000055</v>
      </c>
      <c r="F24" s="115">
        <v>14616927.360000061</v>
      </c>
      <c r="G24" s="115">
        <v>3359.9999999999</v>
      </c>
      <c r="H24" s="115">
        <v>5481347.7599998368</v>
      </c>
      <c r="I24" s="105">
        <f>F24+H24</f>
        <v>20098275.119999897</v>
      </c>
      <c r="J24" s="113">
        <v>1879.9999999999955</v>
      </c>
      <c r="K24" s="116">
        <v>2044629.7199999951</v>
      </c>
      <c r="L24" s="113">
        <v>480.00000000000398</v>
      </c>
      <c r="M24" s="115">
        <v>783049.68000000657</v>
      </c>
      <c r="N24" s="106">
        <f>K24+M24</f>
        <v>2827679.4000000018</v>
      </c>
      <c r="O24" s="105">
        <f>I24+N24</f>
        <v>22925954.519999899</v>
      </c>
      <c r="P24" s="106">
        <f>E24+G24+J24+L24</f>
        <v>19159.999999999956</v>
      </c>
      <c r="Q24" s="121">
        <f>R24+T24</f>
        <v>706</v>
      </c>
      <c r="R24" s="122">
        <v>164</v>
      </c>
      <c r="S24" s="122">
        <v>3090252</v>
      </c>
      <c r="T24" s="115">
        <v>542</v>
      </c>
      <c r="U24" s="115">
        <v>2567573.2400000002</v>
      </c>
      <c r="V24" s="114">
        <f>S24+U24</f>
        <v>5657825.2400000002</v>
      </c>
      <c r="W24" s="124">
        <v>0</v>
      </c>
      <c r="X24" s="111">
        <v>0</v>
      </c>
      <c r="Y24" s="108">
        <v>0</v>
      </c>
      <c r="Z24" s="111">
        <v>0</v>
      </c>
      <c r="AA24" s="111">
        <v>0</v>
      </c>
      <c r="AB24" s="111">
        <v>0</v>
      </c>
      <c r="AC24" s="121">
        <f>W24+X24+Y24+Z24+AA24+AB24</f>
        <v>0</v>
      </c>
      <c r="AD24" s="108">
        <v>0</v>
      </c>
      <c r="AE24" s="112"/>
      <c r="AF24" s="127">
        <v>384.67000000000553</v>
      </c>
      <c r="AG24" s="129">
        <v>0</v>
      </c>
      <c r="AH24" s="128">
        <f>AF24+AG24</f>
        <v>384.67000000000553</v>
      </c>
      <c r="AI24" s="131">
        <v>4269837.0000000615</v>
      </c>
      <c r="AJ24" s="21"/>
    </row>
    <row r="25" spans="1:36" ht="15">
      <c r="A25" s="19"/>
      <c r="B25" s="81">
        <v>19</v>
      </c>
      <c r="C25" s="71">
        <v>20</v>
      </c>
      <c r="D25" s="71">
        <v>239</v>
      </c>
      <c r="E25" s="115">
        <v>13639.999999999873</v>
      </c>
      <c r="F25" s="115">
        <v>14834441.15999986</v>
      </c>
      <c r="G25" s="115">
        <v>2800.0000000000682</v>
      </c>
      <c r="H25" s="115">
        <v>4567789.8000001116</v>
      </c>
      <c r="I25" s="105">
        <f>F25+H25</f>
        <v>19402230.959999971</v>
      </c>
      <c r="J25" s="113">
        <v>1860.0000000000136</v>
      </c>
      <c r="K25" s="113">
        <v>2022878.3400000148</v>
      </c>
      <c r="L25" s="113">
        <v>419.99999999998749</v>
      </c>
      <c r="M25" s="115">
        <v>685168.4699999796</v>
      </c>
      <c r="N25" s="106">
        <f>K25+M25</f>
        <v>2708046.8099999945</v>
      </c>
      <c r="O25" s="105">
        <f>I25+N25</f>
        <v>22110277.769999966</v>
      </c>
      <c r="P25" s="106">
        <f>E25+G25+J25+L25</f>
        <v>18719.999999999945</v>
      </c>
      <c r="Q25" s="121">
        <f>R25+T25</f>
        <v>633</v>
      </c>
      <c r="R25" s="122">
        <v>214</v>
      </c>
      <c r="S25" s="122">
        <v>4032402</v>
      </c>
      <c r="T25" s="115">
        <v>419</v>
      </c>
      <c r="U25" s="115">
        <v>1984895.1800000002</v>
      </c>
      <c r="V25" s="114">
        <f>S25+U25</f>
        <v>6017297.1799999997</v>
      </c>
      <c r="W25" s="124">
        <v>0</v>
      </c>
      <c r="X25" s="111">
        <v>0</v>
      </c>
      <c r="Y25" s="108">
        <v>0</v>
      </c>
      <c r="Z25" s="111">
        <v>0</v>
      </c>
      <c r="AA25" s="111">
        <v>0</v>
      </c>
      <c r="AB25" s="111">
        <v>0</v>
      </c>
      <c r="AC25" s="121">
        <f>W25+X25+Y25+Z25+AA25+AB25</f>
        <v>0</v>
      </c>
      <c r="AD25" s="108">
        <v>0</v>
      </c>
      <c r="AE25" s="112"/>
      <c r="AF25" s="127">
        <v>400.68999999999505</v>
      </c>
      <c r="AG25" s="129">
        <v>0</v>
      </c>
      <c r="AH25" s="128">
        <f>AF25+AG25</f>
        <v>400.68999999999505</v>
      </c>
      <c r="AI25" s="131">
        <v>4447658.9999999451</v>
      </c>
      <c r="AJ25" s="21"/>
    </row>
    <row r="26" spans="1:36" ht="15">
      <c r="A26" s="19"/>
      <c r="B26" s="64">
        <v>20</v>
      </c>
      <c r="C26" s="71">
        <v>13</v>
      </c>
      <c r="D26" s="71">
        <v>129</v>
      </c>
      <c r="E26" s="115">
        <v>12360.000000000127</v>
      </c>
      <c r="F26" s="115">
        <v>13442352.840000138</v>
      </c>
      <c r="G26" s="115">
        <v>2480.0000000000182</v>
      </c>
      <c r="H26" s="115">
        <v>4045756.68000003</v>
      </c>
      <c r="I26" s="105">
        <f>F26+H26</f>
        <v>17488109.520000167</v>
      </c>
      <c r="J26" s="113">
        <v>1539.9999999999636</v>
      </c>
      <c r="K26" s="113">
        <v>1674856.2599999604</v>
      </c>
      <c r="L26" s="113">
        <v>440.00000000001194</v>
      </c>
      <c r="M26" s="115">
        <v>717795.54000001948</v>
      </c>
      <c r="N26" s="106">
        <f>K26+M26</f>
        <v>2392651.7999999798</v>
      </c>
      <c r="O26" s="105">
        <f>I26+N26</f>
        <v>19880761.320000146</v>
      </c>
      <c r="P26" s="106">
        <f>E26+G26+J26+L26</f>
        <v>16820.00000000012</v>
      </c>
      <c r="Q26" s="121">
        <f>R26+T26</f>
        <v>561</v>
      </c>
      <c r="R26" s="122">
        <v>214</v>
      </c>
      <c r="S26" s="122">
        <v>4032402</v>
      </c>
      <c r="T26" s="115">
        <v>347</v>
      </c>
      <c r="U26" s="115">
        <v>1643815.34</v>
      </c>
      <c r="V26" s="114">
        <f>S26+U26</f>
        <v>5676217.3399999999</v>
      </c>
      <c r="W26" s="124">
        <v>0</v>
      </c>
      <c r="X26" s="111">
        <v>0</v>
      </c>
      <c r="Y26" s="108">
        <v>0</v>
      </c>
      <c r="Z26" s="111">
        <v>0</v>
      </c>
      <c r="AA26" s="111">
        <v>0</v>
      </c>
      <c r="AB26" s="111">
        <v>12</v>
      </c>
      <c r="AC26" s="121">
        <f>W26+X26+Y26+Z26+AA26+AB26</f>
        <v>12</v>
      </c>
      <c r="AD26" s="108">
        <v>137500</v>
      </c>
      <c r="AE26" s="112"/>
      <c r="AF26" s="127">
        <v>317.13999999999942</v>
      </c>
      <c r="AG26" s="129">
        <v>54.099999999976717</v>
      </c>
      <c r="AH26" s="128">
        <f>AF26+AG26</f>
        <v>371.23999999997613</v>
      </c>
      <c r="AI26" s="131">
        <v>4120763.999999735</v>
      </c>
      <c r="AJ26" s="21"/>
    </row>
    <row r="27" spans="1:36" ht="15">
      <c r="A27" s="19"/>
      <c r="B27" s="81">
        <v>21</v>
      </c>
      <c r="C27" s="65">
        <v>9</v>
      </c>
      <c r="D27" s="65">
        <v>167</v>
      </c>
      <c r="E27" s="122">
        <v>12079.999999999927</v>
      </c>
      <c r="F27" s="122">
        <v>13137833.519999921</v>
      </c>
      <c r="G27" s="122">
        <v>2399.9999999999773</v>
      </c>
      <c r="H27" s="122">
        <v>3915248.3999999636</v>
      </c>
      <c r="I27" s="105">
        <f>F27+H27</f>
        <v>17053081.919999886</v>
      </c>
      <c r="J27" s="155">
        <v>1580.0000000000409</v>
      </c>
      <c r="K27" s="155">
        <v>1718359.0200000445</v>
      </c>
      <c r="L27" s="118">
        <v>500</v>
      </c>
      <c r="M27" s="120">
        <v>815676.75</v>
      </c>
      <c r="N27" s="106">
        <f>K27+M27</f>
        <v>2534035.7700000443</v>
      </c>
      <c r="O27" s="105">
        <f>I27+N27</f>
        <v>19587117.689999931</v>
      </c>
      <c r="P27" s="106">
        <f>E27+G27+J27+L27</f>
        <v>16559.999999999945</v>
      </c>
      <c r="Q27" s="121">
        <f>R27+T27</f>
        <v>613</v>
      </c>
      <c r="R27" s="122">
        <v>213</v>
      </c>
      <c r="S27" s="122">
        <v>4013559</v>
      </c>
      <c r="T27" s="115">
        <v>400</v>
      </c>
      <c r="U27" s="115">
        <v>1894888</v>
      </c>
      <c r="V27" s="114">
        <f>S27+U27</f>
        <v>5908447</v>
      </c>
      <c r="W27" s="124">
        <v>13.413240000007033</v>
      </c>
      <c r="X27" s="111">
        <v>0</v>
      </c>
      <c r="Y27" s="108">
        <v>50</v>
      </c>
      <c r="Z27" s="111">
        <v>0</v>
      </c>
      <c r="AA27" s="111">
        <v>0</v>
      </c>
      <c r="AB27" s="111">
        <v>24</v>
      </c>
      <c r="AC27" s="121">
        <f>W27+X27+Y27+Z27+AA27+AB27</f>
        <v>87.413240000007036</v>
      </c>
      <c r="AD27" s="108">
        <v>1259788.498520101</v>
      </c>
      <c r="AE27" s="112"/>
      <c r="AF27" s="127">
        <v>199.11000000000058</v>
      </c>
      <c r="AG27" s="129">
        <v>0</v>
      </c>
      <c r="AH27" s="128">
        <f>AF27+AG27</f>
        <v>199.11000000000058</v>
      </c>
      <c r="AI27" s="131">
        <v>2210121.0000000065</v>
      </c>
      <c r="AJ27" s="21"/>
    </row>
    <row r="28" spans="1:36" ht="15">
      <c r="A28" s="19"/>
      <c r="B28" s="64">
        <v>22</v>
      </c>
      <c r="C28" s="65">
        <v>11</v>
      </c>
      <c r="D28" s="65">
        <v>135</v>
      </c>
      <c r="E28" s="122">
        <v>11440.000000000055</v>
      </c>
      <c r="F28" s="122">
        <v>12441789.360000061</v>
      </c>
      <c r="G28" s="122">
        <v>2240.0000000000091</v>
      </c>
      <c r="H28" s="122">
        <v>3654231.8400000152</v>
      </c>
      <c r="I28" s="105">
        <f>F28+H28</f>
        <v>16096021.200000076</v>
      </c>
      <c r="J28" s="155">
        <v>1299.9999999999545</v>
      </c>
      <c r="K28" s="155">
        <v>1413839.6999999506</v>
      </c>
      <c r="L28" s="118">
        <v>319.99999999999318</v>
      </c>
      <c r="M28" s="120">
        <v>522033.11999998894</v>
      </c>
      <c r="N28" s="106">
        <f>K28+M28</f>
        <v>1935872.8199999395</v>
      </c>
      <c r="O28" s="105">
        <f>I28+N28</f>
        <v>18031894.020000014</v>
      </c>
      <c r="P28" s="106">
        <f>E28+G28+J28+L28</f>
        <v>15300.000000000011</v>
      </c>
      <c r="Q28" s="121">
        <f>R28+T28</f>
        <v>659</v>
      </c>
      <c r="R28" s="122">
        <v>212</v>
      </c>
      <c r="S28" s="122">
        <v>3994716</v>
      </c>
      <c r="T28" s="115">
        <v>447</v>
      </c>
      <c r="U28" s="115">
        <v>2117537.3400000003</v>
      </c>
      <c r="V28" s="114">
        <f>S28+U28</f>
        <v>6112253.3399999999</v>
      </c>
      <c r="W28" s="124">
        <v>0</v>
      </c>
      <c r="X28" s="111">
        <v>0</v>
      </c>
      <c r="Y28" s="108">
        <v>0</v>
      </c>
      <c r="Z28" s="111">
        <v>0</v>
      </c>
      <c r="AA28" s="111">
        <v>0</v>
      </c>
      <c r="AB28" s="111">
        <v>0</v>
      </c>
      <c r="AC28" s="121">
        <f>W28+X28+Y28+Z28+AA28+AB28</f>
        <v>0</v>
      </c>
      <c r="AD28" s="108">
        <v>0</v>
      </c>
      <c r="AE28" s="112"/>
      <c r="AF28" s="127">
        <v>379.95999999999913</v>
      </c>
      <c r="AG28" s="129">
        <v>0</v>
      </c>
      <c r="AH28" s="128">
        <f>AF28+AG28</f>
        <v>379.95999999999913</v>
      </c>
      <c r="AI28" s="131">
        <v>4217555.9999999907</v>
      </c>
      <c r="AJ28" s="21"/>
    </row>
    <row r="29" spans="1:36" ht="15">
      <c r="A29" s="19"/>
      <c r="B29" s="81">
        <v>23</v>
      </c>
      <c r="C29" s="65">
        <v>13</v>
      </c>
      <c r="D29" s="65">
        <v>99</v>
      </c>
      <c r="E29" s="122">
        <v>11199.999999999818</v>
      </c>
      <c r="F29" s="122">
        <v>12180772.799999803</v>
      </c>
      <c r="G29" s="122">
        <v>2279.9999999999727</v>
      </c>
      <c r="H29" s="122">
        <v>3719485.9799999557</v>
      </c>
      <c r="I29" s="105">
        <f>F29+H29</f>
        <v>15900258.779999759</v>
      </c>
      <c r="J29" s="155">
        <v>1300.0000000000114</v>
      </c>
      <c r="K29" s="155">
        <v>1413839.7000000123</v>
      </c>
      <c r="L29" s="118">
        <v>379.99999999999545</v>
      </c>
      <c r="M29" s="120">
        <v>619914.32999999262</v>
      </c>
      <c r="N29" s="106">
        <f>K29+M29</f>
        <v>2033754.0300000049</v>
      </c>
      <c r="O29" s="105">
        <f>I29+N29</f>
        <v>17934012.809999764</v>
      </c>
      <c r="P29" s="106">
        <f>E29+G29+J29+L29</f>
        <v>15159.999999999796</v>
      </c>
      <c r="Q29" s="121">
        <f>R29+T29</f>
        <v>685</v>
      </c>
      <c r="R29" s="122">
        <v>213</v>
      </c>
      <c r="S29" s="122">
        <v>4013559</v>
      </c>
      <c r="T29" s="115">
        <v>472</v>
      </c>
      <c r="U29" s="115">
        <v>2235967.8400000003</v>
      </c>
      <c r="V29" s="114">
        <f>S29+U29</f>
        <v>6249526.8399999999</v>
      </c>
      <c r="W29" s="124">
        <v>0</v>
      </c>
      <c r="X29" s="111">
        <v>0</v>
      </c>
      <c r="Y29" s="108">
        <v>350</v>
      </c>
      <c r="Z29" s="111">
        <v>0</v>
      </c>
      <c r="AA29" s="111">
        <v>0</v>
      </c>
      <c r="AB29" s="111">
        <v>12</v>
      </c>
      <c r="AC29" s="121">
        <f>W29+X29+Y29+Z29+AA29+AB29</f>
        <v>362</v>
      </c>
      <c r="AD29" s="108">
        <v>5681500</v>
      </c>
      <c r="AE29" s="112"/>
      <c r="AF29" s="127">
        <v>88.630000000004657</v>
      </c>
      <c r="AG29" s="129">
        <v>0</v>
      </c>
      <c r="AH29" s="128">
        <f>AF29+AG29</f>
        <v>88.630000000004657</v>
      </c>
      <c r="AI29" s="131">
        <v>983793.00000005169</v>
      </c>
      <c r="AJ29" s="21"/>
    </row>
    <row r="30" spans="1:36" ht="15">
      <c r="A30" s="19"/>
      <c r="B30" s="64">
        <v>24</v>
      </c>
      <c r="C30" s="65">
        <v>7</v>
      </c>
      <c r="D30" s="65">
        <v>95</v>
      </c>
      <c r="E30" s="122">
        <v>11040.000000000418</v>
      </c>
      <c r="F30" s="122">
        <v>12006761.760000456</v>
      </c>
      <c r="G30" s="122">
        <v>2240.0000000000091</v>
      </c>
      <c r="H30" s="122">
        <v>3654231.8400000152</v>
      </c>
      <c r="I30" s="105">
        <f>F30+H30</f>
        <v>15660993.600000471</v>
      </c>
      <c r="J30" s="155">
        <v>1259.9999999999909</v>
      </c>
      <c r="K30" s="155">
        <v>1370336.9399999902</v>
      </c>
      <c r="L30" s="118">
        <v>300.00000000001137</v>
      </c>
      <c r="M30" s="120">
        <v>489406.05000001861</v>
      </c>
      <c r="N30" s="106">
        <f>K30+M30</f>
        <v>1859742.9900000088</v>
      </c>
      <c r="O30" s="105">
        <f>I30+N30</f>
        <v>17520736.59000048</v>
      </c>
      <c r="P30" s="106">
        <f>E30+G30+J30+L30</f>
        <v>14840.000000000429</v>
      </c>
      <c r="Q30" s="121">
        <f>R30+T30</f>
        <v>606</v>
      </c>
      <c r="R30" s="122">
        <v>212</v>
      </c>
      <c r="S30" s="122">
        <v>3994716</v>
      </c>
      <c r="T30" s="115">
        <v>394</v>
      </c>
      <c r="U30" s="115">
        <v>1866464.6800000002</v>
      </c>
      <c r="V30" s="114">
        <f>S30+U30</f>
        <v>5861180.6799999997</v>
      </c>
      <c r="W30" s="124">
        <v>0</v>
      </c>
      <c r="X30" s="111">
        <v>0</v>
      </c>
      <c r="Y30" s="108">
        <v>0</v>
      </c>
      <c r="Z30" s="111">
        <v>0</v>
      </c>
      <c r="AA30" s="111">
        <v>0</v>
      </c>
      <c r="AB30" s="111">
        <v>0</v>
      </c>
      <c r="AC30" s="121">
        <f>W30+X30+Y30+Z30+AA30+AB30</f>
        <v>0</v>
      </c>
      <c r="AD30" s="108">
        <v>0</v>
      </c>
      <c r="AE30" s="112"/>
      <c r="AF30" s="127">
        <v>53.790000000000873</v>
      </c>
      <c r="AG30" s="129">
        <v>0</v>
      </c>
      <c r="AH30" s="128">
        <f>AF30+AG30</f>
        <v>53.790000000000873</v>
      </c>
      <c r="AI30" s="131">
        <v>597069.00000000966</v>
      </c>
      <c r="AJ30" s="21"/>
    </row>
    <row r="31" spans="1:36" ht="15">
      <c r="A31" s="19"/>
      <c r="B31" s="81">
        <v>25</v>
      </c>
      <c r="C31" s="65">
        <v>13</v>
      </c>
      <c r="D31" s="65">
        <v>56</v>
      </c>
      <c r="E31" s="122">
        <v>11079.999999999927</v>
      </c>
      <c r="F31" s="122">
        <v>12050264.519999921</v>
      </c>
      <c r="G31" s="122">
        <v>2279.9999999999727</v>
      </c>
      <c r="H31" s="122">
        <v>3719485.9799999557</v>
      </c>
      <c r="I31" s="105">
        <f>F31+H31</f>
        <v>15769750.499999877</v>
      </c>
      <c r="J31" s="155">
        <v>1280.0000000000296</v>
      </c>
      <c r="K31" s="155">
        <v>1392088.3200000322</v>
      </c>
      <c r="L31" s="118">
        <v>339.9999999999892</v>
      </c>
      <c r="M31" s="120">
        <v>554660.18999998248</v>
      </c>
      <c r="N31" s="106">
        <f>K31+M31</f>
        <v>1946748.5100000147</v>
      </c>
      <c r="O31" s="105">
        <f>I31+N31</f>
        <v>17716499.009999894</v>
      </c>
      <c r="P31" s="106">
        <f>E31+G31+J31+L31</f>
        <v>14979.999999999918</v>
      </c>
      <c r="Q31" s="121">
        <f>R31+T31</f>
        <v>669</v>
      </c>
      <c r="R31" s="122">
        <v>212</v>
      </c>
      <c r="S31" s="122">
        <v>3994716</v>
      </c>
      <c r="T31" s="115">
        <v>457</v>
      </c>
      <c r="U31" s="115">
        <v>2164909.54</v>
      </c>
      <c r="V31" s="114">
        <f>S31+U31</f>
        <v>6159625.54</v>
      </c>
      <c r="W31" s="124">
        <v>0</v>
      </c>
      <c r="X31" s="111">
        <v>0</v>
      </c>
      <c r="Y31" s="108">
        <v>0</v>
      </c>
      <c r="Z31" s="111">
        <v>0</v>
      </c>
      <c r="AA31" s="111">
        <v>0</v>
      </c>
      <c r="AB31" s="111">
        <v>0</v>
      </c>
      <c r="AC31" s="121">
        <f>W31+X31+Y31+Z31+AA31+AB31</f>
        <v>0</v>
      </c>
      <c r="AD31" s="108">
        <v>0</v>
      </c>
      <c r="AE31" s="112"/>
      <c r="AF31" s="127">
        <v>339.29999999999563</v>
      </c>
      <c r="AG31" s="129">
        <v>0</v>
      </c>
      <c r="AH31" s="128">
        <f>AF31+AG31</f>
        <v>339.29999999999563</v>
      </c>
      <c r="AI31" s="131">
        <v>3766229.9999999516</v>
      </c>
      <c r="AJ31" s="21"/>
    </row>
    <row r="32" spans="1:36" ht="15">
      <c r="A32" s="19"/>
      <c r="B32" s="64">
        <v>26</v>
      </c>
      <c r="C32" s="65">
        <v>3</v>
      </c>
      <c r="D32" s="65">
        <v>57</v>
      </c>
      <c r="E32" s="122">
        <v>10559.999999999945</v>
      </c>
      <c r="F32" s="122">
        <v>11484728.639999941</v>
      </c>
      <c r="G32" s="122">
        <v>2200.0000000000455</v>
      </c>
      <c r="H32" s="122">
        <v>3588977.7000000747</v>
      </c>
      <c r="I32" s="105">
        <f>F32+H32</f>
        <v>15073706.340000015</v>
      </c>
      <c r="J32" s="155">
        <v>1000</v>
      </c>
      <c r="K32" s="155">
        <v>1087569</v>
      </c>
      <c r="L32" s="118">
        <v>380.00000000000966</v>
      </c>
      <c r="M32" s="120">
        <v>619914.33000001579</v>
      </c>
      <c r="N32" s="106">
        <f>K32+M32</f>
        <v>1707483.3300000159</v>
      </c>
      <c r="O32" s="105">
        <f>I32+N32</f>
        <v>16781189.670000032</v>
      </c>
      <c r="P32" s="106">
        <f>E32+G32+J32+L32</f>
        <v>14140</v>
      </c>
      <c r="Q32" s="121">
        <f>R32+T32</f>
        <v>872</v>
      </c>
      <c r="R32" s="122">
        <v>213</v>
      </c>
      <c r="S32" s="122">
        <v>4013559</v>
      </c>
      <c r="T32" s="115">
        <v>659</v>
      </c>
      <c r="U32" s="115">
        <v>3121827.98</v>
      </c>
      <c r="V32" s="114">
        <f>S32+U32</f>
        <v>7135386.9800000004</v>
      </c>
      <c r="W32" s="124">
        <v>0</v>
      </c>
      <c r="X32" s="111">
        <v>0</v>
      </c>
      <c r="Y32" s="108">
        <v>0</v>
      </c>
      <c r="Z32" s="111">
        <v>0</v>
      </c>
      <c r="AA32" s="111">
        <v>0</v>
      </c>
      <c r="AB32" s="111">
        <v>0</v>
      </c>
      <c r="AC32" s="121">
        <f>W32+X32+Y32+Z32+AA32+AB32</f>
        <v>0</v>
      </c>
      <c r="AD32" s="108">
        <v>0</v>
      </c>
      <c r="AE32" s="112"/>
      <c r="AF32" s="127">
        <v>299.56999999999971</v>
      </c>
      <c r="AG32" s="129">
        <v>0</v>
      </c>
      <c r="AH32" s="128">
        <f>AF32+AG32</f>
        <v>299.56999999999971</v>
      </c>
      <c r="AI32" s="131">
        <v>3325226.9999999967</v>
      </c>
      <c r="AJ32" s="21"/>
    </row>
    <row r="33" spans="1:36" ht="15">
      <c r="A33" s="19"/>
      <c r="B33" s="81">
        <v>27</v>
      </c>
      <c r="C33" s="65">
        <v>3</v>
      </c>
      <c r="D33" s="65">
        <v>55</v>
      </c>
      <c r="E33" s="122">
        <v>10679.999999999836</v>
      </c>
      <c r="F33" s="122">
        <v>11615236.919999823</v>
      </c>
      <c r="G33" s="122">
        <v>2039.9999999999636</v>
      </c>
      <c r="H33" s="122">
        <v>3327961.139999941</v>
      </c>
      <c r="I33" s="105">
        <f>F33+H33</f>
        <v>14943198.059999764</v>
      </c>
      <c r="J33" s="155">
        <v>1379.9999999999955</v>
      </c>
      <c r="K33" s="155">
        <v>1500845.2199999951</v>
      </c>
      <c r="L33" s="118">
        <v>219.99999999999886</v>
      </c>
      <c r="M33" s="120">
        <v>358897.76999999821</v>
      </c>
      <c r="N33" s="106">
        <f>K33+M33</f>
        <v>1859742.9899999932</v>
      </c>
      <c r="O33" s="105">
        <f>I33+N33</f>
        <v>16802941.049999759</v>
      </c>
      <c r="P33" s="106">
        <f>E33+G33+J33+L33</f>
        <v>14319.999999999794</v>
      </c>
      <c r="Q33" s="121">
        <f>R33+T33</f>
        <v>618</v>
      </c>
      <c r="R33" s="122">
        <v>211</v>
      </c>
      <c r="S33" s="122">
        <v>3975873</v>
      </c>
      <c r="T33" s="115">
        <v>407</v>
      </c>
      <c r="U33" s="115">
        <v>1928048.54</v>
      </c>
      <c r="V33" s="114">
        <f>S33+U33</f>
        <v>5903921.54</v>
      </c>
      <c r="W33" s="124">
        <v>0</v>
      </c>
      <c r="X33" s="111">
        <v>0</v>
      </c>
      <c r="Y33" s="108">
        <v>500</v>
      </c>
      <c r="Z33" s="111">
        <v>0</v>
      </c>
      <c r="AA33" s="111">
        <v>0</v>
      </c>
      <c r="AB33" s="111">
        <v>0</v>
      </c>
      <c r="AC33" s="121">
        <f>W33+X33+Y33+Z33+AA33+AB33</f>
        <v>500</v>
      </c>
      <c r="AD33" s="108">
        <v>7920000</v>
      </c>
      <c r="AE33" s="112"/>
      <c r="AF33" s="127">
        <v>187.68000000000029</v>
      </c>
      <c r="AG33" s="129">
        <v>0</v>
      </c>
      <c r="AH33" s="128">
        <f>AF33+AG33</f>
        <v>187.68000000000029</v>
      </c>
      <c r="AI33" s="131">
        <v>2083248.0000000033</v>
      </c>
      <c r="AJ33" s="21"/>
    </row>
    <row r="34" spans="1:36" ht="15">
      <c r="A34" s="19"/>
      <c r="B34" s="64">
        <v>28</v>
      </c>
      <c r="C34" s="65">
        <v>1</v>
      </c>
      <c r="D34" s="65">
        <v>62</v>
      </c>
      <c r="E34" s="122">
        <v>10639.999999999873</v>
      </c>
      <c r="F34" s="122">
        <v>11571734.15999986</v>
      </c>
      <c r="G34" s="122">
        <v>2159.9999999999682</v>
      </c>
      <c r="H34" s="122">
        <v>3523723.5599999484</v>
      </c>
      <c r="I34" s="105">
        <f>F34+H34</f>
        <v>15095457.719999809</v>
      </c>
      <c r="J34" s="155">
        <v>1180.0000000000068</v>
      </c>
      <c r="K34" s="155">
        <v>1283331.4200000076</v>
      </c>
      <c r="L34" s="118">
        <v>319.99999999999318</v>
      </c>
      <c r="M34" s="120">
        <v>522033.11999998894</v>
      </c>
      <c r="N34" s="106">
        <f>K34+M34</f>
        <v>1805364.5399999965</v>
      </c>
      <c r="O34" s="105">
        <f>I34+N34</f>
        <v>16900822.259999804</v>
      </c>
      <c r="P34" s="106">
        <f>E34+G34+J34+L34</f>
        <v>14299.99999999984</v>
      </c>
      <c r="Q34" s="121">
        <f>R34+T34</f>
        <v>505</v>
      </c>
      <c r="R34" s="122">
        <v>0</v>
      </c>
      <c r="S34" s="122">
        <v>0</v>
      </c>
      <c r="T34" s="115">
        <v>505</v>
      </c>
      <c r="U34" s="115">
        <v>2392296.1</v>
      </c>
      <c r="V34" s="114">
        <f>S34+U34</f>
        <v>2392296.1</v>
      </c>
      <c r="W34" s="124">
        <v>0</v>
      </c>
      <c r="X34" s="111">
        <v>0</v>
      </c>
      <c r="Y34" s="108">
        <v>0</v>
      </c>
      <c r="Z34" s="111">
        <v>0</v>
      </c>
      <c r="AA34" s="111">
        <v>0</v>
      </c>
      <c r="AB34" s="111">
        <v>12</v>
      </c>
      <c r="AC34" s="121">
        <f>W34+X34+Y34+Z34+AA34+AB34</f>
        <v>12</v>
      </c>
      <c r="AD34" s="108">
        <v>137500</v>
      </c>
      <c r="AE34" s="112"/>
      <c r="AF34" s="127">
        <v>104.12000000000262</v>
      </c>
      <c r="AG34" s="129">
        <v>57.600000000005821</v>
      </c>
      <c r="AH34" s="128">
        <f>AF34+AG34</f>
        <v>161.72000000000844</v>
      </c>
      <c r="AI34" s="131">
        <v>1795092.0000000936</v>
      </c>
      <c r="AJ34" s="21"/>
    </row>
    <row r="35" spans="1:36" ht="15">
      <c r="A35" s="19"/>
      <c r="B35" s="81">
        <v>29</v>
      </c>
      <c r="C35" s="65">
        <v>5</v>
      </c>
      <c r="D35" s="65">
        <v>40</v>
      </c>
      <c r="E35" s="122">
        <v>11000</v>
      </c>
      <c r="F35" s="122">
        <v>11963259</v>
      </c>
      <c r="G35" s="122">
        <v>2200.0000000000455</v>
      </c>
      <c r="H35" s="122">
        <v>3588977.7000000747</v>
      </c>
      <c r="I35" s="105">
        <f>F35+H35</f>
        <v>15552236.700000074</v>
      </c>
      <c r="J35" s="155">
        <v>1180.0000000000068</v>
      </c>
      <c r="K35" s="155">
        <v>1283331.4200000076</v>
      </c>
      <c r="L35" s="118">
        <v>299.99999999999716</v>
      </c>
      <c r="M35" s="120">
        <v>489406.04999999545</v>
      </c>
      <c r="N35" s="106">
        <f>K35+M35</f>
        <v>1772737.470000003</v>
      </c>
      <c r="O35" s="105">
        <f>I35+N35</f>
        <v>17324974.170000076</v>
      </c>
      <c r="P35" s="106">
        <f>E35+G35+J35+L35</f>
        <v>14680.000000000049</v>
      </c>
      <c r="Q35" s="121">
        <f>R35+T35</f>
        <v>626</v>
      </c>
      <c r="R35" s="122">
        <v>211</v>
      </c>
      <c r="S35" s="122">
        <v>3975873</v>
      </c>
      <c r="T35" s="115">
        <v>415</v>
      </c>
      <c r="U35" s="115">
        <v>1965946.3</v>
      </c>
      <c r="V35" s="114">
        <f>S35+U35</f>
        <v>5941819.2999999998</v>
      </c>
      <c r="W35" s="124">
        <v>0</v>
      </c>
      <c r="X35" s="111">
        <v>0</v>
      </c>
      <c r="Y35" s="108">
        <v>0</v>
      </c>
      <c r="Z35" s="111">
        <v>0</v>
      </c>
      <c r="AA35" s="111">
        <v>0</v>
      </c>
      <c r="AB35" s="111">
        <v>24</v>
      </c>
      <c r="AC35" s="121">
        <f>W35+X35+Y35+Z35+AA35+AB35</f>
        <v>24</v>
      </c>
      <c r="AD35" s="108">
        <v>275000</v>
      </c>
      <c r="AE35" s="112"/>
      <c r="AF35" s="127">
        <v>367.62999999999738</v>
      </c>
      <c r="AG35" s="129">
        <v>0</v>
      </c>
      <c r="AH35" s="128">
        <f>AF35+AG35</f>
        <v>367.62999999999738</v>
      </c>
      <c r="AI35" s="131">
        <v>4080692.9999999711</v>
      </c>
      <c r="AJ35" s="21"/>
    </row>
    <row r="36" spans="1:36" ht="15">
      <c r="A36" s="19"/>
      <c r="B36" s="64">
        <v>30</v>
      </c>
      <c r="C36" s="65">
        <v>8</v>
      </c>
      <c r="D36" s="65">
        <v>116</v>
      </c>
      <c r="E36" s="122">
        <v>10560.0000000004</v>
      </c>
      <c r="F36" s="122">
        <v>11484728.640000435</v>
      </c>
      <c r="G36" s="122">
        <v>2120.0000000000045</v>
      </c>
      <c r="H36" s="122">
        <v>3458469.4200000078</v>
      </c>
      <c r="I36" s="105">
        <f>F36+H36</f>
        <v>14943198.060000442</v>
      </c>
      <c r="J36" s="155">
        <v>1199.9999999999886</v>
      </c>
      <c r="K36" s="155">
        <v>1305082.7999999875</v>
      </c>
      <c r="L36" s="118">
        <v>320.00000000000739</v>
      </c>
      <c r="M36" s="120">
        <v>522033.1200000121</v>
      </c>
      <c r="N36" s="106">
        <f>K36+M36</f>
        <v>1827115.9199999995</v>
      </c>
      <c r="O36" s="105">
        <f>I36+N36</f>
        <v>16770313.980000442</v>
      </c>
      <c r="P36" s="106">
        <f>E36+G36+J36+L36</f>
        <v>14200.0000000004</v>
      </c>
      <c r="Q36" s="121">
        <f>R36+T36</f>
        <v>621</v>
      </c>
      <c r="R36" s="122">
        <v>213</v>
      </c>
      <c r="S36" s="122">
        <v>4013559</v>
      </c>
      <c r="T36" s="115">
        <v>408</v>
      </c>
      <c r="U36" s="115">
        <v>1932785.76</v>
      </c>
      <c r="V36" s="114">
        <f>S36+U36</f>
        <v>5946344.7599999998</v>
      </c>
      <c r="W36" s="124">
        <v>0</v>
      </c>
      <c r="X36" s="111">
        <v>0</v>
      </c>
      <c r="Y36" s="108">
        <v>100</v>
      </c>
      <c r="Z36" s="111">
        <v>0</v>
      </c>
      <c r="AA36" s="111">
        <v>0</v>
      </c>
      <c r="AB36" s="111">
        <v>0</v>
      </c>
      <c r="AC36" s="121">
        <f>W36+X36+Y36+Z36+AA36+AB36</f>
        <v>100</v>
      </c>
      <c r="AD36" s="108">
        <v>1584000</v>
      </c>
      <c r="AE36" s="112"/>
      <c r="AF36" s="127">
        <v>64.160000000003492</v>
      </c>
      <c r="AG36" s="129">
        <v>0</v>
      </c>
      <c r="AH36" s="128">
        <f>AF36+AG36</f>
        <v>64.160000000003492</v>
      </c>
      <c r="AI36" s="131">
        <v>712176.00000003877</v>
      </c>
      <c r="AJ36" s="21"/>
    </row>
    <row r="37" spans="1:36" ht="15">
      <c r="A37" s="19"/>
      <c r="B37" s="81">
        <v>31</v>
      </c>
      <c r="C37" s="65">
        <v>9</v>
      </c>
      <c r="D37" s="65">
        <v>141</v>
      </c>
      <c r="E37" s="108">
        <v>10559.999999999945</v>
      </c>
      <c r="F37" s="108">
        <v>11484728.639999941</v>
      </c>
      <c r="G37" s="109">
        <v>2200.0000000000455</v>
      </c>
      <c r="H37" s="110">
        <v>3588977.7000000747</v>
      </c>
      <c r="I37" s="105">
        <f>F37+H37</f>
        <v>15073706.340000015</v>
      </c>
      <c r="J37" s="111">
        <v>1199.9999999999886</v>
      </c>
      <c r="K37" s="111">
        <v>1305082.7999999875</v>
      </c>
      <c r="L37" s="118">
        <v>319.99999999999318</v>
      </c>
      <c r="M37" s="120">
        <v>522033.11999998894</v>
      </c>
      <c r="N37" s="106">
        <f>K37+M37</f>
        <v>1827115.9199999764</v>
      </c>
      <c r="O37" s="105">
        <f>I37+N37</f>
        <v>16900822.25999999</v>
      </c>
      <c r="P37" s="106">
        <f>E37+G37+J37+L37</f>
        <v>14279.999999999973</v>
      </c>
      <c r="Q37" s="121">
        <f>R37+T37</f>
        <v>489</v>
      </c>
      <c r="R37" s="122">
        <v>211</v>
      </c>
      <c r="S37" s="122">
        <v>3975873</v>
      </c>
      <c r="T37" s="115">
        <v>278</v>
      </c>
      <c r="U37" s="115">
        <v>1316947.1600000001</v>
      </c>
      <c r="V37" s="114">
        <f>S37+U37</f>
        <v>5292820.16</v>
      </c>
      <c r="W37" s="124">
        <v>0</v>
      </c>
      <c r="X37" s="111">
        <v>0</v>
      </c>
      <c r="Y37" s="108">
        <v>0</v>
      </c>
      <c r="Z37" s="111">
        <v>0</v>
      </c>
      <c r="AA37" s="111">
        <v>0</v>
      </c>
      <c r="AB37" s="111">
        <v>0</v>
      </c>
      <c r="AC37" s="121">
        <f>W37+X37+Y37+Z37+AA37+AB37</f>
        <v>0</v>
      </c>
      <c r="AD37" s="108">
        <v>0</v>
      </c>
      <c r="AE37" s="112"/>
      <c r="AF37" s="127">
        <v>313.90999999999622</v>
      </c>
      <c r="AG37" s="129">
        <v>0</v>
      </c>
      <c r="AH37" s="128">
        <f>AF37+AG37</f>
        <v>313.90999999999622</v>
      </c>
      <c r="AI37" s="131">
        <v>3484400.9999999581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3"/>
      <c r="D42" s="143"/>
      <c r="E42" s="144"/>
      <c r="F42" s="145"/>
      <c r="G42" s="146"/>
      <c r="H42" s="145"/>
      <c r="I42" s="146"/>
      <c r="J42" s="146"/>
      <c r="K42" s="146"/>
      <c r="L42" s="145"/>
      <c r="M42" s="147"/>
      <c r="N42" s="148"/>
      <c r="O42" s="146"/>
      <c r="P42" s="148"/>
      <c r="Q42" s="149"/>
      <c r="R42" s="150"/>
      <c r="S42" s="146"/>
      <c r="T42" s="146"/>
      <c r="U42" s="146"/>
      <c r="V42" s="146"/>
      <c r="W42" s="151"/>
      <c r="X42" s="145"/>
      <c r="Y42" s="151"/>
      <c r="Z42" s="151"/>
      <c r="AA42" s="151"/>
      <c r="AB42" s="151"/>
      <c r="AC42" s="151"/>
      <c r="AD42" s="145"/>
      <c r="AE42" s="152"/>
      <c r="AF42" s="152"/>
      <c r="AG42" s="152"/>
      <c r="AH42" s="152"/>
      <c r="AI42" s="153"/>
    </row>
    <row r="43" spans="1:36">
      <c r="A43" s="33"/>
      <c r="B43" s="142"/>
      <c r="C43" s="132">
        <f>SUM(C7:C37)</f>
        <v>385</v>
      </c>
      <c r="D43" s="132">
        <f>SUM(D7:D37)</f>
        <v>3787</v>
      </c>
      <c r="E43" s="133">
        <f>SUM(E7:E37)</f>
        <v>341360.00000000017</v>
      </c>
      <c r="F43" s="133">
        <f>SUM(F7:F37)</f>
        <v>371252553.84000021</v>
      </c>
      <c r="G43" s="133">
        <f>SUM(G7:G37)</f>
        <v>70720.000000000015</v>
      </c>
      <c r="H43" s="133">
        <f>SUM(H7:H37)</f>
        <v>115369319.52000007</v>
      </c>
      <c r="I43" s="133">
        <f>SUM(I7:I37)</f>
        <v>486621873.36000019</v>
      </c>
      <c r="J43" s="133">
        <f>SUM(J7:J37)</f>
        <v>41540.000000000015</v>
      </c>
      <c r="K43" s="133">
        <f>SUM(K7:K37)</f>
        <v>45177616.260000035</v>
      </c>
      <c r="L43" s="133">
        <f>SUM(L7:L37)</f>
        <v>11159.999999999989</v>
      </c>
      <c r="M43" s="133">
        <f>SUM(M7:M37)</f>
        <v>18205905.059999999</v>
      </c>
      <c r="N43" s="133">
        <f>SUM(N7:N37)</f>
        <v>63383521.320000023</v>
      </c>
      <c r="O43" s="134">
        <f>SUM(O7:O37)</f>
        <v>550005394.68000031</v>
      </c>
      <c r="P43" s="135">
        <f>SUM(P7:P37)</f>
        <v>464780.00000000017</v>
      </c>
      <c r="Q43" s="136">
        <f>SUM(Q7:Q37)</f>
        <v>20395</v>
      </c>
      <c r="R43" s="133">
        <f>SUM(R7:R37)</f>
        <v>5320</v>
      </c>
      <c r="S43" s="133">
        <f>SUM(S7:S37)</f>
        <v>100244760</v>
      </c>
      <c r="T43" s="133">
        <f>SUM(T7:T37)</f>
        <v>15075</v>
      </c>
      <c r="U43" s="133">
        <f>SUM(U7:U37)</f>
        <v>71413591.500000015</v>
      </c>
      <c r="V43" s="137">
        <f>SUM(V7:V37)</f>
        <v>171658351.49999997</v>
      </c>
      <c r="W43" s="138">
        <f>SUM(W7:W37)</f>
        <v>13.413240000007033</v>
      </c>
      <c r="X43" s="133">
        <f>SUM(X7:X37)</f>
        <v>0</v>
      </c>
      <c r="Y43" s="133">
        <f>SUM(Y7:Y37)</f>
        <v>2200</v>
      </c>
      <c r="Z43" s="133">
        <f>SUM(Z7:Z37)</f>
        <v>0</v>
      </c>
      <c r="AA43" s="133">
        <f>SUM(AA7:AA37)</f>
        <v>0</v>
      </c>
      <c r="AB43" s="133">
        <f>SUM(AB7:AB37)</f>
        <v>276</v>
      </c>
      <c r="AC43" s="139">
        <f>SUM(AC7:AC37)</f>
        <v>2489.4132400000071</v>
      </c>
      <c r="AD43" s="139">
        <f>SUM(AD7:AD37)</f>
        <v>38203288.498520106</v>
      </c>
      <c r="AE43" s="140">
        <f>SUM(AE8:AE39)</f>
        <v>0</v>
      </c>
      <c r="AF43" s="133">
        <f>SUM(AF7:AF37)</f>
        <v>7618.75</v>
      </c>
      <c r="AG43" s="133">
        <f>SUM(AG7:AG37)</f>
        <v>321.9999999999709</v>
      </c>
      <c r="AH43" s="141">
        <f>SUM(AH7:AH37)</f>
        <v>7940.7499999999709</v>
      </c>
      <c r="AI43" s="141">
        <f>SUM(AI7:AI37)</f>
        <v>88142324.999999672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1183.3671730280996</v>
      </c>
      <c r="Q45" s="43"/>
      <c r="R45" s="43"/>
      <c r="S45" s="43"/>
      <c r="T45" s="36"/>
      <c r="U45" s="36"/>
      <c r="V45" s="43">
        <f>V43/Q43</f>
        <v>8416.6879872517766</v>
      </c>
      <c r="W45" s="43"/>
      <c r="X45" s="36"/>
      <c r="Y45" s="43"/>
      <c r="Z45" s="43"/>
      <c r="AA45" s="43"/>
      <c r="AB45" s="43"/>
      <c r="AC45" s="36"/>
      <c r="AD45" s="36">
        <f>AD43/AC43</f>
        <v>15346.302447768774</v>
      </c>
      <c r="AE45" s="40"/>
      <c r="AF45" s="40"/>
      <c r="AG45" s="40"/>
      <c r="AH45" s="40"/>
      <c r="AI45" s="43">
        <f>AI43/AH43</f>
        <v>11100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