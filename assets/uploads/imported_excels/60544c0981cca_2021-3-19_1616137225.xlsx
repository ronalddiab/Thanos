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35" windowWidth="14145" windowHeight="12090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E20" i="2"/>
  <c r="Y7"/>
  <c r="U7" i="3"/>
  <c r="U4" l="1"/>
  <c r="U5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22"/>
  <c r="J23" s="1"/>
  <c r="J24" s="1"/>
  <c r="J25" s="1"/>
  <c r="J26" s="1"/>
  <c r="J27" s="1"/>
  <c r="J28" s="1"/>
  <c r="J29" s="1"/>
  <c r="J30" s="1"/>
  <c r="J31" s="1"/>
  <c r="F22"/>
  <c r="F23" s="1"/>
  <c r="F24" s="1"/>
  <c r="F25" s="1"/>
  <c r="F26" s="1"/>
  <c r="F27" s="1"/>
  <c r="F28" s="1"/>
  <c r="F29" s="1"/>
  <c r="F30" s="1"/>
  <c r="F31" s="1"/>
  <c r="B22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21" i="3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8" s="1"/>
  <c r="AX20" s="1"/>
  <c r="AX24" s="1"/>
  <c r="AX25" s="1"/>
  <c r="AX26" s="1"/>
  <c r="AX27" s="1"/>
  <c r="AX28" s="1"/>
  <c r="AX29" s="1"/>
  <c r="AX30" s="1"/>
  <c r="AX31" s="1"/>
  <c r="AX32" s="1"/>
  <c r="AX33" s="1"/>
  <c r="AX34" s="1"/>
  <c r="AV18"/>
  <c r="AV20" s="1"/>
  <c r="AV24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8" s="1"/>
  <c r="AT19" s="1"/>
  <c r="AT20" s="1"/>
  <c r="AT22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6" s="1"/>
  <c r="G17" s="1"/>
  <c r="G18" s="1"/>
  <c r="G19" s="1"/>
  <c r="G20" s="1"/>
  <c r="G21" s="1"/>
  <c r="G22" s="1"/>
  <c r="G24" s="1"/>
  <c r="G25" s="1"/>
  <c r="G26" s="1"/>
  <c r="G27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X34" s="1"/>
  <c r="Y5"/>
  <c r="Z16"/>
  <c r="Z17" s="1"/>
  <c r="Z18" s="1"/>
  <c r="Z19" s="1"/>
  <c r="Z20" s="1"/>
  <c r="Z21" s="1"/>
  <c r="Z22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5" s="1"/>
  <c r="P18" s="1"/>
  <c r="P21" s="1"/>
  <c r="P23" s="1"/>
  <c r="P24" s="1"/>
  <c r="P25" s="1"/>
  <c r="P26" s="1"/>
  <c r="P27" s="1"/>
  <c r="P28" s="1"/>
  <c r="P29" s="1"/>
  <c r="P30" s="1"/>
  <c r="P31" s="1"/>
  <c r="P32" s="1"/>
  <c r="P33" s="1"/>
  <c r="Q6"/>
  <c r="Q11"/>
  <c r="Q15" s="1"/>
  <c r="Q18" s="1"/>
  <c r="Q21" s="1"/>
  <c r="Q23" s="1"/>
  <c r="Q24" s="1"/>
  <c r="Q25" s="1"/>
  <c r="Q26" s="1"/>
  <c r="Q27" s="1"/>
  <c r="Q28" s="1"/>
  <c r="Q29" s="1"/>
  <c r="Q30" s="1"/>
  <c r="Q31" s="1"/>
  <c r="Q32" s="1"/>
  <c r="Q33" s="1"/>
  <c r="H7"/>
  <c r="H13" s="1"/>
  <c r="H16" s="1"/>
  <c r="H19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10" s="1"/>
  <c r="F13" s="1"/>
  <c r="F16" s="1"/>
  <c r="F19" s="1"/>
  <c r="F22" s="1"/>
  <c r="F23" s="1"/>
  <c r="F24" s="1"/>
  <c r="F25" s="1"/>
  <c r="F26" s="1"/>
  <c r="F27" s="1"/>
  <c r="F28" s="1"/>
  <c r="F29" s="1"/>
  <c r="F30" s="1"/>
  <c r="F31" s="1"/>
  <c r="F32" s="1"/>
  <c r="F33" s="1"/>
  <c r="B23"/>
  <c r="B24" s="1"/>
  <c r="B25" s="1"/>
  <c r="B26" s="1"/>
  <c r="B27" s="1"/>
  <c r="B28" s="1"/>
  <c r="B29" s="1"/>
  <c r="B30" s="1"/>
  <c r="B31" s="1"/>
  <c r="B32" s="1"/>
  <c r="B33" s="1"/>
  <c r="B34" s="1"/>
  <c r="B35" s="1"/>
  <c r="C23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4" s="1"/>
  <c r="K17" s="1"/>
  <c r="K20" s="1"/>
  <c r="K23" s="1"/>
  <c r="K24" s="1"/>
  <c r="K25" s="1"/>
  <c r="K26" s="1"/>
  <c r="K27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21" i="2"/>
  <c r="AC22" s="1"/>
  <c r="AC23" s="1"/>
  <c r="AC24" s="1"/>
  <c r="AC25" s="1"/>
  <c r="AC26" s="1"/>
  <c r="AC27" s="1"/>
  <c r="AC28" s="1"/>
  <c r="AC29" s="1"/>
  <c r="AC30" s="1"/>
  <c r="AC31" s="1"/>
  <c r="AA2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21"/>
  <c r="P22" s="1"/>
  <c r="P23" s="1"/>
  <c r="P24" s="1"/>
  <c r="P25" s="1"/>
  <c r="P26" s="1"/>
  <c r="P27" s="1"/>
  <c r="P28" s="1"/>
  <c r="P29" s="1"/>
  <c r="P30" s="1"/>
  <c r="P31" s="1"/>
  <c r="O31"/>
  <c r="O32"/>
  <c r="O33"/>
  <c r="L2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21" i="2"/>
  <c r="J22" s="1"/>
  <c r="J23" s="1"/>
  <c r="J24" s="1"/>
  <c r="J25" s="1"/>
  <c r="J26" s="1"/>
  <c r="J27" s="1"/>
  <c r="J28" s="1"/>
  <c r="J29" s="1"/>
  <c r="J30" s="1"/>
  <c r="J31" s="1"/>
  <c r="H21"/>
  <c r="H22" s="1"/>
  <c r="H23" s="1"/>
  <c r="H24" s="1"/>
  <c r="H25" s="1"/>
  <c r="H26" s="1"/>
  <c r="H27" s="1"/>
  <c r="H28" s="1"/>
  <c r="H29" s="1"/>
  <c r="H30" s="1"/>
  <c r="H31" s="1"/>
  <c r="F21"/>
  <c r="F22" s="1"/>
  <c r="F23" s="1"/>
  <c r="F24" s="1"/>
  <c r="F25" s="1"/>
  <c r="F26" s="1"/>
  <c r="F27" s="1"/>
  <c r="F28" s="1"/>
  <c r="F29" s="1"/>
  <c r="F30" s="1"/>
  <c r="F31" s="1"/>
  <c r="D2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3" s="1"/>
  <c r="S14" s="1"/>
  <c r="S15" s="1"/>
  <c r="S16" s="1"/>
  <c r="S17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 s="1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35"/>
  <c r="AR35" s="1"/>
  <c r="A36"/>
  <c r="AR36" s="1"/>
  <c r="A33" i="1"/>
  <c r="A34"/>
  <c r="A35"/>
  <c r="D18" i="77"/>
  <c r="U8" i="2" l="1"/>
  <c r="U9" s="1"/>
  <c r="U10" s="1"/>
  <c r="U11" s="1"/>
  <c r="U13" s="1"/>
  <c r="U14" s="1"/>
  <c r="U15" s="1"/>
  <c r="U16" s="1"/>
  <c r="U17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7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22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11" s="1"/>
  <c r="M14" s="1"/>
  <c r="M17" s="1"/>
  <c r="M20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V36"/>
  <c r="W36" s="1"/>
  <c r="I29" i="1"/>
  <c r="K12" i="5"/>
  <c r="Y36" i="7" l="1"/>
  <c r="AR36" s="1"/>
  <c r="X35"/>
  <c r="AR35"/>
  <c r="AS35" s="1"/>
  <c r="AX35" s="1"/>
  <c r="I30" i="1"/>
  <c r="K13" i="5"/>
  <c r="X36" i="7" l="1"/>
  <c r="AQ35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T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19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BJ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BC8" l="1"/>
  <c r="AS15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X9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AY11" i="7" l="1"/>
  <c r="BJ11"/>
  <c r="Q8" i="76"/>
  <c r="BJ10" i="7"/>
  <c r="Q12" i="76"/>
  <c r="BJ14" i="7"/>
  <c r="Q11" i="76"/>
  <c r="BJ13" i="7"/>
  <c r="AY8"/>
  <c r="BJ8"/>
  <c r="Q13" i="76"/>
  <c r="BJ15" i="7"/>
  <c r="Q7" i="76"/>
  <c r="BJ9" i="7"/>
  <c r="AY15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U23" i="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C36" s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l="1"/>
  <c r="AX42" i="7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K3"/>
  <c r="AP8" i="1"/>
  <c r="AQ7"/>
  <c r="AT6"/>
  <c r="AG3" i="3" l="1"/>
  <c r="BK6" i="7"/>
  <c r="AP9" i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K4"/>
  <c r="AC11" i="5"/>
  <c r="AD10"/>
  <c r="AT7" i="1"/>
  <c r="AU7" s="1"/>
  <c r="I4" i="81" s="1"/>
  <c r="AG4" i="3" l="1"/>
  <c r="BK7" i="7"/>
  <c r="AP10" i="1"/>
  <c r="AQ9"/>
  <c r="AC12" i="5"/>
  <c r="AD11"/>
  <c r="AR10" i="1"/>
  <c r="AS9"/>
  <c r="F5" i="63"/>
  <c r="AK5" i="3"/>
  <c r="AE5"/>
  <c r="AF5" s="1"/>
  <c r="J8"/>
  <c r="K7"/>
  <c r="Q7"/>
  <c r="AN10" i="1"/>
  <c r="AO9"/>
  <c r="N6" i="3"/>
  <c r="Z6"/>
  <c r="AU8" i="1"/>
  <c r="I5" i="81" s="1"/>
  <c r="AG5" i="3" l="1"/>
  <c r="BK8" i="7"/>
  <c r="AK6" i="3"/>
  <c r="AE6"/>
  <c r="AF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G6" i="3" l="1"/>
  <c r="BK9" i="7"/>
  <c r="AC14" i="5"/>
  <c r="AD13"/>
  <c r="J10" i="3"/>
  <c r="K9"/>
  <c r="Q9"/>
  <c r="AN12" i="1"/>
  <c r="AO11"/>
  <c r="AU9"/>
  <c r="I6" i="81" s="1"/>
  <c r="N8" i="3"/>
  <c r="Z8"/>
  <c r="AK7"/>
  <c r="AE7"/>
  <c r="AF7" s="1"/>
  <c r="BK10" i="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J11"/>
  <c r="Q10"/>
  <c r="K10"/>
  <c r="N9"/>
  <c r="AB9" s="1"/>
  <c r="Z9"/>
  <c r="AU11" i="1"/>
  <c r="I8" i="81" s="1"/>
  <c r="AT11" i="1"/>
  <c r="AU10"/>
  <c r="I7" i="81" s="1"/>
  <c r="AG8" i="3" l="1"/>
  <c r="BK11" i="7"/>
  <c r="AT12" i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R14" i="1"/>
  <c r="AS13"/>
  <c r="AC16" i="5"/>
  <c r="AD15"/>
  <c r="AG9" i="3" l="1"/>
  <c r="BK12" i="7"/>
  <c r="AT13" i="1"/>
  <c r="AU13" s="1"/>
  <c r="I10" i="81" s="1"/>
  <c r="AR15" i="1"/>
  <c r="AS14"/>
  <c r="AE10" i="3"/>
  <c r="AF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G10" i="3" l="1"/>
  <c r="BK13" i="7"/>
  <c r="AU14" i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l="1"/>
  <c r="BK14" i="7"/>
  <c r="AT15" i="1"/>
  <c r="AU15" s="1"/>
  <c r="I12" i="81" s="1"/>
  <c r="AC19" i="5"/>
  <c r="AD18"/>
  <c r="AP17" i="1"/>
  <c r="AQ16"/>
  <c r="F12" i="63"/>
  <c r="AK12" i="3"/>
  <c r="AE12"/>
  <c r="AF12" s="1"/>
  <c r="J15"/>
  <c r="K14"/>
  <c r="Q14"/>
  <c r="AR17" i="1"/>
  <c r="AS16"/>
  <c r="AN17"/>
  <c r="AO16"/>
  <c r="Z13" i="3"/>
  <c r="N13"/>
  <c r="AB13" s="1"/>
  <c r="AG12" l="1"/>
  <c r="BK15" i="7"/>
  <c r="AT16" i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K13"/>
  <c r="AP18" i="1"/>
  <c r="AQ17"/>
  <c r="J16" i="3"/>
  <c r="K15"/>
  <c r="Q15"/>
  <c r="AG13" l="1"/>
  <c r="BK16" i="7"/>
  <c r="AR19" i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N28" i="1" l="1"/>
  <c r="AO27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T27" i="1" l="1"/>
  <c r="AU27" s="1"/>
  <c r="I24" i="81" s="1"/>
  <c r="AN29" i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J2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4" l="1"/>
  <c r="T15" s="1"/>
  <c r="T16" s="1"/>
  <c r="AB8"/>
  <c r="U8"/>
  <c r="AA8" s="1"/>
  <c r="AC8" s="1"/>
  <c r="AH8" s="1"/>
  <c r="AB17" l="1"/>
  <c r="U17"/>
  <c r="AA17" s="1"/>
  <c r="AC17" s="1"/>
  <c r="AH17" s="1"/>
  <c r="T17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<sst xmlns="http://schemas.openxmlformats.org/spreadsheetml/2006/main" count="652" uniqueCount="417">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</sst>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2507136"/>
        <c:axId val="97321728"/>
      </c:lineChart>
      <c:catAx>
        <c:axId val="92507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21728"/>
        <c:crosses val="autoZero"/>
        <c:auto val="1"/>
        <c:lblAlgn val="ctr"/>
        <c:lblOffset val="100"/>
      </c:catAx>
      <c:valAx>
        <c:axId val="97321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0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7334016"/>
        <c:axId val="97335552"/>
      </c:lineChart>
      <c:catAx>
        <c:axId val="9733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35552"/>
        <c:crosses val="autoZero"/>
        <c:auto val="1"/>
        <c:lblAlgn val="ctr"/>
        <c:lblOffset val="100"/>
      </c:catAx>
      <c:valAx>
        <c:axId val="9733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53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7372032"/>
        <c:axId val="97373568"/>
      </c:lineChart>
      <c:catAx>
        <c:axId val="97372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73568"/>
        <c:crosses val="autoZero"/>
        <c:auto val="1"/>
        <c:lblAlgn val="ctr"/>
        <c:lblOffset val="100"/>
      </c:catAx>
      <c:valAx>
        <c:axId val="973735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7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04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8499584"/>
        <c:axId val="115372800"/>
      </c:lineChart>
      <c:catAx>
        <c:axId val="9849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72800"/>
        <c:crosses val="autoZero"/>
        <c:auto val="1"/>
        <c:lblAlgn val="ctr"/>
        <c:lblOffset val="100"/>
      </c:catAx>
      <c:valAx>
        <c:axId val="1153728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9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68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7989760"/>
        <c:axId val="117991296"/>
      </c:lineChart>
      <c:catAx>
        <c:axId val="11798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91296"/>
        <c:crosses val="autoZero"/>
        <c:auto val="1"/>
        <c:lblAlgn val="ctr"/>
        <c:lblOffset val="100"/>
      </c:catAx>
      <c:valAx>
        <c:axId val="117991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8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99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8786304"/>
        <c:axId val="118804480"/>
      </c:lineChart>
      <c:catAx>
        <c:axId val="11878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04480"/>
        <c:crosses val="autoZero"/>
        <c:auto val="1"/>
        <c:lblAlgn val="ctr"/>
        <c:lblOffset val="100"/>
      </c:catAx>
      <c:valAx>
        <c:axId val="118804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8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8816128"/>
        <c:axId val="118838400"/>
      </c:lineChart>
      <c:catAx>
        <c:axId val="118816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38400"/>
        <c:crosses val="autoZero"/>
        <c:auto val="1"/>
        <c:lblAlgn val="ctr"/>
        <c:lblOffset val="100"/>
      </c:catAx>
      <c:valAx>
        <c:axId val="118838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16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8620544"/>
        <c:axId val="118622080"/>
      </c:lineChart>
      <c:catAx>
        <c:axId val="118620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22080"/>
        <c:crosses val="autoZero"/>
        <c:auto val="1"/>
        <c:lblAlgn val="ctr"/>
        <c:lblOffset val="100"/>
      </c:catAx>
      <c:valAx>
        <c:axId val="118622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20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8638080"/>
        <c:axId val="118639616"/>
      </c:lineChart>
      <c:catAx>
        <c:axId val="11863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39616"/>
        <c:crosses val="autoZero"/>
        <c:auto val="1"/>
        <c:lblAlgn val="ctr"/>
        <c:lblOffset val="100"/>
      </c:catAx>
      <c:valAx>
        <c:axId val="118639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3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472"/>
          <c:w val="0.1272403315177403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8655616"/>
        <c:axId val="118665600"/>
      </c:lineChart>
      <c:catAx>
        <c:axId val="118655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65600"/>
        <c:crosses val="autoZero"/>
        <c:auto val="1"/>
        <c:lblAlgn val="ctr"/>
        <c:lblOffset val="100"/>
      </c:catAx>
      <c:valAx>
        <c:axId val="118665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65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290</c:v>
                </c:pt>
                <c:pt idx="9">
                  <c:v>220</c:v>
                </c:pt>
                <c:pt idx="10">
                  <c:v>276</c:v>
                </c:pt>
                <c:pt idx="11">
                  <c:v>242</c:v>
                </c:pt>
                <c:pt idx="12">
                  <c:v>257</c:v>
                </c:pt>
                <c:pt idx="13">
                  <c:v>233</c:v>
                </c:pt>
                <c:pt idx="14">
                  <c:v>235</c:v>
                </c:pt>
                <c:pt idx="15">
                  <c:v>228</c:v>
                </c:pt>
                <c:pt idx="16">
                  <c:v>442</c:v>
                </c:pt>
                <c:pt idx="17">
                  <c:v>480.79999999998836</c:v>
                </c:pt>
                <c:pt idx="18">
                  <c:v>466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8919168"/>
        <c:axId val="118920704"/>
      </c:lineChart>
      <c:catAx>
        <c:axId val="118919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20704"/>
        <c:crosses val="autoZero"/>
        <c:auto val="1"/>
        <c:lblAlgn val="ctr"/>
        <c:lblOffset val="100"/>
      </c:catAx>
      <c:valAx>
        <c:axId val="118920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19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472"/>
          <c:w val="0.135416885389356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9084160"/>
        <c:axId val="119085696"/>
      </c:lineChart>
      <c:catAx>
        <c:axId val="119084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85696"/>
        <c:crosses val="autoZero"/>
        <c:auto val="1"/>
        <c:lblAlgn val="ctr"/>
        <c:lblOffset val="100"/>
      </c:catAx>
      <c:valAx>
        <c:axId val="119085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84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47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6832</c:v>
                </c:pt>
                <c:pt idx="9">
                  <c:v>6552</c:v>
                </c:pt>
                <c:pt idx="10">
                  <c:v>6673</c:v>
                </c:pt>
                <c:pt idx="11">
                  <c:v>6832</c:v>
                </c:pt>
                <c:pt idx="12">
                  <c:v>6743</c:v>
                </c:pt>
                <c:pt idx="13">
                  <c:v>6400</c:v>
                </c:pt>
                <c:pt idx="14">
                  <c:v>6878</c:v>
                </c:pt>
                <c:pt idx="15">
                  <c:v>6482</c:v>
                </c:pt>
                <c:pt idx="16">
                  <c:v>8211</c:v>
                </c:pt>
                <c:pt idx="17">
                  <c:v>8488</c:v>
                </c:pt>
                <c:pt idx="18">
                  <c:v>8988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19102080"/>
        <c:axId val="119112064"/>
      </c:lineChart>
      <c:catAx>
        <c:axId val="11910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12064"/>
        <c:crosses val="autoZero"/>
        <c:auto val="1"/>
        <c:lblAlgn val="ctr"/>
        <c:lblOffset val="100"/>
      </c:catAx>
      <c:valAx>
        <c:axId val="1191120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0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19013376"/>
        <c:axId val="119014912"/>
      </c:lineChart>
      <c:catAx>
        <c:axId val="119013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4912"/>
        <c:crosses val="autoZero"/>
        <c:auto val="1"/>
        <c:lblAlgn val="ctr"/>
        <c:lblOffset val="100"/>
      </c:catAx>
      <c:valAx>
        <c:axId val="11901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13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472"/>
          <c:w val="0.135416885389356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19047296"/>
        <c:axId val="119048832"/>
      </c:lineChart>
      <c:catAx>
        <c:axId val="11904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48832"/>
        <c:crosses val="autoZero"/>
        <c:auto val="1"/>
        <c:lblAlgn val="ctr"/>
        <c:lblOffset val="100"/>
      </c:catAx>
      <c:valAx>
        <c:axId val="1190488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04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9367"/>
          <c:y val="0.54325368498487869"/>
          <c:w val="0.11458355205599259"/>
          <c:h val="4.498269896195000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-1345.0483870967728</c:v>
                </c:pt>
                <c:pt idx="8">
                  <c:v>-766.69354838711297</c:v>
                </c:pt>
                <c:pt idx="9">
                  <c:v>-1380.0483870967655</c:v>
                </c:pt>
                <c:pt idx="10">
                  <c:v>-1073.370967741932</c:v>
                </c:pt>
                <c:pt idx="11">
                  <c:v>-920.03225806451519</c:v>
                </c:pt>
                <c:pt idx="12">
                  <c:v>-955.03225806450791</c:v>
                </c:pt>
                <c:pt idx="13">
                  <c:v>-1226.7096774193778</c:v>
                </c:pt>
                <c:pt idx="14">
                  <c:v>-920.03225806450791</c:v>
                </c:pt>
                <c:pt idx="15">
                  <c:v>-1118.1290322580753</c:v>
                </c:pt>
                <c:pt idx="16">
                  <c:v>-2076.7419354838494</c:v>
                </c:pt>
                <c:pt idx="17">
                  <c:v>-2523.4193548387339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637120"/>
        <c:axId val="121647104"/>
      </c:lineChart>
      <c:catAx>
        <c:axId val="12163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47104"/>
        <c:crosses val="autoZero"/>
        <c:auto val="1"/>
        <c:lblAlgn val="ctr"/>
        <c:lblOffset val="100"/>
      </c:catAx>
      <c:valAx>
        <c:axId val="121647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3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64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-17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688064"/>
        <c:axId val="121689600"/>
      </c:lineChart>
      <c:catAx>
        <c:axId val="12168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89600"/>
        <c:crosses val="autoZero"/>
        <c:auto val="1"/>
        <c:lblAlgn val="ctr"/>
        <c:lblOffset val="100"/>
      </c:catAx>
      <c:valAx>
        <c:axId val="121689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8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713792"/>
        <c:axId val="121715328"/>
      </c:lineChart>
      <c:catAx>
        <c:axId val="12171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15328"/>
        <c:crosses val="autoZero"/>
        <c:auto val="1"/>
        <c:lblAlgn val="ctr"/>
        <c:lblOffset val="100"/>
      </c:catAx>
      <c:valAx>
        <c:axId val="1217153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1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65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751808"/>
        <c:axId val="121757696"/>
      </c:lineChart>
      <c:catAx>
        <c:axId val="12175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57696"/>
        <c:crosses val="autoZero"/>
        <c:auto val="1"/>
        <c:lblAlgn val="ctr"/>
        <c:lblOffset val="100"/>
      </c:catAx>
      <c:valAx>
        <c:axId val="121757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5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576832"/>
        <c:axId val="121590912"/>
      </c:lineChart>
      <c:catAx>
        <c:axId val="12157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90912"/>
        <c:crosses val="autoZero"/>
        <c:auto val="1"/>
        <c:lblAlgn val="ctr"/>
        <c:lblOffset val="100"/>
      </c:catAx>
      <c:valAx>
        <c:axId val="12159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7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23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606912"/>
        <c:axId val="121608448"/>
      </c:lineChart>
      <c:catAx>
        <c:axId val="12160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08448"/>
        <c:crosses val="autoZero"/>
        <c:auto val="1"/>
        <c:lblAlgn val="ctr"/>
        <c:lblOffset val="100"/>
      </c:catAx>
      <c:valAx>
        <c:axId val="121608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0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47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862016"/>
        <c:axId val="121863552"/>
      </c:lineChart>
      <c:catAx>
        <c:axId val="12186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63552"/>
        <c:crosses val="autoZero"/>
        <c:auto val="1"/>
        <c:lblAlgn val="ctr"/>
        <c:lblOffset val="100"/>
      </c:catAx>
      <c:valAx>
        <c:axId val="12186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6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685"/>
          <c:w val="0.1234311819809318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1769984"/>
        <c:axId val="121771520"/>
      </c:lineChart>
      <c:catAx>
        <c:axId val="1217699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71520"/>
        <c:crosses val="autoZero"/>
        <c:auto val="1"/>
        <c:lblAlgn val="ctr"/>
        <c:lblOffset val="100"/>
      </c:catAx>
      <c:valAx>
        <c:axId val="1217715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76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293"/>
          <c:w val="0.1569039853282214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202</c:v>
                </c:pt>
                <c:pt idx="8">
                  <c:v>163</c:v>
                </c:pt>
                <c:pt idx="9">
                  <c:v>160.19999999999999</c:v>
                </c:pt>
                <c:pt idx="10">
                  <c:v>191.33333333333334</c:v>
                </c:pt>
                <c:pt idx="11">
                  <c:v>189</c:v>
                </c:pt>
                <c:pt idx="12">
                  <c:v>236.5</c:v>
                </c:pt>
                <c:pt idx="13">
                  <c:v>189</c:v>
                </c:pt>
                <c:pt idx="14">
                  <c:v>147</c:v>
                </c:pt>
                <c:pt idx="15">
                  <c:v>163.66666666666666</c:v>
                </c:pt>
                <c:pt idx="16">
                  <c:v>150</c:v>
                </c:pt>
                <c:pt idx="17">
                  <c:v>153.66666666666666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1811712"/>
        <c:axId val="121813248"/>
      </c:lineChart>
      <c:catAx>
        <c:axId val="12181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3248"/>
        <c:crosses val="autoZero"/>
        <c:auto val="1"/>
        <c:lblAlgn val="ctr"/>
        <c:lblOffset val="100"/>
      </c:catAx>
      <c:valAx>
        <c:axId val="121813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1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21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18</c:v>
                </c:pt>
                <c:pt idx="8">
                  <c:v>20</c:v>
                </c:pt>
                <c:pt idx="9">
                  <c:v>16</c:v>
                </c:pt>
                <c:pt idx="10">
                  <c:v>14.5</c:v>
                </c:pt>
                <c:pt idx="11">
                  <c:v>15.5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16.5</c:v>
                </c:pt>
                <c:pt idx="16">
                  <c:v>17.5</c:v>
                </c:pt>
                <c:pt idx="17">
                  <c:v>17.5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2157312"/>
        <c:axId val="122241024"/>
      </c:lineChart>
      <c:catAx>
        <c:axId val="12215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241024"/>
        <c:crosses val="autoZero"/>
        <c:auto val="1"/>
        <c:lblAlgn val="ctr"/>
        <c:lblOffset val="100"/>
      </c:catAx>
      <c:valAx>
        <c:axId val="12224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15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8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8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22887552"/>
        <c:axId val="122823808"/>
      </c:lineChart>
      <c:catAx>
        <c:axId val="12288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23808"/>
        <c:crosses val="autoZero"/>
        <c:auto val="1"/>
        <c:lblAlgn val="ctr"/>
        <c:lblOffset val="100"/>
      </c:catAx>
      <c:valAx>
        <c:axId val="1228238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8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2155</c:v>
                </c:pt>
                <c:pt idx="9">
                  <c:v>2369</c:v>
                </c:pt>
                <c:pt idx="10">
                  <c:v>1998</c:v>
                </c:pt>
                <c:pt idx="11">
                  <c:v>2566</c:v>
                </c:pt>
                <c:pt idx="12">
                  <c:v>2610</c:v>
                </c:pt>
                <c:pt idx="13">
                  <c:v>2411</c:v>
                </c:pt>
                <c:pt idx="14">
                  <c:v>2184</c:v>
                </c:pt>
                <c:pt idx="15">
                  <c:v>2499</c:v>
                </c:pt>
                <c:pt idx="16">
                  <c:v>1712</c:v>
                </c:pt>
                <c:pt idx="17">
                  <c:v>1928</c:v>
                </c:pt>
                <c:pt idx="18">
                  <c:v>1700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17933184"/>
        <c:axId val="117934720"/>
      </c:lineChart>
      <c:catAx>
        <c:axId val="11793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34720"/>
        <c:crosses val="autoZero"/>
        <c:auto val="1"/>
        <c:lblAlgn val="ctr"/>
        <c:lblOffset val="100"/>
      </c:catAx>
      <c:valAx>
        <c:axId val="11793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3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88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23145600"/>
        <c:axId val="123151488"/>
      </c:lineChart>
      <c:catAx>
        <c:axId val="12314560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51488"/>
        <c:crosses val="autoZero"/>
        <c:auto val="1"/>
        <c:lblAlgn val="ctr"/>
        <c:lblOffset val="100"/>
      </c:catAx>
      <c:valAx>
        <c:axId val="1231514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4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2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0.31207415578464609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0.20487262085142185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0.19861031215358099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0.19505816217891195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6.4841280783149435E-2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0.19848551341344176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0.13076920043059778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6832</v>
      </c>
      <c r="F9" s="330">
        <f>SUM('EDl log'!T11)</f>
        <v>0.1670925835296142</v>
      </c>
      <c r="G9" s="203">
        <f>-tanks!AW13</f>
        <v>290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6552</v>
      </c>
      <c r="F10" s="330">
        <f>SUM('EDl log'!T12)</f>
        <v>0.1128800227040664</v>
      </c>
      <c r="G10" s="203">
        <f>-tanks!AW14</f>
        <v>220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6673</v>
      </c>
      <c r="F11" s="330">
        <f>SUM('EDl log'!T13)</f>
        <v>0.17182272773616655</v>
      </c>
      <c r="G11" s="203">
        <f>-tanks!AW15</f>
        <v>276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299</v>
      </c>
      <c r="L11" s="331">
        <f>SUM(WATER!J15)</f>
        <v>0.80914877548818642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6832</v>
      </c>
      <c r="F12" s="330">
        <f>SUM('EDl log'!T14)</f>
        <v>0.14090098753368013</v>
      </c>
      <c r="G12" s="203">
        <f>-tanks!AW16</f>
        <v>242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6743</v>
      </c>
      <c r="F13" s="330">
        <f>SUM('EDl log'!T15)</f>
        <v>0.12882317018878145</v>
      </c>
      <c r="G13" s="203">
        <f>-tanks!AW17</f>
        <v>257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6400</v>
      </c>
      <c r="F14" s="330">
        <f>SUM('EDl log'!T16)</f>
        <v>0.14088930849904574</v>
      </c>
      <c r="G14" s="203">
        <f>-tanks!AW18</f>
        <v>233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6878</v>
      </c>
      <c r="F15" s="330">
        <f>SUM('EDl log'!T17)</f>
        <v>0.15963595601945615</v>
      </c>
      <c r="G15" s="203">
        <f>-tanks!AW19</f>
        <v>235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6482</v>
      </c>
      <c r="F16" s="330">
        <f>SUM('EDl log'!T18)</f>
        <v>0.13105953426314826</v>
      </c>
      <c r="G16" s="203">
        <f>-tanks!AW20</f>
        <v>228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8211</v>
      </c>
      <c r="F17" s="330">
        <f>SUM('EDl log'!T19)</f>
        <v>9.3320444661381771E-2</v>
      </c>
      <c r="G17" s="203">
        <f>-tanks!AW21</f>
        <v>442</v>
      </c>
      <c r="H17" s="330">
        <f>SUM(tanks!AV21)</f>
        <v>0.83099999999999996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8488</v>
      </c>
      <c r="F18" s="330">
        <f>SUM('EDl log'!T20)</f>
        <v>0.17930961927555408</v>
      </c>
      <c r="G18" s="203">
        <f>-tanks!AW22</f>
        <v>480.79999999998836</v>
      </c>
      <c r="H18" s="330">
        <f>SUM(tanks!AV22)</f>
        <v>0.83099999999999996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8988</v>
      </c>
      <c r="F19" s="330">
        <f>SUM('EDl log'!T21)</f>
        <v>0.20892665550563747</v>
      </c>
      <c r="G19" s="203">
        <f>-tanks!AW23</f>
        <v>466</v>
      </c>
      <c r="H19" s="330">
        <f>SUM(tanks!AV23)</f>
        <v>0.83099999999999996</v>
      </c>
      <c r="I19" s="10">
        <f>('B5'!AU22)*0.51</f>
        <v>0</v>
      </c>
      <c r="J19" s="309">
        <f>'B5'!AX22/0.51</f>
        <v>1.5686274509803921</v>
      </c>
      <c r="K19" s="203">
        <f>WATER!I23</f>
        <v>255</v>
      </c>
      <c r="L19" s="331">
        <f>SUM(WATER!J23)</f>
        <v>0.94876660341555974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0.83099999999999996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0.83099999999999996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0.83099999999999996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0.83099999999999996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0.83099999999999996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0.83099999999999996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0.83099999999999996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0.83099999999999996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0.83099999999999996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0.83099999999999996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0.83099999999999996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0.83099999999999996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0.83099999999999996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1668</v>
      </c>
      <c r="F9" s="203">
        <f>ELEC!K10</f>
        <v>1002</v>
      </c>
      <c r="G9" s="203">
        <f>ELEC!I10</f>
        <v>836</v>
      </c>
      <c r="H9" s="203">
        <f>ELEC!E10</f>
        <v>2724</v>
      </c>
      <c r="I9" s="203">
        <f>ELEC!G10</f>
        <v>602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1518</v>
      </c>
      <c r="F10" s="203">
        <f>ELEC!K11</f>
        <v>1056</v>
      </c>
      <c r="G10" s="203">
        <f>ELEC!I11</f>
        <v>780</v>
      </c>
      <c r="H10" s="203">
        <f>ELEC!E11</f>
        <v>2592</v>
      </c>
      <c r="I10" s="203">
        <f>ELEC!G11</f>
        <v>606</v>
      </c>
      <c r="J10" s="203">
        <f>WATER!Y14</f>
        <v>15</v>
      </c>
      <c r="K10" s="203">
        <f>WATER!AJ14</f>
        <v>30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1698</v>
      </c>
      <c r="F11" s="203">
        <f>ELEC!K12</f>
        <v>1072</v>
      </c>
      <c r="G11" s="203">
        <f>ELEC!I12</f>
        <v>804</v>
      </c>
      <c r="H11" s="203">
        <f>ELEC!E12</f>
        <v>2504</v>
      </c>
      <c r="I11" s="203">
        <f>ELEC!G12</f>
        <v>595</v>
      </c>
      <c r="J11" s="203">
        <f>WATER!Y15</f>
        <v>55</v>
      </c>
      <c r="K11" s="203">
        <f>WATER!AJ15</f>
        <v>31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1724</v>
      </c>
      <c r="F12" s="203">
        <f>ELEC!K13</f>
        <v>960</v>
      </c>
      <c r="G12" s="203">
        <f>ELEC!I13</f>
        <v>876</v>
      </c>
      <c r="H12" s="203">
        <f>ELEC!E13</f>
        <v>2612</v>
      </c>
      <c r="I12" s="203">
        <f>ELEC!G13</f>
        <v>660</v>
      </c>
      <c r="J12" s="203">
        <f>WATER!Y16</f>
        <v>27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1862</v>
      </c>
      <c r="F13" s="203">
        <f>ELEC!K14</f>
        <v>950</v>
      </c>
      <c r="G13" s="203">
        <f>ELEC!I14</f>
        <v>904</v>
      </c>
      <c r="H13" s="203">
        <f>ELEC!E14</f>
        <v>2356</v>
      </c>
      <c r="I13" s="203">
        <f>ELEC!G14</f>
        <v>671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1726</v>
      </c>
      <c r="F14" s="203">
        <f>ELEC!K15</f>
        <v>902</v>
      </c>
      <c r="G14" s="203">
        <f>ELEC!I15</f>
        <v>756</v>
      </c>
      <c r="H14" s="203">
        <f>ELEC!E15</f>
        <v>2450</v>
      </c>
      <c r="I14" s="203">
        <f>ELEC!G15</f>
        <v>566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1874</v>
      </c>
      <c r="F15" s="203">
        <f>ELEC!K16</f>
        <v>1004</v>
      </c>
      <c r="G15" s="203">
        <f>ELEC!I16</f>
        <v>780</v>
      </c>
      <c r="H15" s="203">
        <f>ELEC!E16</f>
        <v>2634</v>
      </c>
      <c r="I15" s="203">
        <f>ELEC!G16</f>
        <v>586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1794</v>
      </c>
      <c r="F16" s="203">
        <f>ELEC!K17</f>
        <v>900</v>
      </c>
      <c r="G16" s="203">
        <f>ELEC!I17</f>
        <v>812</v>
      </c>
      <c r="H16" s="203">
        <f>ELEC!E17</f>
        <v>2300</v>
      </c>
      <c r="I16" s="203">
        <f>ELEC!G17</f>
        <v>676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2598</v>
      </c>
      <c r="F17" s="203">
        <f>ELEC!K18</f>
        <v>1146</v>
      </c>
      <c r="G17" s="203">
        <f>ELEC!I18</f>
        <v>780</v>
      </c>
      <c r="H17" s="203">
        <f>ELEC!E18</f>
        <v>3048</v>
      </c>
      <c r="I17" s="203">
        <f>ELEC!G18</f>
        <v>639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2218</v>
      </c>
      <c r="F18" s="203">
        <f>ELEC!K19</f>
        <v>1314</v>
      </c>
      <c r="G18" s="203">
        <f>ELEC!I19</f>
        <v>864</v>
      </c>
      <c r="H18" s="203">
        <f>ELEC!E19</f>
        <v>3500</v>
      </c>
      <c r="I18" s="203">
        <f>ELEC!G19</f>
        <v>592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2542</v>
      </c>
      <c r="F19" s="203">
        <f>ELEC!K20</f>
        <v>1350</v>
      </c>
      <c r="G19" s="203">
        <f>ELEC!I20</f>
        <v>892</v>
      </c>
      <c r="H19" s="203">
        <f>ELEC!E20</f>
        <v>3640</v>
      </c>
      <c r="I19" s="203">
        <f>ELEC!G20</f>
        <v>564</v>
      </c>
      <c r="J19" s="203">
        <f>WATER!Y23</f>
        <v>28</v>
      </c>
      <c r="K19" s="203">
        <f>WATER!AJ23</f>
        <v>14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O1" zoomScale="85" zoomScaleNormal="85" zoomScaleSheetLayoutView="100" workbookViewId="0">
      <pane ySplit="1" topLeftCell="A2" activePane="bottomLeft" state="frozen"/>
      <selection activeCell="C1" sqref="C1"/>
      <selection pane="bottomLeft" activeCell="AF20" sqref="AF20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v>32664458</v>
      </c>
      <c r="E10" s="311">
        <f t="shared" si="13"/>
        <v>2724</v>
      </c>
      <c r="F10" s="445">
        <v>3976419</v>
      </c>
      <c r="G10" s="312">
        <f t="shared" si="0"/>
        <v>602</v>
      </c>
      <c r="H10" s="445">
        <v>17810886</v>
      </c>
      <c r="I10" s="312">
        <f t="shared" si="14"/>
        <v>836</v>
      </c>
      <c r="J10" s="445">
        <v>28929882</v>
      </c>
      <c r="K10" s="312">
        <f t="shared" si="15"/>
        <v>1002</v>
      </c>
      <c r="L10" s="445">
        <v>24069270</v>
      </c>
      <c r="M10" s="312">
        <f t="shared" si="16"/>
        <v>1668</v>
      </c>
      <c r="N10" s="310">
        <f t="shared" si="17"/>
        <v>6832</v>
      </c>
      <c r="O10" s="467">
        <f t="shared" ref="O10:O30" si="24">IF(B10&gt;0,N10/B10,0)</f>
        <v>0</v>
      </c>
      <c r="P10" s="591">
        <v>16715.519</v>
      </c>
      <c r="Q10" s="449">
        <f t="shared" si="2"/>
        <v>2810.0000000013097</v>
      </c>
      <c r="R10" s="449">
        <f t="shared" si="21"/>
        <v>4021.9999999986903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v>35727</v>
      </c>
      <c r="AB10" s="449">
        <f t="shared" si="19"/>
        <v>3</v>
      </c>
      <c r="AC10" s="445">
        <v>921652</v>
      </c>
      <c r="AD10" s="449">
        <f t="shared" si="20"/>
        <v>606</v>
      </c>
      <c r="AE10" s="472">
        <f t="shared" si="11"/>
        <v>3</v>
      </c>
      <c r="AF10" s="473">
        <f t="shared" si="12"/>
        <v>606</v>
      </c>
      <c r="AG10" s="465">
        <f t="shared" ref="AG10:AG30" si="25">IF(AE10&gt;0,AF10/AE10,0)</f>
        <v>202</v>
      </c>
      <c r="AI10" s="466">
        <f>R10-'EDl log'!B8</f>
        <v>-908545.00000000128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v>32667050</v>
      </c>
      <c r="E11" s="311">
        <f t="shared" si="13"/>
        <v>2592</v>
      </c>
      <c r="F11" s="445">
        <v>3977025</v>
      </c>
      <c r="G11" s="312">
        <f t="shared" si="0"/>
        <v>606</v>
      </c>
      <c r="H11" s="445">
        <v>17811666</v>
      </c>
      <c r="I11" s="312">
        <f t="shared" si="14"/>
        <v>780</v>
      </c>
      <c r="J11" s="445">
        <v>28930938</v>
      </c>
      <c r="K11" s="312">
        <f t="shared" si="15"/>
        <v>1056</v>
      </c>
      <c r="L11" s="445">
        <v>24070788</v>
      </c>
      <c r="M11" s="312">
        <f t="shared" si="16"/>
        <v>1518</v>
      </c>
      <c r="N11" s="310">
        <f>M11+K11+I11+G11+E11</f>
        <v>6552</v>
      </c>
      <c r="O11" s="467">
        <f t="shared" si="24"/>
        <v>0</v>
      </c>
      <c r="P11" s="591">
        <v>16717.636999999999</v>
      </c>
      <c r="Q11" s="449">
        <f t="shared" si="2"/>
        <v>2117.9999999985739</v>
      </c>
      <c r="R11" s="449">
        <f t="shared" si="21"/>
        <v>4434.0000000014261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v>35730</v>
      </c>
      <c r="AB11" s="449">
        <f t="shared" si="19"/>
        <v>3</v>
      </c>
      <c r="AC11" s="445">
        <v>922141</v>
      </c>
      <c r="AD11" s="449">
        <f t="shared" si="20"/>
        <v>489</v>
      </c>
      <c r="AE11" s="472">
        <f t="shared" si="11"/>
        <v>3</v>
      </c>
      <c r="AF11" s="473">
        <f t="shared" si="12"/>
        <v>489</v>
      </c>
      <c r="AG11" s="465">
        <f t="shared" si="25"/>
        <v>163</v>
      </c>
      <c r="AI11" s="466">
        <f>R11-'EDl log'!B9</f>
        <v>-909642.9999999986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v>32669554</v>
      </c>
      <c r="E12" s="311">
        <f t="shared" si="13"/>
        <v>2504</v>
      </c>
      <c r="F12" s="445">
        <v>3977620</v>
      </c>
      <c r="G12" s="312">
        <f t="shared" si="0"/>
        <v>595</v>
      </c>
      <c r="H12" s="445">
        <v>17812470</v>
      </c>
      <c r="I12" s="312">
        <f t="shared" si="14"/>
        <v>804</v>
      </c>
      <c r="J12" s="445">
        <v>28932010</v>
      </c>
      <c r="K12" s="312">
        <f t="shared" si="15"/>
        <v>1072</v>
      </c>
      <c r="L12" s="445">
        <v>24072486</v>
      </c>
      <c r="M12" s="312">
        <f t="shared" si="16"/>
        <v>1698</v>
      </c>
      <c r="N12" s="310">
        <f>M12+K12+I12+G12+E12</f>
        <v>6673</v>
      </c>
      <c r="O12" s="467">
        <f t="shared" si="24"/>
        <v>0</v>
      </c>
      <c r="P12" s="591">
        <v>16720.616000000002</v>
      </c>
      <c r="Q12" s="449">
        <f t="shared" si="2"/>
        <v>2979.0000000029977</v>
      </c>
      <c r="R12" s="449">
        <f t="shared" si="21"/>
        <v>3693.9999999970023</v>
      </c>
      <c r="S12" s="445">
        <v>10129</v>
      </c>
      <c r="T12" s="469">
        <f t="shared" si="3"/>
        <v>1</v>
      </c>
      <c r="U12" s="445">
        <v>422541</v>
      </c>
      <c r="V12" s="449">
        <f t="shared" si="18"/>
        <v>104</v>
      </c>
      <c r="W12" s="445">
        <v>32247</v>
      </c>
      <c r="X12" s="449">
        <f t="shared" si="23"/>
        <v>1</v>
      </c>
      <c r="Y12" s="445">
        <v>708695</v>
      </c>
      <c r="Z12" s="449">
        <f t="shared" si="22"/>
        <v>220</v>
      </c>
      <c r="AA12" s="445">
        <v>35733</v>
      </c>
      <c r="AB12" s="449">
        <f t="shared" si="19"/>
        <v>3</v>
      </c>
      <c r="AC12" s="445">
        <v>922618</v>
      </c>
      <c r="AD12" s="449">
        <f t="shared" si="20"/>
        <v>477</v>
      </c>
      <c r="AE12" s="472">
        <f t="shared" si="11"/>
        <v>5</v>
      </c>
      <c r="AF12" s="473">
        <f t="shared" si="12"/>
        <v>801</v>
      </c>
      <c r="AG12" s="465">
        <f t="shared" si="25"/>
        <v>160.19999999999999</v>
      </c>
      <c r="AI12" s="466">
        <f>R12-'EDl log'!B10</f>
        <v>-912671.00000000303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v>32672166</v>
      </c>
      <c r="E13" s="311">
        <f t="shared" si="13"/>
        <v>2612</v>
      </c>
      <c r="F13" s="445">
        <v>3978280</v>
      </c>
      <c r="G13" s="312">
        <f t="shared" si="0"/>
        <v>660</v>
      </c>
      <c r="H13" s="445">
        <v>17813346</v>
      </c>
      <c r="I13" s="312">
        <f t="shared" si="14"/>
        <v>876</v>
      </c>
      <c r="J13" s="445">
        <v>28932970</v>
      </c>
      <c r="K13" s="312">
        <f t="shared" si="15"/>
        <v>960</v>
      </c>
      <c r="L13" s="445">
        <v>24074210</v>
      </c>
      <c r="M13" s="312">
        <f t="shared" si="16"/>
        <v>1724</v>
      </c>
      <c r="N13" s="310">
        <f t="shared" si="17"/>
        <v>6832</v>
      </c>
      <c r="O13" s="467">
        <f t="shared" si="24"/>
        <v>0</v>
      </c>
      <c r="P13" s="591">
        <v>16722.646000000001</v>
      </c>
      <c r="Q13" s="449">
        <f>(P13-P12)*1000</f>
        <v>2029.9999999988358</v>
      </c>
      <c r="R13" s="449">
        <f t="shared" ref="R13" si="26">N13-Q13</f>
        <v>4802.0000000011642</v>
      </c>
      <c r="S13" s="445">
        <f t="shared" si="7"/>
        <v>10129</v>
      </c>
      <c r="T13" s="469">
        <f t="shared" si="3"/>
        <v>0</v>
      </c>
      <c r="U13" s="445">
        <f t="shared" si="8"/>
        <v>422541</v>
      </c>
      <c r="V13" s="449">
        <f t="shared" si="18"/>
        <v>0</v>
      </c>
      <c r="W13" s="445">
        <f t="shared" si="9"/>
        <v>32247</v>
      </c>
      <c r="X13" s="449">
        <f t="shared" si="23"/>
        <v>0</v>
      </c>
      <c r="Y13" s="445">
        <f t="shared" si="10"/>
        <v>708695</v>
      </c>
      <c r="Z13" s="449">
        <f t="shared" si="22"/>
        <v>0</v>
      </c>
      <c r="AA13" s="445">
        <v>35736</v>
      </c>
      <c r="AB13" s="449">
        <f t="shared" si="19"/>
        <v>3</v>
      </c>
      <c r="AC13" s="445">
        <v>923192</v>
      </c>
      <c r="AD13" s="449">
        <f t="shared" si="20"/>
        <v>574</v>
      </c>
      <c r="AE13" s="472">
        <f t="shared" si="11"/>
        <v>3</v>
      </c>
      <c r="AF13" s="473">
        <f t="shared" si="12"/>
        <v>574</v>
      </c>
      <c r="AG13" s="465">
        <f t="shared" si="25"/>
        <v>191.33333333333334</v>
      </c>
      <c r="AI13" s="466">
        <f>R13-'EDl log'!B11</f>
        <v>-913717.99999999884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v>32674522</v>
      </c>
      <c r="E14" s="311">
        <f t="shared" si="13"/>
        <v>2356</v>
      </c>
      <c r="F14" s="445">
        <v>3978951</v>
      </c>
      <c r="G14" s="312">
        <f t="shared" si="0"/>
        <v>671</v>
      </c>
      <c r="H14" s="445">
        <v>17814250</v>
      </c>
      <c r="I14" s="312">
        <f t="shared" si="14"/>
        <v>904</v>
      </c>
      <c r="J14" s="445">
        <v>28933920</v>
      </c>
      <c r="K14" s="312">
        <f t="shared" si="15"/>
        <v>950</v>
      </c>
      <c r="L14" s="445">
        <v>24076072</v>
      </c>
      <c r="M14" s="312">
        <f t="shared" si="16"/>
        <v>1862</v>
      </c>
      <c r="N14" s="310">
        <f t="shared" si="17"/>
        <v>6743</v>
      </c>
      <c r="O14" s="467">
        <f t="shared" si="24"/>
        <v>0</v>
      </c>
      <c r="P14" s="591">
        <v>16724.509999999998</v>
      </c>
      <c r="Q14" s="449">
        <f t="shared" ref="Q14:Q30" si="27">(P14-P13)*1000</f>
        <v>1863.999999997759</v>
      </c>
      <c r="R14" s="449">
        <f t="shared" ref="R14:R30" si="28">N14-Q14</f>
        <v>4879.000000002241</v>
      </c>
      <c r="S14" s="445">
        <f t="shared" si="7"/>
        <v>10129</v>
      </c>
      <c r="T14" s="469">
        <f t="shared" si="3"/>
        <v>0</v>
      </c>
      <c r="U14" s="445">
        <f t="shared" si="8"/>
        <v>422541</v>
      </c>
      <c r="V14" s="449">
        <f t="shared" si="18"/>
        <v>0</v>
      </c>
      <c r="W14" s="445">
        <f t="shared" si="9"/>
        <v>32247</v>
      </c>
      <c r="X14" s="449">
        <f t="shared" si="23"/>
        <v>0</v>
      </c>
      <c r="Y14" s="445">
        <f t="shared" si="10"/>
        <v>708695</v>
      </c>
      <c r="Z14" s="449">
        <f t="shared" si="22"/>
        <v>0</v>
      </c>
      <c r="AA14" s="445">
        <v>35738</v>
      </c>
      <c r="AB14" s="449">
        <f t="shared" si="19"/>
        <v>2</v>
      </c>
      <c r="AC14" s="445">
        <v>923570</v>
      </c>
      <c r="AD14" s="449">
        <f t="shared" si="20"/>
        <v>378</v>
      </c>
      <c r="AE14" s="472">
        <f t="shared" si="11"/>
        <v>2</v>
      </c>
      <c r="AF14" s="473">
        <f t="shared" si="12"/>
        <v>378</v>
      </c>
      <c r="AG14" s="465">
        <f t="shared" si="25"/>
        <v>189</v>
      </c>
      <c r="AI14" s="466">
        <f>R14-'EDl log'!B12</f>
        <v>-916009.99999999779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v>32676972</v>
      </c>
      <c r="E15" s="311">
        <f t="shared" si="13"/>
        <v>2450</v>
      </c>
      <c r="F15" s="445">
        <v>3979517</v>
      </c>
      <c r="G15" s="312">
        <f t="shared" si="0"/>
        <v>566</v>
      </c>
      <c r="H15" s="445">
        <v>17815006</v>
      </c>
      <c r="I15" s="312">
        <f t="shared" si="14"/>
        <v>756</v>
      </c>
      <c r="J15" s="445">
        <v>28934822</v>
      </c>
      <c r="K15" s="312">
        <f t="shared" si="15"/>
        <v>902</v>
      </c>
      <c r="L15" s="445">
        <v>24077798</v>
      </c>
      <c r="M15" s="312">
        <f t="shared" si="16"/>
        <v>1726</v>
      </c>
      <c r="N15" s="310">
        <f t="shared" si="17"/>
        <v>6400</v>
      </c>
      <c r="O15" s="467">
        <f t="shared" si="24"/>
        <v>0</v>
      </c>
      <c r="P15" s="591">
        <v>16726.414000000001</v>
      </c>
      <c r="Q15" s="449">
        <f t="shared" si="27"/>
        <v>1904.0000000022701</v>
      </c>
      <c r="R15" s="449">
        <f t="shared" si="28"/>
        <v>4495.9999999977299</v>
      </c>
      <c r="S15" s="445">
        <f t="shared" si="7"/>
        <v>10129</v>
      </c>
      <c r="T15" s="469">
        <f t="shared" si="3"/>
        <v>0</v>
      </c>
      <c r="U15" s="445">
        <f t="shared" si="8"/>
        <v>422541</v>
      </c>
      <c r="V15" s="449">
        <f t="shared" si="18"/>
        <v>0</v>
      </c>
      <c r="W15" s="445">
        <f t="shared" si="9"/>
        <v>32247</v>
      </c>
      <c r="X15" s="449">
        <f t="shared" si="23"/>
        <v>0</v>
      </c>
      <c r="Y15" s="445">
        <f t="shared" si="10"/>
        <v>708695</v>
      </c>
      <c r="Z15" s="449">
        <f t="shared" si="22"/>
        <v>0</v>
      </c>
      <c r="AA15" s="445">
        <v>35740</v>
      </c>
      <c r="AB15" s="449">
        <f t="shared" si="19"/>
        <v>2</v>
      </c>
      <c r="AC15" s="445">
        <v>924043</v>
      </c>
      <c r="AD15" s="449">
        <f t="shared" si="20"/>
        <v>473</v>
      </c>
      <c r="AE15" s="472">
        <f t="shared" si="11"/>
        <v>2</v>
      </c>
      <c r="AF15" s="473">
        <f t="shared" si="12"/>
        <v>473</v>
      </c>
      <c r="AG15" s="465">
        <f t="shared" si="25"/>
        <v>236.5</v>
      </c>
      <c r="AI15" s="466">
        <f>R15-'EDl log'!B13</f>
        <v>-918391.00000000233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v>32679606</v>
      </c>
      <c r="E16" s="311">
        <f t="shared" si="13"/>
        <v>2634</v>
      </c>
      <c r="F16" s="445">
        <v>3980103</v>
      </c>
      <c r="G16" s="312">
        <f t="shared" si="0"/>
        <v>586</v>
      </c>
      <c r="H16" s="445">
        <v>17815786</v>
      </c>
      <c r="I16" s="312">
        <f t="shared" si="14"/>
        <v>780</v>
      </c>
      <c r="J16" s="445">
        <v>28935826</v>
      </c>
      <c r="K16" s="312">
        <f t="shared" si="15"/>
        <v>1004</v>
      </c>
      <c r="L16" s="445">
        <v>24079672</v>
      </c>
      <c r="M16" s="312">
        <f t="shared" si="16"/>
        <v>1874</v>
      </c>
      <c r="N16" s="310">
        <f t="shared" si="17"/>
        <v>6878</v>
      </c>
      <c r="O16" s="467">
        <f t="shared" si="24"/>
        <v>0</v>
      </c>
      <c r="P16" s="591">
        <v>16729.194</v>
      </c>
      <c r="Q16" s="449">
        <f t="shared" si="27"/>
        <v>2779.9999999988358</v>
      </c>
      <c r="R16" s="449">
        <f t="shared" si="28"/>
        <v>4098.0000000011642</v>
      </c>
      <c r="S16" s="445">
        <f t="shared" si="7"/>
        <v>10129</v>
      </c>
      <c r="T16" s="469">
        <f t="shared" si="3"/>
        <v>0</v>
      </c>
      <c r="U16" s="445">
        <f t="shared" si="8"/>
        <v>422541</v>
      </c>
      <c r="V16" s="449">
        <f t="shared" si="18"/>
        <v>0</v>
      </c>
      <c r="W16" s="445">
        <f t="shared" si="9"/>
        <v>32247</v>
      </c>
      <c r="X16" s="449">
        <f>W16-W15</f>
        <v>0</v>
      </c>
      <c r="Y16" s="445">
        <f t="shared" si="10"/>
        <v>708695</v>
      </c>
      <c r="Z16" s="449">
        <f>Y16-Y15</f>
        <v>0</v>
      </c>
      <c r="AA16" s="445">
        <v>35743</v>
      </c>
      <c r="AB16" s="449">
        <f>AA16-AA15</f>
        <v>3</v>
      </c>
      <c r="AC16" s="445">
        <v>924610</v>
      </c>
      <c r="AD16" s="449">
        <f t="shared" si="20"/>
        <v>567</v>
      </c>
      <c r="AE16" s="472">
        <f t="shared" si="11"/>
        <v>3</v>
      </c>
      <c r="AF16" s="473">
        <f t="shared" si="12"/>
        <v>567</v>
      </c>
      <c r="AG16" s="465">
        <f t="shared" si="25"/>
        <v>189</v>
      </c>
      <c r="AI16" s="466">
        <f>R16-'EDl log'!B14</f>
        <v>-921354.99999999884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v>32681906</v>
      </c>
      <c r="E17" s="311">
        <f t="shared" si="13"/>
        <v>2300</v>
      </c>
      <c r="F17" s="445">
        <v>3980779</v>
      </c>
      <c r="G17" s="312">
        <f t="shared" si="0"/>
        <v>676</v>
      </c>
      <c r="H17" s="445">
        <v>17816598</v>
      </c>
      <c r="I17" s="312">
        <f t="shared" si="14"/>
        <v>812</v>
      </c>
      <c r="J17" s="445">
        <v>28936726</v>
      </c>
      <c r="K17" s="312">
        <f t="shared" si="15"/>
        <v>900</v>
      </c>
      <c r="L17" s="445">
        <v>24081466</v>
      </c>
      <c r="M17" s="312">
        <f t="shared" si="16"/>
        <v>1794</v>
      </c>
      <c r="N17" s="310">
        <f t="shared" si="17"/>
        <v>6482</v>
      </c>
      <c r="O17" s="467">
        <f t="shared" si="24"/>
        <v>0</v>
      </c>
      <c r="P17" s="591">
        <v>16730.986000000001</v>
      </c>
      <c r="Q17" s="449">
        <f t="shared" si="27"/>
        <v>1792.0000000012806</v>
      </c>
      <c r="R17" s="449">
        <f t="shared" si="28"/>
        <v>4689.9999999987194</v>
      </c>
      <c r="S17" s="445">
        <f t="shared" si="7"/>
        <v>10129</v>
      </c>
      <c r="T17" s="469">
        <f t="shared" si="3"/>
        <v>0</v>
      </c>
      <c r="U17" s="445">
        <f t="shared" si="8"/>
        <v>422541</v>
      </c>
      <c r="V17" s="449">
        <f t="shared" si="18"/>
        <v>0</v>
      </c>
      <c r="W17" s="445">
        <f t="shared" si="9"/>
        <v>32247</v>
      </c>
      <c r="X17" s="449">
        <f t="shared" si="23"/>
        <v>0</v>
      </c>
      <c r="Y17" s="445">
        <f t="shared" si="10"/>
        <v>708695</v>
      </c>
      <c r="Z17" s="449">
        <f t="shared" si="22"/>
        <v>0</v>
      </c>
      <c r="AA17" s="445">
        <v>35745</v>
      </c>
      <c r="AB17" s="449">
        <f t="shared" si="19"/>
        <v>2</v>
      </c>
      <c r="AC17" s="445">
        <v>924904</v>
      </c>
      <c r="AD17" s="449">
        <f t="shared" ref="AD17:AD30" si="29">AC17-AC16</f>
        <v>294</v>
      </c>
      <c r="AE17" s="472">
        <f t="shared" si="11"/>
        <v>2</v>
      </c>
      <c r="AF17" s="473">
        <f t="shared" si="12"/>
        <v>294</v>
      </c>
      <c r="AG17" s="465">
        <f t="shared" si="25"/>
        <v>147</v>
      </c>
      <c r="AI17" s="466">
        <f>R17-'EDl log'!B15</f>
        <v>-923373.00000000128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v>32684954</v>
      </c>
      <c r="E18" s="311">
        <f t="shared" si="13"/>
        <v>3048</v>
      </c>
      <c r="F18" s="445">
        <v>3981418</v>
      </c>
      <c r="G18" s="312">
        <f t="shared" si="0"/>
        <v>639</v>
      </c>
      <c r="H18" s="445">
        <v>17817378</v>
      </c>
      <c r="I18" s="312">
        <f t="shared" si="14"/>
        <v>780</v>
      </c>
      <c r="J18" s="445">
        <v>28937872</v>
      </c>
      <c r="K18" s="312">
        <f t="shared" si="15"/>
        <v>1146</v>
      </c>
      <c r="L18" s="445">
        <v>24084064</v>
      </c>
      <c r="M18" s="312">
        <f t="shared" si="16"/>
        <v>2598</v>
      </c>
      <c r="N18" s="310">
        <f t="shared" si="17"/>
        <v>8211</v>
      </c>
      <c r="O18" s="467">
        <f t="shared" si="24"/>
        <v>0</v>
      </c>
      <c r="P18" s="591">
        <v>16736.093000000001</v>
      </c>
      <c r="Q18" s="449">
        <f t="shared" si="27"/>
        <v>5106.9999999999709</v>
      </c>
      <c r="R18" s="449">
        <f t="shared" si="28"/>
        <v>3104.0000000000291</v>
      </c>
      <c r="S18" s="445">
        <v>10133</v>
      </c>
      <c r="T18" s="469">
        <f t="shared" si="3"/>
        <v>4</v>
      </c>
      <c r="U18" s="445">
        <v>423188</v>
      </c>
      <c r="V18" s="449">
        <f t="shared" si="18"/>
        <v>647</v>
      </c>
      <c r="W18" s="445">
        <f t="shared" si="9"/>
        <v>32247</v>
      </c>
      <c r="X18" s="449">
        <f t="shared" si="23"/>
        <v>0</v>
      </c>
      <c r="Y18" s="445">
        <f t="shared" si="10"/>
        <v>708695</v>
      </c>
      <c r="Z18" s="449">
        <f t="shared" si="22"/>
        <v>0</v>
      </c>
      <c r="AA18" s="445">
        <v>35747</v>
      </c>
      <c r="AB18" s="449">
        <f t="shared" si="19"/>
        <v>2</v>
      </c>
      <c r="AC18" s="445">
        <v>925239</v>
      </c>
      <c r="AD18" s="449">
        <f t="shared" si="29"/>
        <v>335</v>
      </c>
      <c r="AE18" s="472">
        <f t="shared" si="11"/>
        <v>6</v>
      </c>
      <c r="AF18" s="473">
        <f t="shared" si="12"/>
        <v>982</v>
      </c>
      <c r="AG18" s="465">
        <f t="shared" si="25"/>
        <v>163.66666666666666</v>
      </c>
      <c r="AI18" s="466">
        <f>R18-'EDl log'!B16</f>
        <v>-927370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v>32688454</v>
      </c>
      <c r="E19" s="311">
        <f t="shared" si="13"/>
        <v>3500</v>
      </c>
      <c r="F19" s="445">
        <v>3982010</v>
      </c>
      <c r="G19" s="312">
        <f t="shared" si="0"/>
        <v>592</v>
      </c>
      <c r="H19" s="445">
        <v>17818242</v>
      </c>
      <c r="I19" s="312">
        <f t="shared" si="14"/>
        <v>864</v>
      </c>
      <c r="J19" s="445">
        <v>28939186</v>
      </c>
      <c r="K19" s="312">
        <f t="shared" si="15"/>
        <v>1314</v>
      </c>
      <c r="L19" s="445">
        <v>24086282</v>
      </c>
      <c r="M19" s="312">
        <f t="shared" si="16"/>
        <v>2218</v>
      </c>
      <c r="N19" s="310">
        <f t="shared" si="17"/>
        <v>8488</v>
      </c>
      <c r="O19" s="467">
        <f t="shared" si="24"/>
        <v>0</v>
      </c>
      <c r="P19" s="591">
        <v>16740.994999999999</v>
      </c>
      <c r="Q19" s="449">
        <f t="shared" si="27"/>
        <v>4901.9999999982247</v>
      </c>
      <c r="R19" s="449">
        <f t="shared" si="28"/>
        <v>3586.0000000017753</v>
      </c>
      <c r="S19" s="445">
        <f t="shared" si="7"/>
        <v>10133</v>
      </c>
      <c r="T19" s="469">
        <f t="shared" si="3"/>
        <v>0</v>
      </c>
      <c r="U19" s="445">
        <f t="shared" si="8"/>
        <v>423188</v>
      </c>
      <c r="V19" s="449">
        <f t="shared" si="18"/>
        <v>0</v>
      </c>
      <c r="W19" s="445">
        <f t="shared" si="9"/>
        <v>32247</v>
      </c>
      <c r="X19" s="449">
        <f t="shared" si="23"/>
        <v>0</v>
      </c>
      <c r="Y19" s="445">
        <f t="shared" si="10"/>
        <v>708695</v>
      </c>
      <c r="Z19" s="449">
        <f t="shared" si="22"/>
        <v>0</v>
      </c>
      <c r="AA19" s="445">
        <v>35753</v>
      </c>
      <c r="AB19" s="449">
        <f t="shared" si="19"/>
        <v>6</v>
      </c>
      <c r="AC19" s="445">
        <v>926139</v>
      </c>
      <c r="AD19" s="449">
        <f t="shared" si="29"/>
        <v>900</v>
      </c>
      <c r="AE19" s="472">
        <f t="shared" si="11"/>
        <v>6</v>
      </c>
      <c r="AF19" s="473">
        <f t="shared" si="12"/>
        <v>900</v>
      </c>
      <c r="AG19" s="465">
        <f t="shared" si="25"/>
        <v>150</v>
      </c>
      <c r="AI19" s="466">
        <f>R19-'EDl log'!B17</f>
        <v>-929071.99999999825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v>32692094</v>
      </c>
      <c r="E20" s="311">
        <f t="shared" si="13"/>
        <v>3640</v>
      </c>
      <c r="F20" s="445">
        <v>3982574</v>
      </c>
      <c r="G20" s="312">
        <f t="shared" si="0"/>
        <v>564</v>
      </c>
      <c r="H20" s="445">
        <v>17819134</v>
      </c>
      <c r="I20" s="312">
        <f t="shared" si="14"/>
        <v>892</v>
      </c>
      <c r="J20" s="445">
        <v>28940536</v>
      </c>
      <c r="K20" s="312">
        <f t="shared" si="15"/>
        <v>1350</v>
      </c>
      <c r="L20" s="445">
        <v>24088824</v>
      </c>
      <c r="M20" s="312">
        <f t="shared" si="16"/>
        <v>2542</v>
      </c>
      <c r="N20" s="310">
        <f t="shared" si="17"/>
        <v>8988</v>
      </c>
      <c r="O20" s="467">
        <f t="shared" si="24"/>
        <v>0</v>
      </c>
      <c r="P20" s="591">
        <v>16746.837</v>
      </c>
      <c r="Q20" s="449">
        <f t="shared" si="27"/>
        <v>5842.000000000553</v>
      </c>
      <c r="R20" s="449">
        <f t="shared" si="28"/>
        <v>3145.999999999447</v>
      </c>
      <c r="S20" s="445">
        <f t="shared" si="7"/>
        <v>10133</v>
      </c>
      <c r="T20" s="469">
        <f t="shared" si="3"/>
        <v>0</v>
      </c>
      <c r="U20" s="445">
        <f t="shared" si="8"/>
        <v>423188</v>
      </c>
      <c r="V20" s="449">
        <f t="shared" si="18"/>
        <v>0</v>
      </c>
      <c r="W20" s="445">
        <f t="shared" si="9"/>
        <v>32247</v>
      </c>
      <c r="X20" s="449">
        <f t="shared" si="23"/>
        <v>0</v>
      </c>
      <c r="Y20" s="445">
        <f t="shared" si="10"/>
        <v>708695</v>
      </c>
      <c r="Z20" s="449">
        <f t="shared" si="22"/>
        <v>0</v>
      </c>
      <c r="AA20" s="445">
        <v>35759</v>
      </c>
      <c r="AB20" s="449">
        <f t="shared" si="19"/>
        <v>6</v>
      </c>
      <c r="AC20" s="445">
        <v>927061</v>
      </c>
      <c r="AD20" s="449">
        <f t="shared" si="29"/>
        <v>922</v>
      </c>
      <c r="AE20" s="472">
        <f t="shared" si="11"/>
        <v>6</v>
      </c>
      <c r="AF20" s="473">
        <f t="shared" si="12"/>
        <v>922</v>
      </c>
      <c r="AG20" s="465">
        <f t="shared" si="25"/>
        <v>153.66666666666666</v>
      </c>
      <c r="AI20" s="466">
        <f>R20-'EDl log'!B18</f>
        <v>-932011.00000000058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ref="D20:D33" si="30">D20</f>
        <v>32692094</v>
      </c>
      <c r="E21" s="311">
        <f t="shared" si="13"/>
        <v>0</v>
      </c>
      <c r="F21" s="445">
        <f t="shared" ref="F20:F33" si="31">F20</f>
        <v>3982574</v>
      </c>
      <c r="G21" s="312">
        <f t="shared" si="0"/>
        <v>0</v>
      </c>
      <c r="H21" s="445">
        <f t="shared" ref="H20:H33" si="32">H20</f>
        <v>17819134</v>
      </c>
      <c r="I21" s="312">
        <f t="shared" si="14"/>
        <v>0</v>
      </c>
      <c r="J21" s="445">
        <f t="shared" ref="J20:J33" si="33">J20</f>
        <v>28940536</v>
      </c>
      <c r="K21" s="312">
        <f t="shared" si="15"/>
        <v>0</v>
      </c>
      <c r="L21" s="445">
        <f t="shared" ref="L20:L33" si="34">L20</f>
        <v>24088824</v>
      </c>
      <c r="M21" s="312">
        <f t="shared" si="16"/>
        <v>0</v>
      </c>
      <c r="N21" s="310">
        <f t="shared" si="17"/>
        <v>0</v>
      </c>
      <c r="O21" s="467">
        <f t="shared" si="24"/>
        <v>0</v>
      </c>
      <c r="P21" s="591">
        <f t="shared" ref="P20:P33" si="35">P20</f>
        <v>16746.837</v>
      </c>
      <c r="Q21" s="449">
        <f t="shared" si="27"/>
        <v>0</v>
      </c>
      <c r="R21" s="449">
        <f t="shared" si="28"/>
        <v>0</v>
      </c>
      <c r="S21" s="445">
        <f t="shared" si="7"/>
        <v>10133</v>
      </c>
      <c r="T21" s="469">
        <f t="shared" si="3"/>
        <v>0</v>
      </c>
      <c r="U21" s="445">
        <f t="shared" si="8"/>
        <v>423188</v>
      </c>
      <c r="V21" s="449">
        <f t="shared" si="18"/>
        <v>0</v>
      </c>
      <c r="W21" s="445">
        <f t="shared" si="9"/>
        <v>32247</v>
      </c>
      <c r="X21" s="449">
        <f t="shared" si="23"/>
        <v>0</v>
      </c>
      <c r="Y21" s="445">
        <f t="shared" si="10"/>
        <v>708695</v>
      </c>
      <c r="Z21" s="449">
        <f t="shared" si="22"/>
        <v>0</v>
      </c>
      <c r="AA21" s="445">
        <f t="shared" ref="AA20:AA33" si="36">AA20</f>
        <v>35759</v>
      </c>
      <c r="AB21" s="449">
        <f t="shared" si="19"/>
        <v>0</v>
      </c>
      <c r="AC21" s="445">
        <f t="shared" ref="AC20:AC33" si="37">AC20</f>
        <v>927061</v>
      </c>
      <c r="AD21" s="449">
        <f t="shared" si="29"/>
        <v>0</v>
      </c>
      <c r="AE21" s="472">
        <f t="shared" si="11"/>
        <v>0</v>
      </c>
      <c r="AF21" s="473">
        <f t="shared" si="12"/>
        <v>0</v>
      </c>
      <c r="AG21" s="465">
        <f t="shared" si="25"/>
        <v>0</v>
      </c>
      <c r="AI21" s="466">
        <f>R21-'EDl log'!B19</f>
        <v>-936869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30"/>
        <v>32692094</v>
      </c>
      <c r="E22" s="311">
        <f t="shared" si="13"/>
        <v>0</v>
      </c>
      <c r="F22" s="445">
        <f t="shared" si="31"/>
        <v>3982574</v>
      </c>
      <c r="G22" s="312">
        <f t="shared" si="0"/>
        <v>0</v>
      </c>
      <c r="H22" s="445">
        <f t="shared" si="32"/>
        <v>17819134</v>
      </c>
      <c r="I22" s="312">
        <f t="shared" si="14"/>
        <v>0</v>
      </c>
      <c r="J22" s="445">
        <f t="shared" si="33"/>
        <v>28940536</v>
      </c>
      <c r="K22" s="312">
        <f t="shared" si="15"/>
        <v>0</v>
      </c>
      <c r="L22" s="445">
        <f t="shared" si="34"/>
        <v>24088824</v>
      </c>
      <c r="M22" s="312">
        <f t="shared" si="16"/>
        <v>0</v>
      </c>
      <c r="N22" s="310">
        <f t="shared" si="17"/>
        <v>0</v>
      </c>
      <c r="O22" s="467">
        <f t="shared" si="24"/>
        <v>0</v>
      </c>
      <c r="P22" s="591">
        <f t="shared" si="35"/>
        <v>16746.837</v>
      </c>
      <c r="Q22" s="449">
        <f t="shared" si="27"/>
        <v>0</v>
      </c>
      <c r="R22" s="449">
        <f t="shared" si="28"/>
        <v>0</v>
      </c>
      <c r="S22" s="445">
        <f t="shared" si="7"/>
        <v>10133</v>
      </c>
      <c r="T22" s="469">
        <f t="shared" si="3"/>
        <v>0</v>
      </c>
      <c r="U22" s="445">
        <f t="shared" si="8"/>
        <v>423188</v>
      </c>
      <c r="V22" s="449">
        <f t="shared" si="18"/>
        <v>0</v>
      </c>
      <c r="W22" s="445">
        <f t="shared" si="9"/>
        <v>32247</v>
      </c>
      <c r="X22" s="449">
        <f t="shared" si="23"/>
        <v>0</v>
      </c>
      <c r="Y22" s="445">
        <f t="shared" si="10"/>
        <v>708695</v>
      </c>
      <c r="Z22" s="449">
        <f t="shared" si="22"/>
        <v>0</v>
      </c>
      <c r="AA22" s="445">
        <f t="shared" si="36"/>
        <v>35759</v>
      </c>
      <c r="AB22" s="449">
        <f t="shared" si="19"/>
        <v>0</v>
      </c>
      <c r="AC22" s="445">
        <f t="shared" si="37"/>
        <v>927061</v>
      </c>
      <c r="AD22" s="449">
        <f t="shared" si="29"/>
        <v>0</v>
      </c>
      <c r="AE22" s="472">
        <f t="shared" si="11"/>
        <v>0</v>
      </c>
      <c r="AF22" s="473">
        <f t="shared" si="12"/>
        <v>0</v>
      </c>
      <c r="AG22" s="465">
        <f t="shared" si="25"/>
        <v>0</v>
      </c>
      <c r="AI22" s="466">
        <f>R22-'EDl log'!B20</f>
        <v>-938797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30"/>
        <v>32692094</v>
      </c>
      <c r="E23" s="311">
        <f t="shared" si="13"/>
        <v>0</v>
      </c>
      <c r="F23" s="445">
        <f t="shared" si="31"/>
        <v>3982574</v>
      </c>
      <c r="G23" s="312">
        <f t="shared" si="0"/>
        <v>0</v>
      </c>
      <c r="H23" s="445">
        <f t="shared" si="32"/>
        <v>17819134</v>
      </c>
      <c r="I23" s="438">
        <f t="shared" si="14"/>
        <v>0</v>
      </c>
      <c r="J23" s="445">
        <f t="shared" si="33"/>
        <v>28940536</v>
      </c>
      <c r="K23" s="312">
        <f t="shared" si="15"/>
        <v>0</v>
      </c>
      <c r="L23" s="445">
        <f t="shared" si="34"/>
        <v>24088824</v>
      </c>
      <c r="M23" s="312">
        <f t="shared" si="16"/>
        <v>0</v>
      </c>
      <c r="N23" s="310">
        <f t="shared" si="17"/>
        <v>0</v>
      </c>
      <c r="O23" s="467">
        <f t="shared" si="24"/>
        <v>0</v>
      </c>
      <c r="P23" s="591">
        <f t="shared" si="35"/>
        <v>16746.837</v>
      </c>
      <c r="Q23" s="449">
        <f t="shared" si="27"/>
        <v>0</v>
      </c>
      <c r="R23" s="449">
        <f t="shared" si="28"/>
        <v>0</v>
      </c>
      <c r="S23" s="445">
        <f t="shared" si="7"/>
        <v>10133</v>
      </c>
      <c r="T23" s="469">
        <f t="shared" si="3"/>
        <v>0</v>
      </c>
      <c r="U23" s="445">
        <f t="shared" si="8"/>
        <v>423188</v>
      </c>
      <c r="V23" s="449">
        <f t="shared" si="18"/>
        <v>0</v>
      </c>
      <c r="W23" s="445">
        <f t="shared" si="9"/>
        <v>32247</v>
      </c>
      <c r="X23" s="449">
        <f t="shared" si="23"/>
        <v>0</v>
      </c>
      <c r="Y23" s="445">
        <f t="shared" si="10"/>
        <v>708695</v>
      </c>
      <c r="Z23" s="449">
        <f t="shared" si="22"/>
        <v>0</v>
      </c>
      <c r="AA23" s="445">
        <f t="shared" si="36"/>
        <v>35759</v>
      </c>
      <c r="AB23" s="449">
        <f t="shared" si="19"/>
        <v>0</v>
      </c>
      <c r="AC23" s="445">
        <f t="shared" si="37"/>
        <v>927061</v>
      </c>
      <c r="AD23" s="449">
        <f t="shared" si="29"/>
        <v>0</v>
      </c>
      <c r="AE23" s="472">
        <f t="shared" si="11"/>
        <v>0</v>
      </c>
      <c r="AF23" s="473">
        <f t="shared" si="12"/>
        <v>0</v>
      </c>
      <c r="AG23" s="465">
        <f t="shared" si="25"/>
        <v>0</v>
      </c>
      <c r="AI23" s="466">
        <f>R23-'EDl log'!B21</f>
        <v>-940497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30"/>
        <v>32692094</v>
      </c>
      <c r="E24" s="311">
        <f t="shared" si="13"/>
        <v>0</v>
      </c>
      <c r="F24" s="445">
        <f t="shared" si="31"/>
        <v>3982574</v>
      </c>
      <c r="G24" s="312">
        <f t="shared" si="0"/>
        <v>0</v>
      </c>
      <c r="H24" s="445">
        <f t="shared" si="32"/>
        <v>17819134</v>
      </c>
      <c r="I24" s="312">
        <f t="shared" si="14"/>
        <v>0</v>
      </c>
      <c r="J24" s="445">
        <f t="shared" si="33"/>
        <v>28940536</v>
      </c>
      <c r="K24" s="312">
        <f t="shared" si="15"/>
        <v>0</v>
      </c>
      <c r="L24" s="445">
        <f t="shared" si="34"/>
        <v>24088824</v>
      </c>
      <c r="M24" s="312">
        <f t="shared" si="16"/>
        <v>0</v>
      </c>
      <c r="N24" s="310">
        <f t="shared" si="17"/>
        <v>0</v>
      </c>
      <c r="O24" s="467">
        <f t="shared" si="24"/>
        <v>0</v>
      </c>
      <c r="P24" s="591">
        <f t="shared" si="35"/>
        <v>16746.837</v>
      </c>
      <c r="Q24" s="449">
        <f t="shared" si="27"/>
        <v>0</v>
      </c>
      <c r="R24" s="449">
        <f t="shared" si="28"/>
        <v>0</v>
      </c>
      <c r="S24" s="445">
        <f t="shared" si="7"/>
        <v>10133</v>
      </c>
      <c r="T24" s="469">
        <f t="shared" si="3"/>
        <v>0</v>
      </c>
      <c r="U24" s="445">
        <f t="shared" si="8"/>
        <v>423188</v>
      </c>
      <c r="V24" s="449">
        <f t="shared" si="18"/>
        <v>0</v>
      </c>
      <c r="W24" s="445">
        <f t="shared" si="9"/>
        <v>32247</v>
      </c>
      <c r="X24" s="449">
        <f t="shared" si="23"/>
        <v>0</v>
      </c>
      <c r="Y24" s="445">
        <f t="shared" si="10"/>
        <v>708695</v>
      </c>
      <c r="Z24" s="449">
        <f t="shared" si="22"/>
        <v>0</v>
      </c>
      <c r="AA24" s="445">
        <f t="shared" si="36"/>
        <v>35759</v>
      </c>
      <c r="AB24" s="449">
        <f t="shared" si="19"/>
        <v>0</v>
      </c>
      <c r="AC24" s="445">
        <f t="shared" si="37"/>
        <v>927061</v>
      </c>
      <c r="AD24" s="449">
        <f t="shared" si="29"/>
        <v>0</v>
      </c>
      <c r="AE24" s="472">
        <f t="shared" si="11"/>
        <v>0</v>
      </c>
      <c r="AF24" s="473">
        <f t="shared" si="12"/>
        <v>0</v>
      </c>
      <c r="AG24" s="465">
        <f t="shared" si="25"/>
        <v>0</v>
      </c>
      <c r="AI24" s="466">
        <f>R24-'EDl log'!B22</f>
        <v>-940497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30"/>
        <v>32692094</v>
      </c>
      <c r="E25" s="311">
        <f t="shared" si="13"/>
        <v>0</v>
      </c>
      <c r="F25" s="445">
        <f t="shared" si="31"/>
        <v>3982574</v>
      </c>
      <c r="G25" s="312">
        <f t="shared" si="0"/>
        <v>0</v>
      </c>
      <c r="H25" s="445">
        <f t="shared" si="32"/>
        <v>17819134</v>
      </c>
      <c r="I25" s="312">
        <f t="shared" si="14"/>
        <v>0</v>
      </c>
      <c r="J25" s="445">
        <f t="shared" si="33"/>
        <v>28940536</v>
      </c>
      <c r="K25" s="312">
        <f t="shared" si="15"/>
        <v>0</v>
      </c>
      <c r="L25" s="445">
        <f t="shared" si="34"/>
        <v>24088824</v>
      </c>
      <c r="M25" s="312">
        <f t="shared" si="16"/>
        <v>0</v>
      </c>
      <c r="N25" s="310">
        <f t="shared" si="17"/>
        <v>0</v>
      </c>
      <c r="O25" s="467">
        <f t="shared" si="24"/>
        <v>0</v>
      </c>
      <c r="P25" s="591">
        <f t="shared" si="35"/>
        <v>16746.837</v>
      </c>
      <c r="Q25" s="449">
        <f t="shared" si="27"/>
        <v>0</v>
      </c>
      <c r="R25" s="449">
        <f t="shared" si="28"/>
        <v>0</v>
      </c>
      <c r="S25" s="445">
        <f t="shared" si="7"/>
        <v>10133</v>
      </c>
      <c r="T25" s="469">
        <f t="shared" si="3"/>
        <v>0</v>
      </c>
      <c r="U25" s="445">
        <f t="shared" si="8"/>
        <v>423188</v>
      </c>
      <c r="V25" s="449">
        <f t="shared" si="18"/>
        <v>0</v>
      </c>
      <c r="W25" s="445">
        <f t="shared" si="9"/>
        <v>32247</v>
      </c>
      <c r="X25" s="449">
        <f t="shared" si="23"/>
        <v>0</v>
      </c>
      <c r="Y25" s="445">
        <f t="shared" si="10"/>
        <v>708695</v>
      </c>
      <c r="Z25" s="449">
        <f t="shared" si="22"/>
        <v>0</v>
      </c>
      <c r="AA25" s="445">
        <f t="shared" si="36"/>
        <v>35759</v>
      </c>
      <c r="AB25" s="449">
        <f t="shared" si="19"/>
        <v>0</v>
      </c>
      <c r="AC25" s="445">
        <f t="shared" si="37"/>
        <v>927061</v>
      </c>
      <c r="AD25" s="449">
        <f t="shared" si="29"/>
        <v>0</v>
      </c>
      <c r="AE25" s="472">
        <f t="shared" si="11"/>
        <v>0</v>
      </c>
      <c r="AF25" s="473">
        <f t="shared" si="12"/>
        <v>0</v>
      </c>
      <c r="AG25" s="465">
        <f t="shared" si="25"/>
        <v>0</v>
      </c>
      <c r="AI25" s="466">
        <f>R25-'EDl log'!B23</f>
        <v>-940497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30"/>
        <v>32692094</v>
      </c>
      <c r="E26" s="311">
        <f t="shared" si="13"/>
        <v>0</v>
      </c>
      <c r="F26" s="445">
        <f t="shared" si="31"/>
        <v>3982574</v>
      </c>
      <c r="G26" s="312">
        <f t="shared" si="0"/>
        <v>0</v>
      </c>
      <c r="H26" s="445">
        <f t="shared" si="32"/>
        <v>17819134</v>
      </c>
      <c r="I26" s="312">
        <f t="shared" si="14"/>
        <v>0</v>
      </c>
      <c r="J26" s="445">
        <f t="shared" si="33"/>
        <v>28940536</v>
      </c>
      <c r="K26" s="312">
        <f t="shared" si="15"/>
        <v>0</v>
      </c>
      <c r="L26" s="445">
        <f t="shared" si="34"/>
        <v>24088824</v>
      </c>
      <c r="M26" s="312">
        <f t="shared" si="16"/>
        <v>0</v>
      </c>
      <c r="N26" s="310">
        <f t="shared" si="17"/>
        <v>0</v>
      </c>
      <c r="O26" s="467">
        <f t="shared" si="24"/>
        <v>0</v>
      </c>
      <c r="P26" s="591">
        <f t="shared" si="35"/>
        <v>16746.837</v>
      </c>
      <c r="Q26" s="449">
        <f t="shared" si="27"/>
        <v>0</v>
      </c>
      <c r="R26" s="449">
        <f t="shared" si="28"/>
        <v>0</v>
      </c>
      <c r="S26" s="445">
        <f t="shared" si="7"/>
        <v>10133</v>
      </c>
      <c r="T26" s="469">
        <f t="shared" si="3"/>
        <v>0</v>
      </c>
      <c r="U26" s="445">
        <f t="shared" si="8"/>
        <v>423188</v>
      </c>
      <c r="V26" s="449">
        <f t="shared" si="18"/>
        <v>0</v>
      </c>
      <c r="W26" s="445">
        <f t="shared" si="9"/>
        <v>32247</v>
      </c>
      <c r="X26" s="449">
        <f t="shared" si="23"/>
        <v>0</v>
      </c>
      <c r="Y26" s="445">
        <f t="shared" si="10"/>
        <v>708695</v>
      </c>
      <c r="Z26" s="449">
        <f t="shared" si="22"/>
        <v>0</v>
      </c>
      <c r="AA26" s="445">
        <f t="shared" si="36"/>
        <v>35759</v>
      </c>
      <c r="AB26" s="449">
        <f t="shared" si="19"/>
        <v>0</v>
      </c>
      <c r="AC26" s="445">
        <f t="shared" si="37"/>
        <v>927061</v>
      </c>
      <c r="AD26" s="449">
        <f t="shared" si="29"/>
        <v>0</v>
      </c>
      <c r="AE26" s="472">
        <f t="shared" si="11"/>
        <v>0</v>
      </c>
      <c r="AF26" s="473">
        <f t="shared" si="12"/>
        <v>0</v>
      </c>
      <c r="AG26" s="465">
        <f t="shared" si="25"/>
        <v>0</v>
      </c>
      <c r="AI26" s="466">
        <f>R26-'EDl log'!B24</f>
        <v>-940497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30"/>
        <v>32692094</v>
      </c>
      <c r="E27" s="311">
        <f t="shared" si="13"/>
        <v>0</v>
      </c>
      <c r="F27" s="445">
        <f t="shared" si="31"/>
        <v>3982574</v>
      </c>
      <c r="G27" s="312">
        <f>F27-F26</f>
        <v>0</v>
      </c>
      <c r="H27" s="445">
        <f t="shared" si="32"/>
        <v>17819134</v>
      </c>
      <c r="I27" s="312">
        <f t="shared" si="14"/>
        <v>0</v>
      </c>
      <c r="J27" s="445">
        <f t="shared" si="33"/>
        <v>28940536</v>
      </c>
      <c r="K27" s="312">
        <f t="shared" si="15"/>
        <v>0</v>
      </c>
      <c r="L27" s="445">
        <f t="shared" si="34"/>
        <v>24088824</v>
      </c>
      <c r="M27" s="312">
        <f t="shared" si="16"/>
        <v>0</v>
      </c>
      <c r="N27" s="310">
        <f t="shared" si="17"/>
        <v>0</v>
      </c>
      <c r="O27" s="467">
        <f t="shared" si="24"/>
        <v>0</v>
      </c>
      <c r="P27" s="591">
        <f t="shared" si="35"/>
        <v>16746.837</v>
      </c>
      <c r="Q27" s="449">
        <f t="shared" si="27"/>
        <v>0</v>
      </c>
      <c r="R27" s="449">
        <f t="shared" si="28"/>
        <v>0</v>
      </c>
      <c r="S27" s="445">
        <f t="shared" si="7"/>
        <v>10133</v>
      </c>
      <c r="T27" s="469">
        <f t="shared" si="3"/>
        <v>0</v>
      </c>
      <c r="U27" s="445">
        <f t="shared" si="8"/>
        <v>423188</v>
      </c>
      <c r="V27" s="449">
        <f t="shared" si="18"/>
        <v>0</v>
      </c>
      <c r="W27" s="445">
        <f t="shared" si="9"/>
        <v>32247</v>
      </c>
      <c r="X27" s="449">
        <f t="shared" si="23"/>
        <v>0</v>
      </c>
      <c r="Y27" s="445">
        <f t="shared" si="10"/>
        <v>708695</v>
      </c>
      <c r="Z27" s="449">
        <f t="shared" si="22"/>
        <v>0</v>
      </c>
      <c r="AA27" s="445">
        <f t="shared" si="36"/>
        <v>35759</v>
      </c>
      <c r="AB27" s="449">
        <f t="shared" si="19"/>
        <v>0</v>
      </c>
      <c r="AC27" s="445">
        <f t="shared" si="37"/>
        <v>927061</v>
      </c>
      <c r="AD27" s="449">
        <f t="shared" si="29"/>
        <v>0</v>
      </c>
      <c r="AE27" s="472">
        <f t="shared" si="11"/>
        <v>0</v>
      </c>
      <c r="AF27" s="473">
        <f t="shared" si="12"/>
        <v>0</v>
      </c>
      <c r="AG27" s="465">
        <f t="shared" si="25"/>
        <v>0</v>
      </c>
      <c r="AI27" s="466">
        <f>R27-'EDl log'!B25</f>
        <v>-940497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30"/>
        <v>32692094</v>
      </c>
      <c r="E28" s="311">
        <f t="shared" si="13"/>
        <v>0</v>
      </c>
      <c r="F28" s="445">
        <f t="shared" si="31"/>
        <v>3982574</v>
      </c>
      <c r="G28" s="312">
        <f t="shared" si="0"/>
        <v>0</v>
      </c>
      <c r="H28" s="445">
        <f t="shared" si="32"/>
        <v>17819134</v>
      </c>
      <c r="I28" s="312">
        <f t="shared" si="14"/>
        <v>0</v>
      </c>
      <c r="J28" s="445">
        <f t="shared" si="33"/>
        <v>28940536</v>
      </c>
      <c r="K28" s="312">
        <f t="shared" si="15"/>
        <v>0</v>
      </c>
      <c r="L28" s="445">
        <f t="shared" si="34"/>
        <v>24088824</v>
      </c>
      <c r="M28" s="312">
        <f t="shared" si="16"/>
        <v>0</v>
      </c>
      <c r="N28" s="310">
        <f t="shared" si="17"/>
        <v>0</v>
      </c>
      <c r="O28" s="467">
        <f t="shared" si="24"/>
        <v>0</v>
      </c>
      <c r="P28" s="591">
        <f t="shared" si="35"/>
        <v>16746.837</v>
      </c>
      <c r="Q28" s="449">
        <f t="shared" si="27"/>
        <v>0</v>
      </c>
      <c r="R28" s="449">
        <f t="shared" si="28"/>
        <v>0</v>
      </c>
      <c r="S28" s="445">
        <f t="shared" si="7"/>
        <v>10133</v>
      </c>
      <c r="T28" s="469">
        <f t="shared" si="3"/>
        <v>0</v>
      </c>
      <c r="U28" s="445">
        <f t="shared" si="8"/>
        <v>423188</v>
      </c>
      <c r="V28" s="449">
        <f t="shared" si="18"/>
        <v>0</v>
      </c>
      <c r="W28" s="445">
        <f t="shared" si="9"/>
        <v>32247</v>
      </c>
      <c r="X28" s="449">
        <f t="shared" si="23"/>
        <v>0</v>
      </c>
      <c r="Y28" s="445">
        <f t="shared" si="10"/>
        <v>708695</v>
      </c>
      <c r="Z28" s="449">
        <f t="shared" si="22"/>
        <v>0</v>
      </c>
      <c r="AA28" s="445">
        <f t="shared" si="36"/>
        <v>35759</v>
      </c>
      <c r="AB28" s="449">
        <f t="shared" si="19"/>
        <v>0</v>
      </c>
      <c r="AC28" s="445">
        <f t="shared" si="37"/>
        <v>927061</v>
      </c>
      <c r="AD28" s="449">
        <f t="shared" si="29"/>
        <v>0</v>
      </c>
      <c r="AE28" s="472">
        <f t="shared" si="11"/>
        <v>0</v>
      </c>
      <c r="AF28" s="473">
        <f t="shared" si="12"/>
        <v>0</v>
      </c>
      <c r="AG28" s="465">
        <f t="shared" si="25"/>
        <v>0</v>
      </c>
      <c r="AI28" s="466">
        <f>R28-'EDl log'!B26</f>
        <v>-940497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30"/>
        <v>32692094</v>
      </c>
      <c r="E29" s="311">
        <f t="shared" si="13"/>
        <v>0</v>
      </c>
      <c r="F29" s="445">
        <f t="shared" si="31"/>
        <v>3982574</v>
      </c>
      <c r="G29" s="312">
        <f t="shared" si="0"/>
        <v>0</v>
      </c>
      <c r="H29" s="445">
        <f t="shared" si="32"/>
        <v>17819134</v>
      </c>
      <c r="I29" s="312">
        <f t="shared" si="14"/>
        <v>0</v>
      </c>
      <c r="J29" s="445">
        <f t="shared" si="33"/>
        <v>28940536</v>
      </c>
      <c r="K29" s="312">
        <f t="shared" si="15"/>
        <v>0</v>
      </c>
      <c r="L29" s="445">
        <f t="shared" si="34"/>
        <v>24088824</v>
      </c>
      <c r="M29" s="312">
        <f t="shared" si="16"/>
        <v>0</v>
      </c>
      <c r="N29" s="310">
        <f t="shared" si="17"/>
        <v>0</v>
      </c>
      <c r="O29" s="467">
        <f t="shared" si="24"/>
        <v>0</v>
      </c>
      <c r="P29" s="591">
        <f t="shared" si="35"/>
        <v>16746.837</v>
      </c>
      <c r="Q29" s="449">
        <f t="shared" si="27"/>
        <v>0</v>
      </c>
      <c r="R29" s="449">
        <f t="shared" si="28"/>
        <v>0</v>
      </c>
      <c r="S29" s="445">
        <f t="shared" si="7"/>
        <v>10133</v>
      </c>
      <c r="T29" s="469">
        <f t="shared" si="3"/>
        <v>0</v>
      </c>
      <c r="U29" s="445">
        <f t="shared" si="8"/>
        <v>423188</v>
      </c>
      <c r="V29" s="449">
        <f t="shared" si="18"/>
        <v>0</v>
      </c>
      <c r="W29" s="445">
        <f t="shared" si="9"/>
        <v>32247</v>
      </c>
      <c r="X29" s="449">
        <f t="shared" si="23"/>
        <v>0</v>
      </c>
      <c r="Y29" s="445">
        <f t="shared" si="10"/>
        <v>708695</v>
      </c>
      <c r="Z29" s="449">
        <f t="shared" si="22"/>
        <v>0</v>
      </c>
      <c r="AA29" s="445">
        <f t="shared" si="36"/>
        <v>35759</v>
      </c>
      <c r="AB29" s="449">
        <f t="shared" si="19"/>
        <v>0</v>
      </c>
      <c r="AC29" s="445">
        <f t="shared" si="37"/>
        <v>927061</v>
      </c>
      <c r="AD29" s="449">
        <f t="shared" si="29"/>
        <v>0</v>
      </c>
      <c r="AE29" s="472">
        <f t="shared" si="11"/>
        <v>0</v>
      </c>
      <c r="AF29" s="473">
        <f t="shared" si="12"/>
        <v>0</v>
      </c>
      <c r="AG29" s="465">
        <f t="shared" si="25"/>
        <v>0</v>
      </c>
      <c r="AI29" s="466">
        <f>R29-'EDl log'!B27</f>
        <v>-940497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30"/>
        <v>32692094</v>
      </c>
      <c r="E30" s="311">
        <f t="shared" si="13"/>
        <v>0</v>
      </c>
      <c r="F30" s="445">
        <f t="shared" si="31"/>
        <v>3982574</v>
      </c>
      <c r="G30" s="312">
        <f t="shared" si="0"/>
        <v>0</v>
      </c>
      <c r="H30" s="445">
        <f t="shared" si="32"/>
        <v>17819134</v>
      </c>
      <c r="I30" s="312">
        <f t="shared" si="14"/>
        <v>0</v>
      </c>
      <c r="J30" s="445">
        <f t="shared" si="33"/>
        <v>28940536</v>
      </c>
      <c r="K30" s="312">
        <f t="shared" si="15"/>
        <v>0</v>
      </c>
      <c r="L30" s="445">
        <f t="shared" si="34"/>
        <v>24088824</v>
      </c>
      <c r="M30" s="312">
        <f t="shared" si="16"/>
        <v>0</v>
      </c>
      <c r="N30" s="310">
        <f t="shared" si="17"/>
        <v>0</v>
      </c>
      <c r="O30" s="467">
        <f t="shared" si="24"/>
        <v>0</v>
      </c>
      <c r="P30" s="591">
        <f t="shared" si="35"/>
        <v>16746.837</v>
      </c>
      <c r="Q30" s="449">
        <f t="shared" si="27"/>
        <v>0</v>
      </c>
      <c r="R30" s="449">
        <f t="shared" si="28"/>
        <v>0</v>
      </c>
      <c r="S30" s="445">
        <f t="shared" si="7"/>
        <v>10133</v>
      </c>
      <c r="T30" s="469">
        <f t="shared" si="3"/>
        <v>0</v>
      </c>
      <c r="U30" s="445">
        <f t="shared" si="8"/>
        <v>423188</v>
      </c>
      <c r="V30" s="449">
        <f t="shared" si="18"/>
        <v>0</v>
      </c>
      <c r="W30" s="445">
        <f t="shared" si="9"/>
        <v>32247</v>
      </c>
      <c r="X30" s="470">
        <f t="shared" si="23"/>
        <v>0</v>
      </c>
      <c r="Y30" s="445">
        <f t="shared" si="10"/>
        <v>708695</v>
      </c>
      <c r="Z30" s="449">
        <f t="shared" si="22"/>
        <v>0</v>
      </c>
      <c r="AA30" s="445">
        <f t="shared" si="36"/>
        <v>35759</v>
      </c>
      <c r="AB30" s="449">
        <f t="shared" si="19"/>
        <v>0</v>
      </c>
      <c r="AC30" s="445">
        <f t="shared" si="37"/>
        <v>927061</v>
      </c>
      <c r="AD30" s="449">
        <f t="shared" si="29"/>
        <v>0</v>
      </c>
      <c r="AE30" s="472">
        <f t="shared" si="11"/>
        <v>0</v>
      </c>
      <c r="AF30" s="473">
        <f t="shared" si="12"/>
        <v>0</v>
      </c>
      <c r="AG30" s="465">
        <f t="shared" si="25"/>
        <v>0</v>
      </c>
      <c r="AI30" s="466">
        <f>R30-'EDl log'!B28</f>
        <v>-940497</v>
      </c>
    </row>
    <row r="31" spans="1:35">
      <c r="A31" s="457"/>
      <c r="B31" s="451"/>
      <c r="C31" s="458">
        <v>44284</v>
      </c>
      <c r="D31" s="445">
        <f t="shared" si="30"/>
        <v>32692094</v>
      </c>
      <c r="E31" s="311">
        <f t="shared" si="13"/>
        <v>0</v>
      </c>
      <c r="F31" s="445">
        <f t="shared" si="31"/>
        <v>3982574</v>
      </c>
      <c r="G31" s="312">
        <f t="shared" si="0"/>
        <v>0</v>
      </c>
      <c r="H31" s="445">
        <f t="shared" si="32"/>
        <v>17819134</v>
      </c>
      <c r="I31" s="312">
        <f t="shared" si="14"/>
        <v>0</v>
      </c>
      <c r="J31" s="445">
        <f t="shared" si="33"/>
        <v>28940536</v>
      </c>
      <c r="K31" s="312">
        <f t="shared" si="15"/>
        <v>0</v>
      </c>
      <c r="L31" s="445">
        <f t="shared" si="34"/>
        <v>24088824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5"/>
        <v>16746.837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10133</v>
      </c>
      <c r="T31" s="469">
        <f t="shared" ref="T31:T33" si="42">S31-S30</f>
        <v>0</v>
      </c>
      <c r="U31" s="445">
        <f t="shared" si="8"/>
        <v>423188</v>
      </c>
      <c r="V31" s="449">
        <f t="shared" ref="V31:V33" si="43">U31-U30</f>
        <v>0</v>
      </c>
      <c r="W31" s="445">
        <f t="shared" si="9"/>
        <v>32247</v>
      </c>
      <c r="X31" s="470">
        <f t="shared" ref="X31:X33" si="44">W31-W30</f>
        <v>0</v>
      </c>
      <c r="Y31" s="445">
        <f t="shared" si="10"/>
        <v>708695</v>
      </c>
      <c r="Z31" s="449">
        <f t="shared" ref="Z31:Z33" si="45">Y31-Y30</f>
        <v>0</v>
      </c>
      <c r="AA31" s="445">
        <f t="shared" si="36"/>
        <v>35759</v>
      </c>
      <c r="AB31" s="449">
        <f t="shared" ref="AB31:AB33" si="46">AA31-AA30</f>
        <v>0</v>
      </c>
      <c r="AC31" s="445">
        <f t="shared" si="37"/>
        <v>927061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-940497</v>
      </c>
    </row>
    <row r="32" spans="1:35">
      <c r="A32" s="457"/>
      <c r="B32" s="451"/>
      <c r="C32" s="458">
        <v>44285</v>
      </c>
      <c r="D32" s="445">
        <f t="shared" si="30"/>
        <v>32692094</v>
      </c>
      <c r="E32" s="311">
        <f t="shared" si="13"/>
        <v>0</v>
      </c>
      <c r="F32" s="445">
        <f t="shared" si="31"/>
        <v>3982574</v>
      </c>
      <c r="G32" s="312">
        <f t="shared" si="0"/>
        <v>0</v>
      </c>
      <c r="H32" s="445">
        <f t="shared" si="32"/>
        <v>17819134</v>
      </c>
      <c r="I32" s="312">
        <f t="shared" si="14"/>
        <v>0</v>
      </c>
      <c r="J32" s="445">
        <f t="shared" si="33"/>
        <v>28940536</v>
      </c>
      <c r="K32" s="312">
        <f t="shared" si="15"/>
        <v>0</v>
      </c>
      <c r="L32" s="445">
        <f t="shared" si="34"/>
        <v>24088824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5"/>
        <v>16746.837</v>
      </c>
      <c r="Q32" s="449">
        <f t="shared" si="40"/>
        <v>0</v>
      </c>
      <c r="R32" s="449">
        <f t="shared" si="41"/>
        <v>0</v>
      </c>
      <c r="S32" s="445">
        <f t="shared" si="7"/>
        <v>10133</v>
      </c>
      <c r="T32" s="469">
        <f t="shared" si="42"/>
        <v>0</v>
      </c>
      <c r="U32" s="445">
        <f t="shared" si="8"/>
        <v>423188</v>
      </c>
      <c r="V32" s="449">
        <f t="shared" si="43"/>
        <v>0</v>
      </c>
      <c r="W32" s="445">
        <f t="shared" si="9"/>
        <v>32247</v>
      </c>
      <c r="X32" s="470">
        <f t="shared" si="44"/>
        <v>0</v>
      </c>
      <c r="Y32" s="445">
        <f t="shared" si="10"/>
        <v>708695</v>
      </c>
      <c r="Z32" s="449">
        <f t="shared" si="45"/>
        <v>0</v>
      </c>
      <c r="AA32" s="445">
        <f t="shared" si="36"/>
        <v>35759</v>
      </c>
      <c r="AB32" s="449">
        <f t="shared" si="46"/>
        <v>0</v>
      </c>
      <c r="AC32" s="445">
        <f t="shared" si="37"/>
        <v>927061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-940497</v>
      </c>
    </row>
    <row r="33" spans="1:35">
      <c r="A33" s="457"/>
      <c r="B33" s="451"/>
      <c r="C33" s="458">
        <v>44286</v>
      </c>
      <c r="D33" s="445">
        <f t="shared" si="30"/>
        <v>32692094</v>
      </c>
      <c r="E33" s="311">
        <f t="shared" si="13"/>
        <v>0</v>
      </c>
      <c r="F33" s="445">
        <f t="shared" si="31"/>
        <v>3982574</v>
      </c>
      <c r="G33" s="312">
        <f t="shared" si="0"/>
        <v>0</v>
      </c>
      <c r="H33" s="445">
        <f t="shared" si="32"/>
        <v>17819134</v>
      </c>
      <c r="I33" s="312">
        <f t="shared" si="14"/>
        <v>0</v>
      </c>
      <c r="J33" s="445">
        <f t="shared" si="33"/>
        <v>28940536</v>
      </c>
      <c r="K33" s="312">
        <f t="shared" si="15"/>
        <v>0</v>
      </c>
      <c r="L33" s="445">
        <f t="shared" si="34"/>
        <v>24088824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5"/>
        <v>16746.837</v>
      </c>
      <c r="Q33" s="449">
        <f t="shared" si="40"/>
        <v>0</v>
      </c>
      <c r="R33" s="449">
        <f t="shared" si="41"/>
        <v>0</v>
      </c>
      <c r="S33" s="445">
        <f t="shared" si="7"/>
        <v>10133</v>
      </c>
      <c r="T33" s="469">
        <f t="shared" si="42"/>
        <v>0</v>
      </c>
      <c r="U33" s="445">
        <f t="shared" si="8"/>
        <v>423188</v>
      </c>
      <c r="V33" s="449">
        <f t="shared" si="43"/>
        <v>0</v>
      </c>
      <c r="W33" s="445">
        <f t="shared" si="9"/>
        <v>32247</v>
      </c>
      <c r="X33" s="470">
        <f t="shared" si="44"/>
        <v>0</v>
      </c>
      <c r="Y33" s="445">
        <f t="shared" si="10"/>
        <v>708695</v>
      </c>
      <c r="Z33" s="449">
        <f t="shared" si="45"/>
        <v>0</v>
      </c>
      <c r="AA33" s="445">
        <f t="shared" si="36"/>
        <v>35759</v>
      </c>
      <c r="AB33" s="449">
        <f t="shared" si="46"/>
        <v>0</v>
      </c>
      <c r="AC33" s="445">
        <f t="shared" si="37"/>
        <v>927061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-940497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I1" zoomScale="90" zoomScaleNormal="90" workbookViewId="0">
      <pane ySplit="1" topLeftCell="A5" activePane="bottomLeft" state="frozen"/>
      <selection activeCell="K1" sqref="K1"/>
      <selection pane="bottomLeft" activeCell="AI22" sqref="AI2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3" t="s">
        <v>2</v>
      </c>
      <c r="G1" s="624"/>
      <c r="H1" s="624"/>
      <c r="I1" s="625"/>
      <c r="J1" s="282">
        <f>J37</f>
        <v>67.697222222222237</v>
      </c>
      <c r="K1" s="626" t="s">
        <v>4</v>
      </c>
      <c r="L1" s="627"/>
      <c r="M1" s="627"/>
      <c r="N1" s="627"/>
      <c r="O1" s="628"/>
      <c r="P1" s="617" t="s">
        <v>6</v>
      </c>
      <c r="Q1" s="618"/>
      <c r="R1" s="618"/>
      <c r="S1" s="618"/>
      <c r="T1" s="619"/>
      <c r="U1" s="397"/>
      <c r="V1" s="27" t="s">
        <v>104</v>
      </c>
      <c r="W1" s="398"/>
      <c r="X1" s="617" t="s">
        <v>8</v>
      </c>
      <c r="Y1" s="618"/>
      <c r="Z1" s="618"/>
      <c r="AA1" s="618"/>
      <c r="AB1" s="618"/>
      <c r="AC1" s="620" t="s">
        <v>10</v>
      </c>
      <c r="AD1" s="621"/>
      <c r="AE1" s="621"/>
      <c r="AF1" s="622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5"/>
      <c r="R2" s="616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v>194.5</v>
      </c>
      <c r="C12" s="64">
        <v>201</v>
      </c>
      <c r="D12" s="45">
        <f t="shared" si="27"/>
        <v>4</v>
      </c>
      <c r="E12" s="45">
        <f t="shared" si="8"/>
        <v>33.520000000000003</v>
      </c>
      <c r="F12" s="584">
        <v>1760</v>
      </c>
      <c r="G12" s="52">
        <f t="shared" si="0"/>
        <v>1</v>
      </c>
      <c r="H12" s="584">
        <v>7285</v>
      </c>
      <c r="I12" s="396">
        <f t="shared" si="1"/>
        <v>80</v>
      </c>
      <c r="J12" s="66">
        <f t="shared" si="9"/>
        <v>80</v>
      </c>
      <c r="K12" s="584">
        <v>2254</v>
      </c>
      <c r="L12" s="52">
        <f t="shared" si="10"/>
        <v>2</v>
      </c>
      <c r="M12" s="584">
        <v>165849</v>
      </c>
      <c r="N12" s="396">
        <f t="shared" si="2"/>
        <v>140</v>
      </c>
      <c r="O12" s="64">
        <f t="shared" si="11"/>
        <v>1869</v>
      </c>
      <c r="P12" s="584">
        <v>2008</v>
      </c>
      <c r="Q12" s="584">
        <v>169516</v>
      </c>
      <c r="R12" s="395">
        <f t="shared" si="50"/>
        <v>70</v>
      </c>
      <c r="S12" s="52">
        <f t="shared" si="4"/>
        <v>1</v>
      </c>
      <c r="T12" s="67">
        <f t="shared" si="30"/>
        <v>0</v>
      </c>
      <c r="U12" s="402">
        <f t="shared" si="12"/>
        <v>4</v>
      </c>
      <c r="V12" s="62">
        <f t="shared" si="13"/>
        <v>290</v>
      </c>
      <c r="W12" s="400">
        <f t="shared" si="14"/>
        <v>72.5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290</v>
      </c>
      <c r="AJ12" s="318">
        <f>-tanks!AW13</f>
        <v>290</v>
      </c>
      <c r="AK12" s="318">
        <f t="shared" si="20"/>
        <v>0</v>
      </c>
      <c r="AL12" s="318">
        <f t="shared" si="7"/>
        <v>4</v>
      </c>
      <c r="AM12" s="318">
        <f t="shared" si="21"/>
        <v>0</v>
      </c>
      <c r="AN12" s="584">
        <f t="shared" ref="AN12:AP12" si="53">AN11</f>
        <v>67</v>
      </c>
      <c r="AO12" s="320">
        <f t="shared" si="23"/>
        <v>2010.0000000000002</v>
      </c>
      <c r="AP12" s="584">
        <f t="shared" si="53"/>
        <v>55</v>
      </c>
      <c r="AQ12" s="320">
        <f t="shared" si="24"/>
        <v>1650.0000000000002</v>
      </c>
      <c r="AR12" s="584">
        <f t="shared" ref="AR12" si="54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v>192</v>
      </c>
      <c r="C13" s="64">
        <v>198.5</v>
      </c>
      <c r="D13" s="45">
        <f t="shared" si="27"/>
        <v>2.5</v>
      </c>
      <c r="E13" s="45">
        <f t="shared" si="8"/>
        <v>20.950000000000003</v>
      </c>
      <c r="F13" s="584">
        <f t="shared" si="28"/>
        <v>1760</v>
      </c>
      <c r="G13" s="52">
        <f t="shared" si="0"/>
        <v>0</v>
      </c>
      <c r="H13" s="584">
        <f t="shared" si="29"/>
        <v>7285</v>
      </c>
      <c r="I13" s="396">
        <f t="shared" si="1"/>
        <v>0</v>
      </c>
      <c r="J13" s="66">
        <f t="shared" si="9"/>
        <v>0</v>
      </c>
      <c r="K13" s="584">
        <v>2255</v>
      </c>
      <c r="L13" s="52">
        <f t="shared" si="10"/>
        <v>1</v>
      </c>
      <c r="M13" s="584">
        <v>165921</v>
      </c>
      <c r="N13" s="396">
        <f t="shared" si="2"/>
        <v>72</v>
      </c>
      <c r="O13" s="64">
        <f t="shared" si="11"/>
        <v>1869</v>
      </c>
      <c r="P13" s="584">
        <v>2010</v>
      </c>
      <c r="Q13" s="584">
        <v>169664</v>
      </c>
      <c r="R13" s="395">
        <f t="shared" si="50"/>
        <v>148</v>
      </c>
      <c r="S13" s="52">
        <f t="shared" si="4"/>
        <v>2</v>
      </c>
      <c r="T13" s="67">
        <f t="shared" si="30"/>
        <v>0</v>
      </c>
      <c r="U13" s="402">
        <f t="shared" si="12"/>
        <v>3</v>
      </c>
      <c r="V13" s="62">
        <f>R13+N13+I13:I13</f>
        <v>220</v>
      </c>
      <c r="W13" s="400">
        <f t="shared" si="14"/>
        <v>73.333333333333329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220</v>
      </c>
      <c r="AJ13" s="318">
        <f>-tanks!AW14</f>
        <v>220</v>
      </c>
      <c r="AK13" s="318">
        <f t="shared" si="20"/>
        <v>0</v>
      </c>
      <c r="AL13" s="318">
        <f t="shared" si="7"/>
        <v>3</v>
      </c>
      <c r="AM13" s="318">
        <f t="shared" si="21"/>
        <v>0</v>
      </c>
      <c r="AN13" s="584">
        <f t="shared" ref="AN13:AP13" si="55">AN12</f>
        <v>67</v>
      </c>
      <c r="AO13" s="320">
        <f t="shared" si="23"/>
        <v>2010.0000000000002</v>
      </c>
      <c r="AP13" s="584">
        <f t="shared" si="55"/>
        <v>55</v>
      </c>
      <c r="AQ13" s="320">
        <f t="shared" si="24"/>
        <v>1650.0000000000002</v>
      </c>
      <c r="AR13" s="584">
        <f t="shared" ref="AR13" si="56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v>187.5</v>
      </c>
      <c r="C14" s="64">
        <v>194</v>
      </c>
      <c r="D14" s="45">
        <f t="shared" si="27"/>
        <v>4.5</v>
      </c>
      <c r="E14" s="45">
        <f t="shared" si="8"/>
        <v>37.71</v>
      </c>
      <c r="F14" s="584">
        <v>1762</v>
      </c>
      <c r="G14" s="52">
        <f t="shared" si="0"/>
        <v>2</v>
      </c>
      <c r="H14" s="584">
        <v>7415</v>
      </c>
      <c r="I14" s="396">
        <f t="shared" si="1"/>
        <v>130</v>
      </c>
      <c r="J14" s="66">
        <f t="shared" si="9"/>
        <v>65</v>
      </c>
      <c r="K14" s="584">
        <f t="shared" si="41"/>
        <v>2255</v>
      </c>
      <c r="L14" s="52">
        <f t="shared" si="10"/>
        <v>0</v>
      </c>
      <c r="M14" s="584">
        <f t="shared" si="42"/>
        <v>165921</v>
      </c>
      <c r="N14" s="396">
        <f t="shared" si="2"/>
        <v>0</v>
      </c>
      <c r="O14" s="64">
        <f t="shared" si="11"/>
        <v>1869</v>
      </c>
      <c r="P14" s="584">
        <v>2011</v>
      </c>
      <c r="Q14" s="584">
        <v>169745</v>
      </c>
      <c r="R14" s="395">
        <f t="shared" si="50"/>
        <v>81</v>
      </c>
      <c r="S14" s="52">
        <f t="shared" si="4"/>
        <v>1</v>
      </c>
      <c r="T14" s="67">
        <f t="shared" si="30"/>
        <v>0</v>
      </c>
      <c r="U14" s="402">
        <f t="shared" si="12"/>
        <v>3</v>
      </c>
      <c r="V14" s="62">
        <f t="shared" si="13"/>
        <v>211</v>
      </c>
      <c r="W14" s="400">
        <f t="shared" si="14"/>
        <v>70.333333333333329</v>
      </c>
      <c r="X14" s="584">
        <v>2462</v>
      </c>
      <c r="Y14" s="52">
        <f t="shared" si="15"/>
        <v>1</v>
      </c>
      <c r="Z14" s="584">
        <v>138490</v>
      </c>
      <c r="AA14" s="65">
        <f t="shared" si="5"/>
        <v>65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65</v>
      </c>
      <c r="AI14" s="318">
        <f>SUM(AH14+V14)</f>
        <v>276</v>
      </c>
      <c r="AJ14" s="318">
        <f>-tanks!AW15</f>
        <v>276</v>
      </c>
      <c r="AK14" s="318">
        <f t="shared" si="20"/>
        <v>0</v>
      </c>
      <c r="AL14" s="318">
        <f t="shared" si="7"/>
        <v>3</v>
      </c>
      <c r="AM14" s="318">
        <f t="shared" si="21"/>
        <v>1</v>
      </c>
      <c r="AN14" s="584">
        <f t="shared" ref="AN14:AP14" si="57">AN13</f>
        <v>67</v>
      </c>
      <c r="AO14" s="320">
        <f t="shared" si="23"/>
        <v>2010.0000000000002</v>
      </c>
      <c r="AP14" s="584">
        <f t="shared" si="57"/>
        <v>55</v>
      </c>
      <c r="AQ14" s="320">
        <f t="shared" si="24"/>
        <v>1650.0000000000002</v>
      </c>
      <c r="AR14" s="584">
        <f t="shared" ref="AR14" si="58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v>184</v>
      </c>
      <c r="C15" s="64">
        <v>190.5</v>
      </c>
      <c r="D15" s="45">
        <f t="shared" si="27"/>
        <v>3.5</v>
      </c>
      <c r="E15" s="45">
        <f t="shared" si="8"/>
        <v>29.330000000000002</v>
      </c>
      <c r="F15" s="584">
        <v>1763</v>
      </c>
      <c r="G15" s="52">
        <f t="shared" si="0"/>
        <v>1</v>
      </c>
      <c r="H15" s="584">
        <v>7522</v>
      </c>
      <c r="I15" s="396">
        <f t="shared" si="1"/>
        <v>107</v>
      </c>
      <c r="J15" s="66">
        <f t="shared" si="9"/>
        <v>107</v>
      </c>
      <c r="K15" s="584">
        <v>2257</v>
      </c>
      <c r="L15" s="52">
        <f t="shared" si="10"/>
        <v>2</v>
      </c>
      <c r="M15" s="584">
        <v>166056</v>
      </c>
      <c r="N15" s="396">
        <f t="shared" si="2"/>
        <v>135</v>
      </c>
      <c r="O15" s="64">
        <f t="shared" si="11"/>
        <v>1869</v>
      </c>
      <c r="P15" s="584">
        <f t="shared" si="11"/>
        <v>2011</v>
      </c>
      <c r="Q15" s="584">
        <f t="shared" si="49"/>
        <v>169745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3</v>
      </c>
      <c r="V15" s="62">
        <f t="shared" si="13"/>
        <v>242</v>
      </c>
      <c r="W15" s="400">
        <f t="shared" si="14"/>
        <v>80.666666666666671</v>
      </c>
      <c r="X15" s="584">
        <f t="shared" si="31"/>
        <v>2462</v>
      </c>
      <c r="Y15" s="52">
        <f t="shared" si="15"/>
        <v>0</v>
      </c>
      <c r="Z15" s="584">
        <f t="shared" si="32"/>
        <v>138490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242</v>
      </c>
      <c r="AJ15" s="318">
        <f>-tanks!AW16</f>
        <v>242</v>
      </c>
      <c r="AK15" s="318">
        <f t="shared" si="20"/>
        <v>0</v>
      </c>
      <c r="AL15" s="318">
        <f t="shared" si="7"/>
        <v>3</v>
      </c>
      <c r="AM15" s="318">
        <f t="shared" si="21"/>
        <v>0</v>
      </c>
      <c r="AN15" s="584">
        <f t="shared" ref="AN15:AP15" si="59">AN14</f>
        <v>67</v>
      </c>
      <c r="AO15" s="320">
        <f t="shared" si="23"/>
        <v>2010.0000000000002</v>
      </c>
      <c r="AP15" s="584">
        <f t="shared" si="59"/>
        <v>55</v>
      </c>
      <c r="AQ15" s="320">
        <f t="shared" si="24"/>
        <v>1650.0000000000002</v>
      </c>
      <c r="AR15" s="584">
        <f t="shared" ref="AR15" si="60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v>181</v>
      </c>
      <c r="C16" s="64">
        <v>187.5</v>
      </c>
      <c r="D16" s="45">
        <f t="shared" si="27"/>
        <v>3</v>
      </c>
      <c r="E16" s="45">
        <f t="shared" si="8"/>
        <v>25.14</v>
      </c>
      <c r="F16" s="584">
        <f t="shared" si="28"/>
        <v>1763</v>
      </c>
      <c r="G16" s="52">
        <f t="shared" si="0"/>
        <v>0</v>
      </c>
      <c r="H16" s="584">
        <f t="shared" si="29"/>
        <v>7522</v>
      </c>
      <c r="I16" s="396">
        <f t="shared" si="1"/>
        <v>0</v>
      </c>
      <c r="J16" s="66">
        <f t="shared" si="9"/>
        <v>0</v>
      </c>
      <c r="K16" s="584">
        <v>2258</v>
      </c>
      <c r="L16" s="52">
        <f t="shared" si="10"/>
        <v>1</v>
      </c>
      <c r="M16" s="584">
        <v>166149</v>
      </c>
      <c r="N16" s="396">
        <f t="shared" si="2"/>
        <v>93</v>
      </c>
      <c r="O16" s="64">
        <f t="shared" si="11"/>
        <v>1869</v>
      </c>
      <c r="P16" s="584">
        <v>2013</v>
      </c>
      <c r="Q16" s="584">
        <v>169909</v>
      </c>
      <c r="R16" s="395">
        <f t="shared" si="50"/>
        <v>164</v>
      </c>
      <c r="S16" s="52">
        <f t="shared" si="4"/>
        <v>2</v>
      </c>
      <c r="T16" s="67">
        <f t="shared" si="30"/>
        <v>0</v>
      </c>
      <c r="U16" s="402">
        <f t="shared" si="12"/>
        <v>3</v>
      </c>
      <c r="V16" s="62">
        <f t="shared" si="13"/>
        <v>257</v>
      </c>
      <c r="W16" s="400">
        <f t="shared" si="14"/>
        <v>85.666666666666671</v>
      </c>
      <c r="X16" s="584">
        <f t="shared" si="31"/>
        <v>2462</v>
      </c>
      <c r="Y16" s="52">
        <f t="shared" si="15"/>
        <v>0</v>
      </c>
      <c r="Z16" s="584">
        <f t="shared" si="32"/>
        <v>138490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257</v>
      </c>
      <c r="AJ16" s="318">
        <f>-tanks!AW17</f>
        <v>257</v>
      </c>
      <c r="AK16" s="318">
        <f t="shared" si="20"/>
        <v>0</v>
      </c>
      <c r="AL16" s="318">
        <f t="shared" si="7"/>
        <v>3</v>
      </c>
      <c r="AM16" s="318">
        <f t="shared" si="21"/>
        <v>0</v>
      </c>
      <c r="AN16" s="584">
        <f t="shared" ref="AN16:AP16" si="61">AN15</f>
        <v>67</v>
      </c>
      <c r="AO16" s="320">
        <f t="shared" si="23"/>
        <v>2010.0000000000002</v>
      </c>
      <c r="AP16" s="584">
        <f t="shared" si="61"/>
        <v>55</v>
      </c>
      <c r="AQ16" s="320">
        <f t="shared" si="24"/>
        <v>1650.0000000000002</v>
      </c>
      <c r="AR16" s="584">
        <f t="shared" ref="AR16" si="62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v>178</v>
      </c>
      <c r="C17" s="64">
        <v>184</v>
      </c>
      <c r="D17" s="45">
        <f t="shared" si="27"/>
        <v>3.5</v>
      </c>
      <c r="E17" s="45">
        <f t="shared" si="8"/>
        <v>29.330000000000002</v>
      </c>
      <c r="F17" s="584">
        <v>1765</v>
      </c>
      <c r="G17" s="52">
        <f t="shared" si="0"/>
        <v>2</v>
      </c>
      <c r="H17" s="584">
        <v>7677</v>
      </c>
      <c r="I17" s="396">
        <f t="shared" si="1"/>
        <v>155</v>
      </c>
      <c r="J17" s="66">
        <f t="shared" si="9"/>
        <v>77.5</v>
      </c>
      <c r="K17" s="584">
        <f t="shared" si="41"/>
        <v>2258</v>
      </c>
      <c r="L17" s="52">
        <f t="shared" si="10"/>
        <v>0</v>
      </c>
      <c r="M17" s="584">
        <f t="shared" si="42"/>
        <v>166149</v>
      </c>
      <c r="N17" s="396">
        <f t="shared" si="2"/>
        <v>0</v>
      </c>
      <c r="O17" s="64">
        <f t="shared" si="11"/>
        <v>1869</v>
      </c>
      <c r="P17" s="584">
        <v>2014</v>
      </c>
      <c r="Q17" s="584">
        <v>169987</v>
      </c>
      <c r="R17" s="395">
        <f t="shared" si="50"/>
        <v>78</v>
      </c>
      <c r="S17" s="52">
        <f t="shared" si="4"/>
        <v>1</v>
      </c>
      <c r="T17" s="67">
        <f t="shared" si="30"/>
        <v>0</v>
      </c>
      <c r="U17" s="402">
        <f t="shared" si="12"/>
        <v>3</v>
      </c>
      <c r="V17" s="62">
        <f t="shared" si="13"/>
        <v>233</v>
      </c>
      <c r="W17" s="400"/>
      <c r="X17" s="584">
        <f t="shared" si="31"/>
        <v>2462</v>
      </c>
      <c r="Y17" s="52">
        <f t="shared" si="15"/>
        <v>0</v>
      </c>
      <c r="Z17" s="584">
        <f t="shared" si="32"/>
        <v>138490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233</v>
      </c>
      <c r="AJ17" s="318">
        <f>-tanks!AW18</f>
        <v>233</v>
      </c>
      <c r="AK17" s="318">
        <f t="shared" si="20"/>
        <v>0</v>
      </c>
      <c r="AL17" s="318">
        <f t="shared" si="7"/>
        <v>3</v>
      </c>
      <c r="AM17" s="318">
        <f t="shared" si="21"/>
        <v>0</v>
      </c>
      <c r="AN17" s="584">
        <f t="shared" ref="AN17:AP17" si="63">AN16</f>
        <v>67</v>
      </c>
      <c r="AO17" s="320">
        <f t="shared" si="23"/>
        <v>2010.0000000000002</v>
      </c>
      <c r="AP17" s="584">
        <f t="shared" si="63"/>
        <v>55</v>
      </c>
      <c r="AQ17" s="320">
        <f t="shared" si="24"/>
        <v>1650.0000000000002</v>
      </c>
      <c r="AR17" s="584">
        <f t="shared" ref="AR17" si="64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v>174</v>
      </c>
      <c r="C18" s="64">
        <v>180</v>
      </c>
      <c r="D18" s="45">
        <f t="shared" si="27"/>
        <v>4</v>
      </c>
      <c r="E18" s="45">
        <f t="shared" si="8"/>
        <v>33.520000000000003</v>
      </c>
      <c r="F18" s="584">
        <v>1766</v>
      </c>
      <c r="G18" s="52">
        <f t="shared" si="0"/>
        <v>1</v>
      </c>
      <c r="H18" s="584">
        <v>7746</v>
      </c>
      <c r="I18" s="396">
        <f t="shared" si="1"/>
        <v>69</v>
      </c>
      <c r="J18" s="66">
        <f t="shared" si="9"/>
        <v>69</v>
      </c>
      <c r="K18" s="584">
        <v>2260</v>
      </c>
      <c r="L18" s="52">
        <f t="shared" si="10"/>
        <v>2</v>
      </c>
      <c r="M18" s="584">
        <v>166315</v>
      </c>
      <c r="N18" s="396">
        <f t="shared" si="2"/>
        <v>166</v>
      </c>
      <c r="O18" s="64">
        <v>1869</v>
      </c>
      <c r="P18" s="584">
        <f t="shared" ref="P18:P35" si="65">P17</f>
        <v>2014</v>
      </c>
      <c r="Q18" s="584">
        <f t="shared" si="49"/>
        <v>169987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3</v>
      </c>
      <c r="V18" s="62">
        <f t="shared" si="13"/>
        <v>235</v>
      </c>
      <c r="W18" s="400"/>
      <c r="X18" s="584">
        <f t="shared" si="31"/>
        <v>2462</v>
      </c>
      <c r="Y18" s="52">
        <f t="shared" si="15"/>
        <v>0</v>
      </c>
      <c r="Z18" s="584">
        <f t="shared" si="32"/>
        <v>138490</v>
      </c>
      <c r="AA18" s="65">
        <f t="shared" si="5"/>
        <v>0</v>
      </c>
      <c r="AB18" s="284">
        <f t="shared" ref="AB18:AB23" si="66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235</v>
      </c>
      <c r="AJ18" s="318">
        <f>-tanks!AW19</f>
        <v>235</v>
      </c>
      <c r="AK18" s="318">
        <f t="shared" si="20"/>
        <v>0</v>
      </c>
      <c r="AL18" s="318">
        <f t="shared" si="7"/>
        <v>3</v>
      </c>
      <c r="AM18" s="318">
        <f t="shared" si="21"/>
        <v>0</v>
      </c>
      <c r="AN18" s="584">
        <f t="shared" ref="AN18:AP18" si="67">AN17</f>
        <v>67</v>
      </c>
      <c r="AO18" s="320">
        <f t="shared" si="23"/>
        <v>2010.0000000000002</v>
      </c>
      <c r="AP18" s="584">
        <f t="shared" si="67"/>
        <v>55</v>
      </c>
      <c r="AQ18" s="320">
        <f t="shared" si="24"/>
        <v>1650.0000000000002</v>
      </c>
      <c r="AR18" s="584">
        <f t="shared" ref="AR18" si="68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v>171</v>
      </c>
      <c r="C19" s="64">
        <v>177</v>
      </c>
      <c r="D19" s="45">
        <f t="shared" si="27"/>
        <v>3</v>
      </c>
      <c r="E19" s="45">
        <f t="shared" si="8"/>
        <v>25.14</v>
      </c>
      <c r="F19" s="584">
        <f t="shared" si="28"/>
        <v>1766</v>
      </c>
      <c r="G19" s="52">
        <f t="shared" si="0"/>
        <v>0</v>
      </c>
      <c r="H19" s="584">
        <f t="shared" si="29"/>
        <v>7746</v>
      </c>
      <c r="I19" s="396">
        <f t="shared" si="1"/>
        <v>0</v>
      </c>
      <c r="J19" s="66">
        <f t="shared" si="9"/>
        <v>0</v>
      </c>
      <c r="K19" s="584">
        <v>2261</v>
      </c>
      <c r="L19" s="52">
        <f t="shared" si="10"/>
        <v>1</v>
      </c>
      <c r="M19" s="584">
        <v>166381</v>
      </c>
      <c r="N19" s="396">
        <f t="shared" si="2"/>
        <v>66</v>
      </c>
      <c r="O19" s="64">
        <f t="shared" si="11"/>
        <v>1869</v>
      </c>
      <c r="P19" s="584">
        <v>2016</v>
      </c>
      <c r="Q19" s="584">
        <v>170149</v>
      </c>
      <c r="R19" s="395">
        <f t="shared" si="50"/>
        <v>162</v>
      </c>
      <c r="S19" s="52">
        <f t="shared" si="4"/>
        <v>2</v>
      </c>
      <c r="T19" s="67">
        <f t="shared" si="30"/>
        <v>0</v>
      </c>
      <c r="U19" s="402">
        <f t="shared" si="12"/>
        <v>3</v>
      </c>
      <c r="V19" s="62">
        <f t="shared" si="13"/>
        <v>228</v>
      </c>
      <c r="W19" s="400"/>
      <c r="X19" s="584">
        <f t="shared" si="31"/>
        <v>2462</v>
      </c>
      <c r="Y19" s="52">
        <f t="shared" si="15"/>
        <v>0</v>
      </c>
      <c r="Z19" s="584">
        <f t="shared" si="32"/>
        <v>138490</v>
      </c>
      <c r="AA19" s="65">
        <f t="shared" si="5"/>
        <v>0</v>
      </c>
      <c r="AB19" s="284">
        <f t="shared" si="66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228</v>
      </c>
      <c r="AJ19" s="318">
        <f>-tanks!AW20</f>
        <v>228</v>
      </c>
      <c r="AK19" s="318">
        <f t="shared" si="20"/>
        <v>0</v>
      </c>
      <c r="AL19" s="318">
        <f t="shared" si="7"/>
        <v>3</v>
      </c>
      <c r="AM19" s="318">
        <f t="shared" si="21"/>
        <v>0</v>
      </c>
      <c r="AN19" s="584">
        <f t="shared" ref="AN19:AP19" si="69">AN18</f>
        <v>67</v>
      </c>
      <c r="AO19" s="320">
        <f t="shared" si="23"/>
        <v>2010.0000000000002</v>
      </c>
      <c r="AP19" s="584">
        <f t="shared" si="69"/>
        <v>55</v>
      </c>
      <c r="AQ19" s="320">
        <f t="shared" si="24"/>
        <v>1650.0000000000002</v>
      </c>
      <c r="AR19" s="584">
        <f t="shared" ref="AR19" si="70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v>190</v>
      </c>
      <c r="C20" s="64">
        <v>196</v>
      </c>
      <c r="D20" s="45">
        <f>C19-C20</f>
        <v>-19</v>
      </c>
      <c r="E20" s="45">
        <f t="shared" si="8"/>
        <v>-159.22000000000003</v>
      </c>
      <c r="F20" s="584">
        <v>1771</v>
      </c>
      <c r="G20" s="52">
        <f t="shared" si="0"/>
        <v>5</v>
      </c>
      <c r="H20" s="584">
        <v>8067</v>
      </c>
      <c r="I20" s="396">
        <f t="shared" si="1"/>
        <v>321</v>
      </c>
      <c r="J20" s="66">
        <f t="shared" si="9"/>
        <v>64.2</v>
      </c>
      <c r="K20" s="584">
        <f t="shared" si="41"/>
        <v>2261</v>
      </c>
      <c r="L20" s="52">
        <f t="shared" si="10"/>
        <v>0</v>
      </c>
      <c r="M20" s="584">
        <f t="shared" si="42"/>
        <v>166381</v>
      </c>
      <c r="N20" s="396">
        <f t="shared" si="2"/>
        <v>0</v>
      </c>
      <c r="O20" s="64">
        <f t="shared" si="11"/>
        <v>1869</v>
      </c>
      <c r="P20" s="584">
        <v>2018</v>
      </c>
      <c r="Q20" s="584">
        <v>170270</v>
      </c>
      <c r="R20" s="395">
        <f t="shared" si="50"/>
        <v>121</v>
      </c>
      <c r="S20" s="52">
        <f t="shared" si="4"/>
        <v>2</v>
      </c>
      <c r="T20" s="67">
        <f t="shared" si="30"/>
        <v>0</v>
      </c>
      <c r="U20" s="402">
        <f t="shared" si="12"/>
        <v>7</v>
      </c>
      <c r="V20" s="62">
        <f t="shared" si="13"/>
        <v>442</v>
      </c>
      <c r="W20" s="400"/>
      <c r="X20" s="584">
        <f t="shared" si="31"/>
        <v>2462</v>
      </c>
      <c r="Y20" s="52">
        <f t="shared" si="15"/>
        <v>0</v>
      </c>
      <c r="Z20" s="584">
        <f t="shared" si="32"/>
        <v>138490</v>
      </c>
      <c r="AA20" s="65">
        <f t="shared" si="5"/>
        <v>0</v>
      </c>
      <c r="AB20" s="284">
        <f t="shared" si="66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442</v>
      </c>
      <c r="AJ20" s="318">
        <f>-tanks!AW21</f>
        <v>442</v>
      </c>
      <c r="AK20" s="318">
        <f t="shared" si="20"/>
        <v>0</v>
      </c>
      <c r="AL20" s="318">
        <f t="shared" si="7"/>
        <v>7</v>
      </c>
      <c r="AM20" s="318">
        <f t="shared" si="21"/>
        <v>0</v>
      </c>
      <c r="AN20" s="584">
        <f t="shared" ref="AN20:AP20" si="71">AN19</f>
        <v>67</v>
      </c>
      <c r="AO20" s="320">
        <f t="shared" si="23"/>
        <v>2010.0000000000002</v>
      </c>
      <c r="AP20" s="584">
        <f t="shared" si="71"/>
        <v>55</v>
      </c>
      <c r="AQ20" s="320">
        <f t="shared" si="24"/>
        <v>1650.0000000000002</v>
      </c>
      <c r="AR20" s="584">
        <f t="shared" ref="AR20" si="72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v>183</v>
      </c>
      <c r="C21" s="64">
        <v>190</v>
      </c>
      <c r="D21" s="45">
        <f t="shared" ref="D21:D31" si="73">C20-C21</f>
        <v>6</v>
      </c>
      <c r="E21" s="45">
        <f t="shared" si="8"/>
        <v>50.28</v>
      </c>
      <c r="F21" s="584">
        <v>1773</v>
      </c>
      <c r="G21" s="52">
        <f t="shared" si="0"/>
        <v>2</v>
      </c>
      <c r="H21" s="584">
        <v>8222</v>
      </c>
      <c r="I21" s="396">
        <f t="shared" si="1"/>
        <v>155</v>
      </c>
      <c r="J21" s="66">
        <f t="shared" si="9"/>
        <v>77.5</v>
      </c>
      <c r="K21" s="584">
        <v>2264</v>
      </c>
      <c r="L21" s="52">
        <f t="shared" si="10"/>
        <v>3</v>
      </c>
      <c r="M21" s="584">
        <v>166653</v>
      </c>
      <c r="N21" s="396">
        <f t="shared" si="2"/>
        <v>272</v>
      </c>
      <c r="O21" s="64">
        <f t="shared" si="11"/>
        <v>1869</v>
      </c>
      <c r="P21" s="584">
        <f t="shared" si="65"/>
        <v>2018</v>
      </c>
      <c r="Q21" s="584">
        <f t="shared" si="49"/>
        <v>170270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5</v>
      </c>
      <c r="V21" s="62">
        <f t="shared" si="13"/>
        <v>427</v>
      </c>
      <c r="W21" s="400"/>
      <c r="X21" s="584">
        <f t="shared" si="31"/>
        <v>2462</v>
      </c>
      <c r="Y21" s="52">
        <f t="shared" si="15"/>
        <v>0</v>
      </c>
      <c r="Z21" s="584">
        <f t="shared" si="32"/>
        <v>138490</v>
      </c>
      <c r="AA21" s="65">
        <f t="shared" si="5"/>
        <v>0</v>
      </c>
      <c r="AB21" s="284">
        <f t="shared" si="66"/>
        <v>0</v>
      </c>
      <c r="AC21" s="584">
        <v>1936</v>
      </c>
      <c r="AD21" s="45">
        <f t="shared" si="6"/>
        <v>1</v>
      </c>
      <c r="AE21" s="584">
        <v>365520.8</v>
      </c>
      <c r="AF21" s="306">
        <f t="shared" si="18"/>
        <v>53.799999999988358</v>
      </c>
      <c r="AG21" s="209">
        <f t="shared" si="34"/>
        <v>53.799999999988358</v>
      </c>
      <c r="AH21" s="62">
        <f t="shared" si="35"/>
        <v>53.799999999988358</v>
      </c>
      <c r="AI21" s="318">
        <f t="shared" si="19"/>
        <v>480.79999999998836</v>
      </c>
      <c r="AJ21" s="318">
        <f>-tanks!AW22</f>
        <v>480.79999999998836</v>
      </c>
      <c r="AK21" s="318">
        <f t="shared" si="20"/>
        <v>0</v>
      </c>
      <c r="AL21" s="318">
        <f t="shared" si="7"/>
        <v>5</v>
      </c>
      <c r="AM21" s="318">
        <f t="shared" si="21"/>
        <v>1</v>
      </c>
      <c r="AN21" s="584">
        <f t="shared" ref="AN21:AP21" si="74">AN20</f>
        <v>67</v>
      </c>
      <c r="AO21" s="320">
        <f t="shared" si="23"/>
        <v>2010.0000000000002</v>
      </c>
      <c r="AP21" s="584">
        <f t="shared" si="74"/>
        <v>55</v>
      </c>
      <c r="AQ21" s="320">
        <f t="shared" si="24"/>
        <v>1650.0000000000002</v>
      </c>
      <c r="AR21" s="584">
        <f t="shared" ref="AR21" si="75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v>175</v>
      </c>
      <c r="C22" s="64">
        <v>181</v>
      </c>
      <c r="D22" s="45">
        <f t="shared" si="73"/>
        <v>9</v>
      </c>
      <c r="E22" s="45">
        <f t="shared" si="8"/>
        <v>75.42</v>
      </c>
      <c r="F22" s="584">
        <f t="shared" si="28"/>
        <v>1773</v>
      </c>
      <c r="G22" s="52">
        <f t="shared" si="0"/>
        <v>0</v>
      </c>
      <c r="H22" s="584">
        <f t="shared" si="29"/>
        <v>8222</v>
      </c>
      <c r="I22" s="396">
        <f t="shared" si="1"/>
        <v>0</v>
      </c>
      <c r="J22" s="66">
        <f t="shared" si="9"/>
        <v>0</v>
      </c>
      <c r="K22" s="584">
        <v>2267</v>
      </c>
      <c r="L22" s="52">
        <f t="shared" si="10"/>
        <v>3</v>
      </c>
      <c r="M22" s="584">
        <v>166830</v>
      </c>
      <c r="N22" s="396">
        <f t="shared" si="2"/>
        <v>177</v>
      </c>
      <c r="O22" s="64">
        <f t="shared" si="11"/>
        <v>1869</v>
      </c>
      <c r="P22" s="584">
        <v>2022</v>
      </c>
      <c r="Q22" s="584">
        <v>170559</v>
      </c>
      <c r="R22" s="395">
        <f t="shared" si="50"/>
        <v>289</v>
      </c>
      <c r="S22" s="52">
        <f t="shared" si="4"/>
        <v>4</v>
      </c>
      <c r="T22" s="67">
        <f t="shared" si="30"/>
        <v>0</v>
      </c>
      <c r="U22" s="402">
        <f t="shared" si="12"/>
        <v>7</v>
      </c>
      <c r="V22" s="62">
        <f t="shared" si="13"/>
        <v>466</v>
      </c>
      <c r="W22" s="400"/>
      <c r="X22" s="584">
        <f t="shared" si="31"/>
        <v>2462</v>
      </c>
      <c r="Y22" s="52">
        <f t="shared" si="15"/>
        <v>0</v>
      </c>
      <c r="Z22" s="584">
        <f t="shared" si="32"/>
        <v>138490</v>
      </c>
      <c r="AA22" s="65">
        <f t="shared" si="5"/>
        <v>0</v>
      </c>
      <c r="AB22" s="284">
        <f t="shared" si="66"/>
        <v>0</v>
      </c>
      <c r="AC22" s="584">
        <f t="shared" si="16"/>
        <v>1936</v>
      </c>
      <c r="AD22" s="45">
        <f t="shared" si="6"/>
        <v>0</v>
      </c>
      <c r="AE22" s="584">
        <f t="shared" si="17"/>
        <v>365520.8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466</v>
      </c>
      <c r="AJ22" s="318">
        <f>-tanks!AW23</f>
        <v>466</v>
      </c>
      <c r="AK22" s="318">
        <f t="shared" si="20"/>
        <v>0</v>
      </c>
      <c r="AL22" s="318">
        <f t="shared" si="7"/>
        <v>7</v>
      </c>
      <c r="AM22" s="318">
        <f t="shared" si="21"/>
        <v>0</v>
      </c>
      <c r="AN22" s="584">
        <f t="shared" ref="AN22:AP22" si="76">AN21</f>
        <v>67</v>
      </c>
      <c r="AO22" s="320">
        <f t="shared" si="23"/>
        <v>2010.0000000000002</v>
      </c>
      <c r="AP22" s="584">
        <f t="shared" si="76"/>
        <v>55</v>
      </c>
      <c r="AQ22" s="320">
        <f t="shared" si="24"/>
        <v>1650.0000000000002</v>
      </c>
      <c r="AR22" s="584">
        <f t="shared" ref="AR22" si="77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64">
        <f t="shared" ref="B22:B35" si="78">B22</f>
        <v>175</v>
      </c>
      <c r="C23" s="64">
        <f t="shared" ref="C22:C35" si="79">C22</f>
        <v>181</v>
      </c>
      <c r="D23" s="45">
        <f t="shared" si="73"/>
        <v>0</v>
      </c>
      <c r="E23" s="45">
        <f t="shared" si="8"/>
        <v>0</v>
      </c>
      <c r="F23" s="584">
        <f t="shared" si="28"/>
        <v>1773</v>
      </c>
      <c r="G23" s="52">
        <f t="shared" si="0"/>
        <v>0</v>
      </c>
      <c r="H23" s="584">
        <f t="shared" si="29"/>
        <v>8222</v>
      </c>
      <c r="I23" s="396">
        <f t="shared" si="1"/>
        <v>0</v>
      </c>
      <c r="J23" s="66">
        <f t="shared" si="9"/>
        <v>0</v>
      </c>
      <c r="K23" s="584">
        <f t="shared" si="41"/>
        <v>2267</v>
      </c>
      <c r="L23" s="52">
        <f t="shared" si="10"/>
        <v>0</v>
      </c>
      <c r="M23" s="584">
        <f t="shared" si="42"/>
        <v>166830</v>
      </c>
      <c r="N23" s="396">
        <f t="shared" si="2"/>
        <v>0</v>
      </c>
      <c r="O23" s="64">
        <f t="shared" si="11"/>
        <v>1869</v>
      </c>
      <c r="P23" s="584">
        <f t="shared" si="65"/>
        <v>2022</v>
      </c>
      <c r="Q23" s="584">
        <f t="shared" si="49"/>
        <v>170559</v>
      </c>
      <c r="R23" s="395">
        <f t="shared" si="50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4">
        <f t="shared" si="31"/>
        <v>2462</v>
      </c>
      <c r="Y23" s="52">
        <f t="shared" si="15"/>
        <v>0</v>
      </c>
      <c r="Z23" s="584">
        <f t="shared" si="32"/>
        <v>138490</v>
      </c>
      <c r="AA23" s="65">
        <f t="shared" si="5"/>
        <v>0</v>
      </c>
      <c r="AB23" s="284">
        <f t="shared" si="66"/>
        <v>0</v>
      </c>
      <c r="AC23" s="584">
        <f t="shared" si="16"/>
        <v>1936</v>
      </c>
      <c r="AD23" s="45">
        <f t="shared" si="6"/>
        <v>0</v>
      </c>
      <c r="AE23" s="584">
        <f t="shared" si="17"/>
        <v>365520.8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4">
        <f t="shared" ref="AN23:AP23" si="84">AN22</f>
        <v>67</v>
      </c>
      <c r="AO23" s="320">
        <f t="shared" si="23"/>
        <v>2010.0000000000002</v>
      </c>
      <c r="AP23" s="584">
        <f t="shared" si="84"/>
        <v>55</v>
      </c>
      <c r="AQ23" s="320">
        <f t="shared" si="24"/>
        <v>1650.0000000000002</v>
      </c>
      <c r="AR23" s="584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f t="shared" si="78"/>
        <v>175</v>
      </c>
      <c r="C24" s="64">
        <f t="shared" si="79"/>
        <v>181</v>
      </c>
      <c r="D24" s="45">
        <f t="shared" si="73"/>
        <v>0</v>
      </c>
      <c r="E24" s="45">
        <f t="shared" si="8"/>
        <v>0</v>
      </c>
      <c r="F24" s="584">
        <f t="shared" si="28"/>
        <v>1773</v>
      </c>
      <c r="G24" s="52">
        <f t="shared" si="0"/>
        <v>0</v>
      </c>
      <c r="H24" s="584">
        <f t="shared" si="29"/>
        <v>8222</v>
      </c>
      <c r="I24" s="396">
        <f t="shared" si="1"/>
        <v>0</v>
      </c>
      <c r="J24" s="66">
        <f t="shared" si="9"/>
        <v>0</v>
      </c>
      <c r="K24" s="584">
        <f t="shared" si="41"/>
        <v>2267</v>
      </c>
      <c r="L24" s="52">
        <f t="shared" si="10"/>
        <v>0</v>
      </c>
      <c r="M24" s="584">
        <f t="shared" si="42"/>
        <v>166830</v>
      </c>
      <c r="N24" s="396">
        <f t="shared" si="2"/>
        <v>0</v>
      </c>
      <c r="O24" s="64">
        <f t="shared" si="11"/>
        <v>1869</v>
      </c>
      <c r="P24" s="584">
        <f t="shared" si="65"/>
        <v>2022</v>
      </c>
      <c r="Q24" s="584">
        <f t="shared" si="49"/>
        <v>170559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2462</v>
      </c>
      <c r="Y24" s="52">
        <f t="shared" si="15"/>
        <v>0</v>
      </c>
      <c r="Z24" s="584">
        <f t="shared" si="32"/>
        <v>138490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1936</v>
      </c>
      <c r="AD24" s="45">
        <f t="shared" si="6"/>
        <v>0</v>
      </c>
      <c r="AE24" s="584">
        <f t="shared" si="17"/>
        <v>365520.8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f t="shared" si="78"/>
        <v>175</v>
      </c>
      <c r="C25" s="64">
        <f t="shared" si="79"/>
        <v>181</v>
      </c>
      <c r="D25" s="45">
        <f t="shared" si="73"/>
        <v>0</v>
      </c>
      <c r="E25" s="45">
        <f t="shared" si="8"/>
        <v>0</v>
      </c>
      <c r="F25" s="584">
        <f t="shared" si="28"/>
        <v>1773</v>
      </c>
      <c r="G25" s="52">
        <f t="shared" si="0"/>
        <v>0</v>
      </c>
      <c r="H25" s="584">
        <f t="shared" si="29"/>
        <v>8222</v>
      </c>
      <c r="I25" s="396">
        <f t="shared" si="1"/>
        <v>0</v>
      </c>
      <c r="J25" s="66">
        <f t="shared" si="9"/>
        <v>0</v>
      </c>
      <c r="K25" s="584">
        <f t="shared" si="41"/>
        <v>2267</v>
      </c>
      <c r="L25" s="52">
        <f t="shared" si="10"/>
        <v>0</v>
      </c>
      <c r="M25" s="584">
        <f t="shared" si="42"/>
        <v>166830</v>
      </c>
      <c r="N25" s="396">
        <f t="shared" si="2"/>
        <v>0</v>
      </c>
      <c r="O25" s="64">
        <f t="shared" si="11"/>
        <v>1869</v>
      </c>
      <c r="P25" s="584">
        <f t="shared" si="65"/>
        <v>2022</v>
      </c>
      <c r="Q25" s="584">
        <f t="shared" si="49"/>
        <v>170559</v>
      </c>
      <c r="R25" s="395">
        <f t="shared" si="50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2462</v>
      </c>
      <c r="Y25" s="52">
        <f t="shared" si="15"/>
        <v>0</v>
      </c>
      <c r="Z25" s="584">
        <f t="shared" si="32"/>
        <v>138490</v>
      </c>
      <c r="AA25" s="65">
        <f t="shared" si="5"/>
        <v>0</v>
      </c>
      <c r="AB25" s="284">
        <f t="shared" si="86"/>
        <v>0</v>
      </c>
      <c r="AC25" s="584">
        <f t="shared" si="16"/>
        <v>1936</v>
      </c>
      <c r="AD25" s="45">
        <f t="shared" si="6"/>
        <v>0</v>
      </c>
      <c r="AE25" s="584">
        <f t="shared" si="17"/>
        <v>365520.8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f t="shared" si="78"/>
        <v>175</v>
      </c>
      <c r="C26" s="64">
        <f t="shared" si="79"/>
        <v>181</v>
      </c>
      <c r="D26" s="45">
        <f t="shared" si="73"/>
        <v>0</v>
      </c>
      <c r="E26" s="45">
        <f t="shared" si="8"/>
        <v>0</v>
      </c>
      <c r="F26" s="584">
        <f t="shared" si="28"/>
        <v>1773</v>
      </c>
      <c r="G26" s="52">
        <f t="shared" si="0"/>
        <v>0</v>
      </c>
      <c r="H26" s="584">
        <f t="shared" si="29"/>
        <v>8222</v>
      </c>
      <c r="I26" s="396">
        <f t="shared" si="1"/>
        <v>0</v>
      </c>
      <c r="J26" s="66">
        <f t="shared" si="9"/>
        <v>0</v>
      </c>
      <c r="K26" s="584">
        <f t="shared" si="41"/>
        <v>2267</v>
      </c>
      <c r="L26" s="52">
        <f t="shared" si="10"/>
        <v>0</v>
      </c>
      <c r="M26" s="584">
        <f t="shared" si="42"/>
        <v>166830</v>
      </c>
      <c r="N26" s="396">
        <f t="shared" si="2"/>
        <v>0</v>
      </c>
      <c r="O26" s="64">
        <f t="shared" si="11"/>
        <v>1869</v>
      </c>
      <c r="P26" s="584">
        <f t="shared" si="65"/>
        <v>2022</v>
      </c>
      <c r="Q26" s="584">
        <f t="shared" si="49"/>
        <v>170559</v>
      </c>
      <c r="R26" s="395">
        <f t="shared" si="50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2462</v>
      </c>
      <c r="Y26" s="52">
        <f t="shared" si="15"/>
        <v>0</v>
      </c>
      <c r="Z26" s="584">
        <f t="shared" si="32"/>
        <v>138490</v>
      </c>
      <c r="AA26" s="65">
        <f t="shared" si="5"/>
        <v>0</v>
      </c>
      <c r="AB26" s="284">
        <f t="shared" si="86"/>
        <v>0</v>
      </c>
      <c r="AC26" s="584">
        <f t="shared" si="16"/>
        <v>1936</v>
      </c>
      <c r="AD26" s="45">
        <f t="shared" si="6"/>
        <v>0</v>
      </c>
      <c r="AE26" s="584">
        <f t="shared" si="17"/>
        <v>365520.8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f t="shared" si="78"/>
        <v>175</v>
      </c>
      <c r="C27" s="64">
        <f t="shared" si="79"/>
        <v>181</v>
      </c>
      <c r="D27" s="45">
        <f t="shared" si="73"/>
        <v>0</v>
      </c>
      <c r="E27" s="45">
        <f t="shared" si="8"/>
        <v>0</v>
      </c>
      <c r="F27" s="584">
        <f t="shared" si="28"/>
        <v>1773</v>
      </c>
      <c r="G27" s="52">
        <f t="shared" si="0"/>
        <v>0</v>
      </c>
      <c r="H27" s="584">
        <f t="shared" si="29"/>
        <v>8222</v>
      </c>
      <c r="I27" s="396">
        <f t="shared" si="1"/>
        <v>0</v>
      </c>
      <c r="J27" s="66">
        <f t="shared" si="9"/>
        <v>0</v>
      </c>
      <c r="K27" s="584">
        <f t="shared" si="41"/>
        <v>2267</v>
      </c>
      <c r="L27" s="52">
        <f t="shared" si="10"/>
        <v>0</v>
      </c>
      <c r="M27" s="584">
        <f t="shared" si="42"/>
        <v>166830</v>
      </c>
      <c r="N27" s="396">
        <f t="shared" si="2"/>
        <v>0</v>
      </c>
      <c r="O27" s="64">
        <f t="shared" si="11"/>
        <v>1869</v>
      </c>
      <c r="P27" s="584">
        <f t="shared" si="65"/>
        <v>2022</v>
      </c>
      <c r="Q27" s="584">
        <f t="shared" si="49"/>
        <v>170559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2462</v>
      </c>
      <c r="Y27" s="52">
        <f t="shared" si="15"/>
        <v>0</v>
      </c>
      <c r="Z27" s="584">
        <f t="shared" si="32"/>
        <v>138490</v>
      </c>
      <c r="AA27" s="65">
        <f t="shared" si="5"/>
        <v>0</v>
      </c>
      <c r="AB27" s="284">
        <f t="shared" si="86"/>
        <v>0</v>
      </c>
      <c r="AC27" s="584">
        <f t="shared" si="16"/>
        <v>1936</v>
      </c>
      <c r="AD27" s="45">
        <f t="shared" si="6"/>
        <v>0</v>
      </c>
      <c r="AE27" s="584">
        <f t="shared" si="17"/>
        <v>365520.8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si="78"/>
        <v>175</v>
      </c>
      <c r="C28" s="64">
        <f t="shared" si="79"/>
        <v>181</v>
      </c>
      <c r="D28" s="45">
        <f t="shared" si="73"/>
        <v>0</v>
      </c>
      <c r="E28" s="45">
        <f t="shared" si="8"/>
        <v>0</v>
      </c>
      <c r="F28" s="584">
        <f t="shared" si="28"/>
        <v>1773</v>
      </c>
      <c r="G28" s="52">
        <f t="shared" si="0"/>
        <v>0</v>
      </c>
      <c r="H28" s="584">
        <f t="shared" si="29"/>
        <v>8222</v>
      </c>
      <c r="I28" s="396">
        <f t="shared" si="1"/>
        <v>0</v>
      </c>
      <c r="J28" s="66">
        <f t="shared" si="9"/>
        <v>0</v>
      </c>
      <c r="K28" s="584">
        <f t="shared" si="41"/>
        <v>2267</v>
      </c>
      <c r="L28" s="52">
        <f t="shared" si="10"/>
        <v>0</v>
      </c>
      <c r="M28" s="584">
        <f t="shared" si="42"/>
        <v>166830</v>
      </c>
      <c r="N28" s="396">
        <f t="shared" si="2"/>
        <v>0</v>
      </c>
      <c r="O28" s="64">
        <f t="shared" si="11"/>
        <v>1869</v>
      </c>
      <c r="P28" s="584">
        <f t="shared" si="65"/>
        <v>2022</v>
      </c>
      <c r="Q28" s="584">
        <f t="shared" si="49"/>
        <v>170559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2462</v>
      </c>
      <c r="Y28" s="52">
        <f t="shared" si="15"/>
        <v>0</v>
      </c>
      <c r="Z28" s="584">
        <f t="shared" si="32"/>
        <v>138490</v>
      </c>
      <c r="AA28" s="65">
        <f t="shared" si="5"/>
        <v>0</v>
      </c>
      <c r="AB28" s="284">
        <f t="shared" si="86"/>
        <v>0</v>
      </c>
      <c r="AC28" s="584">
        <f t="shared" si="16"/>
        <v>1936</v>
      </c>
      <c r="AD28" s="45">
        <f t="shared" si="6"/>
        <v>0</v>
      </c>
      <c r="AE28" s="584">
        <f t="shared" si="17"/>
        <v>365520.8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78"/>
        <v>175</v>
      </c>
      <c r="C29" s="64">
        <f t="shared" si="79"/>
        <v>181</v>
      </c>
      <c r="D29" s="45">
        <f t="shared" si="73"/>
        <v>0</v>
      </c>
      <c r="E29" s="45">
        <f t="shared" si="8"/>
        <v>0</v>
      </c>
      <c r="F29" s="584">
        <f t="shared" si="28"/>
        <v>1773</v>
      </c>
      <c r="G29" s="52">
        <f t="shared" si="0"/>
        <v>0</v>
      </c>
      <c r="H29" s="584">
        <f t="shared" si="29"/>
        <v>8222</v>
      </c>
      <c r="I29" s="396">
        <f t="shared" si="1"/>
        <v>0</v>
      </c>
      <c r="J29" s="66">
        <f t="shared" si="9"/>
        <v>0</v>
      </c>
      <c r="K29" s="584">
        <f t="shared" si="41"/>
        <v>2267</v>
      </c>
      <c r="L29" s="52">
        <f t="shared" si="10"/>
        <v>0</v>
      </c>
      <c r="M29" s="584">
        <f t="shared" si="42"/>
        <v>166830</v>
      </c>
      <c r="N29" s="396">
        <f t="shared" si="2"/>
        <v>0</v>
      </c>
      <c r="O29" s="64">
        <f t="shared" si="11"/>
        <v>1869</v>
      </c>
      <c r="P29" s="584">
        <f t="shared" si="65"/>
        <v>2022</v>
      </c>
      <c r="Q29" s="584">
        <f t="shared" si="49"/>
        <v>170559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2462</v>
      </c>
      <c r="Y29" s="52">
        <f t="shared" si="15"/>
        <v>0</v>
      </c>
      <c r="Z29" s="584">
        <f t="shared" si="32"/>
        <v>138490</v>
      </c>
      <c r="AA29" s="65">
        <f t="shared" si="5"/>
        <v>0</v>
      </c>
      <c r="AB29" s="284">
        <f t="shared" si="86"/>
        <v>0</v>
      </c>
      <c r="AC29" s="584">
        <f t="shared" si="16"/>
        <v>1936</v>
      </c>
      <c r="AD29" s="45">
        <f t="shared" si="6"/>
        <v>0</v>
      </c>
      <c r="AE29" s="584">
        <f t="shared" si="17"/>
        <v>365520.8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78"/>
        <v>175</v>
      </c>
      <c r="C30" s="64">
        <f t="shared" si="79"/>
        <v>181</v>
      </c>
      <c r="D30" s="45">
        <f t="shared" si="73"/>
        <v>0</v>
      </c>
      <c r="E30" s="45">
        <f t="shared" si="8"/>
        <v>0</v>
      </c>
      <c r="F30" s="584">
        <f t="shared" si="28"/>
        <v>1773</v>
      </c>
      <c r="G30" s="52">
        <f t="shared" si="0"/>
        <v>0</v>
      </c>
      <c r="H30" s="584">
        <f t="shared" si="29"/>
        <v>8222</v>
      </c>
      <c r="I30" s="396">
        <f t="shared" si="1"/>
        <v>0</v>
      </c>
      <c r="J30" s="66">
        <f t="shared" si="9"/>
        <v>0</v>
      </c>
      <c r="K30" s="584">
        <f t="shared" si="41"/>
        <v>2267</v>
      </c>
      <c r="L30" s="52">
        <f t="shared" si="10"/>
        <v>0</v>
      </c>
      <c r="M30" s="584">
        <f t="shared" si="42"/>
        <v>166830</v>
      </c>
      <c r="N30" s="396">
        <f t="shared" si="2"/>
        <v>0</v>
      </c>
      <c r="O30" s="64">
        <f t="shared" si="11"/>
        <v>1869</v>
      </c>
      <c r="P30" s="584">
        <f t="shared" si="65"/>
        <v>2022</v>
      </c>
      <c r="Q30" s="584">
        <f t="shared" si="49"/>
        <v>170559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2462</v>
      </c>
      <c r="Y30" s="52">
        <f t="shared" si="15"/>
        <v>0</v>
      </c>
      <c r="Z30" s="584">
        <f t="shared" si="32"/>
        <v>138490</v>
      </c>
      <c r="AA30" s="65">
        <f t="shared" si="5"/>
        <v>0</v>
      </c>
      <c r="AB30" s="284">
        <f t="shared" si="86"/>
        <v>0</v>
      </c>
      <c r="AC30" s="584">
        <f t="shared" si="16"/>
        <v>1936</v>
      </c>
      <c r="AD30" s="45">
        <f t="shared" si="6"/>
        <v>0</v>
      </c>
      <c r="AE30" s="584">
        <f t="shared" si="17"/>
        <v>365520.8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78"/>
        <v>175</v>
      </c>
      <c r="C31" s="64">
        <f t="shared" si="79"/>
        <v>181</v>
      </c>
      <c r="D31" s="45">
        <f t="shared" si="73"/>
        <v>0</v>
      </c>
      <c r="E31" s="45">
        <f t="shared" si="8"/>
        <v>0</v>
      </c>
      <c r="F31" s="584">
        <f t="shared" si="28"/>
        <v>1773</v>
      </c>
      <c r="G31" s="52">
        <f t="shared" si="0"/>
        <v>0</v>
      </c>
      <c r="H31" s="584">
        <f t="shared" si="29"/>
        <v>8222</v>
      </c>
      <c r="I31" s="396">
        <f t="shared" si="1"/>
        <v>0</v>
      </c>
      <c r="J31" s="66">
        <f t="shared" si="9"/>
        <v>0</v>
      </c>
      <c r="K31" s="584">
        <f t="shared" si="41"/>
        <v>2267</v>
      </c>
      <c r="L31" s="52">
        <f t="shared" si="10"/>
        <v>0</v>
      </c>
      <c r="M31" s="584">
        <f t="shared" si="42"/>
        <v>166830</v>
      </c>
      <c r="N31" s="396">
        <f t="shared" si="2"/>
        <v>0</v>
      </c>
      <c r="O31" s="64">
        <f t="shared" si="11"/>
        <v>1869</v>
      </c>
      <c r="P31" s="584">
        <f t="shared" si="65"/>
        <v>2022</v>
      </c>
      <c r="Q31" s="584">
        <f t="shared" si="49"/>
        <v>170559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2462</v>
      </c>
      <c r="Y31" s="52">
        <f t="shared" si="15"/>
        <v>0</v>
      </c>
      <c r="Z31" s="584">
        <f t="shared" si="32"/>
        <v>138490</v>
      </c>
      <c r="AA31" s="65">
        <f t="shared" si="5"/>
        <v>0</v>
      </c>
      <c r="AB31" s="284">
        <f t="shared" si="86"/>
        <v>0</v>
      </c>
      <c r="AC31" s="584">
        <f t="shared" si="16"/>
        <v>1936</v>
      </c>
      <c r="AD31" s="269">
        <f t="shared" si="6"/>
        <v>0</v>
      </c>
      <c r="AE31" s="584">
        <f t="shared" si="17"/>
        <v>365520.8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78"/>
        <v>175</v>
      </c>
      <c r="C32" s="64">
        <f t="shared" si="79"/>
        <v>181</v>
      </c>
      <c r="D32" s="45">
        <f t="shared" si="27"/>
        <v>0</v>
      </c>
      <c r="E32" s="45">
        <f t="shared" ref="E32" si="106">D32*8.38</f>
        <v>0</v>
      </c>
      <c r="F32" s="584">
        <f t="shared" si="28"/>
        <v>1773</v>
      </c>
      <c r="G32" s="52">
        <f t="shared" si="0"/>
        <v>0</v>
      </c>
      <c r="H32" s="584">
        <f t="shared" si="29"/>
        <v>8222</v>
      </c>
      <c r="I32" s="396">
        <f t="shared" si="1"/>
        <v>0</v>
      </c>
      <c r="J32" s="66">
        <f t="shared" si="9"/>
        <v>0</v>
      </c>
      <c r="K32" s="584">
        <f t="shared" si="41"/>
        <v>2267</v>
      </c>
      <c r="L32" s="52">
        <f t="shared" si="10"/>
        <v>0</v>
      </c>
      <c r="M32" s="584">
        <f t="shared" si="42"/>
        <v>166830</v>
      </c>
      <c r="N32" s="396">
        <f t="shared" si="2"/>
        <v>0</v>
      </c>
      <c r="O32" s="64">
        <f t="shared" si="11"/>
        <v>1869</v>
      </c>
      <c r="P32" s="584">
        <f t="shared" si="65"/>
        <v>2022</v>
      </c>
      <c r="Q32" s="584">
        <f t="shared" si="49"/>
        <v>170559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2462</v>
      </c>
      <c r="Y32" s="52">
        <f t="shared" si="15"/>
        <v>0</v>
      </c>
      <c r="Z32" s="584">
        <f t="shared" si="32"/>
        <v>138490</v>
      </c>
      <c r="AA32" s="65">
        <f t="shared" si="5"/>
        <v>0</v>
      </c>
      <c r="AB32" s="284">
        <f t="shared" si="86"/>
        <v>0</v>
      </c>
      <c r="AC32" s="584">
        <f t="shared" si="16"/>
        <v>1936</v>
      </c>
      <c r="AD32" s="269">
        <f t="shared" si="6"/>
        <v>0</v>
      </c>
      <c r="AE32" s="584">
        <f t="shared" si="17"/>
        <v>365520.8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78"/>
        <v>175</v>
      </c>
      <c r="C33" s="64">
        <f t="shared" si="79"/>
        <v>181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1773</v>
      </c>
      <c r="G33" s="52">
        <f t="shared" ref="G33:G35" si="111">F33-F32</f>
        <v>0</v>
      </c>
      <c r="H33" s="584">
        <f t="shared" si="29"/>
        <v>8222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2267</v>
      </c>
      <c r="L33" s="52">
        <f t="shared" ref="L33:L35" si="114">K33-K32</f>
        <v>0</v>
      </c>
      <c r="M33" s="584">
        <f t="shared" si="42"/>
        <v>166830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5"/>
        <v>2022</v>
      </c>
      <c r="Q33" s="584">
        <f t="shared" si="49"/>
        <v>170559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2462</v>
      </c>
      <c r="Y33" s="52">
        <f t="shared" ref="Y33:Y35" si="122">X33-X32</f>
        <v>0</v>
      </c>
      <c r="Z33" s="584">
        <f t="shared" si="32"/>
        <v>138490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1936</v>
      </c>
      <c r="AD33" s="269">
        <f t="shared" ref="AD33:AD35" si="125">AC33-AC32</f>
        <v>0</v>
      </c>
      <c r="AE33" s="584">
        <f t="shared" si="17"/>
        <v>365520.8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78"/>
        <v>175</v>
      </c>
      <c r="C34" s="64">
        <f t="shared" si="79"/>
        <v>181</v>
      </c>
      <c r="D34" s="45">
        <f t="shared" si="109"/>
        <v>0</v>
      </c>
      <c r="E34" s="45">
        <f t="shared" si="110"/>
        <v>0</v>
      </c>
      <c r="F34" s="584">
        <f t="shared" si="28"/>
        <v>1773</v>
      </c>
      <c r="G34" s="52">
        <f t="shared" si="111"/>
        <v>0</v>
      </c>
      <c r="H34" s="584">
        <f t="shared" si="29"/>
        <v>8222</v>
      </c>
      <c r="I34" s="396">
        <f t="shared" si="112"/>
        <v>0</v>
      </c>
      <c r="J34" s="66">
        <f t="shared" si="113"/>
        <v>0</v>
      </c>
      <c r="K34" s="584">
        <f t="shared" si="41"/>
        <v>2267</v>
      </c>
      <c r="L34" s="52">
        <f t="shared" si="114"/>
        <v>0</v>
      </c>
      <c r="M34" s="584">
        <f t="shared" si="42"/>
        <v>166830</v>
      </c>
      <c r="N34" s="396">
        <f t="shared" si="115"/>
        <v>0</v>
      </c>
      <c r="O34" s="64">
        <f t="shared" ref="O34" si="141">O33</f>
        <v>1869</v>
      </c>
      <c r="P34" s="584">
        <f t="shared" si="65"/>
        <v>2022</v>
      </c>
      <c r="Q34" s="584">
        <f t="shared" si="49"/>
        <v>170559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2462</v>
      </c>
      <c r="Y34" s="52">
        <f t="shared" si="122"/>
        <v>0</v>
      </c>
      <c r="Z34" s="584">
        <f t="shared" si="32"/>
        <v>138490</v>
      </c>
      <c r="AA34" s="65">
        <f t="shared" si="123"/>
        <v>0</v>
      </c>
      <c r="AB34" s="284">
        <f t="shared" si="124"/>
        <v>0</v>
      </c>
      <c r="AC34" s="584">
        <f t="shared" si="16"/>
        <v>1936</v>
      </c>
      <c r="AD34" s="269">
        <f t="shared" si="125"/>
        <v>0</v>
      </c>
      <c r="AE34" s="584">
        <f t="shared" si="17"/>
        <v>365520.8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78"/>
        <v>175</v>
      </c>
      <c r="C35" s="64">
        <f t="shared" si="79"/>
        <v>181</v>
      </c>
      <c r="D35" s="45">
        <f t="shared" si="109"/>
        <v>0</v>
      </c>
      <c r="E35" s="45">
        <f t="shared" si="110"/>
        <v>0</v>
      </c>
      <c r="F35" s="584">
        <f t="shared" si="28"/>
        <v>1773</v>
      </c>
      <c r="G35" s="52">
        <f t="shared" si="111"/>
        <v>0</v>
      </c>
      <c r="H35" s="584">
        <f t="shared" si="29"/>
        <v>8222</v>
      </c>
      <c r="I35" s="396">
        <f t="shared" si="112"/>
        <v>0</v>
      </c>
      <c r="J35" s="66">
        <f t="shared" si="113"/>
        <v>0</v>
      </c>
      <c r="K35" s="584">
        <f t="shared" si="41"/>
        <v>2267</v>
      </c>
      <c r="L35" s="52">
        <f t="shared" si="114"/>
        <v>0</v>
      </c>
      <c r="M35" s="584">
        <f t="shared" si="42"/>
        <v>166830</v>
      </c>
      <c r="N35" s="396">
        <f t="shared" si="115"/>
        <v>0</v>
      </c>
      <c r="O35" s="64">
        <f t="shared" ref="O35" si="144">O34</f>
        <v>1869</v>
      </c>
      <c r="P35" s="584">
        <f t="shared" si="65"/>
        <v>2022</v>
      </c>
      <c r="Q35" s="584">
        <f t="shared" si="49"/>
        <v>170559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2462</v>
      </c>
      <c r="Y35" s="52">
        <f t="shared" si="122"/>
        <v>0</v>
      </c>
      <c r="Z35" s="584">
        <f t="shared" si="32"/>
        <v>138490</v>
      </c>
      <c r="AA35" s="65">
        <f t="shared" si="123"/>
        <v>0</v>
      </c>
      <c r="AB35" s="284">
        <f t="shared" si="124"/>
        <v>0</v>
      </c>
      <c r="AC35" s="584">
        <f t="shared" si="16"/>
        <v>1936</v>
      </c>
      <c r="AD35" s="269">
        <f t="shared" si="125"/>
        <v>0</v>
      </c>
      <c r="AE35" s="584">
        <f t="shared" si="17"/>
        <v>365520.8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67.697222222222237</v>
      </c>
      <c r="V37" s="62">
        <f>SUM(V5:V32)</f>
        <v>4922</v>
      </c>
      <c r="AE37" s="71" t="s">
        <v>383</v>
      </c>
      <c r="AG37" s="344"/>
      <c r="AH37" s="62">
        <f>SUM(AH5:AH32)</f>
        <v>443</v>
      </c>
      <c r="AL37" s="62">
        <f>SUM(AL5:AL32)</f>
        <v>66</v>
      </c>
      <c r="AM37" s="62">
        <f>SUM(AM5:AM32)</f>
        <v>7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5365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F1" zoomScaleNormal="100" workbookViewId="0">
      <pane ySplit="3" topLeftCell="A7" activePane="bottomLeft" state="frozen"/>
      <selection pane="bottomLeft" activeCell="AY23" sqref="AY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8016668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2" t="s">
        <v>95</v>
      </c>
      <c r="AS2" s="633"/>
      <c r="AT2" s="633"/>
      <c r="AU2" s="633"/>
      <c r="AV2" s="634"/>
      <c r="AW2" s="632" t="s">
        <v>96</v>
      </c>
      <c r="AX2" s="633"/>
      <c r="AY2" s="634"/>
      <c r="AZ2" s="632" t="s">
        <v>98</v>
      </c>
      <c r="BA2" s="633"/>
      <c r="BB2" s="634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9" t="s">
        <v>126</v>
      </c>
      <c r="AO3" s="630"/>
      <c r="AP3" s="631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v>98481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v>98481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v>98481</v>
      </c>
      <c r="AA7" s="83">
        <f t="shared" ref="AA7:AA33" si="21">Z7-Z6</f>
        <v>0</v>
      </c>
      <c r="AB7" s="5">
        <f t="shared" ref="AB7:AB36" si="22">AB6</f>
        <v>251</v>
      </c>
      <c r="AC7" s="5">
        <f t="shared" ref="AC7:AC36" si="23">AC6</f>
        <v>731</v>
      </c>
      <c r="AD7" s="83">
        <f>AC7-AC6</f>
        <v>0</v>
      </c>
      <c r="AE7" s="5">
        <f t="shared" ref="AE7:AE36" si="24">AE6</f>
        <v>229.03</v>
      </c>
      <c r="AF7" s="83">
        <f t="shared" ref="AF7:AF32" si="25">AE7-AE6</f>
        <v>0</v>
      </c>
      <c r="AG7" s="5">
        <f t="shared" ref="AG7:AG36" si="26">AG6</f>
        <v>2198.54</v>
      </c>
      <c r="AH7" s="83">
        <f t="shared" ref="AH7:AH33" si="27">AG7-AG6</f>
        <v>0</v>
      </c>
      <c r="AI7" s="83">
        <f t="shared" ref="AI7:AI33" si="28">AF7+AH7</f>
        <v>0</v>
      </c>
      <c r="AJ7" s="326">
        <f t="shared" ref="AJ7:AJ33" si="29">+Z7-Z6</f>
        <v>0</v>
      </c>
      <c r="AK7" s="327">
        <f>SUM(Y7-L7)</f>
        <v>0</v>
      </c>
      <c r="AL7" s="327">
        <f t="shared" ref="AL7:AL33" si="30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2">AU7*AV7</f>
        <v>151.80000000000001</v>
      </c>
      <c r="BA7" s="426">
        <f t="shared" ref="BA7:BA33" si="33">AW7*AX7</f>
        <v>475.59999999999997</v>
      </c>
      <c r="BB7" s="21">
        <f t="shared" ref="BB7:BD33" si="34">AY7-AY6</f>
        <v>-6.3000000000000114</v>
      </c>
      <c r="BC7" s="21">
        <f t="shared" ref="BC7:BD21" si="35">AZ7-AZ6</f>
        <v>-8.8000000000000114</v>
      </c>
      <c r="BD7" s="21">
        <f t="shared" si="35"/>
        <v>-8.7000000000000455</v>
      </c>
      <c r="BE7" s="24">
        <f t="shared" ref="BE7:BE33" si="36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v>98481</v>
      </c>
      <c r="AA8" s="83">
        <f t="shared" si="21"/>
        <v>0</v>
      </c>
      <c r="AB8" s="5">
        <f t="shared" si="22"/>
        <v>251</v>
      </c>
      <c r="AC8" s="5">
        <f t="shared" si="23"/>
        <v>731</v>
      </c>
      <c r="AD8" s="83">
        <f t="shared" ref="AD8:AD33" si="37">AC8-AC7</f>
        <v>0</v>
      </c>
      <c r="AE8" s="5">
        <f t="shared" si="24"/>
        <v>229.03</v>
      </c>
      <c r="AF8" s="83">
        <f t="shared" si="25"/>
        <v>0</v>
      </c>
      <c r="AG8" s="5">
        <f t="shared" si="26"/>
        <v>2198.54</v>
      </c>
      <c r="AH8" s="83">
        <f t="shared" si="27"/>
        <v>0</v>
      </c>
      <c r="AI8" s="83">
        <f t="shared" si="28"/>
        <v>0</v>
      </c>
      <c r="AJ8" s="326">
        <f t="shared" si="29"/>
        <v>0</v>
      </c>
      <c r="AK8" s="327">
        <f t="shared" ref="AK8:AK33" si="38">SUM(Y8-L8)</f>
        <v>0</v>
      </c>
      <c r="AL8" s="327">
        <f t="shared" si="30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2"/>
        <v>136.4</v>
      </c>
      <c r="BA8" s="426">
        <f t="shared" si="33"/>
        <v>458.2</v>
      </c>
      <c r="BB8" s="21">
        <f t="shared" si="34"/>
        <v>0</v>
      </c>
      <c r="BC8" s="21">
        <f t="shared" si="35"/>
        <v>-15.400000000000006</v>
      </c>
      <c r="BD8" s="21">
        <f t="shared" si="35"/>
        <v>-17.399999999999977</v>
      </c>
      <c r="BE8" s="24">
        <f t="shared" si="36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39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0">SUM(X9-X8)</f>
        <v>0</v>
      </c>
      <c r="Z9" s="5">
        <v>98481</v>
      </c>
      <c r="AA9" s="83">
        <f t="shared" si="21"/>
        <v>0</v>
      </c>
      <c r="AB9" s="5">
        <f t="shared" si="22"/>
        <v>251</v>
      </c>
      <c r="AC9" s="5">
        <f t="shared" si="23"/>
        <v>731</v>
      </c>
      <c r="AD9" s="83">
        <f t="shared" si="37"/>
        <v>0</v>
      </c>
      <c r="AE9" s="5">
        <f t="shared" si="24"/>
        <v>229.03</v>
      </c>
      <c r="AF9" s="83">
        <f t="shared" si="25"/>
        <v>0</v>
      </c>
      <c r="AG9" s="5">
        <f t="shared" si="26"/>
        <v>2198.54</v>
      </c>
      <c r="AH9" s="83">
        <f t="shared" si="27"/>
        <v>0</v>
      </c>
      <c r="AI9" s="83">
        <f t="shared" si="28"/>
        <v>0</v>
      </c>
      <c r="AJ9" s="326">
        <f t="shared" si="29"/>
        <v>0</v>
      </c>
      <c r="AK9" s="327">
        <f t="shared" si="38"/>
        <v>-2</v>
      </c>
      <c r="AL9" s="327">
        <f t="shared" si="30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44259</v>
      </c>
      <c r="AS9" s="424">
        <f t="shared" si="6"/>
        <v>0.9</v>
      </c>
      <c r="AT9" s="201">
        <v>77</v>
      </c>
      <c r="AU9" s="425">
        <f t="shared" ref="AU9:AU33" si="41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2"/>
        <v>143</v>
      </c>
      <c r="BA9" s="426">
        <f t="shared" si="33"/>
        <v>452.4</v>
      </c>
      <c r="BB9" s="21">
        <f t="shared" si="34"/>
        <v>0</v>
      </c>
      <c r="BC9" s="21">
        <f t="shared" si="35"/>
        <v>6.5999999999999943</v>
      </c>
      <c r="BD9" s="21">
        <f t="shared" si="35"/>
        <v>-5.8000000000000114</v>
      </c>
      <c r="BE9" s="24">
        <f t="shared" si="36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0"/>
        <v>0</v>
      </c>
      <c r="Z10" s="5">
        <v>98481</v>
      </c>
      <c r="AA10" s="83">
        <f t="shared" si="21"/>
        <v>0</v>
      </c>
      <c r="AB10" s="5">
        <f t="shared" si="22"/>
        <v>251</v>
      </c>
      <c r="AC10" s="5">
        <f t="shared" si="23"/>
        <v>731</v>
      </c>
      <c r="AD10" s="83">
        <f t="shared" si="37"/>
        <v>0</v>
      </c>
      <c r="AE10" s="5">
        <f t="shared" si="24"/>
        <v>229.03</v>
      </c>
      <c r="AF10" s="83">
        <f t="shared" si="25"/>
        <v>0</v>
      </c>
      <c r="AG10" s="5">
        <f t="shared" si="26"/>
        <v>2198.54</v>
      </c>
      <c r="AH10" s="83">
        <f t="shared" si="27"/>
        <v>0</v>
      </c>
      <c r="AI10" s="83">
        <f t="shared" si="28"/>
        <v>0</v>
      </c>
      <c r="AJ10" s="326">
        <f t="shared" si="29"/>
        <v>0</v>
      </c>
      <c r="AK10" s="327">
        <f t="shared" si="38"/>
        <v>0</v>
      </c>
      <c r="AL10" s="327">
        <f t="shared" si="30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44260</v>
      </c>
      <c r="AS10" s="424">
        <f t="shared" si="6"/>
        <v>0.9</v>
      </c>
      <c r="AT10" s="201">
        <f t="shared" si="6"/>
        <v>77</v>
      </c>
      <c r="AU10" s="425">
        <f t="shared" si="41"/>
        <v>1.1000000000000001</v>
      </c>
      <c r="AV10" s="201">
        <v>126</v>
      </c>
      <c r="AW10" s="5">
        <v>2.9</v>
      </c>
      <c r="AX10" s="201">
        <f t="shared" ref="AX10:AX36" si="42">AX9</f>
        <v>156</v>
      </c>
      <c r="AY10" s="426">
        <f t="shared" si="7"/>
        <v>69.3</v>
      </c>
      <c r="AZ10" s="426">
        <f t="shared" si="32"/>
        <v>138.60000000000002</v>
      </c>
      <c r="BA10" s="426">
        <f t="shared" si="33"/>
        <v>452.4</v>
      </c>
      <c r="BB10" s="21">
        <f t="shared" si="34"/>
        <v>0</v>
      </c>
      <c r="BC10" s="21">
        <f t="shared" si="35"/>
        <v>-4.3999999999999773</v>
      </c>
      <c r="BD10" s="21">
        <f t="shared" si="35"/>
        <v>0</v>
      </c>
      <c r="BE10" s="24">
        <f t="shared" si="36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39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0"/>
        <v>0</v>
      </c>
      <c r="Z11" s="5">
        <v>98481</v>
      </c>
      <c r="AA11" s="83">
        <f t="shared" si="21"/>
        <v>0</v>
      </c>
      <c r="AB11" s="5">
        <f t="shared" si="22"/>
        <v>251</v>
      </c>
      <c r="AC11" s="5">
        <f t="shared" si="23"/>
        <v>731</v>
      </c>
      <c r="AD11" s="83">
        <f t="shared" si="37"/>
        <v>0</v>
      </c>
      <c r="AE11" s="5">
        <f t="shared" si="24"/>
        <v>229.03</v>
      </c>
      <c r="AF11" s="83">
        <f t="shared" si="25"/>
        <v>0</v>
      </c>
      <c r="AG11" s="5">
        <f t="shared" si="26"/>
        <v>2198.54</v>
      </c>
      <c r="AH11" s="83">
        <f t="shared" si="27"/>
        <v>0</v>
      </c>
      <c r="AI11" s="83">
        <f t="shared" si="28"/>
        <v>0</v>
      </c>
      <c r="AJ11" s="326">
        <f t="shared" si="29"/>
        <v>0</v>
      </c>
      <c r="AK11" s="327">
        <f t="shared" si="38"/>
        <v>-2</v>
      </c>
      <c r="AL11" s="327">
        <f t="shared" si="30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44261</v>
      </c>
      <c r="AS11" s="424">
        <f t="shared" si="6"/>
        <v>0.9</v>
      </c>
      <c r="AT11" s="201">
        <f t="shared" si="6"/>
        <v>77</v>
      </c>
      <c r="AU11" s="425">
        <f t="shared" si="41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2"/>
        <v>136.4</v>
      </c>
      <c r="BA11" s="426">
        <f t="shared" si="33"/>
        <v>449.5</v>
      </c>
      <c r="BB11" s="21">
        <f t="shared" si="34"/>
        <v>0</v>
      </c>
      <c r="BC11" s="21">
        <f t="shared" si="35"/>
        <v>-2.2000000000000171</v>
      </c>
      <c r="BD11" s="21">
        <f t="shared" si="35"/>
        <v>-2.8999999999999773</v>
      </c>
      <c r="BE11" s="24">
        <f t="shared" si="36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39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0"/>
        <v>0</v>
      </c>
      <c r="Z12" s="5">
        <v>98481</v>
      </c>
      <c r="AA12" s="83">
        <f t="shared" si="21"/>
        <v>0</v>
      </c>
      <c r="AB12" s="5">
        <f t="shared" si="22"/>
        <v>251</v>
      </c>
      <c r="AC12" s="5">
        <f t="shared" si="23"/>
        <v>731</v>
      </c>
      <c r="AD12" s="83">
        <f t="shared" si="37"/>
        <v>0</v>
      </c>
      <c r="AE12" s="5">
        <f t="shared" si="24"/>
        <v>229.03</v>
      </c>
      <c r="AF12" s="83">
        <f t="shared" si="25"/>
        <v>0</v>
      </c>
      <c r="AG12" s="5">
        <f t="shared" si="26"/>
        <v>2198.54</v>
      </c>
      <c r="AH12" s="83">
        <f t="shared" si="27"/>
        <v>0</v>
      </c>
      <c r="AI12" s="83">
        <f t="shared" si="28"/>
        <v>0</v>
      </c>
      <c r="AJ12" s="326">
        <f t="shared" si="29"/>
        <v>0</v>
      </c>
      <c r="AK12" s="327">
        <f t="shared" si="38"/>
        <v>-1</v>
      </c>
      <c r="AL12" s="327">
        <f t="shared" si="30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44262</v>
      </c>
      <c r="AS12" s="424">
        <f t="shared" si="6"/>
        <v>0.9</v>
      </c>
      <c r="AT12" s="201">
        <f t="shared" si="6"/>
        <v>77</v>
      </c>
      <c r="AU12" s="425">
        <f t="shared" si="41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2"/>
        <v>133.10000000000002</v>
      </c>
      <c r="BA12" s="426">
        <f t="shared" si="33"/>
        <v>440.8</v>
      </c>
      <c r="BB12" s="21">
        <f t="shared" si="34"/>
        <v>0</v>
      </c>
      <c r="BC12" s="21">
        <f t="shared" si="35"/>
        <v>-3.2999999999999829</v>
      </c>
      <c r="BD12" s="21">
        <f t="shared" si="35"/>
        <v>-8.6999999999999886</v>
      </c>
      <c r="BE12" s="24">
        <f t="shared" si="36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39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0"/>
        <v>0</v>
      </c>
      <c r="Z13" s="5">
        <v>98481</v>
      </c>
      <c r="AA13" s="83">
        <f t="shared" si="21"/>
        <v>0</v>
      </c>
      <c r="AB13" s="5">
        <f t="shared" si="22"/>
        <v>251</v>
      </c>
      <c r="AC13" s="5">
        <f t="shared" si="23"/>
        <v>731</v>
      </c>
      <c r="AD13" s="83">
        <f t="shared" si="37"/>
        <v>0</v>
      </c>
      <c r="AE13" s="5">
        <f t="shared" si="24"/>
        <v>229.03</v>
      </c>
      <c r="AF13" s="83">
        <f t="shared" si="25"/>
        <v>0</v>
      </c>
      <c r="AG13" s="5">
        <f t="shared" si="26"/>
        <v>2198.54</v>
      </c>
      <c r="AH13" s="83">
        <f t="shared" si="27"/>
        <v>0</v>
      </c>
      <c r="AI13" s="83">
        <f t="shared" si="28"/>
        <v>0</v>
      </c>
      <c r="AJ13" s="326">
        <f t="shared" si="29"/>
        <v>0</v>
      </c>
      <c r="AK13" s="327">
        <f t="shared" si="38"/>
        <v>0</v>
      </c>
      <c r="AL13" s="327">
        <f t="shared" si="30"/>
        <v>0</v>
      </c>
      <c r="AM13" s="327">
        <f>'General information '!D13</f>
        <v>18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44263</v>
      </c>
      <c r="AS13" s="424">
        <f t="shared" si="6"/>
        <v>0.9</v>
      </c>
      <c r="AT13" s="201">
        <f t="shared" si="6"/>
        <v>77</v>
      </c>
      <c r="AU13" s="425">
        <f t="shared" si="41"/>
        <v>1.1000000000000001</v>
      </c>
      <c r="AV13" s="201">
        <v>118</v>
      </c>
      <c r="AW13" s="5">
        <v>2.9</v>
      </c>
      <c r="AX13" s="201">
        <v>149</v>
      </c>
      <c r="AY13" s="426">
        <f t="shared" si="7"/>
        <v>69.3</v>
      </c>
      <c r="AZ13" s="426">
        <f t="shared" si="32"/>
        <v>129.80000000000001</v>
      </c>
      <c r="BA13" s="426">
        <f t="shared" si="33"/>
        <v>432.09999999999997</v>
      </c>
      <c r="BB13" s="21">
        <f t="shared" si="34"/>
        <v>0</v>
      </c>
      <c r="BC13" s="21">
        <f t="shared" si="35"/>
        <v>-3.3000000000000114</v>
      </c>
      <c r="BD13" s="21">
        <f t="shared" si="35"/>
        <v>-8.7000000000000455</v>
      </c>
      <c r="BE13" s="24">
        <f t="shared" si="36"/>
        <v>-12.000000000000057</v>
      </c>
      <c r="BF13" s="96">
        <f t="shared" si="8"/>
        <v>12.000000000000057</v>
      </c>
      <c r="BG13" s="82">
        <f t="shared" si="9"/>
        <v>-12.000000000000057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39"/>
        <v>0</v>
      </c>
      <c r="M14" s="410">
        <f t="shared" si="15"/>
        <v>457.44</v>
      </c>
      <c r="N14" s="514">
        <f t="shared" ref="N14:N33" si="43">SUM(M14-M13)</f>
        <v>0</v>
      </c>
      <c r="O14" s="410">
        <f t="shared" si="16"/>
        <v>529.52</v>
      </c>
      <c r="P14" s="514">
        <f t="shared" ref="P14:P33" si="44">SUM(O14-O13)</f>
        <v>0</v>
      </c>
      <c r="Q14" s="514">
        <f t="shared" ref="Q14:Q33" si="45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v>150380</v>
      </c>
      <c r="Y14" s="324">
        <f t="shared" si="40"/>
        <v>15</v>
      </c>
      <c r="Z14" s="5">
        <v>98511</v>
      </c>
      <c r="AA14" s="83">
        <f t="shared" si="21"/>
        <v>30</v>
      </c>
      <c r="AB14" s="5">
        <f t="shared" si="22"/>
        <v>251</v>
      </c>
      <c r="AC14" s="5">
        <f t="shared" si="23"/>
        <v>731</v>
      </c>
      <c r="AD14" s="83">
        <f t="shared" si="37"/>
        <v>0</v>
      </c>
      <c r="AE14" s="5">
        <f t="shared" si="24"/>
        <v>229.03</v>
      </c>
      <c r="AF14" s="83">
        <f t="shared" si="25"/>
        <v>0</v>
      </c>
      <c r="AG14" s="5">
        <f t="shared" si="26"/>
        <v>2198.54</v>
      </c>
      <c r="AH14" s="83">
        <f t="shared" si="27"/>
        <v>0</v>
      </c>
      <c r="AI14" s="83">
        <f t="shared" si="28"/>
        <v>0</v>
      </c>
      <c r="AJ14" s="326">
        <f t="shared" si="29"/>
        <v>30</v>
      </c>
      <c r="AK14" s="327">
        <f t="shared" si="38"/>
        <v>15</v>
      </c>
      <c r="AL14" s="327">
        <f t="shared" si="30"/>
        <v>30</v>
      </c>
      <c r="AM14" s="327">
        <f>'General information '!D14</f>
        <v>20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44264</v>
      </c>
      <c r="AS14" s="424">
        <f t="shared" si="6"/>
        <v>0.9</v>
      </c>
      <c r="AT14" s="201">
        <v>35</v>
      </c>
      <c r="AU14" s="425">
        <f t="shared" si="41"/>
        <v>1.1000000000000001</v>
      </c>
      <c r="AV14" s="201">
        <v>130</v>
      </c>
      <c r="AW14" s="5">
        <v>2.9</v>
      </c>
      <c r="AX14" s="201">
        <v>146</v>
      </c>
      <c r="AY14" s="426">
        <f t="shared" si="7"/>
        <v>31.5</v>
      </c>
      <c r="AZ14" s="426">
        <f t="shared" si="32"/>
        <v>143</v>
      </c>
      <c r="BA14" s="426">
        <f t="shared" si="33"/>
        <v>423.4</v>
      </c>
      <c r="BB14" s="21">
        <f t="shared" si="34"/>
        <v>-37.799999999999997</v>
      </c>
      <c r="BC14" s="21">
        <f t="shared" si="35"/>
        <v>13.199999999999989</v>
      </c>
      <c r="BD14" s="21">
        <f t="shared" si="35"/>
        <v>-8.6999999999999886</v>
      </c>
      <c r="BE14" s="24">
        <f t="shared" si="36"/>
        <v>-33.299999999999997</v>
      </c>
      <c r="BF14" s="96">
        <f t="shared" si="8"/>
        <v>33.299999999999997</v>
      </c>
      <c r="BG14" s="82">
        <f t="shared" si="9"/>
        <v>-33.299999999999997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v>616451</v>
      </c>
      <c r="H15" s="5">
        <f t="shared" si="14"/>
        <v>299</v>
      </c>
      <c r="I15" s="5">
        <f t="shared" si="0"/>
        <v>299</v>
      </c>
      <c r="J15" s="334">
        <f t="shared" si="1"/>
        <v>0.80914877548818642</v>
      </c>
      <c r="K15" s="5">
        <f>'Swimming Pool quality check '!H15</f>
        <v>6726</v>
      </c>
      <c r="L15" s="83">
        <f t="shared" si="39"/>
        <v>0</v>
      </c>
      <c r="M15" s="410">
        <f t="shared" si="15"/>
        <v>457.44</v>
      </c>
      <c r="N15" s="514">
        <f t="shared" si="43"/>
        <v>0</v>
      </c>
      <c r="O15" s="410">
        <f t="shared" si="16"/>
        <v>529.52</v>
      </c>
      <c r="P15" s="514">
        <f t="shared" si="44"/>
        <v>0</v>
      </c>
      <c r="Q15" s="514">
        <f t="shared" si="45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v>150435</v>
      </c>
      <c r="Y15" s="324">
        <f t="shared" si="40"/>
        <v>55</v>
      </c>
      <c r="Z15" s="5">
        <v>98542</v>
      </c>
      <c r="AA15" s="83">
        <f t="shared" si="21"/>
        <v>31</v>
      </c>
      <c r="AB15" s="5">
        <f t="shared" si="22"/>
        <v>251</v>
      </c>
      <c r="AC15" s="5">
        <f t="shared" si="23"/>
        <v>731</v>
      </c>
      <c r="AD15" s="83">
        <f t="shared" si="37"/>
        <v>0</v>
      </c>
      <c r="AE15" s="5">
        <f t="shared" si="24"/>
        <v>229.03</v>
      </c>
      <c r="AF15" s="83">
        <f t="shared" si="25"/>
        <v>0</v>
      </c>
      <c r="AG15" s="5">
        <f t="shared" si="26"/>
        <v>2198.54</v>
      </c>
      <c r="AH15" s="83">
        <f t="shared" si="27"/>
        <v>0</v>
      </c>
      <c r="AI15" s="83">
        <f t="shared" si="28"/>
        <v>0</v>
      </c>
      <c r="AJ15" s="326">
        <f t="shared" si="29"/>
        <v>31</v>
      </c>
      <c r="AK15" s="327">
        <f t="shared" si="38"/>
        <v>55</v>
      </c>
      <c r="AL15" s="327">
        <f t="shared" si="30"/>
        <v>31</v>
      </c>
      <c r="AM15" s="327">
        <f>'General information '!D15</f>
        <v>16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44265</v>
      </c>
      <c r="AS15" s="424">
        <f t="shared" si="6"/>
        <v>0.9</v>
      </c>
      <c r="AT15" s="201">
        <v>130</v>
      </c>
      <c r="AU15" s="425">
        <f t="shared" si="41"/>
        <v>1.1000000000000001</v>
      </c>
      <c r="AV15" s="201">
        <v>151</v>
      </c>
      <c r="AW15" s="5">
        <v>2.9</v>
      </c>
      <c r="AX15" s="201">
        <v>158</v>
      </c>
      <c r="AY15" s="426">
        <f t="shared" si="7"/>
        <v>117</v>
      </c>
      <c r="AZ15" s="426">
        <f t="shared" si="32"/>
        <v>166.10000000000002</v>
      </c>
      <c r="BA15" s="426">
        <f t="shared" si="33"/>
        <v>458.2</v>
      </c>
      <c r="BB15" s="21">
        <f t="shared" si="34"/>
        <v>85.5</v>
      </c>
      <c r="BC15" s="21">
        <f t="shared" si="35"/>
        <v>23.100000000000023</v>
      </c>
      <c r="BD15" s="21">
        <f t="shared" si="35"/>
        <v>34.800000000000011</v>
      </c>
      <c r="BE15" s="24">
        <f t="shared" si="36"/>
        <v>143.40000000000003</v>
      </c>
      <c r="BF15" s="96">
        <f t="shared" si="8"/>
        <v>155.59999999999997</v>
      </c>
      <c r="BG15" s="82">
        <f t="shared" si="9"/>
        <v>143.40000000000003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616451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6728</v>
      </c>
      <c r="L16" s="274">
        <f t="shared" si="39"/>
        <v>2</v>
      </c>
      <c r="M16" s="410">
        <f t="shared" si="15"/>
        <v>457.44</v>
      </c>
      <c r="N16" s="514">
        <f t="shared" si="43"/>
        <v>0</v>
      </c>
      <c r="O16" s="410">
        <f t="shared" si="16"/>
        <v>529.52</v>
      </c>
      <c r="P16" s="514">
        <f t="shared" si="44"/>
        <v>0</v>
      </c>
      <c r="Q16" s="514">
        <f t="shared" si="45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v>150462</v>
      </c>
      <c r="Y16" s="324">
        <f t="shared" si="40"/>
        <v>27</v>
      </c>
      <c r="Z16" s="5">
        <f t="shared" ref="Z16:Z36" si="46">Z15</f>
        <v>98542</v>
      </c>
      <c r="AA16" s="83">
        <f t="shared" si="21"/>
        <v>0</v>
      </c>
      <c r="AB16" s="5">
        <f t="shared" si="22"/>
        <v>251</v>
      </c>
      <c r="AC16" s="5">
        <f t="shared" si="23"/>
        <v>731</v>
      </c>
      <c r="AD16" s="83">
        <f t="shared" si="37"/>
        <v>0</v>
      </c>
      <c r="AE16" s="5">
        <f t="shared" si="24"/>
        <v>229.03</v>
      </c>
      <c r="AF16" s="83">
        <f t="shared" si="25"/>
        <v>0</v>
      </c>
      <c r="AG16" s="5">
        <f t="shared" si="26"/>
        <v>2198.54</v>
      </c>
      <c r="AH16" s="83">
        <f t="shared" si="27"/>
        <v>0</v>
      </c>
      <c r="AI16" s="83">
        <f t="shared" si="28"/>
        <v>0</v>
      </c>
      <c r="AJ16" s="326">
        <f t="shared" si="29"/>
        <v>0</v>
      </c>
      <c r="AK16" s="327">
        <f t="shared" si="38"/>
        <v>25</v>
      </c>
      <c r="AL16" s="327">
        <f t="shared" si="30"/>
        <v>0</v>
      </c>
      <c r="AM16" s="327">
        <f>'General information '!D16</f>
        <v>14.5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44266</v>
      </c>
      <c r="AS16" s="424">
        <f t="shared" si="6"/>
        <v>0.9</v>
      </c>
      <c r="AT16" s="201">
        <v>103</v>
      </c>
      <c r="AU16" s="425">
        <f t="shared" si="41"/>
        <v>1.1000000000000001</v>
      </c>
      <c r="AV16" s="201">
        <v>148</v>
      </c>
      <c r="AW16" s="5">
        <v>2.9</v>
      </c>
      <c r="AX16" s="201">
        <v>162</v>
      </c>
      <c r="AY16" s="426">
        <f t="shared" si="7"/>
        <v>92.7</v>
      </c>
      <c r="AZ16" s="426">
        <f t="shared" si="32"/>
        <v>162.80000000000001</v>
      </c>
      <c r="BA16" s="426">
        <f t="shared" si="33"/>
        <v>469.8</v>
      </c>
      <c r="BB16" s="21">
        <f t="shared" si="34"/>
        <v>-24.299999999999997</v>
      </c>
      <c r="BC16" s="21">
        <f t="shared" si="35"/>
        <v>-3.3000000000000114</v>
      </c>
      <c r="BD16" s="21">
        <f t="shared" si="35"/>
        <v>11.600000000000023</v>
      </c>
      <c r="BE16" s="24">
        <f t="shared" si="36"/>
        <v>-15.999999999999986</v>
      </c>
      <c r="BF16" s="96">
        <f t="shared" si="8"/>
        <v>15.999999999999986</v>
      </c>
      <c r="BG16" s="82">
        <f t="shared" si="9"/>
        <v>-15.999999999999986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616451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6728</v>
      </c>
      <c r="L17" s="83">
        <f t="shared" si="39"/>
        <v>0</v>
      </c>
      <c r="M17" s="410">
        <f t="shared" si="15"/>
        <v>457.44</v>
      </c>
      <c r="N17" s="514">
        <f t="shared" si="43"/>
        <v>0</v>
      </c>
      <c r="O17" s="410">
        <f t="shared" si="16"/>
        <v>529.52</v>
      </c>
      <c r="P17" s="514">
        <f t="shared" si="44"/>
        <v>0</v>
      </c>
      <c r="Q17" s="514">
        <f t="shared" si="45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150462</v>
      </c>
      <c r="Y17" s="324">
        <f t="shared" si="40"/>
        <v>0</v>
      </c>
      <c r="Z17" s="5">
        <f t="shared" si="46"/>
        <v>98542</v>
      </c>
      <c r="AA17" s="83">
        <f t="shared" si="21"/>
        <v>0</v>
      </c>
      <c r="AB17" s="5">
        <f t="shared" si="22"/>
        <v>251</v>
      </c>
      <c r="AC17" s="5">
        <f t="shared" si="23"/>
        <v>731</v>
      </c>
      <c r="AD17" s="83">
        <f t="shared" si="37"/>
        <v>0</v>
      </c>
      <c r="AE17" s="5">
        <f t="shared" si="24"/>
        <v>229.03</v>
      </c>
      <c r="AF17" s="83">
        <f t="shared" si="25"/>
        <v>0</v>
      </c>
      <c r="AG17" s="5">
        <f t="shared" si="26"/>
        <v>2198.54</v>
      </c>
      <c r="AH17" s="83">
        <f t="shared" si="27"/>
        <v>0</v>
      </c>
      <c r="AI17" s="83">
        <f t="shared" si="28"/>
        <v>0</v>
      </c>
      <c r="AJ17" s="326">
        <f t="shared" si="29"/>
        <v>0</v>
      </c>
      <c r="AK17" s="327">
        <f>SUM(Y17-L17)</f>
        <v>0</v>
      </c>
      <c r="AL17" s="327">
        <f t="shared" si="30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44267</v>
      </c>
      <c r="AS17" s="424">
        <f t="shared" si="6"/>
        <v>0.9</v>
      </c>
      <c r="AT17" s="201">
        <v>103</v>
      </c>
      <c r="AU17" s="425">
        <f t="shared" si="41"/>
        <v>1.1000000000000001</v>
      </c>
      <c r="AV17" s="201">
        <v>144</v>
      </c>
      <c r="AW17" s="5">
        <v>2.9</v>
      </c>
      <c r="AX17" s="201">
        <v>161</v>
      </c>
      <c r="AY17" s="426">
        <f t="shared" si="7"/>
        <v>92.7</v>
      </c>
      <c r="AZ17" s="426">
        <f t="shared" si="32"/>
        <v>158.4</v>
      </c>
      <c r="BA17" s="426">
        <f t="shared" si="33"/>
        <v>466.9</v>
      </c>
      <c r="BB17" s="21">
        <f t="shared" si="34"/>
        <v>0</v>
      </c>
      <c r="BC17" s="21">
        <f t="shared" si="35"/>
        <v>-4.4000000000000057</v>
      </c>
      <c r="BD17" s="21">
        <f t="shared" si="35"/>
        <v>-2.9000000000000341</v>
      </c>
      <c r="BE17" s="24">
        <f t="shared" si="36"/>
        <v>-7.3000000000000398</v>
      </c>
      <c r="BF17" s="96">
        <f t="shared" si="8"/>
        <v>7.3000000000000398</v>
      </c>
      <c r="BG17" s="82">
        <f t="shared" si="9"/>
        <v>-7.3000000000000398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616451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6729</v>
      </c>
      <c r="L18" s="83">
        <f t="shared" si="39"/>
        <v>1</v>
      </c>
      <c r="M18" s="410">
        <f t="shared" si="15"/>
        <v>457.44</v>
      </c>
      <c r="N18" s="514">
        <f t="shared" si="43"/>
        <v>0</v>
      </c>
      <c r="O18" s="410">
        <f t="shared" si="16"/>
        <v>529.52</v>
      </c>
      <c r="P18" s="514">
        <f t="shared" si="44"/>
        <v>0</v>
      </c>
      <c r="Q18" s="514">
        <f t="shared" si="45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150462</v>
      </c>
      <c r="Y18" s="324">
        <f t="shared" si="40"/>
        <v>0</v>
      </c>
      <c r="Z18" s="5">
        <f t="shared" si="46"/>
        <v>98542</v>
      </c>
      <c r="AA18" s="83">
        <f t="shared" si="21"/>
        <v>0</v>
      </c>
      <c r="AB18" s="5">
        <f t="shared" si="22"/>
        <v>251</v>
      </c>
      <c r="AC18" s="5">
        <f t="shared" si="23"/>
        <v>731</v>
      </c>
      <c r="AD18" s="83">
        <f t="shared" si="37"/>
        <v>0</v>
      </c>
      <c r="AE18" s="5">
        <f t="shared" si="24"/>
        <v>229.03</v>
      </c>
      <c r="AF18" s="83">
        <f t="shared" si="25"/>
        <v>0</v>
      </c>
      <c r="AG18" s="5">
        <f t="shared" si="26"/>
        <v>2198.54</v>
      </c>
      <c r="AH18" s="83">
        <f t="shared" si="27"/>
        <v>0</v>
      </c>
      <c r="AI18" s="83">
        <f t="shared" si="28"/>
        <v>0</v>
      </c>
      <c r="AJ18" s="326">
        <f t="shared" si="29"/>
        <v>0</v>
      </c>
      <c r="AK18" s="327">
        <f>SUM(Y18-L18)</f>
        <v>-1</v>
      </c>
      <c r="AL18" s="327">
        <f t="shared" si="30"/>
        <v>0</v>
      </c>
      <c r="AM18" s="327">
        <f>'General information '!D18</f>
        <v>17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44268</v>
      </c>
      <c r="AS18" s="424">
        <f t="shared" si="6"/>
        <v>0.9</v>
      </c>
      <c r="AT18" s="201">
        <f t="shared" si="6"/>
        <v>103</v>
      </c>
      <c r="AU18" s="425">
        <f t="shared" si="41"/>
        <v>1.1000000000000001</v>
      </c>
      <c r="AV18" s="201">
        <f t="shared" ref="AV18:AV36" si="47">AV17</f>
        <v>144</v>
      </c>
      <c r="AW18" s="5">
        <v>2.9</v>
      </c>
      <c r="AX18" s="201">
        <f t="shared" si="42"/>
        <v>161</v>
      </c>
      <c r="AY18" s="426">
        <f t="shared" si="7"/>
        <v>92.7</v>
      </c>
      <c r="AZ18" s="426">
        <f t="shared" si="32"/>
        <v>158.4</v>
      </c>
      <c r="BA18" s="426">
        <f t="shared" si="33"/>
        <v>466.9</v>
      </c>
      <c r="BB18" s="21">
        <f t="shared" si="34"/>
        <v>0</v>
      </c>
      <c r="BC18" s="21">
        <f t="shared" si="35"/>
        <v>0</v>
      </c>
      <c r="BD18" s="21">
        <f t="shared" si="35"/>
        <v>0</v>
      </c>
      <c r="BE18" s="24">
        <f t="shared" si="36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616451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6729</v>
      </c>
      <c r="L19" s="83">
        <f t="shared" si="39"/>
        <v>0</v>
      </c>
      <c r="M19" s="410">
        <f t="shared" si="15"/>
        <v>457.44</v>
      </c>
      <c r="N19" s="514">
        <f t="shared" si="43"/>
        <v>0</v>
      </c>
      <c r="O19" s="410">
        <f t="shared" si="16"/>
        <v>529.52</v>
      </c>
      <c r="P19" s="514">
        <f t="shared" si="44"/>
        <v>0</v>
      </c>
      <c r="Q19" s="514">
        <f t="shared" si="45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150462</v>
      </c>
      <c r="Y19" s="324">
        <f t="shared" si="40"/>
        <v>0</v>
      </c>
      <c r="Z19" s="5">
        <f t="shared" si="46"/>
        <v>98542</v>
      </c>
      <c r="AA19" s="83">
        <f t="shared" si="21"/>
        <v>0</v>
      </c>
      <c r="AB19" s="5">
        <f t="shared" si="22"/>
        <v>251</v>
      </c>
      <c r="AC19" s="5">
        <f t="shared" si="23"/>
        <v>731</v>
      </c>
      <c r="AD19" s="83">
        <f t="shared" si="37"/>
        <v>0</v>
      </c>
      <c r="AE19" s="5">
        <f t="shared" si="24"/>
        <v>229.03</v>
      </c>
      <c r="AF19" s="83">
        <f t="shared" si="25"/>
        <v>0</v>
      </c>
      <c r="AG19" s="5">
        <f t="shared" si="26"/>
        <v>2198.54</v>
      </c>
      <c r="AH19" s="83">
        <f t="shared" si="27"/>
        <v>0</v>
      </c>
      <c r="AI19" s="83">
        <f t="shared" si="28"/>
        <v>0</v>
      </c>
      <c r="AJ19" s="326">
        <f t="shared" si="29"/>
        <v>0</v>
      </c>
      <c r="AK19" s="327">
        <f t="shared" si="38"/>
        <v>0</v>
      </c>
      <c r="AL19" s="327">
        <f t="shared" si="30"/>
        <v>0</v>
      </c>
      <c r="AM19" s="327">
        <f>'General information '!D19</f>
        <v>17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44269</v>
      </c>
      <c r="AS19" s="424">
        <f t="shared" si="6"/>
        <v>0.9</v>
      </c>
      <c r="AT19" s="201">
        <f t="shared" si="6"/>
        <v>103</v>
      </c>
      <c r="AU19" s="425">
        <f t="shared" si="41"/>
        <v>1.1000000000000001</v>
      </c>
      <c r="AV19" s="201">
        <v>134</v>
      </c>
      <c r="AW19" s="5">
        <v>2.9</v>
      </c>
      <c r="AX19" s="201">
        <v>150</v>
      </c>
      <c r="AY19" s="426">
        <f t="shared" ref="AY19:AY21" si="48">AS19*AT19</f>
        <v>92.7</v>
      </c>
      <c r="AZ19" s="426">
        <f t="shared" ref="AZ19:AZ21" si="49">AU19*AV19</f>
        <v>147.4</v>
      </c>
      <c r="BA19" s="426">
        <f t="shared" ref="BA19:BA21" si="50">AW19*AX19</f>
        <v>435</v>
      </c>
      <c r="BB19" s="21">
        <f t="shared" ref="BB19:BB20" si="51">AY19-AY18</f>
        <v>0</v>
      </c>
      <c r="BC19" s="21">
        <f t="shared" ref="BC19:BC20" si="52">AZ19-AZ18</f>
        <v>-11</v>
      </c>
      <c r="BD19" s="21">
        <f t="shared" ref="BD19:BD20" si="53">BA19-BA18</f>
        <v>-31.899999999999977</v>
      </c>
      <c r="BE19" s="24">
        <f t="shared" ref="BE19:BE20" si="54">SUM(BB19:BD19)</f>
        <v>-42.899999999999977</v>
      </c>
      <c r="BF19" s="96">
        <f t="shared" si="8"/>
        <v>42.899999999999977</v>
      </c>
      <c r="BG19" s="82">
        <f t="shared" si="9"/>
        <v>-42.899999999999977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616451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6729</v>
      </c>
      <c r="L20" s="83">
        <f t="shared" si="39"/>
        <v>0</v>
      </c>
      <c r="M20" s="410">
        <f t="shared" si="15"/>
        <v>457.44</v>
      </c>
      <c r="N20" s="514">
        <f t="shared" si="43"/>
        <v>0</v>
      </c>
      <c r="O20" s="410">
        <f t="shared" si="16"/>
        <v>529.52</v>
      </c>
      <c r="P20" s="514">
        <f t="shared" si="44"/>
        <v>0</v>
      </c>
      <c r="Q20" s="514">
        <f t="shared" si="45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150462</v>
      </c>
      <c r="Y20" s="324">
        <f t="shared" si="40"/>
        <v>0</v>
      </c>
      <c r="Z20" s="5">
        <f t="shared" si="46"/>
        <v>98542</v>
      </c>
      <c r="AA20" s="83">
        <f t="shared" si="21"/>
        <v>0</v>
      </c>
      <c r="AB20" s="5">
        <f t="shared" si="22"/>
        <v>251</v>
      </c>
      <c r="AC20" s="5">
        <f t="shared" si="23"/>
        <v>731</v>
      </c>
      <c r="AD20" s="83">
        <f t="shared" si="37"/>
        <v>0</v>
      </c>
      <c r="AE20" s="5">
        <f t="shared" si="24"/>
        <v>229.03</v>
      </c>
      <c r="AF20" s="83">
        <f t="shared" si="25"/>
        <v>0</v>
      </c>
      <c r="AG20" s="5">
        <f t="shared" si="26"/>
        <v>2198.54</v>
      </c>
      <c r="AH20" s="83">
        <f t="shared" si="27"/>
        <v>0</v>
      </c>
      <c r="AI20" s="83">
        <f t="shared" si="28"/>
        <v>0</v>
      </c>
      <c r="AJ20" s="326">
        <f t="shared" si="29"/>
        <v>0</v>
      </c>
      <c r="AK20" s="327">
        <f t="shared" si="38"/>
        <v>0</v>
      </c>
      <c r="AL20" s="327">
        <f t="shared" si="30"/>
        <v>0</v>
      </c>
      <c r="AM20" s="327">
        <f>'General information '!D20</f>
        <v>17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44270</v>
      </c>
      <c r="AS20" s="424">
        <f t="shared" si="6"/>
        <v>0.9</v>
      </c>
      <c r="AT20" s="201">
        <f t="shared" si="6"/>
        <v>103</v>
      </c>
      <c r="AU20" s="425">
        <f t="shared" si="41"/>
        <v>1.1000000000000001</v>
      </c>
      <c r="AV20" s="201">
        <f t="shared" si="47"/>
        <v>134</v>
      </c>
      <c r="AW20" s="5">
        <v>2.9</v>
      </c>
      <c r="AX20" s="201">
        <f t="shared" si="42"/>
        <v>150</v>
      </c>
      <c r="AY20" s="426">
        <f t="shared" si="48"/>
        <v>92.7</v>
      </c>
      <c r="AZ20" s="426">
        <f t="shared" si="49"/>
        <v>147.4</v>
      </c>
      <c r="BA20" s="426">
        <f t="shared" si="50"/>
        <v>435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616451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6729</v>
      </c>
      <c r="L21" s="83">
        <f t="shared" si="39"/>
        <v>0</v>
      </c>
      <c r="M21" s="410">
        <f t="shared" si="15"/>
        <v>457.44</v>
      </c>
      <c r="N21" s="514">
        <f t="shared" si="43"/>
        <v>0</v>
      </c>
      <c r="O21" s="410">
        <f t="shared" si="16"/>
        <v>529.52</v>
      </c>
      <c r="P21" s="514">
        <f t="shared" si="44"/>
        <v>0</v>
      </c>
      <c r="Q21" s="514">
        <f t="shared" si="45"/>
        <v>0</v>
      </c>
      <c r="R21" s="514"/>
      <c r="S21" s="514"/>
      <c r="T21" s="5">
        <v>5169</v>
      </c>
      <c r="U21" s="5">
        <f t="shared" si="4"/>
        <v>2</v>
      </c>
      <c r="V21" s="5">
        <f t="shared" si="18"/>
        <v>461</v>
      </c>
      <c r="W21" s="324">
        <f t="shared" si="19"/>
        <v>0</v>
      </c>
      <c r="X21" s="5">
        <f t="shared" si="20"/>
        <v>150462</v>
      </c>
      <c r="Y21" s="324">
        <f>SUM(X21-X20)</f>
        <v>0</v>
      </c>
      <c r="Z21" s="5">
        <f t="shared" si="46"/>
        <v>98542</v>
      </c>
      <c r="AA21" s="83">
        <f t="shared" si="21"/>
        <v>0</v>
      </c>
      <c r="AB21" s="5">
        <f t="shared" si="22"/>
        <v>251</v>
      </c>
      <c r="AC21" s="5">
        <f t="shared" si="23"/>
        <v>731</v>
      </c>
      <c r="AD21" s="83">
        <f t="shared" si="37"/>
        <v>0</v>
      </c>
      <c r="AE21" s="5">
        <f t="shared" si="24"/>
        <v>229.03</v>
      </c>
      <c r="AF21" s="83">
        <f t="shared" si="25"/>
        <v>0</v>
      </c>
      <c r="AG21" s="5">
        <f t="shared" si="26"/>
        <v>2198.54</v>
      </c>
      <c r="AH21" s="83">
        <f t="shared" si="27"/>
        <v>0</v>
      </c>
      <c r="AI21" s="83">
        <f t="shared" si="28"/>
        <v>0</v>
      </c>
      <c r="AJ21" s="326">
        <f t="shared" si="29"/>
        <v>0</v>
      </c>
      <c r="AK21" s="327">
        <f>SUM(Y21-L21)</f>
        <v>0</v>
      </c>
      <c r="AL21" s="327">
        <f t="shared" si="30"/>
        <v>0</v>
      </c>
      <c r="AM21" s="327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44271</v>
      </c>
      <c r="AS21" s="424">
        <f t="shared" si="6"/>
        <v>0.9</v>
      </c>
      <c r="AT21" s="201">
        <v>81</v>
      </c>
      <c r="AU21" s="425">
        <f t="shared" si="41"/>
        <v>1.1000000000000001</v>
      </c>
      <c r="AV21" s="201">
        <v>131</v>
      </c>
      <c r="AW21" s="5">
        <v>2.9</v>
      </c>
      <c r="AX21" s="201">
        <v>141</v>
      </c>
      <c r="AY21" s="426">
        <f t="shared" si="48"/>
        <v>72.900000000000006</v>
      </c>
      <c r="AZ21" s="426">
        <f t="shared" si="49"/>
        <v>144.10000000000002</v>
      </c>
      <c r="BA21" s="426">
        <f t="shared" si="50"/>
        <v>408.9</v>
      </c>
      <c r="BB21" s="21">
        <f t="shared" si="34"/>
        <v>-19.799999999999997</v>
      </c>
      <c r="BC21" s="21">
        <f t="shared" si="35"/>
        <v>-3.2999999999999829</v>
      </c>
      <c r="BD21" s="21">
        <f t="shared" si="35"/>
        <v>-26.100000000000023</v>
      </c>
      <c r="BE21" s="24">
        <f t="shared" si="36"/>
        <v>-49.2</v>
      </c>
      <c r="BF21" s="96">
        <f t="shared" si="8"/>
        <v>49.2</v>
      </c>
      <c r="BG21" s="82">
        <f t="shared" si="9"/>
        <v>-49.2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616451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6730</v>
      </c>
      <c r="L22" s="83">
        <f t="shared" si="39"/>
        <v>1</v>
      </c>
      <c r="M22" s="410">
        <f t="shared" si="15"/>
        <v>457.44</v>
      </c>
      <c r="N22" s="514">
        <f t="shared" si="43"/>
        <v>0</v>
      </c>
      <c r="O22" s="410">
        <f t="shared" si="16"/>
        <v>529.52</v>
      </c>
      <c r="P22" s="514">
        <f t="shared" si="44"/>
        <v>0</v>
      </c>
      <c r="Q22" s="514">
        <f t="shared" si="45"/>
        <v>0</v>
      </c>
      <c r="R22" s="514"/>
      <c r="S22" s="514"/>
      <c r="T22" s="5">
        <f t="shared" si="17"/>
        <v>5169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150462</v>
      </c>
      <c r="Y22" s="324">
        <f t="shared" si="40"/>
        <v>0</v>
      </c>
      <c r="Z22" s="5">
        <f t="shared" si="46"/>
        <v>98542</v>
      </c>
      <c r="AA22" s="83">
        <f t="shared" si="21"/>
        <v>0</v>
      </c>
      <c r="AB22" s="5">
        <f t="shared" si="22"/>
        <v>251</v>
      </c>
      <c r="AC22" s="5">
        <f t="shared" si="23"/>
        <v>731</v>
      </c>
      <c r="AD22" s="83">
        <f t="shared" si="37"/>
        <v>0</v>
      </c>
      <c r="AE22" s="5">
        <f t="shared" si="24"/>
        <v>229.03</v>
      </c>
      <c r="AF22" s="83">
        <f t="shared" si="25"/>
        <v>0</v>
      </c>
      <c r="AG22" s="5">
        <f t="shared" si="26"/>
        <v>2198.54</v>
      </c>
      <c r="AH22" s="83">
        <f t="shared" si="27"/>
        <v>0</v>
      </c>
      <c r="AI22" s="83">
        <f t="shared" si="28"/>
        <v>0</v>
      </c>
      <c r="AJ22" s="326">
        <f t="shared" si="29"/>
        <v>0</v>
      </c>
      <c r="AK22" s="327">
        <f t="shared" si="38"/>
        <v>-1</v>
      </c>
      <c r="AL22" s="327">
        <f t="shared" si="30"/>
        <v>0</v>
      </c>
      <c r="AM22" s="327">
        <f>'General information '!D22</f>
        <v>17.5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44272</v>
      </c>
      <c r="AS22" s="424">
        <f t="shared" ref="AS22:AT33" si="55">AS21</f>
        <v>0.9</v>
      </c>
      <c r="AT22" s="201">
        <f t="shared" si="55"/>
        <v>81</v>
      </c>
      <c r="AU22" s="425">
        <f t="shared" si="41"/>
        <v>1.1000000000000001</v>
      </c>
      <c r="AV22" s="201">
        <v>123</v>
      </c>
      <c r="AW22" s="5">
        <v>2.9</v>
      </c>
      <c r="AX22" s="201">
        <v>134</v>
      </c>
      <c r="AY22" s="426">
        <f t="shared" si="7"/>
        <v>72.900000000000006</v>
      </c>
      <c r="AZ22" s="426">
        <f t="shared" si="32"/>
        <v>135.30000000000001</v>
      </c>
      <c r="BA22" s="426">
        <f t="shared" si="33"/>
        <v>388.59999999999997</v>
      </c>
      <c r="BB22" s="21">
        <f>AY22-AY21</f>
        <v>0</v>
      </c>
      <c r="BC22" s="21">
        <f t="shared" si="34"/>
        <v>-8.8000000000000114</v>
      </c>
      <c r="BD22" s="21">
        <f t="shared" si="34"/>
        <v>-20.300000000000011</v>
      </c>
      <c r="BE22" s="24">
        <f t="shared" si="36"/>
        <v>-29.100000000000023</v>
      </c>
      <c r="BF22" s="96">
        <f t="shared" si="8"/>
        <v>29.100000000000023</v>
      </c>
      <c r="BG22" s="82">
        <f t="shared" si="9"/>
        <v>-29.100000000000023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v>616706</v>
      </c>
      <c r="H23" s="5">
        <f t="shared" si="14"/>
        <v>255</v>
      </c>
      <c r="I23" s="5">
        <f t="shared" si="0"/>
        <v>255</v>
      </c>
      <c r="J23" s="334">
        <f t="shared" si="1"/>
        <v>0.94876660341555974</v>
      </c>
      <c r="K23" s="5">
        <f>'Swimming Pool quality check '!H23</f>
        <v>6730</v>
      </c>
      <c r="L23" s="274">
        <f t="shared" si="39"/>
        <v>0</v>
      </c>
      <c r="M23" s="410">
        <f t="shared" si="15"/>
        <v>457.44</v>
      </c>
      <c r="N23" s="514">
        <f t="shared" si="43"/>
        <v>0</v>
      </c>
      <c r="O23" s="410">
        <f t="shared" si="16"/>
        <v>529.52</v>
      </c>
      <c r="P23" s="514">
        <f t="shared" si="44"/>
        <v>0</v>
      </c>
      <c r="Q23" s="514">
        <f t="shared" si="45"/>
        <v>0</v>
      </c>
      <c r="R23" s="516"/>
      <c r="S23" s="516"/>
      <c r="T23" s="5">
        <f t="shared" si="17"/>
        <v>5169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v>150490</v>
      </c>
      <c r="Y23" s="324">
        <f t="shared" si="40"/>
        <v>28</v>
      </c>
      <c r="Z23" s="5">
        <v>98556</v>
      </c>
      <c r="AA23" s="83">
        <f t="shared" si="21"/>
        <v>14</v>
      </c>
      <c r="AB23" s="5">
        <v>261</v>
      </c>
      <c r="AC23" s="5">
        <f t="shared" si="23"/>
        <v>731</v>
      </c>
      <c r="AD23" s="83">
        <f t="shared" si="37"/>
        <v>0</v>
      </c>
      <c r="AE23" s="5">
        <f t="shared" si="24"/>
        <v>229.03</v>
      </c>
      <c r="AF23" s="83">
        <f t="shared" si="25"/>
        <v>0</v>
      </c>
      <c r="AG23" s="5">
        <f t="shared" si="26"/>
        <v>2198.54</v>
      </c>
      <c r="AH23" s="83">
        <f t="shared" si="27"/>
        <v>0</v>
      </c>
      <c r="AI23" s="83">
        <f t="shared" si="28"/>
        <v>0</v>
      </c>
      <c r="AJ23" s="326">
        <f t="shared" si="29"/>
        <v>14</v>
      </c>
      <c r="AK23" s="327">
        <f t="shared" si="38"/>
        <v>28</v>
      </c>
      <c r="AL23" s="327">
        <f t="shared" si="30"/>
        <v>14</v>
      </c>
      <c r="AM23" s="327">
        <f>'General information '!D23</f>
        <v>17.5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44273</v>
      </c>
      <c r="AS23" s="424">
        <f t="shared" si="55"/>
        <v>0.9</v>
      </c>
      <c r="AT23" s="201">
        <v>164</v>
      </c>
      <c r="AU23" s="425">
        <f t="shared" si="41"/>
        <v>1.1000000000000001</v>
      </c>
      <c r="AV23" s="201">
        <v>130</v>
      </c>
      <c r="AW23" s="5">
        <v>2.9</v>
      </c>
      <c r="AX23" s="201">
        <v>117</v>
      </c>
      <c r="AY23" s="426">
        <f t="shared" si="7"/>
        <v>147.6</v>
      </c>
      <c r="AZ23" s="426">
        <f t="shared" si="32"/>
        <v>143</v>
      </c>
      <c r="BA23" s="426">
        <f t="shared" si="33"/>
        <v>339.3</v>
      </c>
      <c r="BB23" s="21">
        <f t="shared" si="34"/>
        <v>74.699999999999989</v>
      </c>
      <c r="BC23" s="21">
        <f t="shared" si="34"/>
        <v>7.6999999999999886</v>
      </c>
      <c r="BD23" s="21">
        <f t="shared" si="34"/>
        <v>-49.299999999999955</v>
      </c>
      <c r="BE23" s="24">
        <f t="shared" si="36"/>
        <v>33.100000000000023</v>
      </c>
      <c r="BF23" s="96">
        <f t="shared" si="8"/>
        <v>221.89999999999998</v>
      </c>
      <c r="BG23" s="82">
        <f t="shared" si="9"/>
        <v>33.100000000000023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616706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9"/>
        <v>-17</v>
      </c>
      <c r="M24" s="410">
        <f t="shared" si="15"/>
        <v>457.44</v>
      </c>
      <c r="N24" s="514">
        <f t="shared" si="43"/>
        <v>0</v>
      </c>
      <c r="O24" s="410">
        <f t="shared" si="16"/>
        <v>529.52</v>
      </c>
      <c r="P24" s="514">
        <f t="shared" si="44"/>
        <v>0</v>
      </c>
      <c r="Q24" s="514">
        <f t="shared" si="45"/>
        <v>0</v>
      </c>
      <c r="R24" s="516"/>
      <c r="S24" s="516"/>
      <c r="T24" s="5">
        <f t="shared" si="17"/>
        <v>5169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150490</v>
      </c>
      <c r="Y24" s="324">
        <f t="shared" si="40"/>
        <v>0</v>
      </c>
      <c r="Z24" s="5">
        <f t="shared" si="46"/>
        <v>98556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7"/>
        <v>0</v>
      </c>
      <c r="AE24" s="5">
        <f t="shared" si="24"/>
        <v>229.03</v>
      </c>
      <c r="AF24" s="83">
        <f t="shared" si="25"/>
        <v>0</v>
      </c>
      <c r="AG24" s="5">
        <f t="shared" si="26"/>
        <v>2198.54</v>
      </c>
      <c r="AH24" s="83">
        <f t="shared" si="27"/>
        <v>0</v>
      </c>
      <c r="AI24" s="83">
        <f t="shared" si="28"/>
        <v>0</v>
      </c>
      <c r="AJ24" s="326">
        <f t="shared" si="29"/>
        <v>0</v>
      </c>
      <c r="AK24" s="327">
        <f t="shared" si="38"/>
        <v>17</v>
      </c>
      <c r="AL24" s="327">
        <f t="shared" si="30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1"/>
        <v>44274</v>
      </c>
      <c r="AS24" s="424">
        <f t="shared" si="55"/>
        <v>0.9</v>
      </c>
      <c r="AT24" s="201">
        <f t="shared" si="55"/>
        <v>164</v>
      </c>
      <c r="AU24" s="425">
        <f t="shared" si="41"/>
        <v>1.1000000000000001</v>
      </c>
      <c r="AV24" s="201">
        <f t="shared" si="47"/>
        <v>130</v>
      </c>
      <c r="AW24" s="5">
        <v>2.9</v>
      </c>
      <c r="AX24" s="201">
        <f t="shared" si="42"/>
        <v>117</v>
      </c>
      <c r="AY24" s="426">
        <f t="shared" si="7"/>
        <v>147.6</v>
      </c>
      <c r="AZ24" s="426">
        <f t="shared" si="32"/>
        <v>143</v>
      </c>
      <c r="BA24" s="426">
        <f t="shared" si="33"/>
        <v>339.3</v>
      </c>
      <c r="BB24" s="21">
        <f t="shared" si="34"/>
        <v>0</v>
      </c>
      <c r="BC24" s="21">
        <f t="shared" si="34"/>
        <v>0</v>
      </c>
      <c r="BD24" s="21">
        <f t="shared" si="34"/>
        <v>0</v>
      </c>
      <c r="BE24" s="24">
        <f t="shared" si="36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616706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6730</v>
      </c>
      <c r="L25" s="274">
        <f t="shared" si="39"/>
        <v>17</v>
      </c>
      <c r="M25" s="410">
        <f t="shared" si="15"/>
        <v>457.44</v>
      </c>
      <c r="N25" s="514">
        <f t="shared" si="43"/>
        <v>0</v>
      </c>
      <c r="O25" s="410">
        <f t="shared" si="16"/>
        <v>529.52</v>
      </c>
      <c r="P25" s="514">
        <f t="shared" si="44"/>
        <v>0</v>
      </c>
      <c r="Q25" s="514">
        <f t="shared" si="45"/>
        <v>0</v>
      </c>
      <c r="R25" s="516"/>
      <c r="S25" s="516"/>
      <c r="T25" s="5">
        <f t="shared" si="17"/>
        <v>5169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150490</v>
      </c>
      <c r="Y25" s="324">
        <f t="shared" si="40"/>
        <v>0</v>
      </c>
      <c r="Z25" s="5">
        <f t="shared" si="46"/>
        <v>98556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7"/>
        <v>0</v>
      </c>
      <c r="AE25" s="5">
        <f t="shared" si="24"/>
        <v>229.03</v>
      </c>
      <c r="AF25" s="83">
        <f t="shared" si="25"/>
        <v>0</v>
      </c>
      <c r="AG25" s="5">
        <f t="shared" si="26"/>
        <v>2198.54</v>
      </c>
      <c r="AH25" s="83">
        <f t="shared" si="27"/>
        <v>0</v>
      </c>
      <c r="AI25" s="83">
        <f t="shared" si="28"/>
        <v>0</v>
      </c>
      <c r="AJ25" s="326">
        <f t="shared" si="29"/>
        <v>0</v>
      </c>
      <c r="AK25" s="327">
        <f t="shared" si="38"/>
        <v>-17</v>
      </c>
      <c r="AL25" s="327">
        <f t="shared" si="30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44275</v>
      </c>
      <c r="AS25" s="424">
        <f t="shared" si="55"/>
        <v>0.9</v>
      </c>
      <c r="AT25" s="201">
        <f t="shared" si="55"/>
        <v>164</v>
      </c>
      <c r="AU25" s="425">
        <f t="shared" si="41"/>
        <v>1.1000000000000001</v>
      </c>
      <c r="AV25" s="201">
        <f t="shared" si="47"/>
        <v>130</v>
      </c>
      <c r="AW25" s="5">
        <v>2.9</v>
      </c>
      <c r="AX25" s="201">
        <f t="shared" si="42"/>
        <v>117</v>
      </c>
      <c r="AY25" s="426">
        <f t="shared" si="7"/>
        <v>147.6</v>
      </c>
      <c r="AZ25" s="426">
        <f t="shared" si="32"/>
        <v>143</v>
      </c>
      <c r="BA25" s="426">
        <f t="shared" si="33"/>
        <v>339.3</v>
      </c>
      <c r="BB25" s="21">
        <f t="shared" si="34"/>
        <v>0</v>
      </c>
      <c r="BC25" s="21">
        <f t="shared" si="34"/>
        <v>0</v>
      </c>
      <c r="BD25" s="21">
        <f t="shared" si="34"/>
        <v>0</v>
      </c>
      <c r="BE25" s="24">
        <f t="shared" si="36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616706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6730</v>
      </c>
      <c r="L26" s="274">
        <f t="shared" si="39"/>
        <v>0</v>
      </c>
      <c r="M26" s="410">
        <f t="shared" si="15"/>
        <v>457.44</v>
      </c>
      <c r="N26" s="514">
        <f t="shared" si="43"/>
        <v>0</v>
      </c>
      <c r="O26" s="410">
        <f t="shared" si="16"/>
        <v>529.52</v>
      </c>
      <c r="P26" s="514">
        <f t="shared" si="44"/>
        <v>0</v>
      </c>
      <c r="Q26" s="514">
        <f t="shared" si="45"/>
        <v>0</v>
      </c>
      <c r="R26" s="516"/>
      <c r="S26" s="516"/>
      <c r="T26" s="5">
        <f t="shared" si="17"/>
        <v>5169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150490</v>
      </c>
      <c r="Y26" s="324">
        <f t="shared" si="40"/>
        <v>0</v>
      </c>
      <c r="Z26" s="5">
        <f t="shared" si="46"/>
        <v>98556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7"/>
        <v>0</v>
      </c>
      <c r="AE26" s="5">
        <f t="shared" si="24"/>
        <v>229.03</v>
      </c>
      <c r="AF26" s="83">
        <f t="shared" si="25"/>
        <v>0</v>
      </c>
      <c r="AG26" s="5">
        <f t="shared" si="26"/>
        <v>2198.54</v>
      </c>
      <c r="AH26" s="83">
        <f t="shared" si="27"/>
        <v>0</v>
      </c>
      <c r="AI26" s="83">
        <f t="shared" si="28"/>
        <v>0</v>
      </c>
      <c r="AJ26" s="326">
        <f t="shared" si="29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44276</v>
      </c>
      <c r="AS26" s="424">
        <f t="shared" si="55"/>
        <v>0.9</v>
      </c>
      <c r="AT26" s="201">
        <f t="shared" si="55"/>
        <v>164</v>
      </c>
      <c r="AU26" s="425">
        <f t="shared" si="41"/>
        <v>1.1000000000000001</v>
      </c>
      <c r="AV26" s="201">
        <f t="shared" si="47"/>
        <v>130</v>
      </c>
      <c r="AW26" s="5">
        <v>2.9</v>
      </c>
      <c r="AX26" s="201">
        <f t="shared" si="42"/>
        <v>117</v>
      </c>
      <c r="AY26" s="426">
        <f t="shared" si="7"/>
        <v>147.6</v>
      </c>
      <c r="AZ26" s="426">
        <f t="shared" si="32"/>
        <v>143</v>
      </c>
      <c r="BA26" s="426">
        <f t="shared" si="33"/>
        <v>339.3</v>
      </c>
      <c r="BB26" s="21">
        <f t="shared" si="34"/>
        <v>0</v>
      </c>
      <c r="BC26" s="21">
        <f t="shared" si="34"/>
        <v>0</v>
      </c>
      <c r="BD26" s="21">
        <f t="shared" si="34"/>
        <v>0</v>
      </c>
      <c r="BE26" s="24">
        <f t="shared" si="36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616706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6730</v>
      </c>
      <c r="L27" s="274">
        <f t="shared" si="39"/>
        <v>0</v>
      </c>
      <c r="M27" s="410">
        <f t="shared" si="15"/>
        <v>457.44</v>
      </c>
      <c r="N27" s="514">
        <f t="shared" si="43"/>
        <v>0</v>
      </c>
      <c r="O27" s="410">
        <f t="shared" si="16"/>
        <v>529.52</v>
      </c>
      <c r="P27" s="514">
        <f t="shared" si="44"/>
        <v>0</v>
      </c>
      <c r="Q27" s="514">
        <f t="shared" si="45"/>
        <v>0</v>
      </c>
      <c r="R27" s="516"/>
      <c r="S27" s="516"/>
      <c r="T27" s="5">
        <f t="shared" si="17"/>
        <v>5169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150490</v>
      </c>
      <c r="Y27" s="324">
        <f>SUM(X27-X26)</f>
        <v>0</v>
      </c>
      <c r="Z27" s="5">
        <f t="shared" si="46"/>
        <v>98556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7"/>
        <v>0</v>
      </c>
      <c r="AE27" s="5">
        <f t="shared" si="24"/>
        <v>229.03</v>
      </c>
      <c r="AF27" s="83">
        <f t="shared" si="25"/>
        <v>0</v>
      </c>
      <c r="AG27" s="5">
        <f t="shared" si="26"/>
        <v>2198.54</v>
      </c>
      <c r="AH27" s="83">
        <f t="shared" si="27"/>
        <v>0</v>
      </c>
      <c r="AI27" s="83">
        <f t="shared" si="28"/>
        <v>0</v>
      </c>
      <c r="AJ27" s="326">
        <f t="shared" si="29"/>
        <v>0</v>
      </c>
      <c r="AK27" s="327">
        <f t="shared" si="38"/>
        <v>0</v>
      </c>
      <c r="AL27" s="327">
        <f t="shared" si="30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44277</v>
      </c>
      <c r="AS27" s="424">
        <f t="shared" si="55"/>
        <v>0.9</v>
      </c>
      <c r="AT27" s="201">
        <f t="shared" si="55"/>
        <v>164</v>
      </c>
      <c r="AU27" s="425">
        <f t="shared" si="41"/>
        <v>1.1000000000000001</v>
      </c>
      <c r="AV27" s="201">
        <f t="shared" si="47"/>
        <v>130</v>
      </c>
      <c r="AW27" s="5">
        <v>2.9</v>
      </c>
      <c r="AX27" s="201">
        <f t="shared" si="42"/>
        <v>117</v>
      </c>
      <c r="AY27" s="426">
        <f t="shared" si="7"/>
        <v>147.6</v>
      </c>
      <c r="AZ27" s="426">
        <f t="shared" si="32"/>
        <v>143</v>
      </c>
      <c r="BA27" s="426">
        <f t="shared" si="33"/>
        <v>339.3</v>
      </c>
      <c r="BB27" s="21">
        <f t="shared" si="34"/>
        <v>0</v>
      </c>
      <c r="BC27" s="21">
        <f t="shared" si="34"/>
        <v>0</v>
      </c>
      <c r="BD27" s="21">
        <f t="shared" si="34"/>
        <v>0</v>
      </c>
      <c r="BE27" s="24">
        <f t="shared" si="36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616706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6730</v>
      </c>
      <c r="L28" s="274">
        <f t="shared" si="39"/>
        <v>0</v>
      </c>
      <c r="M28" s="410">
        <f t="shared" si="15"/>
        <v>457.44</v>
      </c>
      <c r="N28" s="514">
        <f t="shared" si="43"/>
        <v>0</v>
      </c>
      <c r="O28" s="410">
        <f t="shared" si="16"/>
        <v>529.52</v>
      </c>
      <c r="P28" s="514">
        <f t="shared" si="44"/>
        <v>0</v>
      </c>
      <c r="Q28" s="514">
        <f t="shared" si="45"/>
        <v>0</v>
      </c>
      <c r="R28" s="516"/>
      <c r="S28" s="516"/>
      <c r="T28" s="5">
        <f t="shared" si="17"/>
        <v>5169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150490</v>
      </c>
      <c r="Y28" s="324">
        <f t="shared" si="40"/>
        <v>0</v>
      </c>
      <c r="Z28" s="5">
        <f t="shared" si="46"/>
        <v>98556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7"/>
        <v>0</v>
      </c>
      <c r="AE28" s="5">
        <f t="shared" si="24"/>
        <v>229.03</v>
      </c>
      <c r="AF28" s="83">
        <f t="shared" si="25"/>
        <v>0</v>
      </c>
      <c r="AG28" s="5">
        <f t="shared" si="26"/>
        <v>2198.54</v>
      </c>
      <c r="AH28" s="83">
        <f t="shared" si="27"/>
        <v>0</v>
      </c>
      <c r="AI28" s="83">
        <f t="shared" si="28"/>
        <v>0</v>
      </c>
      <c r="AJ28" s="326">
        <f t="shared" si="29"/>
        <v>0</v>
      </c>
      <c r="AK28" s="327">
        <f t="shared" si="38"/>
        <v>0</v>
      </c>
      <c r="AL28" s="327">
        <f t="shared" si="30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44278</v>
      </c>
      <c r="AS28" s="424">
        <f t="shared" si="55"/>
        <v>0.9</v>
      </c>
      <c r="AT28" s="201">
        <f t="shared" si="55"/>
        <v>164</v>
      </c>
      <c r="AU28" s="425">
        <f t="shared" si="41"/>
        <v>1.1000000000000001</v>
      </c>
      <c r="AV28" s="201">
        <f t="shared" si="47"/>
        <v>130</v>
      </c>
      <c r="AW28" s="5">
        <v>2.9</v>
      </c>
      <c r="AX28" s="201">
        <f t="shared" si="42"/>
        <v>117</v>
      </c>
      <c r="AY28" s="426">
        <f t="shared" si="7"/>
        <v>147.6</v>
      </c>
      <c r="AZ28" s="426">
        <f t="shared" si="32"/>
        <v>143</v>
      </c>
      <c r="BA28" s="426">
        <f t="shared" si="33"/>
        <v>339.3</v>
      </c>
      <c r="BB28" s="21">
        <f t="shared" si="34"/>
        <v>0</v>
      </c>
      <c r="BC28" s="21">
        <f t="shared" si="34"/>
        <v>0</v>
      </c>
      <c r="BD28" s="21">
        <f t="shared" si="34"/>
        <v>0</v>
      </c>
      <c r="BE28" s="24">
        <f t="shared" si="36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616706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6730</v>
      </c>
      <c r="L29" s="274">
        <f t="shared" si="39"/>
        <v>0</v>
      </c>
      <c r="M29" s="410">
        <f t="shared" si="15"/>
        <v>457.44</v>
      </c>
      <c r="N29" s="514">
        <f t="shared" si="43"/>
        <v>0</v>
      </c>
      <c r="O29" s="410">
        <f t="shared" si="16"/>
        <v>529.52</v>
      </c>
      <c r="P29" s="514">
        <f t="shared" si="44"/>
        <v>0</v>
      </c>
      <c r="Q29" s="514">
        <f t="shared" si="45"/>
        <v>0</v>
      </c>
      <c r="R29" s="516"/>
      <c r="S29" s="516"/>
      <c r="T29" s="5">
        <f t="shared" si="17"/>
        <v>5169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150490</v>
      </c>
      <c r="Y29" s="324">
        <f t="shared" si="40"/>
        <v>0</v>
      </c>
      <c r="Z29" s="5">
        <f t="shared" si="46"/>
        <v>98556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7"/>
        <v>0</v>
      </c>
      <c r="AE29" s="5">
        <f t="shared" si="24"/>
        <v>229.03</v>
      </c>
      <c r="AF29" s="83">
        <f t="shared" si="25"/>
        <v>0</v>
      </c>
      <c r="AG29" s="5">
        <f t="shared" si="26"/>
        <v>2198.54</v>
      </c>
      <c r="AH29" s="83">
        <f t="shared" si="27"/>
        <v>0</v>
      </c>
      <c r="AI29" s="83">
        <f t="shared" si="28"/>
        <v>0</v>
      </c>
      <c r="AJ29" s="326">
        <f t="shared" si="29"/>
        <v>0</v>
      </c>
      <c r="AK29" s="327">
        <f t="shared" si="38"/>
        <v>0</v>
      </c>
      <c r="AL29" s="327">
        <f t="shared" si="30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44279</v>
      </c>
      <c r="AS29" s="424">
        <f t="shared" si="55"/>
        <v>0.9</v>
      </c>
      <c r="AT29" s="201">
        <f t="shared" si="55"/>
        <v>164</v>
      </c>
      <c r="AU29" s="425">
        <f t="shared" si="41"/>
        <v>1.1000000000000001</v>
      </c>
      <c r="AV29" s="201">
        <f t="shared" si="47"/>
        <v>130</v>
      </c>
      <c r="AW29" s="5">
        <v>2.9</v>
      </c>
      <c r="AX29" s="201">
        <f t="shared" si="42"/>
        <v>117</v>
      </c>
      <c r="AY29" s="426">
        <f t="shared" si="7"/>
        <v>147.6</v>
      </c>
      <c r="AZ29" s="426">
        <f t="shared" si="32"/>
        <v>143</v>
      </c>
      <c r="BA29" s="426">
        <f t="shared" si="33"/>
        <v>339.3</v>
      </c>
      <c r="BB29" s="21">
        <f t="shared" si="34"/>
        <v>0</v>
      </c>
      <c r="BC29" s="21">
        <f t="shared" si="34"/>
        <v>0</v>
      </c>
      <c r="BD29" s="21">
        <f t="shared" si="34"/>
        <v>0</v>
      </c>
      <c r="BE29" s="24">
        <f t="shared" si="36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616706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6730</v>
      </c>
      <c r="L30" s="274">
        <f t="shared" si="39"/>
        <v>0</v>
      </c>
      <c r="M30" s="410">
        <f t="shared" si="15"/>
        <v>457.44</v>
      </c>
      <c r="N30" s="514">
        <f t="shared" si="43"/>
        <v>0</v>
      </c>
      <c r="O30" s="410">
        <f t="shared" si="16"/>
        <v>529.52</v>
      </c>
      <c r="P30" s="514">
        <f t="shared" si="44"/>
        <v>0</v>
      </c>
      <c r="Q30" s="514">
        <f t="shared" si="45"/>
        <v>0</v>
      </c>
      <c r="R30" s="516"/>
      <c r="S30" s="516"/>
      <c r="T30" s="5">
        <f t="shared" si="17"/>
        <v>5169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150490</v>
      </c>
      <c r="Y30" s="324">
        <f t="shared" si="40"/>
        <v>0</v>
      </c>
      <c r="Z30" s="5">
        <f t="shared" si="46"/>
        <v>98556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7"/>
        <v>0</v>
      </c>
      <c r="AE30" s="5">
        <f t="shared" si="24"/>
        <v>229.03</v>
      </c>
      <c r="AF30" s="83">
        <f t="shared" si="25"/>
        <v>0</v>
      </c>
      <c r="AG30" s="5">
        <f t="shared" si="26"/>
        <v>2198.54</v>
      </c>
      <c r="AH30" s="83">
        <f t="shared" si="27"/>
        <v>0</v>
      </c>
      <c r="AI30" s="83">
        <f t="shared" si="28"/>
        <v>0</v>
      </c>
      <c r="AJ30" s="326">
        <f t="shared" si="29"/>
        <v>0</v>
      </c>
      <c r="AK30" s="327">
        <f t="shared" si="38"/>
        <v>0</v>
      </c>
      <c r="AL30" s="327">
        <f t="shared" si="30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44280</v>
      </c>
      <c r="AS30" s="424">
        <f t="shared" si="55"/>
        <v>0.9</v>
      </c>
      <c r="AT30" s="201">
        <f t="shared" si="55"/>
        <v>164</v>
      </c>
      <c r="AU30" s="425">
        <f t="shared" si="41"/>
        <v>1.1000000000000001</v>
      </c>
      <c r="AV30" s="201">
        <f t="shared" si="47"/>
        <v>130</v>
      </c>
      <c r="AW30" s="5">
        <v>2.9</v>
      </c>
      <c r="AX30" s="201">
        <f t="shared" si="42"/>
        <v>117</v>
      </c>
      <c r="AY30" s="426">
        <f t="shared" si="7"/>
        <v>147.6</v>
      </c>
      <c r="AZ30" s="426">
        <f t="shared" si="32"/>
        <v>143</v>
      </c>
      <c r="BA30" s="426">
        <f t="shared" si="33"/>
        <v>339.3</v>
      </c>
      <c r="BB30" s="21">
        <f t="shared" si="34"/>
        <v>0</v>
      </c>
      <c r="BC30" s="21">
        <f t="shared" si="34"/>
        <v>0</v>
      </c>
      <c r="BD30" s="21">
        <f t="shared" si="34"/>
        <v>0</v>
      </c>
      <c r="BE30" s="24">
        <f t="shared" si="36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616706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6730</v>
      </c>
      <c r="L31" s="274">
        <f t="shared" si="39"/>
        <v>0</v>
      </c>
      <c r="M31" s="410">
        <f t="shared" si="15"/>
        <v>457.44</v>
      </c>
      <c r="N31" s="514">
        <f t="shared" si="43"/>
        <v>0</v>
      </c>
      <c r="O31" s="410">
        <f t="shared" si="16"/>
        <v>529.52</v>
      </c>
      <c r="P31" s="514">
        <f t="shared" si="44"/>
        <v>0</v>
      </c>
      <c r="Q31" s="514">
        <f t="shared" si="45"/>
        <v>0</v>
      </c>
      <c r="R31" s="516"/>
      <c r="S31" s="516"/>
      <c r="T31" s="5">
        <f t="shared" si="17"/>
        <v>5169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150490</v>
      </c>
      <c r="Y31" s="324">
        <f t="shared" si="40"/>
        <v>0</v>
      </c>
      <c r="Z31" s="5">
        <f t="shared" si="46"/>
        <v>98556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7"/>
        <v>0</v>
      </c>
      <c r="AE31" s="5">
        <f t="shared" si="24"/>
        <v>229.03</v>
      </c>
      <c r="AF31" s="83">
        <f t="shared" si="25"/>
        <v>0</v>
      </c>
      <c r="AG31" s="5">
        <f t="shared" si="26"/>
        <v>2198.54</v>
      </c>
      <c r="AH31" s="83">
        <f>AG31-AG30</f>
        <v>0</v>
      </c>
      <c r="AI31" s="83">
        <f>AF31+AH31</f>
        <v>0</v>
      </c>
      <c r="AJ31" s="326">
        <f t="shared" si="29"/>
        <v>0</v>
      </c>
      <c r="AK31" s="327">
        <f t="shared" si="38"/>
        <v>0</v>
      </c>
      <c r="AL31" s="327">
        <f t="shared" si="30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44281</v>
      </c>
      <c r="AS31" s="424">
        <f t="shared" si="55"/>
        <v>0.9</v>
      </c>
      <c r="AT31" s="201">
        <f t="shared" si="55"/>
        <v>164</v>
      </c>
      <c r="AU31" s="425">
        <f t="shared" si="41"/>
        <v>1.1000000000000001</v>
      </c>
      <c r="AV31" s="201">
        <f t="shared" si="47"/>
        <v>130</v>
      </c>
      <c r="AW31" s="5">
        <v>2.9</v>
      </c>
      <c r="AX31" s="201">
        <f t="shared" si="42"/>
        <v>117</v>
      </c>
      <c r="AY31" s="426">
        <f t="shared" si="7"/>
        <v>147.6</v>
      </c>
      <c r="AZ31" s="426">
        <f t="shared" si="32"/>
        <v>143</v>
      </c>
      <c r="BA31" s="426">
        <f t="shared" si="33"/>
        <v>339.3</v>
      </c>
      <c r="BB31" s="21">
        <f t="shared" si="34"/>
        <v>0</v>
      </c>
      <c r="BC31" s="21">
        <f t="shared" si="34"/>
        <v>0</v>
      </c>
      <c r="BD31" s="21">
        <f t="shared" si="34"/>
        <v>0</v>
      </c>
      <c r="BE31" s="24">
        <f t="shared" si="36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616706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6730</v>
      </c>
      <c r="L32" s="274">
        <f t="shared" si="39"/>
        <v>0</v>
      </c>
      <c r="M32" s="410">
        <f t="shared" si="15"/>
        <v>457.44</v>
      </c>
      <c r="N32" s="514">
        <f t="shared" si="43"/>
        <v>0</v>
      </c>
      <c r="O32" s="410">
        <f t="shared" si="16"/>
        <v>529.52</v>
      </c>
      <c r="P32" s="514">
        <f t="shared" si="44"/>
        <v>0</v>
      </c>
      <c r="Q32" s="514">
        <f t="shared" si="45"/>
        <v>0</v>
      </c>
      <c r="R32" s="516"/>
      <c r="S32" s="516"/>
      <c r="T32" s="5">
        <f t="shared" si="17"/>
        <v>5169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150490</v>
      </c>
      <c r="Y32" s="324">
        <f t="shared" si="40"/>
        <v>0</v>
      </c>
      <c r="Z32" s="5">
        <f t="shared" si="46"/>
        <v>98556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7"/>
        <v>0</v>
      </c>
      <c r="AE32" s="5">
        <f t="shared" si="24"/>
        <v>229.03</v>
      </c>
      <c r="AF32" s="83">
        <f t="shared" si="25"/>
        <v>0</v>
      </c>
      <c r="AG32" s="5">
        <f t="shared" si="26"/>
        <v>2198.54</v>
      </c>
      <c r="AH32" s="83">
        <f t="shared" si="27"/>
        <v>0</v>
      </c>
      <c r="AI32" s="83">
        <f t="shared" si="28"/>
        <v>0</v>
      </c>
      <c r="AJ32" s="326">
        <f t="shared" si="29"/>
        <v>0</v>
      </c>
      <c r="AK32" s="327">
        <f t="shared" si="38"/>
        <v>0</v>
      </c>
      <c r="AL32" s="327">
        <f t="shared" si="30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44282</v>
      </c>
      <c r="AS32" s="424">
        <f t="shared" si="55"/>
        <v>0.9</v>
      </c>
      <c r="AT32" s="201">
        <f t="shared" si="55"/>
        <v>164</v>
      </c>
      <c r="AU32" s="425">
        <f t="shared" si="41"/>
        <v>1.1000000000000001</v>
      </c>
      <c r="AV32" s="201">
        <f t="shared" si="47"/>
        <v>130</v>
      </c>
      <c r="AW32" s="5">
        <v>2.9</v>
      </c>
      <c r="AX32" s="201">
        <f t="shared" si="42"/>
        <v>117</v>
      </c>
      <c r="AY32" s="426">
        <f t="shared" si="7"/>
        <v>147.6</v>
      </c>
      <c r="AZ32" s="426">
        <f t="shared" si="32"/>
        <v>143</v>
      </c>
      <c r="BA32" s="426">
        <f t="shared" si="33"/>
        <v>339.3</v>
      </c>
      <c r="BB32" s="21">
        <f t="shared" si="34"/>
        <v>0</v>
      </c>
      <c r="BC32" s="21">
        <f t="shared" si="34"/>
        <v>0</v>
      </c>
      <c r="BD32" s="21">
        <f t="shared" si="34"/>
        <v>0</v>
      </c>
      <c r="BE32" s="24">
        <f t="shared" si="36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616706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6730</v>
      </c>
      <c r="L33" s="274">
        <f t="shared" si="39"/>
        <v>0</v>
      </c>
      <c r="M33" s="410">
        <f t="shared" si="15"/>
        <v>457.44</v>
      </c>
      <c r="N33" s="514">
        <f t="shared" si="43"/>
        <v>0</v>
      </c>
      <c r="O33" s="410">
        <f t="shared" si="16"/>
        <v>529.52</v>
      </c>
      <c r="P33" s="514">
        <f t="shared" si="44"/>
        <v>0</v>
      </c>
      <c r="Q33" s="514">
        <f t="shared" si="45"/>
        <v>0</v>
      </c>
      <c r="R33" s="516"/>
      <c r="S33" s="516"/>
      <c r="T33" s="5">
        <f t="shared" si="17"/>
        <v>5169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150490</v>
      </c>
      <c r="Y33" s="324">
        <f t="shared" si="40"/>
        <v>0</v>
      </c>
      <c r="Z33" s="5">
        <f t="shared" si="46"/>
        <v>98556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7"/>
        <v>0</v>
      </c>
      <c r="AE33" s="5">
        <f t="shared" si="24"/>
        <v>229.03</v>
      </c>
      <c r="AF33" s="83">
        <f>AE33-AE32</f>
        <v>0</v>
      </c>
      <c r="AG33" s="5">
        <f t="shared" si="26"/>
        <v>2198.54</v>
      </c>
      <c r="AH33" s="83">
        <f t="shared" si="27"/>
        <v>0</v>
      </c>
      <c r="AI33" s="83">
        <f t="shared" si="28"/>
        <v>0</v>
      </c>
      <c r="AJ33" s="326">
        <f t="shared" si="29"/>
        <v>0</v>
      </c>
      <c r="AK33" s="327">
        <f t="shared" si="38"/>
        <v>0</v>
      </c>
      <c r="AL33" s="327">
        <f t="shared" si="30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44283</v>
      </c>
      <c r="AS33" s="424">
        <f t="shared" si="55"/>
        <v>0.9</v>
      </c>
      <c r="AT33" s="201">
        <f t="shared" si="55"/>
        <v>164</v>
      </c>
      <c r="AU33" s="425">
        <f t="shared" si="41"/>
        <v>1.1000000000000001</v>
      </c>
      <c r="AV33" s="201">
        <f t="shared" si="47"/>
        <v>130</v>
      </c>
      <c r="AW33" s="5">
        <v>2.9</v>
      </c>
      <c r="AX33" s="201">
        <f t="shared" si="42"/>
        <v>117</v>
      </c>
      <c r="AY33" s="426">
        <f t="shared" si="7"/>
        <v>147.6</v>
      </c>
      <c r="AZ33" s="426">
        <f t="shared" si="32"/>
        <v>143</v>
      </c>
      <c r="BA33" s="426">
        <f t="shared" si="33"/>
        <v>339.3</v>
      </c>
      <c r="BB33" s="21">
        <f t="shared" si="34"/>
        <v>0</v>
      </c>
      <c r="BC33" s="21">
        <f t="shared" si="34"/>
        <v>0</v>
      </c>
      <c r="BD33" s="21">
        <f t="shared" si="34"/>
        <v>0</v>
      </c>
      <c r="BE33" s="24">
        <f t="shared" si="36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616706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6730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5169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150490</v>
      </c>
      <c r="Y34" s="324">
        <f t="shared" ref="Y34:Y36" si="67">SUM(X34-X33)</f>
        <v>0</v>
      </c>
      <c r="Z34" s="5">
        <f t="shared" si="46"/>
        <v>98556</v>
      </c>
      <c r="AA34" s="83">
        <f t="shared" ref="AA34:AA36" si="68">Z34-Z33</f>
        <v>0</v>
      </c>
      <c r="AB34" s="5">
        <f t="shared" si="22"/>
        <v>261</v>
      </c>
      <c r="AC34" s="5">
        <f t="shared" si="23"/>
        <v>731</v>
      </c>
      <c r="AD34" s="83">
        <f t="shared" ref="AD34:AD36" si="69">AC34-AC33</f>
        <v>0</v>
      </c>
      <c r="AE34" s="5">
        <f t="shared" si="24"/>
        <v>229.03</v>
      </c>
      <c r="AF34" s="83">
        <f t="shared" ref="AF34:AF36" si="70">AE34-AE33</f>
        <v>0</v>
      </c>
      <c r="AG34" s="5">
        <f t="shared" si="26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164</v>
      </c>
      <c r="AU34" s="425">
        <f t="shared" ref="AU34" si="78">AU33</f>
        <v>1.1000000000000001</v>
      </c>
      <c r="AV34" s="201">
        <f t="shared" si="47"/>
        <v>130</v>
      </c>
      <c r="AW34" s="5">
        <v>2.9</v>
      </c>
      <c r="AX34" s="201">
        <f t="shared" si="42"/>
        <v>117</v>
      </c>
      <c r="AY34" s="426">
        <f t="shared" ref="AY34:AY36" si="79">AS34*AT34</f>
        <v>147.6</v>
      </c>
      <c r="AZ34" s="426">
        <f t="shared" ref="AZ34:AZ36" si="80">AU34*AV34</f>
        <v>143</v>
      </c>
      <c r="BA34" s="426">
        <f t="shared" ref="BA34:BA36" si="81">AW34*AX34</f>
        <v>339.3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616706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6730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5169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150490</v>
      </c>
      <c r="Y35" s="324">
        <f t="shared" si="67"/>
        <v>0</v>
      </c>
      <c r="Z35" s="5">
        <f t="shared" si="46"/>
        <v>98556</v>
      </c>
      <c r="AA35" s="83">
        <f t="shared" si="68"/>
        <v>0</v>
      </c>
      <c r="AB35" s="5">
        <f t="shared" si="22"/>
        <v>261</v>
      </c>
      <c r="AC35" s="5">
        <f t="shared" si="23"/>
        <v>731</v>
      </c>
      <c r="AD35" s="83">
        <f t="shared" si="69"/>
        <v>0</v>
      </c>
      <c r="AE35" s="5">
        <f t="shared" si="24"/>
        <v>229.03</v>
      </c>
      <c r="AF35" s="83">
        <f t="shared" si="70"/>
        <v>0</v>
      </c>
      <c r="AG35" s="5">
        <f t="shared" si="26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164</v>
      </c>
      <c r="AU35" s="425">
        <f t="shared" ref="AU35" si="89">AU34</f>
        <v>1.1000000000000001</v>
      </c>
      <c r="AV35" s="201">
        <f t="shared" si="47"/>
        <v>130</v>
      </c>
      <c r="AW35" s="5">
        <v>2.9</v>
      </c>
      <c r="AX35" s="201">
        <f t="shared" si="42"/>
        <v>117</v>
      </c>
      <c r="AY35" s="426">
        <f t="shared" si="79"/>
        <v>147.6</v>
      </c>
      <c r="AZ35" s="426">
        <f t="shared" si="80"/>
        <v>143</v>
      </c>
      <c r="BA35" s="426">
        <f t="shared" si="81"/>
        <v>339.3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616706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6730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5169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150490</v>
      </c>
      <c r="Y36" s="324">
        <f t="shared" si="67"/>
        <v>0</v>
      </c>
      <c r="Z36" s="5">
        <f t="shared" si="46"/>
        <v>98556</v>
      </c>
      <c r="AA36" s="83">
        <f t="shared" si="68"/>
        <v>0</v>
      </c>
      <c r="AB36" s="5">
        <f t="shared" si="22"/>
        <v>261</v>
      </c>
      <c r="AC36" s="5">
        <f t="shared" si="23"/>
        <v>731</v>
      </c>
      <c r="AD36" s="83">
        <f t="shared" si="69"/>
        <v>0</v>
      </c>
      <c r="AE36" s="5">
        <f t="shared" si="24"/>
        <v>229.03</v>
      </c>
      <c r="AF36" s="83">
        <f t="shared" si="70"/>
        <v>0</v>
      </c>
      <c r="AG36" s="5">
        <f t="shared" si="26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164</v>
      </c>
      <c r="AU36" s="425">
        <f t="shared" ref="AU36" si="91">AU35</f>
        <v>1.1000000000000001</v>
      </c>
      <c r="AV36" s="201">
        <f t="shared" si="47"/>
        <v>130</v>
      </c>
      <c r="AW36" s="5">
        <v>2.9</v>
      </c>
      <c r="AX36" s="201">
        <f t="shared" si="42"/>
        <v>117</v>
      </c>
      <c r="AY36" s="426">
        <f t="shared" si="79"/>
        <v>147.6</v>
      </c>
      <c r="AZ36" s="426">
        <f t="shared" si="80"/>
        <v>143</v>
      </c>
      <c r="BA36" s="426">
        <f t="shared" si="81"/>
        <v>339.3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554</v>
      </c>
      <c r="I37" s="412">
        <f>SUM(I6:I33)</f>
        <v>554</v>
      </c>
      <c r="L37" s="268">
        <f>SUM(L7:L33)</f>
        <v>9</v>
      </c>
      <c r="Q37" s="495">
        <f>SUM(Q5:Q33)</f>
        <v>0</v>
      </c>
      <c r="U37" s="409">
        <f>SUM(U6:U33)</f>
        <v>2</v>
      </c>
      <c r="X37" s="323"/>
      <c r="Y37" s="322" t="e">
        <f>SUM(#REF!,Y33,Y31,Y29,Y27,Y25,Y23,Y21,Y19,Y17,Y15,Y13,Y11,Y9,Y7,#REF!)</f>
        <v>#REF!</v>
      </c>
      <c r="AJ37" s="322">
        <f>SUM(AJ6:AJ33)</f>
        <v>75</v>
      </c>
      <c r="AK37" s="327" t="e">
        <f>SUM(Y37-L37)</f>
        <v>#REF!</v>
      </c>
      <c r="AL37" s="322">
        <f>SUM(AL6:AL33)</f>
        <v>75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>
        <f>SUM('General information '!G37/WATER!I37)</f>
        <v>0</v>
      </c>
      <c r="L38" s="157"/>
      <c r="O38" s="492">
        <f>SUM(Q37+I37)</f>
        <v>554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554</v>
      </c>
      <c r="H39" s="1">
        <f>SUM(H38+C38)</f>
        <v>7500</v>
      </c>
      <c r="K39" s="1">
        <f>SUM(H39/G39)</f>
        <v>13.537906137184116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14" activePane="bottomLeft" state="frozen"/>
      <selection pane="bottomLeft" activeCell="G23" sqref="G23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5" t="s">
        <v>193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7"/>
    </row>
    <row r="2" spans="1:15" ht="15.75" customHeight="1" thickBot="1">
      <c r="A2" s="638"/>
      <c r="B2" s="639"/>
      <c r="C2" s="639"/>
      <c r="D2" s="639"/>
      <c r="E2" s="639"/>
      <c r="F2" s="639"/>
      <c r="G2" s="639"/>
      <c r="H2" s="639"/>
      <c r="I2" s="639"/>
      <c r="J2" s="639"/>
      <c r="K2" s="639"/>
      <c r="L2" s="639"/>
      <c r="M2" s="639"/>
      <c r="N2" s="639"/>
      <c r="O2" s="640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>
        <v>20</v>
      </c>
      <c r="C13" s="37">
        <v>16</v>
      </c>
      <c r="D13" s="26">
        <f>(C13+B13)/2</f>
        <v>18</v>
      </c>
      <c r="E13" s="354">
        <v>0.76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>
        <v>23</v>
      </c>
      <c r="C14" s="37">
        <v>17</v>
      </c>
      <c r="D14" s="26">
        <f t="shared" ref="D14:D33" si="3">(C14+B14)/2</f>
        <v>20</v>
      </c>
      <c r="E14" s="340">
        <v>0.53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>
        <v>19</v>
      </c>
      <c r="C15" s="37">
        <v>13</v>
      </c>
      <c r="D15" s="26">
        <f t="shared" si="3"/>
        <v>16</v>
      </c>
      <c r="E15" s="340">
        <v>0.74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>
        <v>17</v>
      </c>
      <c r="C16" s="37">
        <v>12</v>
      </c>
      <c r="D16" s="26">
        <f t="shared" si="3"/>
        <v>14.5</v>
      </c>
      <c r="E16" s="340">
        <v>0.57999999999999996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>
        <v>18</v>
      </c>
      <c r="C17" s="37">
        <v>13</v>
      </c>
      <c r="D17" s="26">
        <f t="shared" si="3"/>
        <v>15.5</v>
      </c>
      <c r="E17" s="340">
        <v>0.52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>
        <v>18</v>
      </c>
      <c r="C18" s="37">
        <v>16</v>
      </c>
      <c r="D18" s="26">
        <f t="shared" si="3"/>
        <v>17</v>
      </c>
      <c r="E18" s="427">
        <v>0.65</v>
      </c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>
        <v>19</v>
      </c>
      <c r="C19" s="37">
        <v>15</v>
      </c>
      <c r="D19" s="26">
        <f t="shared" si="3"/>
        <v>17</v>
      </c>
      <c r="E19" s="340">
        <v>0.63</v>
      </c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>
        <v>19</v>
      </c>
      <c r="C20" s="37">
        <v>15</v>
      </c>
      <c r="D20" s="26">
        <f t="shared" si="3"/>
        <v>17</v>
      </c>
      <c r="E20" s="340">
        <v>0.6</v>
      </c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>
        <v>19</v>
      </c>
      <c r="C21" s="37">
        <v>14</v>
      </c>
      <c r="D21" s="26">
        <f>(C21+B21)/2</f>
        <v>16.5</v>
      </c>
      <c r="E21" s="340">
        <v>0.6</v>
      </c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>
        <v>20</v>
      </c>
      <c r="C22" s="37">
        <v>15</v>
      </c>
      <c r="D22" s="26">
        <f t="shared" si="3"/>
        <v>17.5</v>
      </c>
      <c r="E22" s="340">
        <v>0.55000000000000004</v>
      </c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>
        <v>20</v>
      </c>
      <c r="C23" s="37">
        <v>15</v>
      </c>
      <c r="D23" s="26">
        <f>(C23+B23)/2</f>
        <v>17.5</v>
      </c>
      <c r="E23" s="340">
        <v>0.56999999999999995</v>
      </c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16.5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2"/>
  <sheetViews>
    <sheetView zoomScale="90" zoomScaleNormal="90" workbookViewId="0">
      <pane xSplit="1" topLeftCell="AI1" activePane="topRight" state="frozen"/>
      <selection pane="topRight" activeCell="AT17" sqref="AT17:AT1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3" t="s">
        <v>108</v>
      </c>
      <c r="AS3" s="643" t="s">
        <v>233</v>
      </c>
      <c r="AT3" s="641" t="s">
        <v>301</v>
      </c>
      <c r="AU3" s="642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4"/>
      <c r="AS4" s="644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3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-253.32473118279327</v>
      </c>
      <c r="BK6" s="614">
        <f>GEN!AF3</f>
        <v>0.32104166666670153</v>
      </c>
    </row>
    <row r="7" spans="1:63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-139.05161290322624</v>
      </c>
      <c r="BK7" s="614">
        <f>GEN!AF4</f>
        <v>0.30566666666663878</v>
      </c>
    </row>
    <row r="8" spans="1:63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2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3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4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-180.45161290322721</v>
      </c>
      <c r="BK8" s="614">
        <f>GEN!AF5</f>
        <v>0.33680555555570713</v>
      </c>
    </row>
    <row r="9" spans="1:63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2"/>
        <v>57838.677419354841</v>
      </c>
      <c r="AS9" s="197">
        <f t="shared" si="38"/>
        <v>-1770.0645161290231</v>
      </c>
      <c r="AT9" s="491"/>
      <c r="AU9" s="436"/>
      <c r="AV9" s="518">
        <f t="shared" si="43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4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-243.01075268817053</v>
      </c>
      <c r="BK9" s="614">
        <f>GEN!AF6</f>
        <v>0.36406249999989393</v>
      </c>
    </row>
    <row r="10" spans="1:63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2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4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-48.967741935485847</v>
      </c>
      <c r="BK10" s="614">
        <f>GEN!AF7</f>
        <v>0.40964285714283377</v>
      </c>
    </row>
    <row r="11" spans="1:63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2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4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-173.34027055152143</v>
      </c>
      <c r="BK11" s="614">
        <f>GEN!AF8</f>
        <v>0.32795698924740591</v>
      </c>
    </row>
    <row r="12" spans="1:63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2"/>
        <v>61448.806451612909</v>
      </c>
      <c r="AS12" s="197">
        <f>SUM(AR12-AR11-AT12)</f>
        <v>-920.03225806450791</v>
      </c>
      <c r="AT12" s="271"/>
      <c r="AU12" s="478"/>
      <c r="AV12" s="518">
        <f t="shared" si="43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4"/>
        <v>0</v>
      </c>
      <c r="BD12" s="102">
        <v>19222</v>
      </c>
      <c r="BE12" s="14">
        <f>(305/1185)*ELEC!Q10</f>
        <v>723.24894514801645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-186.49520488226275</v>
      </c>
      <c r="BK12" s="614">
        <f>GEN!AF9</f>
        <v>0.34780405405355791</v>
      </c>
    </row>
    <row r="13" spans="1:63">
      <c r="A13" s="444">
        <f>ELEC!C10</f>
        <v>44263</v>
      </c>
      <c r="B13">
        <f>'B5'!B12</f>
        <v>194.5</v>
      </c>
      <c r="C13" s="203">
        <f t="shared" si="18"/>
        <v>4184.8870967741932</v>
      </c>
      <c r="D13">
        <f t="shared" si="19"/>
        <v>194.5</v>
      </c>
      <c r="E13" s="203">
        <f t="shared" si="18"/>
        <v>4184.8870967741932</v>
      </c>
      <c r="F13">
        <f t="shared" si="20"/>
        <v>194.5</v>
      </c>
      <c r="G13" s="203">
        <f t="shared" si="1"/>
        <v>4184.8870967741932</v>
      </c>
      <c r="H13" s="203">
        <f t="shared" si="21"/>
        <v>194.5</v>
      </c>
      <c r="I13" s="203">
        <f t="shared" si="2"/>
        <v>4184.8870967741932</v>
      </c>
      <c r="J13" s="203">
        <f t="shared" si="22"/>
        <v>194.5</v>
      </c>
      <c r="K13" s="203">
        <f t="shared" si="3"/>
        <v>4184.8870967741932</v>
      </c>
      <c r="L13" s="203">
        <f t="shared" si="23"/>
        <v>194.5</v>
      </c>
      <c r="M13" s="203">
        <f t="shared" si="4"/>
        <v>4184.8870967741932</v>
      </c>
      <c r="N13" s="203">
        <f t="shared" si="24"/>
        <v>194.5</v>
      </c>
      <c r="O13" s="203">
        <f t="shared" si="5"/>
        <v>4184.8870967741932</v>
      </c>
      <c r="P13" s="203">
        <f t="shared" si="25"/>
        <v>194.5</v>
      </c>
      <c r="Q13" s="203">
        <f t="shared" si="6"/>
        <v>4184.8870967741932</v>
      </c>
      <c r="R13" s="203">
        <f t="shared" si="26"/>
        <v>194.5</v>
      </c>
      <c r="S13" s="203">
        <f t="shared" si="7"/>
        <v>4184.8870967741932</v>
      </c>
      <c r="T13" s="203">
        <f t="shared" si="27"/>
        <v>194.5</v>
      </c>
      <c r="U13" s="203">
        <f t="shared" si="8"/>
        <v>4184.8870967741932</v>
      </c>
      <c r="V13" s="203">
        <f t="shared" si="28"/>
        <v>194.5</v>
      </c>
      <c r="W13" s="203">
        <f t="shared" si="9"/>
        <v>4184.8870967741932</v>
      </c>
      <c r="X13" s="35">
        <f t="shared" si="10"/>
        <v>0.62741935483870981</v>
      </c>
      <c r="Y13" s="36">
        <f t="shared" si="29"/>
        <v>46033.758064516136</v>
      </c>
      <c r="Z13" s="203">
        <f>'B5'!C12</f>
        <v>201</v>
      </c>
      <c r="AA13" s="203">
        <f t="shared" si="30"/>
        <v>2010</v>
      </c>
      <c r="AB13" s="203">
        <f t="shared" si="31"/>
        <v>201</v>
      </c>
      <c r="AC13" s="203">
        <f t="shared" si="30"/>
        <v>2010</v>
      </c>
      <c r="AD13" s="203">
        <f t="shared" si="32"/>
        <v>201</v>
      </c>
      <c r="AE13" s="203">
        <f t="shared" si="11"/>
        <v>2010</v>
      </c>
      <c r="AF13" s="203">
        <f t="shared" si="33"/>
        <v>201</v>
      </c>
      <c r="AG13" s="203">
        <f t="shared" si="12"/>
        <v>2010</v>
      </c>
      <c r="AH13" s="203">
        <f t="shared" si="34"/>
        <v>201</v>
      </c>
      <c r="AI13" s="203">
        <f t="shared" si="13"/>
        <v>2010</v>
      </c>
      <c r="AJ13" s="203">
        <f t="shared" si="35"/>
        <v>201</v>
      </c>
      <c r="AK13" s="203">
        <f t="shared" si="14"/>
        <v>2010</v>
      </c>
      <c r="AL13" s="203">
        <f t="shared" si="36"/>
        <v>201</v>
      </c>
      <c r="AM13" s="203">
        <f t="shared" si="15"/>
        <v>2010</v>
      </c>
      <c r="AN13" s="35">
        <f t="shared" si="16"/>
        <v>0.71785714285714286</v>
      </c>
      <c r="AO13" s="36">
        <f t="shared" si="17"/>
        <v>14070</v>
      </c>
      <c r="AP13" s="565"/>
      <c r="AQ13" s="223">
        <f t="shared" si="37"/>
        <v>0.64648551214925387</v>
      </c>
      <c r="AR13" s="38">
        <f t="shared" si="42"/>
        <v>60103.758064516136</v>
      </c>
      <c r="AS13" s="197">
        <f t="shared" si="38"/>
        <v>-1345.0483870967728</v>
      </c>
      <c r="AT13" s="271"/>
      <c r="AU13" s="436"/>
      <c r="AV13" s="518">
        <f t="shared" si="43"/>
        <v>0.78</v>
      </c>
      <c r="AW13" s="290">
        <f>-SUM('B5'!AI12)</f>
        <v>-290</v>
      </c>
      <c r="AX13" s="290">
        <f t="shared" si="39"/>
        <v>-1055.0483870967728</v>
      </c>
      <c r="AY13" s="37">
        <f t="shared" si="40"/>
        <v>-1345.0483870967728</v>
      </c>
      <c r="AZ13" s="100">
        <f>ELEC!A10</f>
        <v>0</v>
      </c>
      <c r="BA13" s="118">
        <f>'General information '!D13</f>
        <v>18</v>
      </c>
      <c r="BB13" s="394">
        <f>SUM('General information '!E13)</f>
        <v>0.76</v>
      </c>
      <c r="BC13" s="3">
        <f t="shared" si="44"/>
        <v>0</v>
      </c>
      <c r="BD13" s="102">
        <v>19222</v>
      </c>
      <c r="BE13" s="14">
        <f>(305/1185)*ELEC!Q11</f>
        <v>545.13924050596211</v>
      </c>
      <c r="BF13" s="14"/>
      <c r="BG13" s="14" t="e">
        <f>#REF!-BE13</f>
        <v>#REF!</v>
      </c>
      <c r="BH13" s="11"/>
      <c r="BI13">
        <v>5</v>
      </c>
      <c r="BJ13">
        <f t="shared" si="41"/>
        <v>-211.00967741935455</v>
      </c>
      <c r="BK13" s="614">
        <f>GEN!AF10</f>
        <v>0.35125000000016371</v>
      </c>
    </row>
    <row r="14" spans="1:63">
      <c r="A14" s="444">
        <f>ELEC!C11</f>
        <v>44264</v>
      </c>
      <c r="B14">
        <f>'B5'!B13</f>
        <v>192</v>
      </c>
      <c r="C14" s="203">
        <f t="shared" si="18"/>
        <v>4131.0967741935483</v>
      </c>
      <c r="D14">
        <f t="shared" si="19"/>
        <v>192</v>
      </c>
      <c r="E14" s="203">
        <f t="shared" si="18"/>
        <v>4131.0967741935483</v>
      </c>
      <c r="F14">
        <f t="shared" si="20"/>
        <v>192</v>
      </c>
      <c r="G14" s="203">
        <f t="shared" si="1"/>
        <v>4131.0967741935483</v>
      </c>
      <c r="H14" s="203">
        <f t="shared" si="21"/>
        <v>192</v>
      </c>
      <c r="I14" s="203">
        <f t="shared" si="2"/>
        <v>4131.0967741935483</v>
      </c>
      <c r="J14" s="203">
        <f t="shared" si="22"/>
        <v>192</v>
      </c>
      <c r="K14" s="203">
        <f t="shared" si="3"/>
        <v>4131.0967741935483</v>
      </c>
      <c r="L14" s="203">
        <f t="shared" si="23"/>
        <v>192</v>
      </c>
      <c r="M14" s="203">
        <f t="shared" si="4"/>
        <v>4131.0967741935483</v>
      </c>
      <c r="N14" s="203">
        <f t="shared" si="24"/>
        <v>192</v>
      </c>
      <c r="O14" s="203">
        <f t="shared" si="5"/>
        <v>4131.0967741935483</v>
      </c>
      <c r="P14" s="203">
        <f t="shared" si="25"/>
        <v>192</v>
      </c>
      <c r="Q14" s="203">
        <f t="shared" si="6"/>
        <v>4131.0967741935483</v>
      </c>
      <c r="R14" s="203">
        <f t="shared" si="26"/>
        <v>192</v>
      </c>
      <c r="S14" s="203">
        <f t="shared" si="7"/>
        <v>4131.0967741935483</v>
      </c>
      <c r="T14" s="203">
        <f t="shared" si="27"/>
        <v>192</v>
      </c>
      <c r="U14" s="203">
        <f t="shared" si="8"/>
        <v>4131.0967741935483</v>
      </c>
      <c r="V14" s="203">
        <f t="shared" si="28"/>
        <v>192</v>
      </c>
      <c r="W14" s="203">
        <f t="shared" si="9"/>
        <v>4131.0967741935483</v>
      </c>
      <c r="X14" s="35">
        <f t="shared" si="10"/>
        <v>0.61935483870967734</v>
      </c>
      <c r="Y14" s="36">
        <f t="shared" si="29"/>
        <v>45442.064516129023</v>
      </c>
      <c r="Z14" s="203">
        <f>'B5'!C13</f>
        <v>198.5</v>
      </c>
      <c r="AA14" s="203">
        <f t="shared" si="30"/>
        <v>1985</v>
      </c>
      <c r="AB14" s="203">
        <f t="shared" si="31"/>
        <v>198.5</v>
      </c>
      <c r="AC14" s="203">
        <f t="shared" si="30"/>
        <v>1985</v>
      </c>
      <c r="AD14" s="203">
        <f t="shared" si="32"/>
        <v>198.5</v>
      </c>
      <c r="AE14" s="203">
        <f t="shared" si="11"/>
        <v>1985</v>
      </c>
      <c r="AF14" s="203">
        <f t="shared" si="33"/>
        <v>198.5</v>
      </c>
      <c r="AG14" s="203">
        <f t="shared" si="12"/>
        <v>1985</v>
      </c>
      <c r="AH14" s="203">
        <f t="shared" si="34"/>
        <v>198.5</v>
      </c>
      <c r="AI14" s="203">
        <f t="shared" si="13"/>
        <v>1985</v>
      </c>
      <c r="AJ14" s="203">
        <f t="shared" si="35"/>
        <v>198.5</v>
      </c>
      <c r="AK14" s="203">
        <f t="shared" si="14"/>
        <v>1985</v>
      </c>
      <c r="AL14" s="203">
        <f t="shared" si="36"/>
        <v>198.5</v>
      </c>
      <c r="AM14" s="203">
        <f t="shared" si="15"/>
        <v>1985</v>
      </c>
      <c r="AN14" s="35">
        <f t="shared" si="16"/>
        <v>0.70892857142857146</v>
      </c>
      <c r="AO14" s="36">
        <f t="shared" si="17"/>
        <v>13895</v>
      </c>
      <c r="AQ14" s="223">
        <f t="shared" si="37"/>
        <v>0.63823883528158576</v>
      </c>
      <c r="AR14" s="38">
        <f t="shared" si="42"/>
        <v>59337.064516129023</v>
      </c>
      <c r="AS14" s="197">
        <f>SUM(AR14-AR13-AT14)</f>
        <v>-766.69354838711297</v>
      </c>
      <c r="AT14" s="271"/>
      <c r="AU14" s="478"/>
      <c r="AV14" s="518">
        <f t="shared" si="43"/>
        <v>0.78</v>
      </c>
      <c r="AW14" s="290">
        <f>-SUM('B5'!AI13)</f>
        <v>-220</v>
      </c>
      <c r="AX14" s="290">
        <f t="shared" si="39"/>
        <v>-546.69354838711297</v>
      </c>
      <c r="AY14" s="37">
        <f t="shared" si="40"/>
        <v>-766.69354838711297</v>
      </c>
      <c r="AZ14" s="100">
        <f>ELEC!A11</f>
        <v>0</v>
      </c>
      <c r="BA14" s="118">
        <f>'General information '!D14</f>
        <v>20</v>
      </c>
      <c r="BB14" s="394">
        <f>SUM('General information '!E14)</f>
        <v>0.53</v>
      </c>
      <c r="BC14" s="3">
        <f t="shared" si="44"/>
        <v>0</v>
      </c>
      <c r="BD14" s="102">
        <v>19222</v>
      </c>
      <c r="BE14" s="14">
        <f>(305/1185)*ELEC!Q12</f>
        <v>766.74683544380957</v>
      </c>
      <c r="BF14" s="14"/>
      <c r="BG14" s="14" t="e">
        <f>#REF!-BE14</f>
        <v>#REF!</v>
      </c>
      <c r="BH14" s="11"/>
      <c r="BI14">
        <v>3</v>
      </c>
      <c r="BJ14">
        <f t="shared" si="41"/>
        <v>-182.23118279570431</v>
      </c>
      <c r="BK14" s="614">
        <f>GEN!AF11</f>
        <v>0.44124999999970294</v>
      </c>
    </row>
    <row r="15" spans="1:63" ht="13.5" customHeight="1">
      <c r="A15" s="444">
        <f>ELEC!C12</f>
        <v>44265</v>
      </c>
      <c r="B15">
        <f>'B5'!B14</f>
        <v>187.5</v>
      </c>
      <c r="C15" s="203">
        <f t="shared" si="18"/>
        <v>4034.2741935483868</v>
      </c>
      <c r="D15">
        <f t="shared" si="19"/>
        <v>187.5</v>
      </c>
      <c r="E15" s="203">
        <f t="shared" si="18"/>
        <v>4034.2741935483868</v>
      </c>
      <c r="F15">
        <f t="shared" si="20"/>
        <v>187.5</v>
      </c>
      <c r="G15" s="203">
        <f t="shared" si="1"/>
        <v>4034.2741935483868</v>
      </c>
      <c r="H15" s="203">
        <f t="shared" si="21"/>
        <v>187.5</v>
      </c>
      <c r="I15" s="203">
        <f t="shared" si="2"/>
        <v>4034.2741935483868</v>
      </c>
      <c r="J15" s="203">
        <f t="shared" si="22"/>
        <v>187.5</v>
      </c>
      <c r="K15" s="203">
        <f t="shared" si="3"/>
        <v>4034.2741935483868</v>
      </c>
      <c r="L15" s="203">
        <f t="shared" si="23"/>
        <v>187.5</v>
      </c>
      <c r="M15" s="203">
        <f t="shared" si="4"/>
        <v>4034.2741935483868</v>
      </c>
      <c r="N15" s="203">
        <f t="shared" si="24"/>
        <v>187.5</v>
      </c>
      <c r="O15" s="203">
        <f t="shared" si="5"/>
        <v>4034.2741935483868</v>
      </c>
      <c r="P15" s="203">
        <f t="shared" si="25"/>
        <v>187.5</v>
      </c>
      <c r="Q15" s="203">
        <f t="shared" si="6"/>
        <v>4034.2741935483868</v>
      </c>
      <c r="R15" s="203">
        <f t="shared" si="26"/>
        <v>187.5</v>
      </c>
      <c r="S15" s="203">
        <f t="shared" si="7"/>
        <v>4034.2741935483868</v>
      </c>
      <c r="T15" s="203">
        <f t="shared" si="27"/>
        <v>187.5</v>
      </c>
      <c r="U15" s="203">
        <f t="shared" si="8"/>
        <v>4034.2741935483868</v>
      </c>
      <c r="V15" s="203">
        <f t="shared" si="28"/>
        <v>187.5</v>
      </c>
      <c r="W15" s="203">
        <f t="shared" si="9"/>
        <v>4034.2741935483868</v>
      </c>
      <c r="X15" s="35">
        <f t="shared" si="10"/>
        <v>0.60483870967741937</v>
      </c>
      <c r="Y15" s="36">
        <f t="shared" si="29"/>
        <v>44377.016129032258</v>
      </c>
      <c r="Z15" s="203">
        <f>'B5'!C14</f>
        <v>194</v>
      </c>
      <c r="AA15" s="203">
        <f t="shared" si="30"/>
        <v>1940</v>
      </c>
      <c r="AB15" s="203">
        <f t="shared" si="31"/>
        <v>194</v>
      </c>
      <c r="AC15" s="203">
        <f t="shared" si="30"/>
        <v>1940</v>
      </c>
      <c r="AD15" s="203">
        <f t="shared" si="32"/>
        <v>194</v>
      </c>
      <c r="AE15" s="203">
        <f t="shared" si="11"/>
        <v>1940</v>
      </c>
      <c r="AF15" s="203">
        <f t="shared" si="33"/>
        <v>194</v>
      </c>
      <c r="AG15" s="203">
        <f t="shared" si="12"/>
        <v>1940</v>
      </c>
      <c r="AH15" s="203">
        <f t="shared" si="34"/>
        <v>194</v>
      </c>
      <c r="AI15" s="203">
        <f t="shared" si="13"/>
        <v>1940</v>
      </c>
      <c r="AJ15" s="203">
        <f t="shared" si="35"/>
        <v>194</v>
      </c>
      <c r="AK15" s="203">
        <f t="shared" si="14"/>
        <v>1940</v>
      </c>
      <c r="AL15" s="203">
        <f t="shared" si="36"/>
        <v>194</v>
      </c>
      <c r="AM15" s="203">
        <f t="shared" si="15"/>
        <v>1940</v>
      </c>
      <c r="AN15" s="35">
        <f t="shared" si="16"/>
        <v>0.69285714285714284</v>
      </c>
      <c r="AO15" s="36">
        <f t="shared" si="17"/>
        <v>13580</v>
      </c>
      <c r="AQ15" s="223">
        <f t="shared" si="37"/>
        <v>0.62339481691978338</v>
      </c>
      <c r="AR15" s="38">
        <f t="shared" si="42"/>
        <v>57957.016129032258</v>
      </c>
      <c r="AS15" s="197">
        <f>SUM(AR15-AR14-AT15)</f>
        <v>-1380.0483870967655</v>
      </c>
      <c r="AT15" s="271"/>
      <c r="AU15" s="436"/>
      <c r="AV15" s="518">
        <f>IF(AT15&gt;0,AU15,AV14)</f>
        <v>0.78</v>
      </c>
      <c r="AW15" s="290">
        <f>-SUM('B5'!AI14)</f>
        <v>-276</v>
      </c>
      <c r="AX15" s="290">
        <f>-SUM(AW15-AS15)</f>
        <v>-1104.0483870967655</v>
      </c>
      <c r="AY15" s="37">
        <f t="shared" si="40"/>
        <v>-1380.0483870967655</v>
      </c>
      <c r="AZ15" s="100">
        <f>ELEC!A12</f>
        <v>0</v>
      </c>
      <c r="BA15" s="118">
        <f>'General information '!D15</f>
        <v>16</v>
      </c>
      <c r="BB15" s="394">
        <f>SUM('General information '!E15)</f>
        <v>0.74</v>
      </c>
      <c r="BC15" s="3">
        <f t="shared" si="44"/>
        <v>0</v>
      </c>
      <c r="BD15" s="102">
        <v>19222</v>
      </c>
      <c r="BE15" s="14">
        <f>(305/1185)*ELEC!Q13</f>
        <v>522.48945147649363</v>
      </c>
      <c r="BF15" s="14"/>
      <c r="BG15" s="14" t="e">
        <f>#REF!-BE15</f>
        <v>#REF!</v>
      </c>
      <c r="BH15" s="11"/>
      <c r="BI15">
        <v>4</v>
      </c>
      <c r="BJ15">
        <f t="shared" si="41"/>
        <v>-276.01209677419138</v>
      </c>
      <c r="BK15" s="614">
        <f>GEN!AF12</f>
        <v>0.46546875000046839</v>
      </c>
    </row>
    <row r="16" spans="1:63">
      <c r="A16" s="444">
        <f>ELEC!C13</f>
        <v>44266</v>
      </c>
      <c r="B16">
        <f>'B5'!B15</f>
        <v>184</v>
      </c>
      <c r="C16" s="203">
        <f t="shared" si="18"/>
        <v>3958.9677419354839</v>
      </c>
      <c r="D16">
        <f t="shared" si="19"/>
        <v>184</v>
      </c>
      <c r="E16" s="203">
        <f t="shared" si="18"/>
        <v>3958.9677419354839</v>
      </c>
      <c r="F16">
        <f t="shared" si="20"/>
        <v>184</v>
      </c>
      <c r="G16" s="203">
        <f t="shared" si="1"/>
        <v>3958.9677419354839</v>
      </c>
      <c r="H16" s="203">
        <f t="shared" si="21"/>
        <v>184</v>
      </c>
      <c r="I16" s="203">
        <f t="shared" si="2"/>
        <v>3958.9677419354839</v>
      </c>
      <c r="J16" s="203">
        <f t="shared" si="22"/>
        <v>184</v>
      </c>
      <c r="K16" s="203">
        <f t="shared" si="3"/>
        <v>3958.9677419354839</v>
      </c>
      <c r="L16" s="203">
        <f t="shared" si="23"/>
        <v>184</v>
      </c>
      <c r="M16" s="203">
        <f t="shared" si="4"/>
        <v>3958.9677419354839</v>
      </c>
      <c r="N16" s="203">
        <f t="shared" si="24"/>
        <v>184</v>
      </c>
      <c r="O16" s="203">
        <f t="shared" si="5"/>
        <v>3958.9677419354839</v>
      </c>
      <c r="P16" s="203">
        <f t="shared" si="25"/>
        <v>184</v>
      </c>
      <c r="Q16" s="203">
        <f t="shared" si="6"/>
        <v>3958.9677419354839</v>
      </c>
      <c r="R16" s="203">
        <f t="shared" si="26"/>
        <v>184</v>
      </c>
      <c r="S16" s="203">
        <f t="shared" si="7"/>
        <v>3958.9677419354839</v>
      </c>
      <c r="T16" s="203">
        <f t="shared" si="27"/>
        <v>184</v>
      </c>
      <c r="U16" s="203">
        <f t="shared" si="8"/>
        <v>3958.9677419354839</v>
      </c>
      <c r="V16" s="203">
        <f t="shared" si="28"/>
        <v>184</v>
      </c>
      <c r="W16" s="203">
        <f t="shared" si="9"/>
        <v>3958.9677419354839</v>
      </c>
      <c r="X16" s="35">
        <f t="shared" si="10"/>
        <v>0.59354838709677427</v>
      </c>
      <c r="Y16" s="36">
        <f t="shared" si="29"/>
        <v>43548.645161290326</v>
      </c>
      <c r="Z16" s="203">
        <f>'B5'!C15</f>
        <v>190.5</v>
      </c>
      <c r="AA16" s="203">
        <f t="shared" si="30"/>
        <v>1905</v>
      </c>
      <c r="AB16" s="203">
        <f t="shared" si="31"/>
        <v>190.5</v>
      </c>
      <c r="AC16" s="203">
        <f t="shared" si="30"/>
        <v>1905</v>
      </c>
      <c r="AD16" s="203">
        <f t="shared" si="32"/>
        <v>190.5</v>
      </c>
      <c r="AE16" s="203">
        <f t="shared" si="11"/>
        <v>1905</v>
      </c>
      <c r="AF16" s="203">
        <f t="shared" si="33"/>
        <v>190.5</v>
      </c>
      <c r="AG16" s="203">
        <f t="shared" si="12"/>
        <v>1905</v>
      </c>
      <c r="AH16" s="203">
        <f t="shared" si="34"/>
        <v>190.5</v>
      </c>
      <c r="AI16" s="203">
        <f t="shared" si="13"/>
        <v>1905</v>
      </c>
      <c r="AJ16" s="203">
        <f t="shared" si="35"/>
        <v>190.5</v>
      </c>
      <c r="AK16" s="203">
        <f t="shared" si="14"/>
        <v>1905</v>
      </c>
      <c r="AL16" s="203">
        <f t="shared" si="36"/>
        <v>190.5</v>
      </c>
      <c r="AM16" s="203">
        <f t="shared" si="15"/>
        <v>1905</v>
      </c>
      <c r="AN16" s="35">
        <f t="shared" si="16"/>
        <v>0.68035714285714288</v>
      </c>
      <c r="AO16" s="36">
        <f t="shared" si="17"/>
        <v>13335</v>
      </c>
      <c r="AQ16" s="223">
        <f t="shared" si="37"/>
        <v>0.61184946930504813</v>
      </c>
      <c r="AR16" s="38">
        <f t="shared" si="42"/>
        <v>56883.645161290326</v>
      </c>
      <c r="AS16" s="197">
        <f>SUM(AR16-AR15-AT16)</f>
        <v>-1073.370967741932</v>
      </c>
      <c r="AT16" s="355"/>
      <c r="AU16" s="436"/>
      <c r="AV16" s="518">
        <f>IF(AT16&gt;0,AU16,AV15)</f>
        <v>0.78</v>
      </c>
      <c r="AW16" s="290">
        <f>-SUM('B5'!AI15)</f>
        <v>-242</v>
      </c>
      <c r="AX16" s="290">
        <f>-SUM(AW16-AS16)</f>
        <v>-831.37096774193196</v>
      </c>
      <c r="AY16" s="37">
        <f t="shared" si="40"/>
        <v>-1073.370967741932</v>
      </c>
      <c r="AZ16" s="100">
        <f>ELEC!A13</f>
        <v>0</v>
      </c>
      <c r="BA16" s="118">
        <f>'General information '!D16</f>
        <v>14.5</v>
      </c>
      <c r="BB16" s="394">
        <f>SUM('General information '!E16)</f>
        <v>0.57999999999999996</v>
      </c>
      <c r="BC16" s="3">
        <f t="shared" si="44"/>
        <v>0</v>
      </c>
      <c r="BD16" s="102">
        <v>19222</v>
      </c>
      <c r="BE16" s="14">
        <f>(305/1185)*ELEC!Q14</f>
        <v>479.76371307959204</v>
      </c>
      <c r="BF16" s="14"/>
      <c r="BG16" s="14" t="e">
        <f>#REF!-BE16</f>
        <v>#REF!</v>
      </c>
      <c r="BH16" s="11"/>
      <c r="BI16">
        <v>3</v>
      </c>
      <c r="BJ16">
        <f t="shared" si="41"/>
        <v>-277.1236559139773</v>
      </c>
      <c r="BK16" s="614">
        <f>GEN!AF13</f>
        <v>0.42291666666642413</v>
      </c>
    </row>
    <row r="17" spans="1:61">
      <c r="A17" s="444">
        <f>ELEC!C14</f>
        <v>44267</v>
      </c>
      <c r="B17">
        <f>'B5'!B16</f>
        <v>181</v>
      </c>
      <c r="C17" s="203">
        <f t="shared" si="18"/>
        <v>3894.4193548387098</v>
      </c>
      <c r="D17">
        <f t="shared" si="19"/>
        <v>181</v>
      </c>
      <c r="E17" s="203">
        <f t="shared" si="18"/>
        <v>3894.4193548387098</v>
      </c>
      <c r="F17">
        <f t="shared" si="20"/>
        <v>181</v>
      </c>
      <c r="G17" s="203">
        <f t="shared" si="1"/>
        <v>3894.4193548387098</v>
      </c>
      <c r="H17" s="203">
        <f t="shared" si="21"/>
        <v>181</v>
      </c>
      <c r="I17" s="203">
        <f t="shared" si="2"/>
        <v>3894.4193548387098</v>
      </c>
      <c r="J17" s="203">
        <f t="shared" si="22"/>
        <v>181</v>
      </c>
      <c r="K17" s="203">
        <f t="shared" si="3"/>
        <v>3894.4193548387098</v>
      </c>
      <c r="L17" s="203">
        <f t="shared" si="23"/>
        <v>181</v>
      </c>
      <c r="M17" s="203">
        <f t="shared" si="4"/>
        <v>3894.4193548387098</v>
      </c>
      <c r="N17" s="203">
        <f t="shared" si="24"/>
        <v>181</v>
      </c>
      <c r="O17" s="203">
        <f t="shared" si="5"/>
        <v>3894.4193548387098</v>
      </c>
      <c r="P17" s="203">
        <f t="shared" si="25"/>
        <v>181</v>
      </c>
      <c r="Q17" s="203">
        <f t="shared" si="6"/>
        <v>3894.4193548387098</v>
      </c>
      <c r="R17" s="203">
        <f t="shared" si="26"/>
        <v>181</v>
      </c>
      <c r="S17" s="203">
        <f t="shared" si="7"/>
        <v>3894.4193548387098</v>
      </c>
      <c r="T17" s="203">
        <f t="shared" si="27"/>
        <v>181</v>
      </c>
      <c r="U17" s="203">
        <f t="shared" si="8"/>
        <v>3894.4193548387098</v>
      </c>
      <c r="V17" s="203">
        <f t="shared" si="28"/>
        <v>181</v>
      </c>
      <c r="W17" s="203">
        <f t="shared" si="9"/>
        <v>3894.4193548387098</v>
      </c>
      <c r="X17" s="35">
        <f t="shared" si="10"/>
        <v>0.58387096774193559</v>
      </c>
      <c r="Y17" s="36">
        <f t="shared" si="29"/>
        <v>42838.61290322581</v>
      </c>
      <c r="Z17" s="203">
        <f>'B5'!C16</f>
        <v>187.5</v>
      </c>
      <c r="AA17" s="203">
        <f t="shared" si="30"/>
        <v>1875</v>
      </c>
      <c r="AB17" s="203">
        <f t="shared" si="31"/>
        <v>187.5</v>
      </c>
      <c r="AC17" s="203">
        <f t="shared" si="30"/>
        <v>1875</v>
      </c>
      <c r="AD17" s="203">
        <f t="shared" si="32"/>
        <v>187.5</v>
      </c>
      <c r="AE17" s="203">
        <f t="shared" si="11"/>
        <v>1875</v>
      </c>
      <c r="AF17" s="203">
        <f t="shared" si="33"/>
        <v>187.5</v>
      </c>
      <c r="AG17" s="203">
        <f t="shared" si="12"/>
        <v>1875</v>
      </c>
      <c r="AH17" s="203">
        <f t="shared" si="34"/>
        <v>187.5</v>
      </c>
      <c r="AI17" s="203">
        <f t="shared" si="13"/>
        <v>1875</v>
      </c>
      <c r="AJ17" s="203">
        <f t="shared" si="35"/>
        <v>187.5</v>
      </c>
      <c r="AK17" s="203">
        <f t="shared" si="14"/>
        <v>1875</v>
      </c>
      <c r="AL17" s="203">
        <f t="shared" si="36"/>
        <v>187.5</v>
      </c>
      <c r="AM17" s="203">
        <f t="shared" si="15"/>
        <v>1875</v>
      </c>
      <c r="AN17" s="35">
        <f t="shared" si="16"/>
        <v>0.6696428571428571</v>
      </c>
      <c r="AO17" s="36">
        <f>SUM(AA17+AC17+AE17+AG17+AI17+AK17+AM17)</f>
        <v>13125</v>
      </c>
      <c r="AQ17" s="223">
        <f t="shared" si="37"/>
        <v>0.60195345706384651</v>
      </c>
      <c r="AR17" s="38">
        <f t="shared" si="42"/>
        <v>55963.61290322581</v>
      </c>
      <c r="AS17" s="197">
        <f t="shared" si="38"/>
        <v>-920.03225806451519</v>
      </c>
      <c r="AT17" s="355"/>
      <c r="AU17" s="478"/>
      <c r="AV17" s="518">
        <f t="shared" si="43"/>
        <v>0.78</v>
      </c>
      <c r="AW17" s="290">
        <f>-SUM('B5'!AI16)</f>
        <v>-257</v>
      </c>
      <c r="AX17" s="290">
        <f t="shared" si="39"/>
        <v>-663.03225806451519</v>
      </c>
      <c r="AY17" s="37">
        <f t="shared" si="40"/>
        <v>-920.03225806451519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0.52</v>
      </c>
      <c r="BC17" s="3">
        <f t="shared" si="44"/>
        <v>0</v>
      </c>
      <c r="BD17" s="102">
        <v>19222</v>
      </c>
      <c r="BE17" s="14">
        <f>(305/1185)*ELEC!Q15</f>
        <v>490.05907173054214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178</v>
      </c>
      <c r="C18" s="203">
        <f t="shared" si="18"/>
        <v>3829.8709677419356</v>
      </c>
      <c r="D18">
        <f t="shared" si="19"/>
        <v>178</v>
      </c>
      <c r="E18" s="203">
        <f t="shared" si="18"/>
        <v>3829.8709677419356</v>
      </c>
      <c r="F18">
        <f t="shared" si="20"/>
        <v>178</v>
      </c>
      <c r="G18" s="203">
        <f t="shared" si="1"/>
        <v>3829.8709677419356</v>
      </c>
      <c r="H18" s="203">
        <f t="shared" si="21"/>
        <v>178</v>
      </c>
      <c r="I18" s="203">
        <f t="shared" si="2"/>
        <v>3829.8709677419356</v>
      </c>
      <c r="J18" s="203">
        <f t="shared" si="22"/>
        <v>178</v>
      </c>
      <c r="K18" s="203">
        <f t="shared" si="3"/>
        <v>3829.8709677419356</v>
      </c>
      <c r="L18" s="203">
        <f t="shared" si="23"/>
        <v>178</v>
      </c>
      <c r="M18" s="203">
        <f t="shared" si="4"/>
        <v>3829.8709677419356</v>
      </c>
      <c r="N18" s="203">
        <f t="shared" si="24"/>
        <v>178</v>
      </c>
      <c r="O18" s="203">
        <f t="shared" si="5"/>
        <v>3829.8709677419356</v>
      </c>
      <c r="P18" s="203">
        <f t="shared" si="25"/>
        <v>178</v>
      </c>
      <c r="Q18" s="203">
        <f t="shared" si="6"/>
        <v>3829.8709677419356</v>
      </c>
      <c r="R18" s="203">
        <f t="shared" si="26"/>
        <v>178</v>
      </c>
      <c r="S18" s="203">
        <f t="shared" si="7"/>
        <v>3829.8709677419356</v>
      </c>
      <c r="T18" s="203">
        <f t="shared" si="27"/>
        <v>178</v>
      </c>
      <c r="U18" s="203">
        <f t="shared" si="8"/>
        <v>3829.8709677419356</v>
      </c>
      <c r="V18" s="203">
        <f t="shared" si="28"/>
        <v>178</v>
      </c>
      <c r="W18" s="203">
        <f t="shared" si="9"/>
        <v>3829.8709677419356</v>
      </c>
      <c r="X18" s="35">
        <f t="shared" si="10"/>
        <v>0.57419354838709691</v>
      </c>
      <c r="Y18" s="36">
        <f t="shared" si="29"/>
        <v>42128.580645161303</v>
      </c>
      <c r="Z18" s="203">
        <f>'B5'!C17</f>
        <v>184</v>
      </c>
      <c r="AA18" s="203">
        <f t="shared" si="30"/>
        <v>1840</v>
      </c>
      <c r="AB18" s="203">
        <f t="shared" si="31"/>
        <v>184</v>
      </c>
      <c r="AC18" s="203">
        <f t="shared" si="30"/>
        <v>1840</v>
      </c>
      <c r="AD18" s="203">
        <f t="shared" si="32"/>
        <v>184</v>
      </c>
      <c r="AE18" s="203">
        <f t="shared" si="11"/>
        <v>1840</v>
      </c>
      <c r="AF18" s="203">
        <f t="shared" si="33"/>
        <v>184</v>
      </c>
      <c r="AG18" s="203">
        <f t="shared" si="12"/>
        <v>1840</v>
      </c>
      <c r="AH18" s="203">
        <f t="shared" si="34"/>
        <v>184</v>
      </c>
      <c r="AI18" s="203">
        <f t="shared" si="13"/>
        <v>1840</v>
      </c>
      <c r="AJ18" s="203">
        <f t="shared" si="35"/>
        <v>184</v>
      </c>
      <c r="AK18" s="203">
        <f t="shared" si="14"/>
        <v>1840</v>
      </c>
      <c r="AL18" s="203">
        <f t="shared" si="36"/>
        <v>184</v>
      </c>
      <c r="AM18" s="203">
        <f t="shared" si="15"/>
        <v>1840</v>
      </c>
      <c r="AN18" s="35">
        <f t="shared" si="16"/>
        <v>0.65714285714285714</v>
      </c>
      <c r="AO18" s="36">
        <f t="shared" si="17"/>
        <v>12880</v>
      </c>
      <c r="AQ18" s="223">
        <f t="shared" si="37"/>
        <v>0.59168097929613106</v>
      </c>
      <c r="AR18" s="38">
        <f t="shared" si="42"/>
        <v>55008.580645161303</v>
      </c>
      <c r="AS18" s="197">
        <f t="shared" si="38"/>
        <v>-955.03225806450791</v>
      </c>
      <c r="AT18" s="271"/>
      <c r="AU18" s="436"/>
      <c r="AV18" s="518">
        <f>IF(AT18&gt;0,AU18,AV17)</f>
        <v>0.78</v>
      </c>
      <c r="AW18" s="290">
        <f>-SUM('B5'!AI17)</f>
        <v>-233</v>
      </c>
      <c r="AX18" s="290">
        <f t="shared" si="39"/>
        <v>-722.03225806450791</v>
      </c>
      <c r="AY18" s="37">
        <f t="shared" si="40"/>
        <v>-955.03225806450791</v>
      </c>
      <c r="AZ18" s="100">
        <f>ELEC!A15</f>
        <v>0</v>
      </c>
      <c r="BA18" s="118">
        <f>'General information '!D18</f>
        <v>17</v>
      </c>
      <c r="BB18" s="394">
        <f>SUM('General information '!E18)</f>
        <v>0.65</v>
      </c>
      <c r="BC18" s="3">
        <f t="shared" si="44"/>
        <v>0</v>
      </c>
      <c r="BD18" s="102">
        <v>19222</v>
      </c>
      <c r="BE18" s="14">
        <f>(305/1185)*ELEC!Q16</f>
        <v>715.52742616003798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174</v>
      </c>
      <c r="C19" s="203">
        <f t="shared" si="18"/>
        <v>3743.8064516129029</v>
      </c>
      <c r="D19">
        <f t="shared" si="19"/>
        <v>174</v>
      </c>
      <c r="E19" s="203">
        <f t="shared" si="18"/>
        <v>3743.8064516129029</v>
      </c>
      <c r="F19">
        <f t="shared" si="20"/>
        <v>174</v>
      </c>
      <c r="G19" s="203">
        <f t="shared" si="1"/>
        <v>3743.8064516129029</v>
      </c>
      <c r="H19" s="203">
        <f t="shared" si="21"/>
        <v>174</v>
      </c>
      <c r="I19" s="203">
        <f t="shared" si="2"/>
        <v>3743.8064516129029</v>
      </c>
      <c r="J19" s="203">
        <f t="shared" si="22"/>
        <v>174</v>
      </c>
      <c r="K19" s="203">
        <f t="shared" si="3"/>
        <v>3743.8064516129029</v>
      </c>
      <c r="L19" s="203">
        <f t="shared" si="23"/>
        <v>174</v>
      </c>
      <c r="M19" s="203">
        <f t="shared" si="4"/>
        <v>3743.8064516129029</v>
      </c>
      <c r="N19" s="203">
        <f t="shared" si="24"/>
        <v>174</v>
      </c>
      <c r="O19" s="203">
        <f t="shared" si="5"/>
        <v>3743.8064516129029</v>
      </c>
      <c r="P19" s="203">
        <f t="shared" si="25"/>
        <v>174</v>
      </c>
      <c r="Q19" s="203">
        <f t="shared" si="6"/>
        <v>3743.8064516129029</v>
      </c>
      <c r="R19" s="203">
        <f t="shared" si="26"/>
        <v>174</v>
      </c>
      <c r="S19" s="203">
        <f t="shared" si="7"/>
        <v>3743.8064516129029</v>
      </c>
      <c r="T19" s="203">
        <f t="shared" si="27"/>
        <v>174</v>
      </c>
      <c r="U19" s="203">
        <f t="shared" si="8"/>
        <v>3743.8064516129029</v>
      </c>
      <c r="V19" s="203">
        <f t="shared" si="28"/>
        <v>174</v>
      </c>
      <c r="W19" s="203">
        <f t="shared" si="9"/>
        <v>3743.8064516129029</v>
      </c>
      <c r="X19" s="35">
        <f t="shared" si="10"/>
        <v>0.56129032258064504</v>
      </c>
      <c r="Y19" s="36">
        <f t="shared" si="29"/>
        <v>41181.870967741925</v>
      </c>
      <c r="Z19" s="203">
        <f>'B5'!C18</f>
        <v>180</v>
      </c>
      <c r="AA19" s="203">
        <f t="shared" si="30"/>
        <v>1800</v>
      </c>
      <c r="AB19" s="203">
        <f t="shared" si="31"/>
        <v>180</v>
      </c>
      <c r="AC19" s="203">
        <f t="shared" si="30"/>
        <v>1800</v>
      </c>
      <c r="AD19" s="203">
        <f t="shared" si="32"/>
        <v>180</v>
      </c>
      <c r="AE19" s="203">
        <f t="shared" si="11"/>
        <v>1800</v>
      </c>
      <c r="AF19" s="203">
        <f t="shared" si="33"/>
        <v>180</v>
      </c>
      <c r="AG19" s="203">
        <f t="shared" si="12"/>
        <v>1800</v>
      </c>
      <c r="AH19" s="203">
        <f t="shared" si="34"/>
        <v>180</v>
      </c>
      <c r="AI19" s="203">
        <f t="shared" si="13"/>
        <v>1800</v>
      </c>
      <c r="AJ19" s="203">
        <f t="shared" si="35"/>
        <v>180</v>
      </c>
      <c r="AK19" s="203">
        <f t="shared" si="14"/>
        <v>1800</v>
      </c>
      <c r="AL19" s="203">
        <f t="shared" si="36"/>
        <v>180</v>
      </c>
      <c r="AM19" s="203">
        <f t="shared" si="15"/>
        <v>1800</v>
      </c>
      <c r="AN19" s="35">
        <f t="shared" si="16"/>
        <v>0.6428571428571429</v>
      </c>
      <c r="AO19" s="36">
        <f t="shared" si="17"/>
        <v>12600</v>
      </c>
      <c r="AQ19" s="223">
        <f t="shared" si="37"/>
        <v>0.57848629630786197</v>
      </c>
      <c r="AR19" s="38">
        <f t="shared" si="42"/>
        <v>53781.870967741925</v>
      </c>
      <c r="AS19" s="197">
        <f t="shared" si="38"/>
        <v>-1226.7096774193778</v>
      </c>
      <c r="AT19" s="271"/>
      <c r="AU19" s="436"/>
      <c r="AV19" s="518">
        <f t="shared" si="43"/>
        <v>0.78</v>
      </c>
      <c r="AW19" s="290">
        <f>-SUM('B5'!AI18)</f>
        <v>-235</v>
      </c>
      <c r="AX19" s="290">
        <f t="shared" si="39"/>
        <v>-991.70967741937784</v>
      </c>
      <c r="AY19" s="37">
        <f t="shared" si="40"/>
        <v>-1226.7096774193778</v>
      </c>
      <c r="AZ19" s="100">
        <f>ELEC!A16</f>
        <v>0</v>
      </c>
      <c r="BA19" s="118">
        <f>'General information '!D19</f>
        <v>17</v>
      </c>
      <c r="BB19" s="394">
        <f>SUM('General information '!E19)</f>
        <v>0.63</v>
      </c>
      <c r="BC19" s="3">
        <f t="shared" si="44"/>
        <v>0</v>
      </c>
      <c r="BD19" s="102">
        <v>19222</v>
      </c>
      <c r="BE19" s="14">
        <f>(305/1185)*ELEC!Q17</f>
        <v>461.23206751087815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171</v>
      </c>
      <c r="C20" s="203">
        <f t="shared" si="18"/>
        <v>3679.2580645161288</v>
      </c>
      <c r="D20">
        <f t="shared" si="19"/>
        <v>171</v>
      </c>
      <c r="E20" s="203">
        <f t="shared" si="18"/>
        <v>3679.2580645161288</v>
      </c>
      <c r="F20">
        <f t="shared" si="20"/>
        <v>171</v>
      </c>
      <c r="G20" s="203">
        <f t="shared" si="1"/>
        <v>3679.2580645161288</v>
      </c>
      <c r="H20" s="203">
        <f t="shared" si="21"/>
        <v>171</v>
      </c>
      <c r="I20" s="203">
        <f t="shared" si="2"/>
        <v>3679.2580645161288</v>
      </c>
      <c r="J20" s="203">
        <f t="shared" si="22"/>
        <v>171</v>
      </c>
      <c r="K20" s="203">
        <f t="shared" si="3"/>
        <v>3679.2580645161288</v>
      </c>
      <c r="L20" s="203">
        <f t="shared" si="23"/>
        <v>171</v>
      </c>
      <c r="M20" s="203">
        <f t="shared" si="4"/>
        <v>3679.2580645161288</v>
      </c>
      <c r="N20" s="203">
        <f t="shared" si="24"/>
        <v>171</v>
      </c>
      <c r="O20" s="203">
        <f t="shared" si="5"/>
        <v>3679.2580645161288</v>
      </c>
      <c r="P20" s="203">
        <f t="shared" si="25"/>
        <v>171</v>
      </c>
      <c r="Q20" s="203">
        <f t="shared" si="6"/>
        <v>3679.2580645161288</v>
      </c>
      <c r="R20" s="203">
        <f t="shared" si="26"/>
        <v>171</v>
      </c>
      <c r="S20" s="203">
        <f t="shared" si="7"/>
        <v>3679.2580645161288</v>
      </c>
      <c r="T20" s="203">
        <f t="shared" si="27"/>
        <v>171</v>
      </c>
      <c r="U20" s="203">
        <f t="shared" si="8"/>
        <v>3679.2580645161288</v>
      </c>
      <c r="V20" s="203">
        <f t="shared" si="28"/>
        <v>171</v>
      </c>
      <c r="W20" s="203">
        <f t="shared" si="9"/>
        <v>3679.2580645161288</v>
      </c>
      <c r="X20" s="35">
        <f t="shared" si="10"/>
        <v>0.55161290322580636</v>
      </c>
      <c r="Y20" s="36">
        <f t="shared" si="29"/>
        <v>40471.838709677417</v>
      </c>
      <c r="Z20" s="203">
        <f>'B5'!C19</f>
        <v>177</v>
      </c>
      <c r="AA20" s="203">
        <f t="shared" si="30"/>
        <v>1770</v>
      </c>
      <c r="AB20" s="203">
        <f t="shared" si="31"/>
        <v>177</v>
      </c>
      <c r="AC20" s="203">
        <f t="shared" si="30"/>
        <v>1770</v>
      </c>
      <c r="AD20" s="203">
        <f t="shared" si="32"/>
        <v>177</v>
      </c>
      <c r="AE20" s="203">
        <f t="shared" si="11"/>
        <v>1770</v>
      </c>
      <c r="AF20" s="203">
        <f t="shared" si="33"/>
        <v>177</v>
      </c>
      <c r="AG20" s="203">
        <f t="shared" si="12"/>
        <v>1770</v>
      </c>
      <c r="AH20" s="203">
        <f t="shared" si="34"/>
        <v>177</v>
      </c>
      <c r="AI20" s="203">
        <f t="shared" si="13"/>
        <v>1770</v>
      </c>
      <c r="AJ20" s="203">
        <f t="shared" si="35"/>
        <v>177</v>
      </c>
      <c r="AK20" s="203">
        <f t="shared" si="14"/>
        <v>1770</v>
      </c>
      <c r="AL20" s="203">
        <f t="shared" si="36"/>
        <v>177</v>
      </c>
      <c r="AM20" s="203">
        <f t="shared" si="15"/>
        <v>1770</v>
      </c>
      <c r="AN20" s="35">
        <f t="shared" si="16"/>
        <v>0.63214285714285712</v>
      </c>
      <c r="AO20" s="36">
        <f t="shared" si="17"/>
        <v>12390</v>
      </c>
      <c r="AQ20" s="223">
        <f t="shared" si="37"/>
        <v>0.56859028406666035</v>
      </c>
      <c r="AR20" s="38">
        <f t="shared" si="42"/>
        <v>52861.838709677417</v>
      </c>
      <c r="AS20" s="197">
        <f t="shared" si="38"/>
        <v>-920.03225806450791</v>
      </c>
      <c r="AT20" s="271"/>
      <c r="AU20" s="436"/>
      <c r="AV20" s="518">
        <f t="shared" si="43"/>
        <v>0.78</v>
      </c>
      <c r="AW20" s="290">
        <f>-SUM('B5'!AI19)</f>
        <v>-228</v>
      </c>
      <c r="AX20" s="290">
        <f t="shared" si="39"/>
        <v>-692.03225806450791</v>
      </c>
      <c r="AY20" s="37">
        <f t="shared" si="40"/>
        <v>-920.03225806450791</v>
      </c>
      <c r="AZ20" s="100">
        <f>ELEC!A17</f>
        <v>0</v>
      </c>
      <c r="BA20" s="118">
        <f>'General information '!D20</f>
        <v>17</v>
      </c>
      <c r="BB20" s="394">
        <f>SUM('General information '!E20)</f>
        <v>0.6</v>
      </c>
      <c r="BC20" s="3">
        <f t="shared" si="44"/>
        <v>0</v>
      </c>
      <c r="BD20" s="102">
        <v>19222</v>
      </c>
      <c r="BE20" s="14">
        <f>(305/1185)*ELEC!Q18</f>
        <v>1314.459915611807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190</v>
      </c>
      <c r="C21" s="203">
        <f t="shared" si="18"/>
        <v>4088.0645161290322</v>
      </c>
      <c r="D21">
        <f t="shared" si="19"/>
        <v>190</v>
      </c>
      <c r="E21" s="203">
        <f t="shared" si="18"/>
        <v>4088.0645161290322</v>
      </c>
      <c r="F21">
        <f t="shared" si="20"/>
        <v>190</v>
      </c>
      <c r="G21" s="203">
        <f t="shared" si="1"/>
        <v>4088.0645161290322</v>
      </c>
      <c r="H21" s="203">
        <f t="shared" si="21"/>
        <v>190</v>
      </c>
      <c r="I21" s="203">
        <f t="shared" si="2"/>
        <v>4088.0645161290322</v>
      </c>
      <c r="J21" s="203">
        <f t="shared" si="22"/>
        <v>190</v>
      </c>
      <c r="K21" s="203">
        <f t="shared" si="3"/>
        <v>4088.0645161290322</v>
      </c>
      <c r="L21" s="203">
        <f t="shared" si="23"/>
        <v>190</v>
      </c>
      <c r="M21" s="203">
        <f t="shared" si="4"/>
        <v>4088.0645161290322</v>
      </c>
      <c r="N21" s="203">
        <f t="shared" si="24"/>
        <v>190</v>
      </c>
      <c r="O21" s="203">
        <f t="shared" si="5"/>
        <v>4088.0645161290322</v>
      </c>
      <c r="P21" s="203">
        <f t="shared" si="25"/>
        <v>190</v>
      </c>
      <c r="Q21" s="203">
        <f t="shared" si="6"/>
        <v>4088.0645161290322</v>
      </c>
      <c r="R21" s="203">
        <f t="shared" si="26"/>
        <v>190</v>
      </c>
      <c r="S21" s="203">
        <f t="shared" si="7"/>
        <v>4088.0645161290322</v>
      </c>
      <c r="T21" s="203">
        <f t="shared" si="27"/>
        <v>190</v>
      </c>
      <c r="U21" s="203">
        <f t="shared" si="8"/>
        <v>4088.0645161290322</v>
      </c>
      <c r="V21" s="203">
        <f t="shared" si="28"/>
        <v>190</v>
      </c>
      <c r="W21" s="203">
        <f t="shared" si="9"/>
        <v>4088.0645161290322</v>
      </c>
      <c r="X21" s="35">
        <f t="shared" si="10"/>
        <v>0.6129032258064514</v>
      </c>
      <c r="Y21" s="36">
        <f t="shared" si="29"/>
        <v>44968.709677419341</v>
      </c>
      <c r="Z21" s="203">
        <f>'B5'!C20</f>
        <v>196</v>
      </c>
      <c r="AA21" s="203">
        <f t="shared" si="30"/>
        <v>1960</v>
      </c>
      <c r="AB21" s="203">
        <f t="shared" si="31"/>
        <v>196</v>
      </c>
      <c r="AC21" s="203">
        <f t="shared" si="30"/>
        <v>1960</v>
      </c>
      <c r="AD21" s="203">
        <f t="shared" si="32"/>
        <v>196</v>
      </c>
      <c r="AE21" s="203">
        <f t="shared" si="11"/>
        <v>1960</v>
      </c>
      <c r="AF21" s="203">
        <f t="shared" si="33"/>
        <v>196</v>
      </c>
      <c r="AG21" s="203">
        <f t="shared" si="12"/>
        <v>1960</v>
      </c>
      <c r="AH21" s="203">
        <f t="shared" si="34"/>
        <v>196</v>
      </c>
      <c r="AI21" s="203">
        <f t="shared" si="13"/>
        <v>1960</v>
      </c>
      <c r="AJ21" s="203">
        <f t="shared" si="35"/>
        <v>196</v>
      </c>
      <c r="AK21" s="203">
        <f t="shared" si="14"/>
        <v>1960</v>
      </c>
      <c r="AL21" s="203">
        <f t="shared" si="36"/>
        <v>196</v>
      </c>
      <c r="AM21" s="203">
        <f t="shared" si="15"/>
        <v>1960</v>
      </c>
      <c r="AN21" s="35">
        <f t="shared" si="16"/>
        <v>0.7</v>
      </c>
      <c r="AO21" s="36">
        <f t="shared" si="17"/>
        <v>13720</v>
      </c>
      <c r="AQ21" s="223">
        <f t="shared" si="37"/>
        <v>0.63126502826093733</v>
      </c>
      <c r="AR21" s="38">
        <f t="shared" si="42"/>
        <v>58688.709677419341</v>
      </c>
      <c r="AS21" s="197">
        <f t="shared" si="38"/>
        <v>-1118.1290322580753</v>
      </c>
      <c r="AT21" s="271">
        <v>6945</v>
      </c>
      <c r="AU21" s="436">
        <v>0.83099999999999996</v>
      </c>
      <c r="AV21" s="518">
        <f t="shared" si="43"/>
        <v>0.83099999999999996</v>
      </c>
      <c r="AW21" s="290">
        <f>-SUM('B5'!AI20)</f>
        <v>-442</v>
      </c>
      <c r="AX21" s="290">
        <f t="shared" si="39"/>
        <v>-676.12903225807531</v>
      </c>
      <c r="AY21" s="37">
        <f t="shared" si="40"/>
        <v>-1118.1290322580753</v>
      </c>
      <c r="AZ21" s="100">
        <f>ELEC!A18</f>
        <v>0</v>
      </c>
      <c r="BA21" s="118">
        <f>'General information '!D21</f>
        <v>16.5</v>
      </c>
      <c r="BB21" s="394">
        <f>SUM('General information '!E21)</f>
        <v>0.6</v>
      </c>
      <c r="BC21" s="3">
        <f t="shared" si="44"/>
        <v>1</v>
      </c>
      <c r="BD21" s="102">
        <v>19222</v>
      </c>
      <c r="BE21" s="14">
        <f>(305/1185)*ELEC!Q19</f>
        <v>1261.6962025311886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183</v>
      </c>
      <c r="C22" s="203">
        <f t="shared" si="18"/>
        <v>3937.4516129032259</v>
      </c>
      <c r="D22">
        <f t="shared" si="19"/>
        <v>183</v>
      </c>
      <c r="E22" s="203">
        <f t="shared" si="18"/>
        <v>3937.4516129032259</v>
      </c>
      <c r="F22">
        <f t="shared" si="20"/>
        <v>183</v>
      </c>
      <c r="G22" s="203">
        <f t="shared" si="1"/>
        <v>3937.4516129032259</v>
      </c>
      <c r="H22" s="203">
        <f t="shared" si="21"/>
        <v>183</v>
      </c>
      <c r="I22" s="203">
        <f t="shared" si="2"/>
        <v>3937.4516129032259</v>
      </c>
      <c r="J22" s="203">
        <f t="shared" si="22"/>
        <v>183</v>
      </c>
      <c r="K22" s="203">
        <f t="shared" si="3"/>
        <v>3937.4516129032259</v>
      </c>
      <c r="L22" s="203">
        <f t="shared" si="23"/>
        <v>183</v>
      </c>
      <c r="M22" s="203">
        <f t="shared" si="4"/>
        <v>3937.4516129032259</v>
      </c>
      <c r="N22" s="203">
        <f t="shared" si="24"/>
        <v>183</v>
      </c>
      <c r="O22" s="203">
        <f t="shared" si="5"/>
        <v>3937.4516129032259</v>
      </c>
      <c r="P22" s="203">
        <f t="shared" si="25"/>
        <v>183</v>
      </c>
      <c r="Q22" s="203">
        <f t="shared" si="6"/>
        <v>3937.4516129032259</v>
      </c>
      <c r="R22" s="203">
        <f t="shared" si="26"/>
        <v>183</v>
      </c>
      <c r="S22" s="203">
        <f t="shared" si="7"/>
        <v>3937.4516129032259</v>
      </c>
      <c r="T22" s="203">
        <f t="shared" si="27"/>
        <v>183</v>
      </c>
      <c r="U22" s="203">
        <f t="shared" si="8"/>
        <v>3937.4516129032259</v>
      </c>
      <c r="V22" s="203">
        <f t="shared" si="28"/>
        <v>183</v>
      </c>
      <c r="W22" s="203">
        <f t="shared" si="9"/>
        <v>3937.4516129032259</v>
      </c>
      <c r="X22" s="35">
        <f t="shared" si="10"/>
        <v>0.59032258064516141</v>
      </c>
      <c r="Y22" s="36">
        <f t="shared" si="29"/>
        <v>43311.967741935492</v>
      </c>
      <c r="Z22" s="203">
        <f>'B5'!C21</f>
        <v>190</v>
      </c>
      <c r="AA22" s="203">
        <f t="shared" si="30"/>
        <v>1900</v>
      </c>
      <c r="AB22" s="203">
        <f t="shared" si="31"/>
        <v>190</v>
      </c>
      <c r="AC22" s="203">
        <f t="shared" si="30"/>
        <v>1900</v>
      </c>
      <c r="AD22" s="203">
        <f t="shared" si="32"/>
        <v>190</v>
      </c>
      <c r="AE22" s="203">
        <f t="shared" si="11"/>
        <v>1900</v>
      </c>
      <c r="AF22" s="203">
        <f t="shared" si="33"/>
        <v>190</v>
      </c>
      <c r="AG22" s="203">
        <f t="shared" si="12"/>
        <v>1900</v>
      </c>
      <c r="AH22" s="203">
        <f t="shared" si="34"/>
        <v>190</v>
      </c>
      <c r="AI22" s="203">
        <f t="shared" si="13"/>
        <v>1900</v>
      </c>
      <c r="AJ22" s="203">
        <f t="shared" si="35"/>
        <v>190</v>
      </c>
      <c r="AK22" s="203">
        <f t="shared" si="14"/>
        <v>1900</v>
      </c>
      <c r="AL22" s="203">
        <f t="shared" si="36"/>
        <v>190</v>
      </c>
      <c r="AM22" s="203">
        <f t="shared" si="15"/>
        <v>1900</v>
      </c>
      <c r="AN22" s="35">
        <f t="shared" si="16"/>
        <v>0.6785714285714286</v>
      </c>
      <c r="AO22" s="36">
        <f t="shared" si="17"/>
        <v>13300</v>
      </c>
      <c r="AQ22" s="223">
        <f t="shared" si="37"/>
        <v>0.60892726408449493</v>
      </c>
      <c r="AR22" s="38">
        <f t="shared" si="42"/>
        <v>56611.967741935492</v>
      </c>
      <c r="AS22" s="197">
        <f t="shared" si="38"/>
        <v>-2076.7419354838494</v>
      </c>
      <c r="AT22" s="271"/>
      <c r="AU22" s="436"/>
      <c r="AV22" s="518">
        <f t="shared" si="43"/>
        <v>0.83099999999999996</v>
      </c>
      <c r="AW22" s="290">
        <f>-SUM('B5'!AI21)</f>
        <v>-480.79999999998836</v>
      </c>
      <c r="AX22" s="290">
        <f t="shared" si="39"/>
        <v>-1595.941935483861</v>
      </c>
      <c r="AY22" s="37">
        <f t="shared" si="40"/>
        <v>-2076.7419354838494</v>
      </c>
      <c r="AZ22" s="100">
        <f>ELEC!A19</f>
        <v>0</v>
      </c>
      <c r="BA22" s="118">
        <f>'General information '!D22</f>
        <v>17.5</v>
      </c>
      <c r="BB22" s="394">
        <f>SUM('General information '!E22)</f>
        <v>0.55000000000000004</v>
      </c>
      <c r="BC22" s="3">
        <f t="shared" si="44"/>
        <v>0</v>
      </c>
      <c r="BD22" s="102">
        <v>19222</v>
      </c>
      <c r="BE22" s="14">
        <f>(305/1185)*ELEC!Q20</f>
        <v>1503.6371308018302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181</v>
      </c>
      <c r="AA23" s="203">
        <f t="shared" si="30"/>
        <v>1810</v>
      </c>
      <c r="AB23" s="203">
        <f t="shared" si="31"/>
        <v>181</v>
      </c>
      <c r="AC23" s="203">
        <f t="shared" si="30"/>
        <v>1810</v>
      </c>
      <c r="AD23" s="203">
        <f t="shared" si="32"/>
        <v>181</v>
      </c>
      <c r="AE23" s="203">
        <f t="shared" si="11"/>
        <v>1810</v>
      </c>
      <c r="AF23" s="203">
        <f t="shared" si="33"/>
        <v>181</v>
      </c>
      <c r="AG23" s="203">
        <f t="shared" si="12"/>
        <v>1810</v>
      </c>
      <c r="AH23" s="203">
        <f t="shared" si="34"/>
        <v>181</v>
      </c>
      <c r="AI23" s="203">
        <f t="shared" si="13"/>
        <v>1810</v>
      </c>
      <c r="AJ23" s="203">
        <f t="shared" si="35"/>
        <v>181</v>
      </c>
      <c r="AK23" s="203">
        <f t="shared" si="14"/>
        <v>1810</v>
      </c>
      <c r="AL23" s="203">
        <f t="shared" si="36"/>
        <v>181</v>
      </c>
      <c r="AM23" s="203">
        <f t="shared" si="15"/>
        <v>1810</v>
      </c>
      <c r="AN23" s="35">
        <f t="shared" si="16"/>
        <v>0.64642857142857146</v>
      </c>
      <c r="AO23" s="36">
        <f t="shared" si="17"/>
        <v>12670</v>
      </c>
      <c r="AQ23" s="223">
        <f t="shared" si="37"/>
        <v>0.5817849670549291</v>
      </c>
      <c r="AR23" s="38">
        <f t="shared" si="42"/>
        <v>54088.548387096758</v>
      </c>
      <c r="AS23" s="197">
        <f t="shared" si="38"/>
        <v>-2523.4193548387339</v>
      </c>
      <c r="AT23" s="271"/>
      <c r="AU23" s="436"/>
      <c r="AV23" s="518">
        <f t="shared" si="43"/>
        <v>0.83099999999999996</v>
      </c>
      <c r="AW23" s="290">
        <f>-SUM('B5'!AI22)</f>
        <v>-466</v>
      </c>
      <c r="AX23" s="290">
        <f t="shared" si="39"/>
        <v>-2057.4193548387339</v>
      </c>
      <c r="AY23" s="37">
        <f t="shared" si="40"/>
        <v>-2523.4193548387339</v>
      </c>
      <c r="AZ23" s="100">
        <f>ELEC!A20</f>
        <v>0</v>
      </c>
      <c r="BA23" s="118">
        <f>'General information '!D23</f>
        <v>17.5</v>
      </c>
      <c r="BB23" s="394">
        <f>SUM('General information '!E23)</f>
        <v>0.56999999999999995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175</v>
      </c>
      <c r="C24" s="203">
        <f t="shared" si="18"/>
        <v>3765.322580645161</v>
      </c>
      <c r="D24">
        <f t="shared" si="19"/>
        <v>175</v>
      </c>
      <c r="E24" s="203">
        <f t="shared" si="18"/>
        <v>3765.322580645161</v>
      </c>
      <c r="F24">
        <f t="shared" si="20"/>
        <v>175</v>
      </c>
      <c r="G24" s="203">
        <f t="shared" si="1"/>
        <v>3765.322580645161</v>
      </c>
      <c r="H24" s="203">
        <f t="shared" si="21"/>
        <v>175</v>
      </c>
      <c r="I24" s="203">
        <f t="shared" si="2"/>
        <v>3765.322580645161</v>
      </c>
      <c r="J24" s="203">
        <f t="shared" si="22"/>
        <v>175</v>
      </c>
      <c r="K24" s="203">
        <f t="shared" si="3"/>
        <v>3765.322580645161</v>
      </c>
      <c r="L24" s="203">
        <f t="shared" si="23"/>
        <v>175</v>
      </c>
      <c r="M24" s="203">
        <f t="shared" si="4"/>
        <v>3765.322580645161</v>
      </c>
      <c r="N24" s="203">
        <f t="shared" si="24"/>
        <v>175</v>
      </c>
      <c r="O24" s="203">
        <f t="shared" si="5"/>
        <v>3765.322580645161</v>
      </c>
      <c r="P24" s="203">
        <f t="shared" si="25"/>
        <v>175</v>
      </c>
      <c r="Q24" s="203">
        <f t="shared" si="6"/>
        <v>3765.322580645161</v>
      </c>
      <c r="R24" s="203">
        <f t="shared" si="26"/>
        <v>175</v>
      </c>
      <c r="S24" s="203">
        <f t="shared" si="7"/>
        <v>3765.322580645161</v>
      </c>
      <c r="T24" s="203">
        <f t="shared" si="27"/>
        <v>175</v>
      </c>
      <c r="U24" s="203">
        <f t="shared" si="8"/>
        <v>3765.322580645161</v>
      </c>
      <c r="V24" s="203">
        <f t="shared" si="28"/>
        <v>175</v>
      </c>
      <c r="W24" s="203">
        <f t="shared" si="9"/>
        <v>3765.322580645161</v>
      </c>
      <c r="X24" s="35">
        <f t="shared" si="10"/>
        <v>0.5645161290322579</v>
      </c>
      <c r="Y24" s="36">
        <f t="shared" si="29"/>
        <v>41418.548387096758</v>
      </c>
      <c r="Z24" s="203">
        <f>'B5'!C23</f>
        <v>181</v>
      </c>
      <c r="AA24" s="203">
        <f t="shared" si="30"/>
        <v>1810</v>
      </c>
      <c r="AB24" s="203">
        <f t="shared" si="31"/>
        <v>181</v>
      </c>
      <c r="AC24" s="203">
        <f t="shared" si="30"/>
        <v>1810</v>
      </c>
      <c r="AD24" s="203">
        <f t="shared" si="32"/>
        <v>181</v>
      </c>
      <c r="AE24" s="203">
        <f t="shared" si="11"/>
        <v>1810</v>
      </c>
      <c r="AF24" s="203">
        <f t="shared" si="33"/>
        <v>181</v>
      </c>
      <c r="AG24" s="203">
        <f t="shared" si="12"/>
        <v>1810</v>
      </c>
      <c r="AH24" s="203">
        <f t="shared" si="34"/>
        <v>181</v>
      </c>
      <c r="AI24" s="203">
        <f t="shared" si="13"/>
        <v>1810</v>
      </c>
      <c r="AJ24" s="203">
        <f t="shared" si="35"/>
        <v>181</v>
      </c>
      <c r="AK24" s="203">
        <f t="shared" si="14"/>
        <v>1810</v>
      </c>
      <c r="AL24" s="203">
        <f t="shared" si="36"/>
        <v>181</v>
      </c>
      <c r="AM24" s="203">
        <f t="shared" si="15"/>
        <v>1810</v>
      </c>
      <c r="AN24" s="35">
        <f t="shared" si="16"/>
        <v>0.64642857142857146</v>
      </c>
      <c r="AO24" s="36">
        <f t="shared" si="17"/>
        <v>12670</v>
      </c>
      <c r="AQ24" s="223">
        <f t="shared" si="37"/>
        <v>0.5817849670549291</v>
      </c>
      <c r="AR24" s="38">
        <f t="shared" si="42"/>
        <v>54088.548387096758</v>
      </c>
      <c r="AS24" s="197">
        <f t="shared" si="38"/>
        <v>0</v>
      </c>
      <c r="AT24" s="271"/>
      <c r="AU24" s="436"/>
      <c r="AV24" s="518">
        <f t="shared" si="43"/>
        <v>0.83099999999999996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175</v>
      </c>
      <c r="C25" s="203">
        <f t="shared" si="18"/>
        <v>3765.322580645161</v>
      </c>
      <c r="D25">
        <f t="shared" si="19"/>
        <v>175</v>
      </c>
      <c r="E25" s="203">
        <f t="shared" si="18"/>
        <v>3765.322580645161</v>
      </c>
      <c r="F25">
        <f t="shared" si="20"/>
        <v>175</v>
      </c>
      <c r="G25" s="203">
        <f t="shared" si="1"/>
        <v>3765.322580645161</v>
      </c>
      <c r="H25" s="203">
        <f t="shared" si="21"/>
        <v>175</v>
      </c>
      <c r="I25" s="203">
        <f t="shared" si="2"/>
        <v>3765.322580645161</v>
      </c>
      <c r="J25" s="203">
        <f t="shared" si="22"/>
        <v>175</v>
      </c>
      <c r="K25" s="203">
        <f t="shared" si="3"/>
        <v>3765.322580645161</v>
      </c>
      <c r="L25" s="203">
        <f t="shared" si="23"/>
        <v>175</v>
      </c>
      <c r="M25" s="203">
        <f t="shared" si="4"/>
        <v>3765.322580645161</v>
      </c>
      <c r="N25" s="203">
        <f t="shared" si="24"/>
        <v>175</v>
      </c>
      <c r="O25" s="203">
        <f t="shared" si="5"/>
        <v>3765.322580645161</v>
      </c>
      <c r="P25" s="203">
        <f t="shared" si="25"/>
        <v>175</v>
      </c>
      <c r="Q25" s="203">
        <f t="shared" si="6"/>
        <v>3765.322580645161</v>
      </c>
      <c r="R25" s="203">
        <f t="shared" si="26"/>
        <v>175</v>
      </c>
      <c r="S25" s="203">
        <f t="shared" si="7"/>
        <v>3765.322580645161</v>
      </c>
      <c r="T25" s="203">
        <f t="shared" si="27"/>
        <v>175</v>
      </c>
      <c r="U25" s="203">
        <f t="shared" si="8"/>
        <v>3765.322580645161</v>
      </c>
      <c r="V25" s="203">
        <f t="shared" si="28"/>
        <v>175</v>
      </c>
      <c r="W25" s="203">
        <f t="shared" si="9"/>
        <v>3765.322580645161</v>
      </c>
      <c r="X25" s="35">
        <f t="shared" si="10"/>
        <v>0.5645161290322579</v>
      </c>
      <c r="Y25" s="36">
        <f t="shared" si="29"/>
        <v>41418.548387096758</v>
      </c>
      <c r="Z25" s="203">
        <f>'B5'!C24</f>
        <v>181</v>
      </c>
      <c r="AA25" s="203">
        <f t="shared" si="30"/>
        <v>1810</v>
      </c>
      <c r="AB25" s="203">
        <f t="shared" si="31"/>
        <v>181</v>
      </c>
      <c r="AC25" s="203">
        <f t="shared" si="30"/>
        <v>1810</v>
      </c>
      <c r="AD25" s="203">
        <f t="shared" si="32"/>
        <v>181</v>
      </c>
      <c r="AE25" s="203">
        <f t="shared" si="11"/>
        <v>1810</v>
      </c>
      <c r="AF25" s="203">
        <f t="shared" si="33"/>
        <v>181</v>
      </c>
      <c r="AG25" s="203">
        <f t="shared" si="12"/>
        <v>1810</v>
      </c>
      <c r="AH25" s="203">
        <f t="shared" si="34"/>
        <v>181</v>
      </c>
      <c r="AI25" s="203">
        <f t="shared" si="13"/>
        <v>1810</v>
      </c>
      <c r="AJ25" s="203">
        <f t="shared" si="35"/>
        <v>181</v>
      </c>
      <c r="AK25" s="203">
        <f t="shared" si="14"/>
        <v>1810</v>
      </c>
      <c r="AL25" s="203">
        <f t="shared" si="36"/>
        <v>181</v>
      </c>
      <c r="AM25" s="203">
        <f t="shared" si="15"/>
        <v>1810</v>
      </c>
      <c r="AN25" s="35">
        <f t="shared" si="16"/>
        <v>0.64642857142857146</v>
      </c>
      <c r="AO25" s="36">
        <f t="shared" si="17"/>
        <v>12670</v>
      </c>
      <c r="AQ25" s="223">
        <f t="shared" si="37"/>
        <v>0.5817849670549291</v>
      </c>
      <c r="AR25" s="38">
        <f t="shared" si="42"/>
        <v>54088.548387096758</v>
      </c>
      <c r="AS25" s="197">
        <f t="shared" si="38"/>
        <v>0</v>
      </c>
      <c r="AT25" s="271"/>
      <c r="AU25" s="436"/>
      <c r="AV25" s="518">
        <f t="shared" si="43"/>
        <v>0.83099999999999996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175</v>
      </c>
      <c r="C26" s="203">
        <f t="shared" si="18"/>
        <v>3765.322580645161</v>
      </c>
      <c r="D26">
        <f t="shared" si="19"/>
        <v>175</v>
      </c>
      <c r="E26" s="203">
        <f t="shared" si="18"/>
        <v>3765.322580645161</v>
      </c>
      <c r="F26">
        <f t="shared" si="20"/>
        <v>175</v>
      </c>
      <c r="G26" s="203">
        <f t="shared" si="1"/>
        <v>3765.322580645161</v>
      </c>
      <c r="H26" s="203">
        <f t="shared" si="21"/>
        <v>175</v>
      </c>
      <c r="I26" s="203">
        <f t="shared" si="2"/>
        <v>3765.322580645161</v>
      </c>
      <c r="J26" s="203">
        <f t="shared" si="22"/>
        <v>175</v>
      </c>
      <c r="K26" s="203">
        <f t="shared" si="3"/>
        <v>3765.322580645161</v>
      </c>
      <c r="L26" s="203">
        <f t="shared" si="23"/>
        <v>175</v>
      </c>
      <c r="M26" s="203">
        <f t="shared" si="4"/>
        <v>3765.322580645161</v>
      </c>
      <c r="N26" s="203">
        <f t="shared" si="24"/>
        <v>175</v>
      </c>
      <c r="O26" s="203">
        <f t="shared" si="5"/>
        <v>3765.322580645161</v>
      </c>
      <c r="P26" s="203">
        <f t="shared" si="25"/>
        <v>175</v>
      </c>
      <c r="Q26" s="203">
        <f t="shared" si="6"/>
        <v>3765.322580645161</v>
      </c>
      <c r="R26" s="203">
        <f t="shared" si="26"/>
        <v>175</v>
      </c>
      <c r="S26" s="203">
        <f t="shared" si="7"/>
        <v>3765.322580645161</v>
      </c>
      <c r="T26" s="203">
        <f t="shared" si="27"/>
        <v>175</v>
      </c>
      <c r="U26" s="203">
        <f t="shared" si="8"/>
        <v>3765.322580645161</v>
      </c>
      <c r="V26" s="203">
        <f t="shared" si="28"/>
        <v>175</v>
      </c>
      <c r="W26" s="203">
        <f t="shared" si="9"/>
        <v>3765.322580645161</v>
      </c>
      <c r="X26" s="35">
        <f t="shared" si="10"/>
        <v>0.5645161290322579</v>
      </c>
      <c r="Y26" s="36">
        <f t="shared" si="29"/>
        <v>41418.548387096758</v>
      </c>
      <c r="Z26" s="203">
        <f>'B5'!C25</f>
        <v>181</v>
      </c>
      <c r="AA26" s="203">
        <f t="shared" si="30"/>
        <v>1810</v>
      </c>
      <c r="AB26" s="203">
        <f t="shared" si="31"/>
        <v>181</v>
      </c>
      <c r="AC26" s="203">
        <f t="shared" si="30"/>
        <v>1810</v>
      </c>
      <c r="AD26" s="203">
        <f t="shared" si="32"/>
        <v>181</v>
      </c>
      <c r="AE26" s="203">
        <f t="shared" si="11"/>
        <v>1810</v>
      </c>
      <c r="AF26" s="203">
        <f t="shared" si="33"/>
        <v>181</v>
      </c>
      <c r="AG26" s="203">
        <f t="shared" si="12"/>
        <v>1810</v>
      </c>
      <c r="AH26" s="203">
        <f t="shared" si="34"/>
        <v>181</v>
      </c>
      <c r="AI26" s="203">
        <f t="shared" si="13"/>
        <v>1810</v>
      </c>
      <c r="AJ26" s="203">
        <f t="shared" si="35"/>
        <v>181</v>
      </c>
      <c r="AK26" s="203">
        <f t="shared" si="14"/>
        <v>1810</v>
      </c>
      <c r="AL26" s="203">
        <f t="shared" si="36"/>
        <v>181</v>
      </c>
      <c r="AM26" s="203">
        <f t="shared" si="15"/>
        <v>1810</v>
      </c>
      <c r="AN26" s="35">
        <f t="shared" si="16"/>
        <v>0.64642857142857146</v>
      </c>
      <c r="AO26" s="36">
        <f t="shared" si="17"/>
        <v>12670</v>
      </c>
      <c r="AQ26" s="223">
        <f t="shared" si="37"/>
        <v>0.5817849670549291</v>
      </c>
      <c r="AR26" s="38">
        <f t="shared" si="42"/>
        <v>54088.548387096758</v>
      </c>
      <c r="AS26" s="197">
        <f t="shared" si="38"/>
        <v>0</v>
      </c>
      <c r="AT26" s="271"/>
      <c r="AU26" s="491"/>
      <c r="AV26" s="518">
        <f t="shared" si="43"/>
        <v>0.83099999999999996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175</v>
      </c>
      <c r="C27" s="203">
        <f t="shared" si="18"/>
        <v>3765.322580645161</v>
      </c>
      <c r="D27">
        <f t="shared" si="19"/>
        <v>175</v>
      </c>
      <c r="E27" s="203">
        <f t="shared" si="18"/>
        <v>3765.322580645161</v>
      </c>
      <c r="F27">
        <f t="shared" si="20"/>
        <v>175</v>
      </c>
      <c r="G27" s="203">
        <f t="shared" si="1"/>
        <v>3765.322580645161</v>
      </c>
      <c r="H27" s="203">
        <f t="shared" si="21"/>
        <v>175</v>
      </c>
      <c r="I27" s="203">
        <f t="shared" si="2"/>
        <v>3765.322580645161</v>
      </c>
      <c r="J27" s="203">
        <f t="shared" si="22"/>
        <v>175</v>
      </c>
      <c r="K27" s="203">
        <f t="shared" si="3"/>
        <v>3765.322580645161</v>
      </c>
      <c r="L27" s="203">
        <f t="shared" si="23"/>
        <v>175</v>
      </c>
      <c r="M27" s="203">
        <f t="shared" si="4"/>
        <v>3765.322580645161</v>
      </c>
      <c r="N27" s="203">
        <f t="shared" si="24"/>
        <v>175</v>
      </c>
      <c r="O27" s="203">
        <f t="shared" si="5"/>
        <v>3765.322580645161</v>
      </c>
      <c r="P27" s="203">
        <f t="shared" si="25"/>
        <v>175</v>
      </c>
      <c r="Q27" s="203">
        <f t="shared" si="6"/>
        <v>3765.322580645161</v>
      </c>
      <c r="R27" s="203">
        <f t="shared" si="26"/>
        <v>175</v>
      </c>
      <c r="S27" s="203">
        <f t="shared" si="7"/>
        <v>3765.322580645161</v>
      </c>
      <c r="T27" s="203">
        <f t="shared" si="27"/>
        <v>175</v>
      </c>
      <c r="U27" s="203">
        <f t="shared" si="8"/>
        <v>3765.322580645161</v>
      </c>
      <c r="V27" s="203">
        <f t="shared" si="28"/>
        <v>175</v>
      </c>
      <c r="W27" s="203">
        <f t="shared" si="9"/>
        <v>3765.322580645161</v>
      </c>
      <c r="X27" s="35">
        <f t="shared" si="10"/>
        <v>0.5645161290322579</v>
      </c>
      <c r="Y27" s="36">
        <f t="shared" si="29"/>
        <v>41418.548387096758</v>
      </c>
      <c r="Z27" s="203">
        <f>'B5'!C26</f>
        <v>181</v>
      </c>
      <c r="AA27" s="203">
        <f t="shared" si="30"/>
        <v>1810</v>
      </c>
      <c r="AB27" s="203">
        <f t="shared" si="31"/>
        <v>181</v>
      </c>
      <c r="AC27" s="203">
        <f t="shared" si="30"/>
        <v>1810</v>
      </c>
      <c r="AD27" s="203">
        <f t="shared" si="32"/>
        <v>181</v>
      </c>
      <c r="AE27" s="203">
        <f t="shared" si="11"/>
        <v>1810</v>
      </c>
      <c r="AF27" s="203">
        <f t="shared" si="33"/>
        <v>181</v>
      </c>
      <c r="AG27" s="203">
        <f t="shared" si="12"/>
        <v>1810</v>
      </c>
      <c r="AH27" s="203">
        <f t="shared" si="34"/>
        <v>181</v>
      </c>
      <c r="AI27" s="203">
        <f t="shared" si="13"/>
        <v>1810</v>
      </c>
      <c r="AJ27" s="203">
        <f t="shared" si="35"/>
        <v>181</v>
      </c>
      <c r="AK27" s="203">
        <f t="shared" si="14"/>
        <v>1810</v>
      </c>
      <c r="AL27" s="203">
        <f t="shared" si="36"/>
        <v>181</v>
      </c>
      <c r="AM27" s="203">
        <f t="shared" si="15"/>
        <v>1810</v>
      </c>
      <c r="AN27" s="35">
        <f t="shared" si="16"/>
        <v>0.64642857142857146</v>
      </c>
      <c r="AO27" s="36">
        <f t="shared" si="17"/>
        <v>12670</v>
      </c>
      <c r="AQ27" s="223">
        <f t="shared" si="37"/>
        <v>0.5817849670549291</v>
      </c>
      <c r="AR27" s="38">
        <f t="shared" si="42"/>
        <v>54088.548387096758</v>
      </c>
      <c r="AS27" s="197">
        <f t="shared" si="38"/>
        <v>0</v>
      </c>
      <c r="AT27" s="271"/>
      <c r="AU27" s="436"/>
      <c r="AV27" s="518">
        <f t="shared" si="43"/>
        <v>0.83099999999999996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175</v>
      </c>
      <c r="C28" s="203">
        <f t="shared" si="18"/>
        <v>3765.322580645161</v>
      </c>
      <c r="D28">
        <f t="shared" si="19"/>
        <v>175</v>
      </c>
      <c r="E28" s="203">
        <f t="shared" si="18"/>
        <v>3765.322580645161</v>
      </c>
      <c r="F28">
        <f t="shared" si="20"/>
        <v>175</v>
      </c>
      <c r="G28" s="203">
        <f t="shared" si="1"/>
        <v>3765.322580645161</v>
      </c>
      <c r="H28" s="203">
        <f t="shared" si="21"/>
        <v>175</v>
      </c>
      <c r="I28" s="203">
        <f t="shared" si="2"/>
        <v>3765.322580645161</v>
      </c>
      <c r="J28" s="203">
        <f t="shared" si="22"/>
        <v>175</v>
      </c>
      <c r="K28" s="203">
        <f t="shared" si="3"/>
        <v>3765.322580645161</v>
      </c>
      <c r="L28" s="203">
        <f t="shared" si="23"/>
        <v>175</v>
      </c>
      <c r="M28" s="203">
        <f t="shared" si="4"/>
        <v>3765.322580645161</v>
      </c>
      <c r="N28" s="203">
        <f t="shared" si="24"/>
        <v>175</v>
      </c>
      <c r="O28" s="203">
        <f t="shared" si="5"/>
        <v>3765.322580645161</v>
      </c>
      <c r="P28" s="203">
        <f t="shared" si="25"/>
        <v>175</v>
      </c>
      <c r="Q28" s="203">
        <f t="shared" si="6"/>
        <v>3765.322580645161</v>
      </c>
      <c r="R28" s="203">
        <f t="shared" si="26"/>
        <v>175</v>
      </c>
      <c r="S28" s="203">
        <f t="shared" si="7"/>
        <v>3765.322580645161</v>
      </c>
      <c r="T28" s="203">
        <f t="shared" si="27"/>
        <v>175</v>
      </c>
      <c r="U28" s="203">
        <f t="shared" si="8"/>
        <v>3765.322580645161</v>
      </c>
      <c r="V28" s="203">
        <f t="shared" si="28"/>
        <v>175</v>
      </c>
      <c r="W28" s="203">
        <f t="shared" si="9"/>
        <v>3765.322580645161</v>
      </c>
      <c r="X28" s="35">
        <f t="shared" si="10"/>
        <v>0.5645161290322579</v>
      </c>
      <c r="Y28" s="36">
        <f t="shared" si="29"/>
        <v>41418.548387096758</v>
      </c>
      <c r="Z28" s="203">
        <f>'B5'!C27</f>
        <v>181</v>
      </c>
      <c r="AA28" s="203">
        <f t="shared" si="30"/>
        <v>1810</v>
      </c>
      <c r="AB28" s="203">
        <f t="shared" si="31"/>
        <v>181</v>
      </c>
      <c r="AC28" s="203">
        <f t="shared" si="30"/>
        <v>1810</v>
      </c>
      <c r="AD28" s="203">
        <f t="shared" si="32"/>
        <v>181</v>
      </c>
      <c r="AE28" s="203">
        <f t="shared" si="11"/>
        <v>1810</v>
      </c>
      <c r="AF28" s="203">
        <f t="shared" si="33"/>
        <v>181</v>
      </c>
      <c r="AG28" s="203">
        <f t="shared" si="12"/>
        <v>1810</v>
      </c>
      <c r="AH28" s="203">
        <f t="shared" si="34"/>
        <v>181</v>
      </c>
      <c r="AI28" s="203">
        <f t="shared" si="13"/>
        <v>1810</v>
      </c>
      <c r="AJ28" s="203">
        <f t="shared" si="35"/>
        <v>181</v>
      </c>
      <c r="AK28" s="203">
        <f t="shared" si="14"/>
        <v>1810</v>
      </c>
      <c r="AL28" s="203">
        <f t="shared" si="36"/>
        <v>181</v>
      </c>
      <c r="AM28" s="203">
        <f t="shared" si="15"/>
        <v>1810</v>
      </c>
      <c r="AN28" s="35">
        <f t="shared" si="16"/>
        <v>0.64642857142857146</v>
      </c>
      <c r="AO28" s="36">
        <f t="shared" si="17"/>
        <v>12670</v>
      </c>
      <c r="AQ28" s="223">
        <f t="shared" si="37"/>
        <v>0.5817849670549291</v>
      </c>
      <c r="AR28" s="38">
        <f t="shared" si="42"/>
        <v>54088.548387096758</v>
      </c>
      <c r="AS28" s="197">
        <f t="shared" si="38"/>
        <v>0</v>
      </c>
      <c r="AT28" s="355"/>
      <c r="AU28" s="436"/>
      <c r="AV28" s="518">
        <f t="shared" si="43"/>
        <v>0.83099999999999996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175</v>
      </c>
      <c r="C29" s="203">
        <f t="shared" si="18"/>
        <v>3765.322580645161</v>
      </c>
      <c r="D29">
        <f t="shared" si="19"/>
        <v>175</v>
      </c>
      <c r="E29" s="203">
        <f t="shared" si="18"/>
        <v>3765.322580645161</v>
      </c>
      <c r="F29">
        <f t="shared" si="20"/>
        <v>175</v>
      </c>
      <c r="G29" s="203">
        <f t="shared" si="1"/>
        <v>3765.322580645161</v>
      </c>
      <c r="H29" s="203">
        <f t="shared" si="21"/>
        <v>175</v>
      </c>
      <c r="I29" s="203">
        <f t="shared" si="2"/>
        <v>3765.322580645161</v>
      </c>
      <c r="J29" s="203">
        <f t="shared" si="22"/>
        <v>175</v>
      </c>
      <c r="K29" s="203">
        <f t="shared" si="3"/>
        <v>3765.322580645161</v>
      </c>
      <c r="L29" s="203">
        <f t="shared" si="23"/>
        <v>175</v>
      </c>
      <c r="M29" s="203">
        <f t="shared" si="4"/>
        <v>3765.322580645161</v>
      </c>
      <c r="N29" s="203">
        <f t="shared" si="24"/>
        <v>175</v>
      </c>
      <c r="O29" s="203">
        <f t="shared" si="5"/>
        <v>3765.322580645161</v>
      </c>
      <c r="P29" s="203">
        <f t="shared" si="25"/>
        <v>175</v>
      </c>
      <c r="Q29" s="203">
        <f t="shared" si="6"/>
        <v>3765.322580645161</v>
      </c>
      <c r="R29" s="203">
        <f t="shared" si="26"/>
        <v>175</v>
      </c>
      <c r="S29" s="203">
        <f t="shared" si="7"/>
        <v>3765.322580645161</v>
      </c>
      <c r="T29" s="203">
        <f t="shared" si="27"/>
        <v>175</v>
      </c>
      <c r="U29" s="203">
        <f t="shared" si="8"/>
        <v>3765.322580645161</v>
      </c>
      <c r="V29" s="203">
        <f t="shared" si="28"/>
        <v>175</v>
      </c>
      <c r="W29" s="203">
        <f t="shared" si="9"/>
        <v>3765.322580645161</v>
      </c>
      <c r="X29" s="35">
        <f t="shared" si="10"/>
        <v>0.5645161290322579</v>
      </c>
      <c r="Y29" s="36">
        <f t="shared" si="29"/>
        <v>41418.548387096758</v>
      </c>
      <c r="Z29" s="203">
        <f>'B5'!C28</f>
        <v>181</v>
      </c>
      <c r="AA29" s="203">
        <f t="shared" si="30"/>
        <v>1810</v>
      </c>
      <c r="AB29" s="203">
        <f t="shared" si="31"/>
        <v>181</v>
      </c>
      <c r="AC29" s="203">
        <f t="shared" si="30"/>
        <v>1810</v>
      </c>
      <c r="AD29" s="203">
        <f t="shared" si="32"/>
        <v>181</v>
      </c>
      <c r="AE29" s="203">
        <f t="shared" si="11"/>
        <v>1810</v>
      </c>
      <c r="AF29" s="203">
        <f t="shared" si="33"/>
        <v>181</v>
      </c>
      <c r="AG29" s="203">
        <f t="shared" si="12"/>
        <v>1810</v>
      </c>
      <c r="AH29" s="203">
        <f t="shared" si="34"/>
        <v>181</v>
      </c>
      <c r="AI29" s="203">
        <f t="shared" si="13"/>
        <v>1810</v>
      </c>
      <c r="AJ29" s="203">
        <f t="shared" si="35"/>
        <v>181</v>
      </c>
      <c r="AK29" s="203">
        <f t="shared" si="14"/>
        <v>1810</v>
      </c>
      <c r="AL29" s="203">
        <f t="shared" si="36"/>
        <v>181</v>
      </c>
      <c r="AM29" s="203">
        <f t="shared" si="15"/>
        <v>1810</v>
      </c>
      <c r="AN29" s="35">
        <f t="shared" si="16"/>
        <v>0.64642857142857146</v>
      </c>
      <c r="AO29" s="36">
        <f t="shared" si="17"/>
        <v>12670</v>
      </c>
      <c r="AQ29" s="223">
        <f t="shared" si="37"/>
        <v>0.5817849670549291</v>
      </c>
      <c r="AR29" s="38">
        <f t="shared" si="42"/>
        <v>54088.548387096758</v>
      </c>
      <c r="AS29" s="197">
        <f t="shared" si="38"/>
        <v>0</v>
      </c>
      <c r="AT29" s="355"/>
      <c r="AU29" s="436"/>
      <c r="AV29" s="518">
        <f t="shared" si="43"/>
        <v>0.83099999999999996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175</v>
      </c>
      <c r="C30" s="203">
        <f t="shared" si="18"/>
        <v>3765.322580645161</v>
      </c>
      <c r="D30">
        <f t="shared" ref="D30:D33" si="45">SUM(B30)</f>
        <v>175</v>
      </c>
      <c r="E30" s="203">
        <f t="shared" si="18"/>
        <v>3765.322580645161</v>
      </c>
      <c r="F30">
        <f t="shared" ref="F30:F33" si="46">SUM(D30)</f>
        <v>175</v>
      </c>
      <c r="G30" s="203">
        <f t="shared" si="1"/>
        <v>3765.322580645161</v>
      </c>
      <c r="H30" s="203">
        <f t="shared" ref="H30:H33" si="47">SUM(F30)</f>
        <v>175</v>
      </c>
      <c r="I30" s="203">
        <f t="shared" si="2"/>
        <v>3765.322580645161</v>
      </c>
      <c r="J30" s="203">
        <f t="shared" ref="J30:J33" si="48">SUM(H30)</f>
        <v>175</v>
      </c>
      <c r="K30" s="203">
        <f t="shared" si="3"/>
        <v>3765.322580645161</v>
      </c>
      <c r="L30" s="203">
        <f t="shared" ref="L30:L33" si="49">SUM(J30)</f>
        <v>175</v>
      </c>
      <c r="M30" s="203">
        <f t="shared" si="4"/>
        <v>3765.322580645161</v>
      </c>
      <c r="N30" s="203">
        <f t="shared" ref="N30:N33" si="50">SUM(L30)</f>
        <v>175</v>
      </c>
      <c r="O30" s="203">
        <f t="shared" si="5"/>
        <v>3765.322580645161</v>
      </c>
      <c r="P30" s="203">
        <f t="shared" ref="P30:P33" si="51">SUM(N30)</f>
        <v>175</v>
      </c>
      <c r="Q30" s="203">
        <f t="shared" si="6"/>
        <v>3765.322580645161</v>
      </c>
      <c r="R30" s="203">
        <f t="shared" ref="R30:R33" si="52">SUM(P30)</f>
        <v>175</v>
      </c>
      <c r="S30" s="203">
        <f t="shared" si="7"/>
        <v>3765.322580645161</v>
      </c>
      <c r="T30" s="203">
        <f t="shared" ref="T30:T33" si="53">SUM(R30)</f>
        <v>175</v>
      </c>
      <c r="U30" s="203">
        <f t="shared" si="8"/>
        <v>3765.322580645161</v>
      </c>
      <c r="V30" s="203">
        <f t="shared" ref="V30:V33" si="54">SUM(T30)</f>
        <v>175</v>
      </c>
      <c r="W30" s="203">
        <f t="shared" si="9"/>
        <v>3765.322580645161</v>
      </c>
      <c r="X30" s="35">
        <f t="shared" ref="X30:X33" si="55">SUM(Y30/73370)</f>
        <v>0.5645161290322579</v>
      </c>
      <c r="Y30" s="36">
        <f t="shared" ref="Y30:Y33" si="56">SUM(C30+E30+G30+I30+K30+M30+O30+Q30+S30+U30+W30)</f>
        <v>41418.548387096758</v>
      </c>
      <c r="Z30" s="203">
        <f>'B5'!C29</f>
        <v>181</v>
      </c>
      <c r="AA30" s="203">
        <f t="shared" si="30"/>
        <v>1810</v>
      </c>
      <c r="AB30" s="203">
        <f t="shared" ref="AB30:AB33" si="57">SUM(Z30)</f>
        <v>181</v>
      </c>
      <c r="AC30" s="203">
        <f t="shared" si="30"/>
        <v>1810</v>
      </c>
      <c r="AD30" s="203">
        <f t="shared" ref="AD30:AD33" si="58">SUM(AB30)</f>
        <v>181</v>
      </c>
      <c r="AE30" s="203">
        <f t="shared" si="11"/>
        <v>1810</v>
      </c>
      <c r="AF30" s="203">
        <f t="shared" ref="AF30:AF33" si="59">SUM(AD30)</f>
        <v>181</v>
      </c>
      <c r="AG30" s="203">
        <f t="shared" si="12"/>
        <v>1810</v>
      </c>
      <c r="AH30" s="203">
        <f t="shared" ref="AH30:AH33" si="60">SUM(AF30)</f>
        <v>181</v>
      </c>
      <c r="AI30" s="203">
        <f t="shared" si="13"/>
        <v>1810</v>
      </c>
      <c r="AJ30" s="203">
        <f t="shared" ref="AJ30:AJ33" si="61">SUM(AH30)</f>
        <v>181</v>
      </c>
      <c r="AK30" s="203">
        <f t="shared" si="14"/>
        <v>1810</v>
      </c>
      <c r="AL30" s="203">
        <f t="shared" ref="AL30:AL33" si="62">SUM(AJ30)</f>
        <v>181</v>
      </c>
      <c r="AM30" s="203">
        <f t="shared" si="15"/>
        <v>1810</v>
      </c>
      <c r="AN30" s="35">
        <f t="shared" ref="AN30:AN33" si="63">SUM(AO30/19600)</f>
        <v>0.64642857142857146</v>
      </c>
      <c r="AO30" s="36">
        <f t="shared" ref="AO30:AO33" si="64">SUM(AA30+AC30+AE30+AG30+AI30+AK30+AM30)</f>
        <v>12670</v>
      </c>
      <c r="AQ30" s="223">
        <f t="shared" si="37"/>
        <v>0.5817849670549291</v>
      </c>
      <c r="AR30" s="38">
        <f t="shared" si="42"/>
        <v>54088.548387096758</v>
      </c>
      <c r="AS30" s="197">
        <f t="shared" si="38"/>
        <v>0</v>
      </c>
      <c r="AT30" s="355"/>
      <c r="AU30" s="436"/>
      <c r="AV30" s="518">
        <f t="shared" si="43"/>
        <v>0.83099999999999996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175</v>
      </c>
      <c r="C31" s="203">
        <f t="shared" si="18"/>
        <v>3765.322580645161</v>
      </c>
      <c r="D31">
        <f t="shared" si="45"/>
        <v>175</v>
      </c>
      <c r="E31" s="203">
        <f t="shared" si="18"/>
        <v>3765.322580645161</v>
      </c>
      <c r="F31">
        <f t="shared" si="46"/>
        <v>175</v>
      </c>
      <c r="G31" s="203">
        <f t="shared" si="1"/>
        <v>3765.322580645161</v>
      </c>
      <c r="H31" s="203">
        <f t="shared" si="47"/>
        <v>175</v>
      </c>
      <c r="I31" s="203">
        <f t="shared" si="2"/>
        <v>3765.322580645161</v>
      </c>
      <c r="J31" s="203">
        <f t="shared" si="48"/>
        <v>175</v>
      </c>
      <c r="K31" s="203">
        <f t="shared" si="3"/>
        <v>3765.322580645161</v>
      </c>
      <c r="L31" s="203">
        <f t="shared" si="49"/>
        <v>175</v>
      </c>
      <c r="M31" s="203">
        <f t="shared" si="4"/>
        <v>3765.322580645161</v>
      </c>
      <c r="N31" s="203">
        <f t="shared" si="50"/>
        <v>175</v>
      </c>
      <c r="O31" s="203">
        <f t="shared" si="5"/>
        <v>3765.322580645161</v>
      </c>
      <c r="P31" s="203">
        <f t="shared" si="51"/>
        <v>175</v>
      </c>
      <c r="Q31" s="203">
        <f t="shared" si="6"/>
        <v>3765.322580645161</v>
      </c>
      <c r="R31" s="203">
        <f t="shared" si="52"/>
        <v>175</v>
      </c>
      <c r="S31" s="203">
        <f t="shared" si="7"/>
        <v>3765.322580645161</v>
      </c>
      <c r="T31" s="203">
        <f t="shared" si="53"/>
        <v>175</v>
      </c>
      <c r="U31" s="203">
        <f t="shared" si="8"/>
        <v>3765.322580645161</v>
      </c>
      <c r="V31" s="203">
        <f t="shared" si="54"/>
        <v>175</v>
      </c>
      <c r="W31" s="203">
        <f t="shared" si="9"/>
        <v>3765.322580645161</v>
      </c>
      <c r="X31" s="35">
        <f t="shared" si="55"/>
        <v>0.5645161290322579</v>
      </c>
      <c r="Y31" s="36">
        <f t="shared" si="56"/>
        <v>41418.548387096758</v>
      </c>
      <c r="Z31" s="203">
        <f>'B5'!C30</f>
        <v>181</v>
      </c>
      <c r="AA31" s="203">
        <f t="shared" si="30"/>
        <v>1810</v>
      </c>
      <c r="AB31" s="203">
        <f t="shared" si="57"/>
        <v>181</v>
      </c>
      <c r="AC31" s="203">
        <f t="shared" si="30"/>
        <v>1810</v>
      </c>
      <c r="AD31" s="203">
        <f t="shared" si="58"/>
        <v>181</v>
      </c>
      <c r="AE31" s="203">
        <f t="shared" si="11"/>
        <v>1810</v>
      </c>
      <c r="AF31" s="203">
        <f t="shared" si="59"/>
        <v>181</v>
      </c>
      <c r="AG31" s="203">
        <f t="shared" si="12"/>
        <v>1810</v>
      </c>
      <c r="AH31" s="203">
        <f t="shared" si="60"/>
        <v>181</v>
      </c>
      <c r="AI31" s="203">
        <f t="shared" si="13"/>
        <v>1810</v>
      </c>
      <c r="AJ31" s="203">
        <f t="shared" si="61"/>
        <v>181</v>
      </c>
      <c r="AK31" s="203">
        <f t="shared" si="14"/>
        <v>1810</v>
      </c>
      <c r="AL31" s="203">
        <f t="shared" si="62"/>
        <v>181</v>
      </c>
      <c r="AM31" s="203">
        <f t="shared" si="15"/>
        <v>1810</v>
      </c>
      <c r="AN31" s="35">
        <f t="shared" si="63"/>
        <v>0.64642857142857146</v>
      </c>
      <c r="AO31" s="36">
        <f t="shared" si="64"/>
        <v>12670</v>
      </c>
      <c r="AQ31" s="223">
        <f t="shared" si="37"/>
        <v>0.5817849670549291</v>
      </c>
      <c r="AR31" s="38">
        <f t="shared" si="42"/>
        <v>54088.548387096758</v>
      </c>
      <c r="AS31" s="197">
        <f>SUM(AR31-AR30-AT31)</f>
        <v>0</v>
      </c>
      <c r="AT31" s="355"/>
      <c r="AU31" s="436"/>
      <c r="AV31" s="518">
        <f t="shared" si="43"/>
        <v>0.83099999999999996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175</v>
      </c>
      <c r="C32" s="203">
        <f t="shared" si="18"/>
        <v>3765.322580645161</v>
      </c>
      <c r="D32">
        <f t="shared" si="45"/>
        <v>175</v>
      </c>
      <c r="E32" s="203">
        <f t="shared" si="18"/>
        <v>3765.322580645161</v>
      </c>
      <c r="F32">
        <f t="shared" si="46"/>
        <v>175</v>
      </c>
      <c r="G32" s="203">
        <f t="shared" si="1"/>
        <v>3765.322580645161</v>
      </c>
      <c r="H32" s="203">
        <f t="shared" si="47"/>
        <v>175</v>
      </c>
      <c r="I32" s="203">
        <f t="shared" si="2"/>
        <v>3765.322580645161</v>
      </c>
      <c r="J32" s="203">
        <f t="shared" si="48"/>
        <v>175</v>
      </c>
      <c r="K32" s="203">
        <f t="shared" si="3"/>
        <v>3765.322580645161</v>
      </c>
      <c r="L32" s="203">
        <f t="shared" si="49"/>
        <v>175</v>
      </c>
      <c r="M32" s="203">
        <f t="shared" si="4"/>
        <v>3765.322580645161</v>
      </c>
      <c r="N32" s="203">
        <f t="shared" si="50"/>
        <v>175</v>
      </c>
      <c r="O32" s="203">
        <f t="shared" si="5"/>
        <v>3765.322580645161</v>
      </c>
      <c r="P32" s="203">
        <f t="shared" si="51"/>
        <v>175</v>
      </c>
      <c r="Q32" s="203">
        <f t="shared" si="6"/>
        <v>3765.322580645161</v>
      </c>
      <c r="R32" s="203">
        <f t="shared" si="52"/>
        <v>175</v>
      </c>
      <c r="S32" s="203">
        <f t="shared" si="7"/>
        <v>3765.322580645161</v>
      </c>
      <c r="T32" s="203">
        <f t="shared" si="53"/>
        <v>175</v>
      </c>
      <c r="U32" s="203">
        <f t="shared" si="8"/>
        <v>3765.322580645161</v>
      </c>
      <c r="V32" s="203">
        <f t="shared" si="54"/>
        <v>175</v>
      </c>
      <c r="W32" s="203">
        <f t="shared" si="9"/>
        <v>3765.322580645161</v>
      </c>
      <c r="X32" s="35">
        <f t="shared" si="55"/>
        <v>0.5645161290322579</v>
      </c>
      <c r="Y32" s="36">
        <f t="shared" si="56"/>
        <v>41418.548387096758</v>
      </c>
      <c r="Z32" s="203">
        <f>'B5'!C31</f>
        <v>181</v>
      </c>
      <c r="AA32" s="203">
        <f t="shared" si="30"/>
        <v>1810</v>
      </c>
      <c r="AB32" s="203">
        <f t="shared" si="57"/>
        <v>181</v>
      </c>
      <c r="AC32" s="203">
        <f t="shared" si="30"/>
        <v>1810</v>
      </c>
      <c r="AD32" s="203">
        <f t="shared" si="58"/>
        <v>181</v>
      </c>
      <c r="AE32" s="203">
        <f t="shared" si="11"/>
        <v>1810</v>
      </c>
      <c r="AF32" s="203">
        <f t="shared" si="59"/>
        <v>181</v>
      </c>
      <c r="AG32" s="203">
        <f t="shared" si="12"/>
        <v>1810</v>
      </c>
      <c r="AH32" s="203">
        <f t="shared" si="60"/>
        <v>181</v>
      </c>
      <c r="AI32" s="203">
        <f t="shared" si="13"/>
        <v>1810</v>
      </c>
      <c r="AJ32" s="203">
        <f t="shared" si="61"/>
        <v>181</v>
      </c>
      <c r="AK32" s="203">
        <f t="shared" si="14"/>
        <v>1810</v>
      </c>
      <c r="AL32" s="203">
        <f t="shared" si="62"/>
        <v>181</v>
      </c>
      <c r="AM32" s="203">
        <f t="shared" si="15"/>
        <v>1810</v>
      </c>
      <c r="AN32" s="35">
        <f t="shared" si="63"/>
        <v>0.64642857142857146</v>
      </c>
      <c r="AO32" s="36">
        <f t="shared" si="64"/>
        <v>12670</v>
      </c>
      <c r="AQ32" s="223">
        <f t="shared" si="37"/>
        <v>0.5817849670549291</v>
      </c>
      <c r="AR32" s="38">
        <f t="shared" si="42"/>
        <v>54088.548387096758</v>
      </c>
      <c r="AS32" s="197">
        <f t="shared" si="38"/>
        <v>0</v>
      </c>
      <c r="AT32" s="355"/>
      <c r="AU32" s="436"/>
      <c r="AV32" s="518">
        <f>IF(AT32&gt;0,AU32,AV31)</f>
        <v>0.83099999999999996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175</v>
      </c>
      <c r="C33" s="203">
        <f t="shared" si="18"/>
        <v>3765.322580645161</v>
      </c>
      <c r="D33">
        <f t="shared" si="45"/>
        <v>175</v>
      </c>
      <c r="E33" s="203">
        <f t="shared" si="18"/>
        <v>3765.322580645161</v>
      </c>
      <c r="F33">
        <f t="shared" si="46"/>
        <v>175</v>
      </c>
      <c r="G33" s="203">
        <f t="shared" si="1"/>
        <v>3765.322580645161</v>
      </c>
      <c r="H33" s="203">
        <f t="shared" si="47"/>
        <v>175</v>
      </c>
      <c r="I33" s="203">
        <f t="shared" si="2"/>
        <v>3765.322580645161</v>
      </c>
      <c r="J33" s="203">
        <f t="shared" si="48"/>
        <v>175</v>
      </c>
      <c r="K33" s="203">
        <f t="shared" si="3"/>
        <v>3765.322580645161</v>
      </c>
      <c r="L33" s="203">
        <f t="shared" si="49"/>
        <v>175</v>
      </c>
      <c r="M33" s="203">
        <f t="shared" si="4"/>
        <v>3765.322580645161</v>
      </c>
      <c r="N33" s="203">
        <f t="shared" si="50"/>
        <v>175</v>
      </c>
      <c r="O33" s="203">
        <f t="shared" si="5"/>
        <v>3765.322580645161</v>
      </c>
      <c r="P33" s="203">
        <f t="shared" si="51"/>
        <v>175</v>
      </c>
      <c r="Q33" s="203">
        <f t="shared" si="6"/>
        <v>3765.322580645161</v>
      </c>
      <c r="R33" s="203">
        <f t="shared" si="52"/>
        <v>175</v>
      </c>
      <c r="S33" s="203">
        <f t="shared" si="7"/>
        <v>3765.322580645161</v>
      </c>
      <c r="T33" s="203">
        <f t="shared" si="53"/>
        <v>175</v>
      </c>
      <c r="U33" s="203">
        <f t="shared" si="8"/>
        <v>3765.322580645161</v>
      </c>
      <c r="V33" s="203">
        <f t="shared" si="54"/>
        <v>175</v>
      </c>
      <c r="W33" s="203">
        <f t="shared" si="9"/>
        <v>3765.322580645161</v>
      </c>
      <c r="X33" s="35">
        <f t="shared" si="55"/>
        <v>0.5645161290322579</v>
      </c>
      <c r="Y33" s="36">
        <f t="shared" si="56"/>
        <v>41418.548387096758</v>
      </c>
      <c r="Z33" s="203">
        <f>'B5'!C32</f>
        <v>181</v>
      </c>
      <c r="AA33" s="203">
        <f t="shared" si="30"/>
        <v>1810</v>
      </c>
      <c r="AB33" s="203">
        <f t="shared" si="57"/>
        <v>181</v>
      </c>
      <c r="AC33" s="203">
        <f t="shared" si="30"/>
        <v>1810</v>
      </c>
      <c r="AD33" s="203">
        <f t="shared" si="58"/>
        <v>181</v>
      </c>
      <c r="AE33" s="203">
        <f t="shared" si="11"/>
        <v>1810</v>
      </c>
      <c r="AF33" s="203">
        <f t="shared" si="59"/>
        <v>181</v>
      </c>
      <c r="AG33" s="203">
        <f t="shared" si="12"/>
        <v>1810</v>
      </c>
      <c r="AH33" s="203">
        <f t="shared" si="60"/>
        <v>181</v>
      </c>
      <c r="AI33" s="203">
        <f t="shared" si="13"/>
        <v>1810</v>
      </c>
      <c r="AJ33" s="203">
        <f t="shared" si="61"/>
        <v>181</v>
      </c>
      <c r="AK33" s="203">
        <f t="shared" si="14"/>
        <v>1810</v>
      </c>
      <c r="AL33" s="203">
        <f t="shared" si="62"/>
        <v>181</v>
      </c>
      <c r="AM33" s="203">
        <f t="shared" si="15"/>
        <v>1810</v>
      </c>
      <c r="AN33" s="35">
        <f t="shared" si="63"/>
        <v>0.64642857142857146</v>
      </c>
      <c r="AO33" s="36">
        <f t="shared" si="64"/>
        <v>12670</v>
      </c>
      <c r="AQ33" s="223">
        <f t="shared" si="37"/>
        <v>0.5817849670549291</v>
      </c>
      <c r="AR33" s="38">
        <f t="shared" si="42"/>
        <v>54088.548387096758</v>
      </c>
      <c r="AS33" s="197">
        <f t="shared" si="38"/>
        <v>0</v>
      </c>
      <c r="AT33" s="355"/>
      <c r="AU33" s="436"/>
      <c r="AV33" s="518">
        <f>IF(AT33&gt;0,AU33,AV32)</f>
        <v>0.83099999999999996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175</v>
      </c>
      <c r="C34" s="203">
        <f t="shared" ref="C34:C36" si="65">B34*$B$4</f>
        <v>3765.322580645161</v>
      </c>
      <c r="D34">
        <f t="shared" ref="D34:D36" si="66">SUM(B34)</f>
        <v>175</v>
      </c>
      <c r="E34" s="203">
        <f t="shared" ref="E34:E36" si="67">D34*$B$4</f>
        <v>3765.322580645161</v>
      </c>
      <c r="F34">
        <f t="shared" ref="F34:F36" si="68">SUM(D34)</f>
        <v>175</v>
      </c>
      <c r="G34" s="203">
        <f t="shared" ref="G34:G36" si="69">F34*$B$4</f>
        <v>3765.322580645161</v>
      </c>
      <c r="H34" s="203">
        <f t="shared" ref="H34:H36" si="70">SUM(F34)</f>
        <v>175</v>
      </c>
      <c r="I34" s="203">
        <f t="shared" ref="I34:I36" si="71">H34*$B$4</f>
        <v>3765.322580645161</v>
      </c>
      <c r="J34" s="203">
        <f t="shared" ref="J34:J36" si="72">SUM(H34)</f>
        <v>175</v>
      </c>
      <c r="K34" s="203">
        <f t="shared" ref="K34:K36" si="73">J34*$B$4</f>
        <v>3765.322580645161</v>
      </c>
      <c r="L34" s="203">
        <f t="shared" ref="L34:L36" si="74">SUM(J34)</f>
        <v>175</v>
      </c>
      <c r="M34" s="203">
        <f t="shared" ref="M34:M36" si="75">L34*$B$4</f>
        <v>3765.322580645161</v>
      </c>
      <c r="N34" s="203">
        <f t="shared" ref="N34:N36" si="76">SUM(L34)</f>
        <v>175</v>
      </c>
      <c r="O34" s="203">
        <f t="shared" ref="O34:O36" si="77">N34*$B$4</f>
        <v>3765.322580645161</v>
      </c>
      <c r="P34" s="203">
        <f t="shared" ref="P34:P36" si="78">SUM(N34)</f>
        <v>175</v>
      </c>
      <c r="Q34" s="203">
        <f t="shared" ref="Q34:Q36" si="79">P34*$B$4</f>
        <v>3765.322580645161</v>
      </c>
      <c r="R34" s="203">
        <f t="shared" ref="R34:R36" si="80">SUM(P34)</f>
        <v>175</v>
      </c>
      <c r="S34" s="203">
        <f t="shared" ref="S34:S36" si="81">R34*$B$4</f>
        <v>3765.322580645161</v>
      </c>
      <c r="T34" s="203">
        <f t="shared" ref="T34:T36" si="82">SUM(R34)</f>
        <v>175</v>
      </c>
      <c r="U34" s="203">
        <f t="shared" ref="U34:U36" si="83">T34*$B$4</f>
        <v>3765.322580645161</v>
      </c>
      <c r="V34" s="203">
        <f t="shared" ref="V34:V36" si="84">SUM(T34)</f>
        <v>175</v>
      </c>
      <c r="W34" s="203">
        <f t="shared" ref="W34:W36" si="85">V34*$B$4</f>
        <v>3765.322580645161</v>
      </c>
      <c r="X34" s="35">
        <f t="shared" ref="X34:X36" si="86">SUM(Y34/73370)</f>
        <v>0.5645161290322579</v>
      </c>
      <c r="Y34" s="36">
        <f t="shared" ref="Y34:Y36" si="87">SUM(C34+E34+G34+I34+K34+M34+O34+Q34+S34+U34+W34)</f>
        <v>41418.548387096758</v>
      </c>
      <c r="Z34" s="203">
        <f>'B5'!C33</f>
        <v>181</v>
      </c>
      <c r="AA34" s="203">
        <f t="shared" ref="AA34:AA36" si="88">SUM(Z34*$Z$4)</f>
        <v>1810</v>
      </c>
      <c r="AB34" s="203">
        <f t="shared" ref="AB34:AB36" si="89">SUM(Z34)</f>
        <v>181</v>
      </c>
      <c r="AC34" s="203">
        <f t="shared" ref="AC34:AC36" si="90">SUM(AB34*$Z$4)</f>
        <v>1810</v>
      </c>
      <c r="AD34" s="203">
        <f t="shared" ref="AD34:AD36" si="91">SUM(AB34)</f>
        <v>181</v>
      </c>
      <c r="AE34" s="203">
        <f t="shared" ref="AE34:AE36" si="92">SUM(AD34*$Z$4)</f>
        <v>1810</v>
      </c>
      <c r="AF34" s="203">
        <f t="shared" ref="AF34:AF36" si="93">SUM(AD34)</f>
        <v>181</v>
      </c>
      <c r="AG34" s="203">
        <f t="shared" ref="AG34:AG36" si="94">SUM(AF34*$Z$4)</f>
        <v>1810</v>
      </c>
      <c r="AH34" s="203">
        <f t="shared" ref="AH34:AH36" si="95">SUM(AF34)</f>
        <v>181</v>
      </c>
      <c r="AI34" s="203">
        <f t="shared" ref="AI34:AI36" si="96">SUM(AH34*$Z$4)</f>
        <v>1810</v>
      </c>
      <c r="AJ34" s="203">
        <f t="shared" ref="AJ34:AJ36" si="97">SUM(AH34)</f>
        <v>181</v>
      </c>
      <c r="AK34" s="203">
        <f t="shared" ref="AK34:AK36" si="98">SUM(AJ34*$Z$4)</f>
        <v>1810</v>
      </c>
      <c r="AL34" s="203">
        <f t="shared" ref="AL34:AL36" si="99">SUM(AJ34)</f>
        <v>181</v>
      </c>
      <c r="AM34" s="203">
        <f t="shared" ref="AM34:AM36" si="100">SUM(AL34*$Z$4)</f>
        <v>1810</v>
      </c>
      <c r="AN34" s="35">
        <f t="shared" ref="AN34:AN36" si="101">SUM(AO34/19600)</f>
        <v>0.64642857142857146</v>
      </c>
      <c r="AO34" s="36">
        <f t="shared" ref="AO34:AO36" si="102">SUM(AA34+AC34+AE34+AG34+AI34+AK34+AM34)</f>
        <v>12670</v>
      </c>
      <c r="AQ34" s="223">
        <f t="shared" ref="AQ34:AQ36" si="103">SUM(AR34/92970)</f>
        <v>0.5817849670549291</v>
      </c>
      <c r="AR34" s="38">
        <f t="shared" si="42"/>
        <v>54088.548387096758</v>
      </c>
      <c r="AS34" s="197">
        <f t="shared" ref="AS34:AS36" si="104">SUM(AR34-AR33-AT34)</f>
        <v>0</v>
      </c>
      <c r="AT34" s="355"/>
      <c r="AU34" s="436"/>
      <c r="AV34" s="518">
        <f t="shared" ref="AV34:AV36" si="105">IF(AT34&gt;0,AU34,AV33)</f>
        <v>0.83099999999999996</v>
      </c>
      <c r="AW34" s="290">
        <f>-SUM('B5'!AI33)</f>
        <v>0</v>
      </c>
      <c r="AX34" s="290">
        <f t="shared" ref="AX34:AX36" si="106">-SUM(AW34-AS34)</f>
        <v>0</v>
      </c>
      <c r="AY34" s="37">
        <f t="shared" ref="AY34:AY36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175</v>
      </c>
      <c r="C35" s="203">
        <f t="shared" si="65"/>
        <v>3765.322580645161</v>
      </c>
      <c r="D35">
        <f t="shared" si="66"/>
        <v>175</v>
      </c>
      <c r="E35" s="203">
        <f t="shared" si="67"/>
        <v>3765.322580645161</v>
      </c>
      <c r="F35">
        <f t="shared" si="68"/>
        <v>175</v>
      </c>
      <c r="G35" s="203">
        <f t="shared" si="69"/>
        <v>3765.322580645161</v>
      </c>
      <c r="H35" s="203">
        <f t="shared" si="70"/>
        <v>175</v>
      </c>
      <c r="I35" s="203">
        <f t="shared" si="71"/>
        <v>3765.322580645161</v>
      </c>
      <c r="J35" s="203">
        <f t="shared" si="72"/>
        <v>175</v>
      </c>
      <c r="K35" s="203">
        <f t="shared" si="73"/>
        <v>3765.322580645161</v>
      </c>
      <c r="L35" s="203">
        <f t="shared" si="74"/>
        <v>175</v>
      </c>
      <c r="M35" s="203">
        <f t="shared" si="75"/>
        <v>3765.322580645161</v>
      </c>
      <c r="N35" s="203">
        <f t="shared" si="76"/>
        <v>175</v>
      </c>
      <c r="O35" s="203">
        <f t="shared" si="77"/>
        <v>3765.322580645161</v>
      </c>
      <c r="P35" s="203">
        <f t="shared" si="78"/>
        <v>175</v>
      </c>
      <c r="Q35" s="203">
        <f t="shared" si="79"/>
        <v>3765.322580645161</v>
      </c>
      <c r="R35" s="203">
        <f t="shared" si="80"/>
        <v>175</v>
      </c>
      <c r="S35" s="203">
        <f t="shared" si="81"/>
        <v>3765.322580645161</v>
      </c>
      <c r="T35" s="203">
        <f t="shared" si="82"/>
        <v>175</v>
      </c>
      <c r="U35" s="203">
        <f t="shared" si="83"/>
        <v>3765.322580645161</v>
      </c>
      <c r="V35" s="203">
        <f t="shared" si="84"/>
        <v>175</v>
      </c>
      <c r="W35" s="203">
        <f t="shared" si="85"/>
        <v>3765.322580645161</v>
      </c>
      <c r="X35" s="35">
        <f t="shared" si="86"/>
        <v>0.5645161290322579</v>
      </c>
      <c r="Y35" s="36">
        <f t="shared" si="87"/>
        <v>41418.548387096758</v>
      </c>
      <c r="Z35" s="203">
        <f>'B5'!C34</f>
        <v>181</v>
      </c>
      <c r="AA35" s="203">
        <f t="shared" si="88"/>
        <v>1810</v>
      </c>
      <c r="AB35" s="203">
        <f t="shared" si="89"/>
        <v>181</v>
      </c>
      <c r="AC35" s="203">
        <f t="shared" si="90"/>
        <v>1810</v>
      </c>
      <c r="AD35" s="203">
        <f t="shared" si="91"/>
        <v>181</v>
      </c>
      <c r="AE35" s="203">
        <f t="shared" si="92"/>
        <v>1810</v>
      </c>
      <c r="AF35" s="203">
        <f t="shared" si="93"/>
        <v>181</v>
      </c>
      <c r="AG35" s="203">
        <f t="shared" si="94"/>
        <v>1810</v>
      </c>
      <c r="AH35" s="203">
        <f t="shared" si="95"/>
        <v>181</v>
      </c>
      <c r="AI35" s="203">
        <f t="shared" si="96"/>
        <v>1810</v>
      </c>
      <c r="AJ35" s="203">
        <f t="shared" si="97"/>
        <v>181</v>
      </c>
      <c r="AK35" s="203">
        <f t="shared" si="98"/>
        <v>1810</v>
      </c>
      <c r="AL35" s="203">
        <f t="shared" si="99"/>
        <v>181</v>
      </c>
      <c r="AM35" s="203">
        <f t="shared" si="100"/>
        <v>1810</v>
      </c>
      <c r="AN35" s="35">
        <f t="shared" si="101"/>
        <v>0.64642857142857146</v>
      </c>
      <c r="AO35" s="36">
        <f t="shared" si="102"/>
        <v>12670</v>
      </c>
      <c r="AQ35" s="223">
        <f t="shared" si="103"/>
        <v>0.5817849670549291</v>
      </c>
      <c r="AR35" s="38">
        <f t="shared" si="42"/>
        <v>54088.548387096758</v>
      </c>
      <c r="AS35" s="197">
        <f t="shared" si="104"/>
        <v>0</v>
      </c>
      <c r="AT35" s="355"/>
      <c r="AU35" s="436"/>
      <c r="AV35" s="518">
        <f t="shared" si="105"/>
        <v>0.83099999999999996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175</v>
      </c>
      <c r="C36" s="203">
        <f t="shared" si="65"/>
        <v>3765.322580645161</v>
      </c>
      <c r="D36">
        <f t="shared" si="66"/>
        <v>175</v>
      </c>
      <c r="E36" s="203">
        <f t="shared" si="67"/>
        <v>3765.322580645161</v>
      </c>
      <c r="F36">
        <f t="shared" si="68"/>
        <v>175</v>
      </c>
      <c r="G36" s="203">
        <f t="shared" si="69"/>
        <v>3765.322580645161</v>
      </c>
      <c r="H36" s="203">
        <f t="shared" si="70"/>
        <v>175</v>
      </c>
      <c r="I36" s="203">
        <f t="shared" si="71"/>
        <v>3765.322580645161</v>
      </c>
      <c r="J36" s="203">
        <f t="shared" si="72"/>
        <v>175</v>
      </c>
      <c r="K36" s="203">
        <f t="shared" si="73"/>
        <v>3765.322580645161</v>
      </c>
      <c r="L36" s="203">
        <f t="shared" si="74"/>
        <v>175</v>
      </c>
      <c r="M36" s="203">
        <f t="shared" si="75"/>
        <v>3765.322580645161</v>
      </c>
      <c r="N36" s="203">
        <f t="shared" si="76"/>
        <v>175</v>
      </c>
      <c r="O36" s="203">
        <f t="shared" si="77"/>
        <v>3765.322580645161</v>
      </c>
      <c r="P36" s="203">
        <f t="shared" si="78"/>
        <v>175</v>
      </c>
      <c r="Q36" s="203">
        <f t="shared" si="79"/>
        <v>3765.322580645161</v>
      </c>
      <c r="R36" s="203">
        <f t="shared" si="80"/>
        <v>175</v>
      </c>
      <c r="S36" s="203">
        <f t="shared" si="81"/>
        <v>3765.322580645161</v>
      </c>
      <c r="T36" s="203">
        <f t="shared" si="82"/>
        <v>175</v>
      </c>
      <c r="U36" s="203">
        <f t="shared" si="83"/>
        <v>3765.322580645161</v>
      </c>
      <c r="V36" s="203">
        <f t="shared" si="84"/>
        <v>175</v>
      </c>
      <c r="W36" s="203">
        <f t="shared" si="85"/>
        <v>3765.322580645161</v>
      </c>
      <c r="X36" s="35">
        <f t="shared" si="86"/>
        <v>0.5645161290322579</v>
      </c>
      <c r="Y36" s="36">
        <f t="shared" si="87"/>
        <v>41418.548387096758</v>
      </c>
      <c r="Z36" s="203">
        <f>'B5'!C35</f>
        <v>181</v>
      </c>
      <c r="AA36" s="203">
        <f t="shared" si="88"/>
        <v>1810</v>
      </c>
      <c r="AB36" s="203">
        <f t="shared" si="89"/>
        <v>181</v>
      </c>
      <c r="AC36" s="203">
        <f t="shared" si="90"/>
        <v>1810</v>
      </c>
      <c r="AD36" s="203">
        <f t="shared" si="91"/>
        <v>181</v>
      </c>
      <c r="AE36" s="203">
        <f t="shared" si="92"/>
        <v>1810</v>
      </c>
      <c r="AF36" s="203">
        <f t="shared" si="93"/>
        <v>181</v>
      </c>
      <c r="AG36" s="203">
        <f t="shared" si="94"/>
        <v>1810</v>
      </c>
      <c r="AH36" s="203">
        <f t="shared" si="95"/>
        <v>181</v>
      </c>
      <c r="AI36" s="203">
        <f t="shared" si="96"/>
        <v>1810</v>
      </c>
      <c r="AJ36" s="203">
        <f t="shared" si="97"/>
        <v>181</v>
      </c>
      <c r="AK36" s="203">
        <f t="shared" si="98"/>
        <v>1810</v>
      </c>
      <c r="AL36" s="203">
        <f t="shared" si="99"/>
        <v>181</v>
      </c>
      <c r="AM36" s="203">
        <f t="shared" si="100"/>
        <v>1810</v>
      </c>
      <c r="AN36" s="35">
        <f t="shared" si="101"/>
        <v>0.64642857142857146</v>
      </c>
      <c r="AO36" s="36">
        <f t="shared" si="102"/>
        <v>12670</v>
      </c>
      <c r="AQ36" s="223">
        <f t="shared" si="103"/>
        <v>0.5817849670549291</v>
      </c>
      <c r="AR36" s="38">
        <f t="shared" si="42"/>
        <v>54088.548387096758</v>
      </c>
      <c r="AS36" s="197">
        <f t="shared" si="104"/>
        <v>0</v>
      </c>
      <c r="AT36" s="355"/>
      <c r="AU36" s="436"/>
      <c r="AV36" s="518">
        <f t="shared" si="105"/>
        <v>0.83099999999999996</v>
      </c>
      <c r="AW36" s="290">
        <f>-SUM('B5'!AI35)</f>
        <v>0</v>
      </c>
      <c r="AX36" s="290">
        <f t="shared" si="106"/>
        <v>0</v>
      </c>
      <c r="AY36" s="37">
        <f t="shared" si="107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8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2</v>
      </c>
      <c r="AT37" s="203">
        <f>SUM(AT6:AT33)</f>
        <v>13896</v>
      </c>
      <c r="AU37">
        <f>SUM(AU6:AU33)/AS37</f>
        <v>0.80549999999999999</v>
      </c>
      <c r="AX37" s="203">
        <f>SUM(AX6:AX33)</f>
        <v>-21788.129032258075</v>
      </c>
      <c r="AY37" s="203">
        <f>SUM(AY6:AY33)</f>
        <v>-27153.129032258075</v>
      </c>
    </row>
    <row r="38" spans="1:60">
      <c r="AS38" s="206"/>
      <c r="AT38">
        <f>+AT37*AU37</f>
        <v>11193.227999999999</v>
      </c>
    </row>
    <row r="40" spans="1:60">
      <c r="AS40" s="165">
        <f>SUM(AS6:AS33)/'EDl log'!A35</f>
        <v>-1508.507168458782</v>
      </c>
      <c r="AT40" s="203"/>
    </row>
    <row r="41" spans="1:60">
      <c r="AX41">
        <v>43309</v>
      </c>
    </row>
    <row r="42" spans="1:60">
      <c r="AR42" s="203"/>
      <c r="AX42">
        <f>AX37/AX41</f>
        <v>-0.50308547951368254</v>
      </c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3</v>
      </c>
      <c r="B9" s="3">
        <f>ELEC!AF10</f>
        <v>606</v>
      </c>
      <c r="C9" s="3">
        <f>ELEC!N10</f>
        <v>6832</v>
      </c>
      <c r="D9" s="3">
        <f t="shared" si="0"/>
        <v>4021.9999999986903</v>
      </c>
      <c r="E9" s="3">
        <f>ELEC!Q10</f>
        <v>2810.0000000013097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-24.000000000000028</v>
      </c>
      <c r="J9" s="9">
        <f>'B5'!A11</f>
        <v>44262</v>
      </c>
    </row>
    <row r="10" spans="1:10">
      <c r="A10" s="3">
        <f>ELEC!T11+ELEC!X11+ELEC!AB11</f>
        <v>3</v>
      </c>
      <c r="B10" s="3">
        <f>ELEC!AF11</f>
        <v>489</v>
      </c>
      <c r="C10" s="3">
        <f>ELEC!N11</f>
        <v>6552</v>
      </c>
      <c r="D10" s="3">
        <f t="shared" si="0"/>
        <v>4434.0000000014261</v>
      </c>
      <c r="E10" s="3">
        <f>ELEC!Q11</f>
        <v>2117.9999999985739</v>
      </c>
      <c r="F10" s="3">
        <f>GEN!Z10</f>
        <v>5</v>
      </c>
      <c r="G10" s="3">
        <f>WATER!C13+WATER!H13</f>
        <v>0</v>
      </c>
      <c r="H10" s="3">
        <f>WATER!L13</f>
        <v>0</v>
      </c>
      <c r="I10" s="15">
        <f>WATER!BC13+WATER!BD13+WATER!BE14-Sheet1!G10</f>
        <v>-45.300000000000054</v>
      </c>
      <c r="J10" s="9">
        <f>'B5'!A12</f>
        <v>44263</v>
      </c>
    </row>
    <row r="11" spans="1:10">
      <c r="A11" s="3">
        <f>ELEC!T12+ELEC!X12+ELEC!AB12</f>
        <v>5</v>
      </c>
      <c r="B11" s="3">
        <f>ELEC!AF12</f>
        <v>801</v>
      </c>
      <c r="C11" s="3">
        <f>ELEC!N12</f>
        <v>6673</v>
      </c>
      <c r="D11" s="3">
        <f t="shared" si="0"/>
        <v>3693.9999999970023</v>
      </c>
      <c r="E11" s="3">
        <f>ELEC!Q12</f>
        <v>2979.0000000029977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147.90000000000003</v>
      </c>
      <c r="J11" s="9">
        <f>'B5'!A13</f>
        <v>44264</v>
      </c>
    </row>
    <row r="12" spans="1:10">
      <c r="A12" s="3">
        <f>ELEC!T13+ELEC!X13+ELEC!AB13</f>
        <v>3</v>
      </c>
      <c r="B12" s="3">
        <f>ELEC!AF13</f>
        <v>574</v>
      </c>
      <c r="C12" s="3">
        <f>ELEC!N13</f>
        <v>6832</v>
      </c>
      <c r="D12" s="3">
        <f t="shared" si="0"/>
        <v>4802.0000000011642</v>
      </c>
      <c r="E12" s="3">
        <f>ELEC!Q13</f>
        <v>2029.9999999988358</v>
      </c>
      <c r="F12" s="3">
        <f>GEN!Z12</f>
        <v>4</v>
      </c>
      <c r="G12" s="3">
        <f>WATER!C15+WATER!H15</f>
        <v>299</v>
      </c>
      <c r="H12" s="3">
        <f>WATER!L15</f>
        <v>0</v>
      </c>
      <c r="I12" s="15">
        <f>WATER!BC15+WATER!BD15+WATER!BE16-Sheet1!G12</f>
        <v>-257.09999999999997</v>
      </c>
      <c r="J12" s="9">
        <f>'B5'!A14</f>
        <v>44265</v>
      </c>
    </row>
    <row r="13" spans="1:10">
      <c r="A13" s="3">
        <f>ELEC!T14+ELEC!X14+ELEC!AB14</f>
        <v>2</v>
      </c>
      <c r="B13" s="3">
        <f>ELEC!AF14</f>
        <v>378</v>
      </c>
      <c r="C13" s="3">
        <f>ELEC!N14</f>
        <v>6743</v>
      </c>
      <c r="D13" s="3">
        <f t="shared" si="0"/>
        <v>4879.000000002241</v>
      </c>
      <c r="E13" s="3">
        <f>ELEC!Q14</f>
        <v>1863.999999997759</v>
      </c>
      <c r="F13" s="3">
        <f>GEN!Z13</f>
        <v>3</v>
      </c>
      <c r="G13" s="3">
        <f>WATER!C16+WATER!H16</f>
        <v>0</v>
      </c>
      <c r="H13" s="3">
        <f>WATER!L16</f>
        <v>2</v>
      </c>
      <c r="I13" s="15">
        <f>WATER!BC16+WATER!BD16+WATER!BE17-Sheet1!G13</f>
        <v>0.99999999999997158</v>
      </c>
      <c r="J13" s="9">
        <f>'B5'!A15</f>
        <v>44266</v>
      </c>
    </row>
    <row r="14" spans="1:10">
      <c r="A14" s="3">
        <f>ELEC!T15+ELEC!X15+ELEC!AB15</f>
        <v>2</v>
      </c>
      <c r="B14" s="3">
        <f>ELEC!AF15</f>
        <v>473</v>
      </c>
      <c r="C14" s="3">
        <f>ELEC!N15</f>
        <v>6400</v>
      </c>
      <c r="D14" s="3">
        <f t="shared" si="0"/>
        <v>4495.9999999977299</v>
      </c>
      <c r="E14" s="3">
        <f>ELEC!Q15</f>
        <v>1904.0000000022701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-7.3000000000000398</v>
      </c>
      <c r="J14" s="9">
        <f>'B5'!A16</f>
        <v>44267</v>
      </c>
    </row>
    <row r="15" spans="1:10">
      <c r="A15" s="3">
        <f>ELEC!T16+ELEC!X16+ELEC!AB16</f>
        <v>3</v>
      </c>
      <c r="B15" s="3">
        <f>ELEC!AF16</f>
        <v>567</v>
      </c>
      <c r="C15" s="3">
        <f>ELEC!N16</f>
        <v>6878</v>
      </c>
      <c r="D15" s="3">
        <f t="shared" si="0"/>
        <v>4098.0000000011642</v>
      </c>
      <c r="E15" s="3">
        <f>ELEC!Q16</f>
        <v>2779.9999999988358</v>
      </c>
      <c r="F15" s="3">
        <f>GEN!Z15</f>
        <v>4</v>
      </c>
      <c r="G15" s="3">
        <f>WATER!C18+WATER!H18</f>
        <v>0</v>
      </c>
      <c r="H15" s="3">
        <f>WATER!L18</f>
        <v>1</v>
      </c>
      <c r="I15" s="15">
        <f>WATER!BC18+WATER!BD18+WATER!BE19-Sheet1!G15</f>
        <v>-42.899999999999977</v>
      </c>
      <c r="J15" s="9">
        <f>'B5'!A17</f>
        <v>44268</v>
      </c>
    </row>
    <row r="16" spans="1:10">
      <c r="A16" s="3">
        <f>ELEC!T17+ELEC!X17+ELEC!AB17</f>
        <v>2</v>
      </c>
      <c r="B16" s="3">
        <f>ELEC!AF17</f>
        <v>294</v>
      </c>
      <c r="C16" s="3">
        <f>ELEC!N17</f>
        <v>6482</v>
      </c>
      <c r="D16" s="3">
        <f t="shared" si="0"/>
        <v>4689.9999999987194</v>
      </c>
      <c r="E16" s="3">
        <f>ELEC!Q17</f>
        <v>1792.0000000012806</v>
      </c>
      <c r="F16" s="3">
        <f>GEN!Z16</f>
        <v>4</v>
      </c>
      <c r="G16" s="3">
        <f>WATER!C19+WATER!H19</f>
        <v>0</v>
      </c>
      <c r="H16" s="3">
        <f>WATER!L19</f>
        <v>0</v>
      </c>
      <c r="I16" s="15">
        <f>WATER!BC19+WATER!BD19+WATER!BE20-Sheet1!G16</f>
        <v>-42.899999999999977</v>
      </c>
      <c r="J16" s="9">
        <f>'B5'!A18</f>
        <v>44269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8211</v>
      </c>
      <c r="D17" s="3">
        <f t="shared" si="0"/>
        <v>3104.0000000000291</v>
      </c>
      <c r="E17" s="3">
        <f>ELEC!Q18</f>
        <v>5106.9999999999709</v>
      </c>
      <c r="F17" s="3">
        <f>GEN!Z17</f>
        <v>3</v>
      </c>
      <c r="G17" s="3">
        <f>WATER!C20+WATER!H20</f>
        <v>0</v>
      </c>
      <c r="H17" s="3">
        <f>WATER!L20</f>
        <v>0</v>
      </c>
      <c r="I17" s="15">
        <f>WATER!BC20+WATER!BD20+WATER!BE21-Sheet1!G17</f>
        <v>-49.2</v>
      </c>
      <c r="J17" s="9">
        <f>'B5'!A19</f>
        <v>44270</v>
      </c>
    </row>
    <row r="18" spans="1:10">
      <c r="A18" s="3">
        <f>ELEC!T19+ELEC!X19+ELEC!AB19</f>
        <v>6</v>
      </c>
      <c r="B18" s="3">
        <f>ELEC!AF19</f>
        <v>900</v>
      </c>
      <c r="C18" s="3">
        <f>ELEC!N19</f>
        <v>8488</v>
      </c>
      <c r="D18" s="3">
        <f t="shared" si="0"/>
        <v>3586.0000000017753</v>
      </c>
      <c r="E18" s="3">
        <f>ELEC!Q19</f>
        <v>4901.9999999982247</v>
      </c>
      <c r="F18" s="3">
        <f>GEN!Z18</f>
        <v>9</v>
      </c>
      <c r="G18" s="3">
        <f>WATER!C21+WATER!H21</f>
        <v>0</v>
      </c>
      <c r="H18" s="3">
        <f>WATER!L21</f>
        <v>0</v>
      </c>
      <c r="I18" s="15">
        <f>WATER!BC21+WATER!BD21+WATER!BE22-Sheet1!G18</f>
        <v>-58.500000000000028</v>
      </c>
      <c r="J18" s="9">
        <f>'B5'!A20</f>
        <v>44271</v>
      </c>
    </row>
    <row r="19" spans="1:10">
      <c r="A19" s="3">
        <f>ELEC!T20+ELEC!X20+ELEC!AB20</f>
        <v>6</v>
      </c>
      <c r="B19" s="3">
        <f>ELEC!AF20</f>
        <v>922</v>
      </c>
      <c r="C19" s="3">
        <f>ELEC!N20</f>
        <v>8988</v>
      </c>
      <c r="D19" s="3">
        <f t="shared" si="0"/>
        <v>3145.999999999447</v>
      </c>
      <c r="E19" s="3">
        <f>ELEC!Q20</f>
        <v>5842.000000000553</v>
      </c>
      <c r="F19" s="3">
        <f>GEN!Z19</f>
        <v>8</v>
      </c>
      <c r="G19" s="3">
        <f>WATER!C22+WATER!H22</f>
        <v>0</v>
      </c>
      <c r="H19" s="3">
        <f>WATER!L22</f>
        <v>1</v>
      </c>
      <c r="I19" s="15">
        <f>WATER!BC22+WATER!BD22+WATER!BE23-Sheet1!G19</f>
        <v>4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10</v>
      </c>
      <c r="G20" s="3">
        <f>WATER!C23+WATER!H23</f>
        <v>255</v>
      </c>
      <c r="H20" s="3">
        <f>WATER!L23</f>
        <v>0</v>
      </c>
      <c r="I20" s="15">
        <f>WATER!BC23+WATER!BD23+WATER!BE24-Sheet1!G20</f>
        <v>-296.59999999999997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-17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17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8"/>
      <c r="B1" s="645" t="s">
        <v>119</v>
      </c>
      <c r="C1" s="645" t="s">
        <v>118</v>
      </c>
      <c r="D1" s="650" t="s">
        <v>113</v>
      </c>
      <c r="E1" s="650" t="s">
        <v>114</v>
      </c>
      <c r="F1" s="651" t="s">
        <v>120</v>
      </c>
      <c r="G1" s="652" t="s">
        <v>75</v>
      </c>
      <c r="H1" s="653" t="s">
        <v>115</v>
      </c>
      <c r="I1" s="654" t="s">
        <v>116</v>
      </c>
      <c r="J1" s="653" t="s">
        <v>117</v>
      </c>
      <c r="K1" s="647" t="s">
        <v>121</v>
      </c>
      <c r="L1" s="647" t="s">
        <v>122</v>
      </c>
      <c r="M1" s="647" t="s">
        <v>123</v>
      </c>
      <c r="N1" s="647" t="s">
        <v>124</v>
      </c>
    </row>
    <row r="2" spans="1:14">
      <c r="A2" s="649"/>
      <c r="B2" s="646"/>
      <c r="C2" s="646"/>
      <c r="D2" s="650"/>
      <c r="E2" s="650"/>
      <c r="F2" s="651"/>
      <c r="G2" s="652"/>
      <c r="H2" s="653"/>
      <c r="I2" s="655"/>
      <c r="J2" s="653"/>
      <c r="K2" s="647"/>
      <c r="L2" s="647"/>
      <c r="M2" s="647"/>
      <c r="N2" s="64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290</v>
      </c>
      <c r="C12" s="76">
        <f>'B5'!AH12</f>
        <v>0</v>
      </c>
      <c r="D12" s="76">
        <f>GEN!AI10</f>
        <v>723.24894514801645</v>
      </c>
      <c r="E12" s="242">
        <f t="shared" si="0"/>
        <v>1013.2489451480164</v>
      </c>
      <c r="F12" s="75">
        <f>WATER!L12</f>
        <v>1</v>
      </c>
      <c r="G12" s="78">
        <f>WATER!BG12</f>
        <v>-11.999999999999972</v>
      </c>
      <c r="H12" s="79">
        <f>ELEC!AF10</f>
        <v>606</v>
      </c>
      <c r="I12" s="79">
        <f>ELEC!Q10</f>
        <v>2810.0000000013097</v>
      </c>
      <c r="J12" s="79">
        <f>ELEC!R10</f>
        <v>4021.9999999986903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220</v>
      </c>
      <c r="C13" s="76">
        <f>'B5'!AH13</f>
        <v>0</v>
      </c>
      <c r="D13" s="76">
        <f>GEN!AI11</f>
        <v>545.13924050596211</v>
      </c>
      <c r="E13" s="242">
        <f t="shared" si="0"/>
        <v>765.13924050596211</v>
      </c>
      <c r="F13" s="75">
        <f>WATER!L13</f>
        <v>0</v>
      </c>
      <c r="G13" s="78">
        <f>WATER!BG13</f>
        <v>-12.000000000000057</v>
      </c>
      <c r="H13" s="79">
        <f>ELEC!AF11</f>
        <v>489</v>
      </c>
      <c r="I13" s="79">
        <f>ELEC!Q11</f>
        <v>2117.9999999985739</v>
      </c>
      <c r="J13" s="79">
        <f>ELEC!R11</f>
        <v>4434.0000000014261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211</v>
      </c>
      <c r="C14" s="76">
        <f>'B5'!AH14</f>
        <v>65</v>
      </c>
      <c r="D14" s="76">
        <f>GEN!AI12</f>
        <v>766.74683544380957</v>
      </c>
      <c r="E14" s="242">
        <f t="shared" si="0"/>
        <v>1042.7468354438097</v>
      </c>
      <c r="F14" s="75">
        <f>WATER!L14</f>
        <v>0</v>
      </c>
      <c r="G14" s="78">
        <f>WATER!BG14</f>
        <v>-33.299999999999997</v>
      </c>
      <c r="H14" s="79">
        <f>ELEC!AF12</f>
        <v>801</v>
      </c>
      <c r="I14" s="79">
        <f>ELEC!Q12</f>
        <v>2979.0000000029977</v>
      </c>
      <c r="J14" s="79">
        <f>ELEC!R12</f>
        <v>3693.9999999970023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242</v>
      </c>
      <c r="C15" s="76">
        <f>'B5'!AH15</f>
        <v>0</v>
      </c>
      <c r="D15" s="76">
        <f>GEN!AI13</f>
        <v>522.48945147649363</v>
      </c>
      <c r="E15" s="242">
        <f t="shared" si="0"/>
        <v>764.48945147649363</v>
      </c>
      <c r="F15" s="75">
        <f>WATER!L15</f>
        <v>0</v>
      </c>
      <c r="G15" s="78">
        <f>WATER!BG15</f>
        <v>143.40000000000003</v>
      </c>
      <c r="H15" s="79">
        <f>ELEC!AF13</f>
        <v>574</v>
      </c>
      <c r="I15" s="79">
        <f>ELEC!Q13</f>
        <v>2029.9999999988358</v>
      </c>
      <c r="J15" s="79">
        <f>ELEC!R13</f>
        <v>4802.0000000011642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257</v>
      </c>
      <c r="C16" s="76">
        <f>'B5'!AH16</f>
        <v>0</v>
      </c>
      <c r="D16" s="76">
        <f>GEN!AI14</f>
        <v>479.76371307959204</v>
      </c>
      <c r="E16" s="242">
        <f t="shared" si="0"/>
        <v>736.76371307959198</v>
      </c>
      <c r="F16" s="75">
        <f>WATER!L16</f>
        <v>2</v>
      </c>
      <c r="G16" s="78">
        <f>WATER!BG16</f>
        <v>-15.999999999999986</v>
      </c>
      <c r="H16" s="79">
        <f>ELEC!AF14</f>
        <v>378</v>
      </c>
      <c r="I16" s="79">
        <f>ELEC!Q14</f>
        <v>1863.999999997759</v>
      </c>
      <c r="J16" s="79">
        <f>ELEC!R14</f>
        <v>4879.000000002241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233</v>
      </c>
      <c r="C17" s="76">
        <f>'B5'!AH17</f>
        <v>0</v>
      </c>
      <c r="D17" s="76">
        <f>GEN!AI15</f>
        <v>490.05907173054214</v>
      </c>
      <c r="E17" s="242">
        <f t="shared" si="0"/>
        <v>723.0590717305422</v>
      </c>
      <c r="F17" s="75">
        <f>WATER!L17</f>
        <v>0</v>
      </c>
      <c r="G17" s="78">
        <f>WATER!BG17</f>
        <v>-7.3000000000000398</v>
      </c>
      <c r="H17" s="79">
        <f>ELEC!AF15</f>
        <v>473</v>
      </c>
      <c r="I17" s="79">
        <f>ELEC!Q15</f>
        <v>1904.0000000022701</v>
      </c>
      <c r="J17" s="79">
        <f>ELEC!R15</f>
        <v>4495.9999999977299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235</v>
      </c>
      <c r="C18" s="76">
        <f>'B5'!AH18</f>
        <v>0</v>
      </c>
      <c r="D18" s="76">
        <f>GEN!AI16</f>
        <v>715.52742616003798</v>
      </c>
      <c r="E18" s="242">
        <f t="shared" si="0"/>
        <v>950.52742616003798</v>
      </c>
      <c r="F18" s="75">
        <f>WATER!L18</f>
        <v>1</v>
      </c>
      <c r="G18" s="78">
        <f>WATER!BG18</f>
        <v>0</v>
      </c>
      <c r="H18" s="79">
        <f>ELEC!AF16</f>
        <v>567</v>
      </c>
      <c r="I18" s="79">
        <f>ELEC!Q16</f>
        <v>2779.9999999988358</v>
      </c>
      <c r="J18" s="79">
        <f>ELEC!R16</f>
        <v>4098.0000000011642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228</v>
      </c>
      <c r="C19" s="76">
        <f>'B5'!AH19</f>
        <v>0</v>
      </c>
      <c r="D19" s="76">
        <f>GEN!AI17</f>
        <v>461.23206751087815</v>
      </c>
      <c r="E19" s="242">
        <f t="shared" si="0"/>
        <v>689.2320675108781</v>
      </c>
      <c r="F19" s="75">
        <f>WATER!L19</f>
        <v>0</v>
      </c>
      <c r="G19" s="78">
        <f>WATER!BG19</f>
        <v>-42.899999999999977</v>
      </c>
      <c r="H19" s="79">
        <f>ELEC!AF17</f>
        <v>294</v>
      </c>
      <c r="I19" s="79">
        <f>ELEC!Q17</f>
        <v>1792.0000000012806</v>
      </c>
      <c r="J19" s="79">
        <f>ELEC!R17</f>
        <v>4689.9999999987194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442</v>
      </c>
      <c r="C20" s="76">
        <f>'B5'!AH20</f>
        <v>0</v>
      </c>
      <c r="D20" s="76">
        <f>GEN!AI18</f>
        <v>1314.459915611807</v>
      </c>
      <c r="E20" s="242">
        <f t="shared" si="0"/>
        <v>1756.459915611807</v>
      </c>
      <c r="F20" s="75">
        <f>WATER!L20</f>
        <v>0</v>
      </c>
      <c r="G20" s="78">
        <f>WATER!BG20</f>
        <v>0</v>
      </c>
      <c r="H20" s="79">
        <f>ELEC!AF18</f>
        <v>982</v>
      </c>
      <c r="I20" s="79">
        <f>ELEC!Q18</f>
        <v>5106.9999999999709</v>
      </c>
      <c r="J20" s="79">
        <f>ELEC!R18</f>
        <v>3104.0000000000291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427</v>
      </c>
      <c r="C21" s="76">
        <f>'B5'!AH21</f>
        <v>53.799999999988358</v>
      </c>
      <c r="D21" s="76">
        <f>GEN!AI19</f>
        <v>1261.6962025311886</v>
      </c>
      <c r="E21" s="242">
        <f t="shared" si="0"/>
        <v>1742.496202531177</v>
      </c>
      <c r="F21" s="75">
        <f>WATER!L21</f>
        <v>0</v>
      </c>
      <c r="G21" s="78">
        <f>WATER!BG21</f>
        <v>-49.2</v>
      </c>
      <c r="H21" s="79">
        <f>ELEC!AF19</f>
        <v>900</v>
      </c>
      <c r="I21" s="79">
        <f>ELEC!Q19</f>
        <v>4901.9999999982247</v>
      </c>
      <c r="J21" s="79">
        <f>ELEC!R19</f>
        <v>3586.0000000017753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466</v>
      </c>
      <c r="C22" s="76">
        <f>'B5'!AH22</f>
        <v>0</v>
      </c>
      <c r="D22" s="76">
        <f>GEN!AI20</f>
        <v>1503.6371308018302</v>
      </c>
      <c r="E22" s="242">
        <f t="shared" si="0"/>
        <v>1969.6371308018302</v>
      </c>
      <c r="F22" s="75">
        <f>WATER!L22</f>
        <v>1</v>
      </c>
      <c r="G22" s="78">
        <f>WATER!BG22</f>
        <v>-29.100000000000023</v>
      </c>
      <c r="H22" s="79">
        <f>ELEC!AF20</f>
        <v>922</v>
      </c>
      <c r="I22" s="79">
        <f>ELEC!Q20</f>
        <v>5842.000000000553</v>
      </c>
      <c r="J22" s="79">
        <f>ELEC!R20</f>
        <v>3145.999999999447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33.100000000000023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-17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17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6" t="s">
        <v>151</v>
      </c>
      <c r="U3" s="656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3</v>
      </c>
      <c r="E19">
        <f t="shared" si="0"/>
        <v>270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7</v>
      </c>
      <c r="E21">
        <f t="shared" si="0"/>
        <v>630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5</v>
      </c>
      <c r="E22">
        <f t="shared" si="0"/>
        <v>450</v>
      </c>
      <c r="F22">
        <f>'B5'!AM21</f>
        <v>1</v>
      </c>
      <c r="G22">
        <f t="shared" si="1"/>
        <v>107</v>
      </c>
    </row>
    <row r="23" spans="3:7">
      <c r="C23" s="99">
        <v>42447</v>
      </c>
      <c r="D23">
        <f>'B5'!AL22</f>
        <v>7</v>
      </c>
      <c r="E23">
        <f t="shared" si="0"/>
        <v>630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B1" zoomScale="112" zoomScaleNormal="112" workbookViewId="0">
      <pane ySplit="1" topLeftCell="A11" activePane="bottomLeft" state="frozen"/>
      <selection pane="bottomLeft" activeCell="U20" sqref="U2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v>11943</v>
      </c>
      <c r="S10" s="287">
        <f t="shared" si="4"/>
        <v>5</v>
      </c>
      <c r="T10" s="541">
        <f t="shared" si="29"/>
        <v>411163</v>
      </c>
      <c r="U10" s="287">
        <f t="shared" si="19"/>
        <v>1250</v>
      </c>
      <c r="V10" s="287">
        <v>250</v>
      </c>
      <c r="W10" s="338"/>
      <c r="X10" s="288">
        <f t="shared" si="20"/>
        <v>11898</v>
      </c>
      <c r="Y10" s="287" t="str">
        <f t="shared" ref="Y10:Y20" si="31">IF(R10-X10&lt;=0,"ok","oil change")</f>
        <v>oil change</v>
      </c>
      <c r="Z10" s="287">
        <f t="shared" si="6"/>
        <v>5</v>
      </c>
      <c r="AA10" s="287">
        <f t="shared" si="21"/>
        <v>1250</v>
      </c>
      <c r="AB10" s="287">
        <f t="shared" si="22"/>
        <v>250</v>
      </c>
      <c r="AC10" s="287">
        <f t="shared" si="23"/>
        <v>250</v>
      </c>
      <c r="AD10" s="73">
        <f>ELEC!Q10</f>
        <v>2810.0000000013097</v>
      </c>
      <c r="AE10" s="73">
        <f t="shared" si="25"/>
        <v>562.00000000026193</v>
      </c>
      <c r="AF10" s="403">
        <f t="shared" si="26"/>
        <v>0.35125000000016371</v>
      </c>
      <c r="AG10" s="404">
        <f t="shared" si="27"/>
        <v>112.40000000005239</v>
      </c>
      <c r="AH10" s="404">
        <f t="shared" si="24"/>
        <v>137.59999999994761</v>
      </c>
      <c r="AI10" s="73">
        <f t="shared" si="28"/>
        <v>723.24894514801645</v>
      </c>
      <c r="AJ10" s="289">
        <f t="shared" si="7"/>
        <v>0.25738396624472576</v>
      </c>
      <c r="AK10" s="289">
        <f t="shared" si="30"/>
        <v>144.64978902960328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v>11946</v>
      </c>
      <c r="S11" s="287">
        <f t="shared" si="4"/>
        <v>3</v>
      </c>
      <c r="T11" s="541">
        <v>412663</v>
      </c>
      <c r="U11" s="287">
        <f t="shared" si="19"/>
        <v>750</v>
      </c>
      <c r="V11" s="287">
        <v>250</v>
      </c>
      <c r="W11" s="338"/>
      <c r="X11" s="288">
        <f t="shared" si="20"/>
        <v>11898</v>
      </c>
      <c r="Y11" s="287" t="str">
        <f t="shared" si="31"/>
        <v>oil change</v>
      </c>
      <c r="Z11" s="287">
        <f t="shared" si="6"/>
        <v>3</v>
      </c>
      <c r="AA11" s="287">
        <f t="shared" si="21"/>
        <v>750</v>
      </c>
      <c r="AB11" s="287">
        <f t="shared" si="22"/>
        <v>250</v>
      </c>
      <c r="AC11" s="287">
        <f t="shared" si="23"/>
        <v>250</v>
      </c>
      <c r="AD11" s="73">
        <f>ELEC!Q11</f>
        <v>2117.9999999985739</v>
      </c>
      <c r="AE11" s="73">
        <f t="shared" si="25"/>
        <v>705.99999999952468</v>
      </c>
      <c r="AF11" s="403">
        <f t="shared" si="26"/>
        <v>0.44124999999970294</v>
      </c>
      <c r="AG11" s="404">
        <f t="shared" si="27"/>
        <v>141.19999999990495</v>
      </c>
      <c r="AH11" s="404">
        <f t="shared" si="24"/>
        <v>108.80000000009505</v>
      </c>
      <c r="AI11" s="73">
        <f t="shared" si="28"/>
        <v>545.13924050596211</v>
      </c>
      <c r="AJ11" s="289">
        <f t="shared" si="7"/>
        <v>0.25738396624472576</v>
      </c>
      <c r="AK11" s="289">
        <f t="shared" si="30"/>
        <v>181.71308016865405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v>11950</v>
      </c>
      <c r="S12" s="287">
        <f t="shared" si="4"/>
        <v>4</v>
      </c>
      <c r="T12" s="541">
        <v>413663</v>
      </c>
      <c r="U12" s="287">
        <f t="shared" si="19"/>
        <v>1000</v>
      </c>
      <c r="V12" s="287">
        <v>250</v>
      </c>
      <c r="W12" s="338"/>
      <c r="X12" s="288">
        <f t="shared" si="20"/>
        <v>11898</v>
      </c>
      <c r="Y12" s="287" t="str">
        <f t="shared" si="31"/>
        <v>oil change</v>
      </c>
      <c r="Z12" s="287">
        <f t="shared" si="6"/>
        <v>4</v>
      </c>
      <c r="AA12" s="287">
        <f t="shared" si="21"/>
        <v>1000</v>
      </c>
      <c r="AB12" s="287">
        <f t="shared" si="22"/>
        <v>250</v>
      </c>
      <c r="AC12" s="287">
        <f t="shared" si="23"/>
        <v>250</v>
      </c>
      <c r="AD12" s="73">
        <f>ELEC!Q12</f>
        <v>2979.0000000029977</v>
      </c>
      <c r="AE12" s="73">
        <f t="shared" si="25"/>
        <v>744.75000000074942</v>
      </c>
      <c r="AF12" s="403">
        <f t="shared" si="26"/>
        <v>0.46546875000046839</v>
      </c>
      <c r="AG12" s="404">
        <f t="shared" si="27"/>
        <v>148.95000000014988</v>
      </c>
      <c r="AH12" s="404">
        <f t="shared" si="24"/>
        <v>101.04999999985012</v>
      </c>
      <c r="AI12" s="73">
        <f t="shared" si="28"/>
        <v>766.74683544380957</v>
      </c>
      <c r="AJ12" s="289">
        <f t="shared" si="7"/>
        <v>0.25738396624472576</v>
      </c>
      <c r="AK12" s="289">
        <f t="shared" si="30"/>
        <v>191.68670886095239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v>11953</v>
      </c>
      <c r="S13" s="287">
        <f t="shared" si="4"/>
        <v>3</v>
      </c>
      <c r="T13" s="541">
        <v>414413</v>
      </c>
      <c r="U13" s="287">
        <f t="shared" si="19"/>
        <v>750</v>
      </c>
      <c r="V13" s="287">
        <v>250</v>
      </c>
      <c r="W13" s="338"/>
      <c r="X13" s="288">
        <f t="shared" si="20"/>
        <v>11898</v>
      </c>
      <c r="Y13" s="287" t="str">
        <f t="shared" si="31"/>
        <v>oil change</v>
      </c>
      <c r="Z13" s="287">
        <f t="shared" si="6"/>
        <v>3</v>
      </c>
      <c r="AA13" s="287">
        <f t="shared" si="21"/>
        <v>750</v>
      </c>
      <c r="AB13" s="287">
        <f t="shared" si="22"/>
        <v>250</v>
      </c>
      <c r="AC13" s="287">
        <f t="shared" si="23"/>
        <v>250</v>
      </c>
      <c r="AD13" s="73">
        <f>ELEC!Q13</f>
        <v>2029.9999999988358</v>
      </c>
      <c r="AE13" s="73">
        <f t="shared" si="25"/>
        <v>676.66666666627862</v>
      </c>
      <c r="AF13" s="403">
        <f t="shared" si="26"/>
        <v>0.42291666666642413</v>
      </c>
      <c r="AG13" s="404">
        <f t="shared" si="27"/>
        <v>135.33333333325572</v>
      </c>
      <c r="AH13" s="404">
        <f t="shared" si="24"/>
        <v>114.66666666674428</v>
      </c>
      <c r="AI13" s="73">
        <f t="shared" si="28"/>
        <v>522.48945147649363</v>
      </c>
      <c r="AJ13" s="289">
        <f t="shared" si="7"/>
        <v>0.25738396624472576</v>
      </c>
      <c r="AK13" s="289">
        <f t="shared" si="30"/>
        <v>174.16315049216453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v>11956</v>
      </c>
      <c r="S14" s="287">
        <f t="shared" si="4"/>
        <v>3</v>
      </c>
      <c r="T14" s="541">
        <f t="shared" si="29"/>
        <v>415163</v>
      </c>
      <c r="U14" s="287">
        <f t="shared" si="19"/>
        <v>750</v>
      </c>
      <c r="V14" s="287">
        <v>250</v>
      </c>
      <c r="W14" s="338"/>
      <c r="X14" s="288">
        <f t="shared" si="20"/>
        <v>11898</v>
      </c>
      <c r="Y14" s="287" t="str">
        <f t="shared" si="31"/>
        <v>oil change</v>
      </c>
      <c r="Z14" s="287">
        <f t="shared" si="6"/>
        <v>3</v>
      </c>
      <c r="AA14" s="287">
        <f t="shared" si="21"/>
        <v>750</v>
      </c>
      <c r="AB14" s="287">
        <f t="shared" si="22"/>
        <v>250</v>
      </c>
      <c r="AC14" s="287">
        <f t="shared" si="23"/>
        <v>250</v>
      </c>
      <c r="AD14" s="73">
        <f>ELEC!Q14</f>
        <v>1863.999999997759</v>
      </c>
      <c r="AE14" s="73">
        <f t="shared" si="25"/>
        <v>621.33333333258634</v>
      </c>
      <c r="AF14" s="403">
        <f t="shared" si="26"/>
        <v>0.38833333333286646</v>
      </c>
      <c r="AG14" s="404">
        <f t="shared" si="27"/>
        <v>124.26666666651727</v>
      </c>
      <c r="AH14" s="404">
        <f t="shared" si="24"/>
        <v>125.73333333348273</v>
      </c>
      <c r="AI14" s="73">
        <f t="shared" si="28"/>
        <v>479.76371307959204</v>
      </c>
      <c r="AJ14" s="289">
        <f t="shared" si="7"/>
        <v>0.25738396624472576</v>
      </c>
      <c r="AK14" s="289">
        <f t="shared" si="30"/>
        <v>159.92123769319736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v>11960</v>
      </c>
      <c r="S15" s="287">
        <f t="shared" si="4"/>
        <v>4</v>
      </c>
      <c r="T15" s="541">
        <f t="shared" si="29"/>
        <v>416163</v>
      </c>
      <c r="U15" s="287">
        <f t="shared" si="19"/>
        <v>1000</v>
      </c>
      <c r="V15" s="287">
        <v>250</v>
      </c>
      <c r="W15" s="338"/>
      <c r="X15" s="288">
        <f t="shared" si="20"/>
        <v>11898</v>
      </c>
      <c r="Y15" s="287" t="str">
        <f t="shared" si="31"/>
        <v>oil change</v>
      </c>
      <c r="Z15" s="287">
        <f t="shared" si="6"/>
        <v>4</v>
      </c>
      <c r="AA15" s="287">
        <f t="shared" si="21"/>
        <v>1000</v>
      </c>
      <c r="AB15" s="287">
        <f t="shared" si="22"/>
        <v>250</v>
      </c>
      <c r="AC15" s="287">
        <f t="shared" si="23"/>
        <v>250</v>
      </c>
      <c r="AD15" s="73">
        <f>ELEC!Q15</f>
        <v>1904.0000000022701</v>
      </c>
      <c r="AE15" s="73">
        <f t="shared" si="25"/>
        <v>476.00000000056752</v>
      </c>
      <c r="AF15" s="403">
        <f t="shared" si="26"/>
        <v>0.2975000000003547</v>
      </c>
      <c r="AG15" s="404">
        <f t="shared" si="27"/>
        <v>95.200000000113505</v>
      </c>
      <c r="AH15" s="404">
        <f t="shared" si="24"/>
        <v>154.7999999998865</v>
      </c>
      <c r="AI15" s="73">
        <f t="shared" si="28"/>
        <v>490.05907173054214</v>
      </c>
      <c r="AJ15" s="289">
        <f t="shared" si="7"/>
        <v>0.25738396624472576</v>
      </c>
      <c r="AK15" s="289">
        <f t="shared" si="30"/>
        <v>122.51476793263554</v>
      </c>
    </row>
    <row r="16" spans="1:37" ht="15.75" thickBot="1">
      <c r="A16" s="4">
        <f>ELEC!C16</f>
        <v>44269</v>
      </c>
      <c r="B16" s="540"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v>11964</v>
      </c>
      <c r="S16" s="287">
        <f t="shared" si="4"/>
        <v>4</v>
      </c>
      <c r="T16" s="541">
        <f t="shared" si="29"/>
        <v>417163</v>
      </c>
      <c r="U16" s="287">
        <f t="shared" si="19"/>
        <v>1000</v>
      </c>
      <c r="V16" s="287">
        <v>250</v>
      </c>
      <c r="W16" s="338"/>
      <c r="X16" s="288">
        <f t="shared" si="20"/>
        <v>11898</v>
      </c>
      <c r="Y16" s="287" t="str">
        <f t="shared" si="31"/>
        <v>oil change</v>
      </c>
      <c r="Z16" s="287">
        <f t="shared" si="6"/>
        <v>4</v>
      </c>
      <c r="AA16" s="287">
        <f t="shared" si="21"/>
        <v>1000</v>
      </c>
      <c r="AB16" s="287">
        <f t="shared" si="22"/>
        <v>250</v>
      </c>
      <c r="AC16" s="287">
        <f t="shared" si="23"/>
        <v>250</v>
      </c>
      <c r="AD16" s="73">
        <f>ELEC!Q16</f>
        <v>2779.9999999988358</v>
      </c>
      <c r="AE16" s="73">
        <f t="shared" si="25"/>
        <v>694.99999999970896</v>
      </c>
      <c r="AF16" s="403">
        <f t="shared" si="26"/>
        <v>0.4343749999998181</v>
      </c>
      <c r="AG16" s="404">
        <f t="shared" si="27"/>
        <v>138.99999999994179</v>
      </c>
      <c r="AH16" s="404">
        <f t="shared" si="24"/>
        <v>111.00000000005821</v>
      </c>
      <c r="AI16" s="73">
        <f t="shared" si="28"/>
        <v>715.52742616003798</v>
      </c>
      <c r="AJ16" s="289">
        <f t="shared" si="7"/>
        <v>0.25738396624472576</v>
      </c>
      <c r="AK16" s="289">
        <f t="shared" si="30"/>
        <v>178.88185654000949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v>11967</v>
      </c>
      <c r="S17" s="287">
        <f t="shared" si="4"/>
        <v>3</v>
      </c>
      <c r="T17" s="541">
        <f t="shared" si="29"/>
        <v>417913</v>
      </c>
      <c r="U17" s="287">
        <f t="shared" si="19"/>
        <v>750</v>
      </c>
      <c r="V17" s="287">
        <v>250</v>
      </c>
      <c r="W17" s="338"/>
      <c r="X17" s="288">
        <f t="shared" si="20"/>
        <v>11898</v>
      </c>
      <c r="Y17" s="287" t="str">
        <f t="shared" si="31"/>
        <v>oil change</v>
      </c>
      <c r="Z17" s="287">
        <f t="shared" si="6"/>
        <v>3</v>
      </c>
      <c r="AA17" s="287">
        <f t="shared" si="21"/>
        <v>750</v>
      </c>
      <c r="AB17" s="287">
        <f t="shared" si="22"/>
        <v>250</v>
      </c>
      <c r="AC17" s="287">
        <f t="shared" si="23"/>
        <v>250</v>
      </c>
      <c r="AD17" s="73">
        <f>ELEC!Q17</f>
        <v>1792.0000000012806</v>
      </c>
      <c r="AE17" s="73">
        <f t="shared" si="25"/>
        <v>597.33333333376015</v>
      </c>
      <c r="AF17" s="403">
        <f t="shared" si="26"/>
        <v>0.37333333333360008</v>
      </c>
      <c r="AG17" s="404">
        <f t="shared" si="27"/>
        <v>119.46666666675202</v>
      </c>
      <c r="AH17" s="404">
        <f t="shared" si="24"/>
        <v>130.53333333324798</v>
      </c>
      <c r="AI17" s="73">
        <f t="shared" si="28"/>
        <v>461.23206751087815</v>
      </c>
      <c r="AJ17" s="289">
        <f t="shared" si="7"/>
        <v>0.25738396624472576</v>
      </c>
      <c r="AK17" s="289">
        <f t="shared" ref="AK17:AK30" si="32">IF(Z17&gt;0,AI17/Z17,0)</f>
        <v>153.74402250362604</v>
      </c>
    </row>
    <row r="18" spans="1:37" ht="15.75" thickBot="1">
      <c r="A18" s="4">
        <f>ELEC!C18</f>
        <v>44271</v>
      </c>
      <c r="B18" s="540">
        <v>9657</v>
      </c>
      <c r="C18" s="287">
        <f t="shared" si="10"/>
        <v>8</v>
      </c>
      <c r="D18" s="541">
        <v>335204</v>
      </c>
      <c r="E18" s="287">
        <f t="shared" si="12"/>
        <v>1881</v>
      </c>
      <c r="F18" s="287">
        <f t="shared" si="0"/>
        <v>235.125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v>11968</v>
      </c>
      <c r="S18" s="287">
        <f t="shared" si="4"/>
        <v>1</v>
      </c>
      <c r="T18" s="541">
        <f t="shared" si="29"/>
        <v>418163</v>
      </c>
      <c r="U18" s="287">
        <f t="shared" si="19"/>
        <v>250</v>
      </c>
      <c r="V18" s="287">
        <v>250</v>
      </c>
      <c r="W18" s="338"/>
      <c r="X18" s="288">
        <f t="shared" si="20"/>
        <v>11898</v>
      </c>
      <c r="Y18" s="287" t="str">
        <f t="shared" si="31"/>
        <v>oil change</v>
      </c>
      <c r="Z18" s="287">
        <f t="shared" si="6"/>
        <v>9</v>
      </c>
      <c r="AA18" s="287">
        <f t="shared" si="21"/>
        <v>2131</v>
      </c>
      <c r="AB18" s="287">
        <f t="shared" si="22"/>
        <v>485.125</v>
      </c>
      <c r="AC18" s="287">
        <f t="shared" si="23"/>
        <v>236.77777777777777</v>
      </c>
      <c r="AD18" s="73">
        <f>ELEC!Q18</f>
        <v>5106.9999999999709</v>
      </c>
      <c r="AE18" s="73">
        <f t="shared" si="25"/>
        <v>567.44444444444116</v>
      </c>
      <c r="AF18" s="403">
        <f t="shared" si="26"/>
        <v>0.35465277777777571</v>
      </c>
      <c r="AG18" s="404">
        <f t="shared" si="27"/>
        <v>113.48888888888823</v>
      </c>
      <c r="AH18" s="404">
        <f t="shared" si="24"/>
        <v>123.28888888888955</v>
      </c>
      <c r="AI18" s="73">
        <f t="shared" si="28"/>
        <v>1314.459915611807</v>
      </c>
      <c r="AJ18" s="289">
        <f t="shared" si="7"/>
        <v>0.25738396624472576</v>
      </c>
      <c r="AK18" s="289">
        <f t="shared" si="32"/>
        <v>146.05110173464521</v>
      </c>
    </row>
    <row r="19" spans="1:37" ht="15.75" thickBot="1">
      <c r="A19" s="4">
        <f>ELEC!C19</f>
        <v>44272</v>
      </c>
      <c r="B19" s="540">
        <f t="shared" si="9"/>
        <v>9657</v>
      </c>
      <c r="C19" s="287">
        <f t="shared" si="10"/>
        <v>0</v>
      </c>
      <c r="D19" s="541">
        <f t="shared" si="11"/>
        <v>335204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3">IF(J19-P19&lt;=0,"ok","oil change")</f>
        <v>ok</v>
      </c>
      <c r="R19" s="541">
        <v>11976</v>
      </c>
      <c r="S19" s="287">
        <f t="shared" si="4"/>
        <v>8</v>
      </c>
      <c r="T19" s="541">
        <f t="shared" si="29"/>
        <v>420163</v>
      </c>
      <c r="U19" s="287">
        <f t="shared" si="19"/>
        <v>2000</v>
      </c>
      <c r="V19" s="287">
        <v>250</v>
      </c>
      <c r="W19" s="338"/>
      <c r="X19" s="288">
        <f t="shared" si="20"/>
        <v>11898</v>
      </c>
      <c r="Y19" s="287" t="str">
        <f t="shared" si="31"/>
        <v>oil change</v>
      </c>
      <c r="Z19" s="287">
        <f t="shared" si="6"/>
        <v>8</v>
      </c>
      <c r="AA19" s="287">
        <f t="shared" si="21"/>
        <v>2000</v>
      </c>
      <c r="AB19" s="287">
        <f t="shared" si="22"/>
        <v>250</v>
      </c>
      <c r="AC19" s="287">
        <f t="shared" si="23"/>
        <v>250</v>
      </c>
      <c r="AD19" s="73">
        <f>ELEC!Q19</f>
        <v>4901.9999999982247</v>
      </c>
      <c r="AE19" s="73">
        <f t="shared" si="25"/>
        <v>612.74999999977808</v>
      </c>
      <c r="AF19" s="403">
        <f t="shared" si="26"/>
        <v>0.3829687499998613</v>
      </c>
      <c r="AG19" s="404">
        <f t="shared" si="27"/>
        <v>122.54999999995562</v>
      </c>
      <c r="AH19" s="404">
        <f t="shared" si="24"/>
        <v>127.45000000004438</v>
      </c>
      <c r="AI19" s="73">
        <f t="shared" si="28"/>
        <v>1261.6962025311886</v>
      </c>
      <c r="AJ19" s="289">
        <f t="shared" si="7"/>
        <v>0.25738396624472576</v>
      </c>
      <c r="AK19" s="289">
        <f t="shared" si="32"/>
        <v>157.71202531639858</v>
      </c>
    </row>
    <row r="20" spans="1:37" ht="15.75" thickBot="1">
      <c r="A20" s="4">
        <f>ELEC!C20</f>
        <v>44273</v>
      </c>
      <c r="B20" s="540">
        <f t="shared" si="9"/>
        <v>9657</v>
      </c>
      <c r="C20" s="287">
        <f>B20-B19</f>
        <v>0</v>
      </c>
      <c r="D20" s="541">
        <f t="shared" si="11"/>
        <v>335204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3"/>
        <v>ok</v>
      </c>
      <c r="R20" s="541">
        <v>11986</v>
      </c>
      <c r="S20" s="287">
        <f t="shared" si="4"/>
        <v>10</v>
      </c>
      <c r="T20" s="541">
        <f t="shared" si="29"/>
        <v>422663</v>
      </c>
      <c r="U20" s="287">
        <f t="shared" si="19"/>
        <v>2500</v>
      </c>
      <c r="V20" s="287">
        <v>250</v>
      </c>
      <c r="W20" s="338"/>
      <c r="X20" s="288">
        <f t="shared" si="20"/>
        <v>11898</v>
      </c>
      <c r="Y20" s="287" t="str">
        <f t="shared" si="31"/>
        <v>oil change</v>
      </c>
      <c r="Z20" s="287">
        <f t="shared" si="6"/>
        <v>10</v>
      </c>
      <c r="AA20" s="287">
        <f t="shared" si="21"/>
        <v>2500</v>
      </c>
      <c r="AB20" s="287">
        <f t="shared" si="22"/>
        <v>250</v>
      </c>
      <c r="AC20" s="287">
        <f t="shared" si="23"/>
        <v>250</v>
      </c>
      <c r="AD20" s="73">
        <f>ELEC!Q20</f>
        <v>5842.000000000553</v>
      </c>
      <c r="AE20" s="73">
        <f t="shared" si="25"/>
        <v>584.2000000000553</v>
      </c>
      <c r="AF20" s="403">
        <f t="shared" si="26"/>
        <v>0.36512500000003456</v>
      </c>
      <c r="AG20" s="404">
        <f t="shared" si="27"/>
        <v>116.84000000001106</v>
      </c>
      <c r="AH20" s="404">
        <f t="shared" si="24"/>
        <v>133.15999999998894</v>
      </c>
      <c r="AI20" s="73">
        <f>AD20*AJ20</f>
        <v>1503.6371308018302</v>
      </c>
      <c r="AJ20" s="289">
        <f t="shared" si="7"/>
        <v>0.25738396624472576</v>
      </c>
      <c r="AK20" s="289">
        <f t="shared" si="32"/>
        <v>150.363713080183</v>
      </c>
    </row>
    <row r="21" spans="1:37" ht="15.75" thickBot="1">
      <c r="A21" s="4">
        <f>ELEC!C21</f>
        <v>44274</v>
      </c>
      <c r="B21" s="540">
        <f t="shared" si="9"/>
        <v>9657</v>
      </c>
      <c r="C21" s="287">
        <f t="shared" ref="C21" si="34">B21-B20</f>
        <v>0</v>
      </c>
      <c r="D21" s="541">
        <f t="shared" si="11"/>
        <v>335204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3"/>
        <v>ok</v>
      </c>
      <c r="R21" s="541">
        <f t="shared" ref="R20:R33" si="35">R20</f>
        <v>11986</v>
      </c>
      <c r="S21" s="287">
        <f t="shared" si="4"/>
        <v>0</v>
      </c>
      <c r="T21" s="541">
        <f t="shared" si="29"/>
        <v>422663</v>
      </c>
      <c r="U21" s="287">
        <f t="shared" si="19"/>
        <v>0</v>
      </c>
      <c r="V21" s="287">
        <v>250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250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2"/>
        <v>0</v>
      </c>
    </row>
    <row r="22" spans="1:37" ht="15.75" thickBot="1">
      <c r="A22" s="4">
        <f>ELEC!C22</f>
        <v>44275</v>
      </c>
      <c r="B22" s="540">
        <f t="shared" si="9"/>
        <v>9657</v>
      </c>
      <c r="C22" s="287">
        <f t="shared" si="10"/>
        <v>0</v>
      </c>
      <c r="D22" s="541">
        <f t="shared" si="11"/>
        <v>335204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3"/>
        <v>ok</v>
      </c>
      <c r="R22" s="541">
        <f t="shared" si="35"/>
        <v>11986</v>
      </c>
      <c r="S22" s="287">
        <f t="shared" si="4"/>
        <v>0</v>
      </c>
      <c r="T22" s="541">
        <f t="shared" si="29"/>
        <v>422663</v>
      </c>
      <c r="U22" s="287">
        <f t="shared" si="19"/>
        <v>0</v>
      </c>
      <c r="V22" s="287">
        <v>250</v>
      </c>
      <c r="W22" s="196"/>
      <c r="X22" s="288">
        <f t="shared" si="20"/>
        <v>11898</v>
      </c>
      <c r="Y22" s="287" t="str">
        <f t="shared" ref="Y22:Y30" si="36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250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2"/>
        <v>0</v>
      </c>
    </row>
    <row r="23" spans="1:37" ht="15.75" thickBot="1">
      <c r="A23" s="4">
        <f>ELEC!C23</f>
        <v>44276</v>
      </c>
      <c r="B23" s="540">
        <f t="shared" si="9"/>
        <v>9657</v>
      </c>
      <c r="C23" s="287">
        <f t="shared" si="10"/>
        <v>0</v>
      </c>
      <c r="D23" s="541">
        <f t="shared" si="11"/>
        <v>335204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3"/>
        <v>ok</v>
      </c>
      <c r="R23" s="541">
        <f t="shared" si="35"/>
        <v>11986</v>
      </c>
      <c r="S23" s="287">
        <f t="shared" si="4"/>
        <v>0</v>
      </c>
      <c r="T23" s="541">
        <f t="shared" si="29"/>
        <v>422663</v>
      </c>
      <c r="U23" s="287">
        <f t="shared" si="19"/>
        <v>0</v>
      </c>
      <c r="V23" s="287">
        <v>250</v>
      </c>
      <c r="W23" s="196"/>
      <c r="X23" s="288">
        <f t="shared" si="20"/>
        <v>11898</v>
      </c>
      <c r="Y23" s="287" t="str">
        <f t="shared" si="36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250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2"/>
        <v>0</v>
      </c>
    </row>
    <row r="24" spans="1:37" ht="15.75" thickBot="1">
      <c r="A24" s="4">
        <f>ELEC!C24</f>
        <v>44277</v>
      </c>
      <c r="B24" s="540">
        <f t="shared" si="9"/>
        <v>9657</v>
      </c>
      <c r="C24" s="287">
        <f t="shared" si="10"/>
        <v>0</v>
      </c>
      <c r="D24" s="541">
        <f t="shared" si="11"/>
        <v>335204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3"/>
        <v>ok</v>
      </c>
      <c r="R24" s="541">
        <f t="shared" si="35"/>
        <v>11986</v>
      </c>
      <c r="S24" s="287">
        <f t="shared" si="4"/>
        <v>0</v>
      </c>
      <c r="T24" s="541">
        <f t="shared" si="29"/>
        <v>422663</v>
      </c>
      <c r="U24" s="287">
        <f t="shared" si="19"/>
        <v>0</v>
      </c>
      <c r="V24" s="287">
        <f t="shared" ref="V24:V32" si="37">IF(S24&gt;0,U24/S24,0)</f>
        <v>0</v>
      </c>
      <c r="W24" s="196"/>
      <c r="X24" s="288">
        <f t="shared" si="20"/>
        <v>11898</v>
      </c>
      <c r="Y24" s="287" t="str">
        <f t="shared" si="36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2"/>
        <v>0</v>
      </c>
    </row>
    <row r="25" spans="1:37" ht="15.75" thickBot="1">
      <c r="A25" s="4">
        <f>ELEC!C25</f>
        <v>44278</v>
      </c>
      <c r="B25" s="540">
        <f t="shared" si="9"/>
        <v>9657</v>
      </c>
      <c r="C25" s="287">
        <f t="shared" si="10"/>
        <v>0</v>
      </c>
      <c r="D25" s="541">
        <f t="shared" si="11"/>
        <v>335204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3"/>
        <v>ok</v>
      </c>
      <c r="R25" s="541">
        <f t="shared" si="35"/>
        <v>11986</v>
      </c>
      <c r="S25" s="287">
        <f t="shared" si="4"/>
        <v>0</v>
      </c>
      <c r="T25" s="541">
        <f t="shared" si="29"/>
        <v>422663</v>
      </c>
      <c r="U25" s="287">
        <f t="shared" si="19"/>
        <v>0</v>
      </c>
      <c r="V25" s="287">
        <f t="shared" si="37"/>
        <v>0</v>
      </c>
      <c r="W25" s="196"/>
      <c r="X25" s="288">
        <f t="shared" si="20"/>
        <v>11898</v>
      </c>
      <c r="Y25" s="287" t="str">
        <f t="shared" si="36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2"/>
        <v>0</v>
      </c>
    </row>
    <row r="26" spans="1:37" ht="15.75" thickBot="1">
      <c r="A26" s="4">
        <f>ELEC!C26</f>
        <v>44279</v>
      </c>
      <c r="B26" s="540">
        <f t="shared" si="9"/>
        <v>9657</v>
      </c>
      <c r="C26" s="287">
        <f t="shared" si="10"/>
        <v>0</v>
      </c>
      <c r="D26" s="541">
        <f t="shared" si="11"/>
        <v>335204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3"/>
        <v>ok</v>
      </c>
      <c r="R26" s="541">
        <f t="shared" si="35"/>
        <v>11986</v>
      </c>
      <c r="S26" s="287">
        <f t="shared" si="4"/>
        <v>0</v>
      </c>
      <c r="T26" s="541">
        <f t="shared" si="29"/>
        <v>422663</v>
      </c>
      <c r="U26" s="287">
        <f t="shared" si="19"/>
        <v>0</v>
      </c>
      <c r="V26" s="287">
        <f t="shared" si="37"/>
        <v>0</v>
      </c>
      <c r="W26" s="196"/>
      <c r="X26" s="288">
        <f t="shared" si="20"/>
        <v>11898</v>
      </c>
      <c r="Y26" s="287" t="str">
        <f t="shared" si="36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2"/>
        <v>0</v>
      </c>
    </row>
    <row r="27" spans="1:37" ht="15.75" thickBot="1">
      <c r="A27" s="4">
        <f>ELEC!C27</f>
        <v>44280</v>
      </c>
      <c r="B27" s="540">
        <f t="shared" si="9"/>
        <v>9657</v>
      </c>
      <c r="C27" s="287">
        <f t="shared" si="10"/>
        <v>0</v>
      </c>
      <c r="D27" s="541">
        <f t="shared" si="11"/>
        <v>335204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3"/>
        <v>ok</v>
      </c>
      <c r="R27" s="541">
        <f t="shared" si="35"/>
        <v>11986</v>
      </c>
      <c r="S27" s="287">
        <f t="shared" si="4"/>
        <v>0</v>
      </c>
      <c r="T27" s="541">
        <f t="shared" si="29"/>
        <v>422663</v>
      </c>
      <c r="U27" s="287">
        <f t="shared" si="19"/>
        <v>0</v>
      </c>
      <c r="V27" s="287">
        <f t="shared" si="37"/>
        <v>0</v>
      </c>
      <c r="W27" s="196"/>
      <c r="X27" s="288">
        <f t="shared" si="20"/>
        <v>11898</v>
      </c>
      <c r="Y27" s="287" t="str">
        <f t="shared" si="36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2"/>
        <v>0</v>
      </c>
    </row>
    <row r="28" spans="1:37" ht="15.75" thickBot="1">
      <c r="A28" s="4">
        <f>ELEC!C28</f>
        <v>44281</v>
      </c>
      <c r="B28" s="540">
        <f t="shared" si="9"/>
        <v>9657</v>
      </c>
      <c r="C28" s="287">
        <f t="shared" si="10"/>
        <v>0</v>
      </c>
      <c r="D28" s="541">
        <f t="shared" si="11"/>
        <v>335204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3"/>
        <v>ok</v>
      </c>
      <c r="R28" s="541">
        <f t="shared" si="35"/>
        <v>11986</v>
      </c>
      <c r="S28" s="287">
        <f t="shared" si="4"/>
        <v>0</v>
      </c>
      <c r="T28" s="541">
        <f t="shared" si="29"/>
        <v>422663</v>
      </c>
      <c r="U28" s="287">
        <f t="shared" si="19"/>
        <v>0</v>
      </c>
      <c r="V28" s="287">
        <f t="shared" si="37"/>
        <v>0</v>
      </c>
      <c r="W28" s="196"/>
      <c r="X28" s="288">
        <f t="shared" si="20"/>
        <v>11898</v>
      </c>
      <c r="Y28" s="287" t="str">
        <f t="shared" si="36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2"/>
        <v>0</v>
      </c>
    </row>
    <row r="29" spans="1:37" ht="15.75" thickBot="1">
      <c r="A29" s="4">
        <f>ELEC!C29</f>
        <v>44282</v>
      </c>
      <c r="B29" s="540">
        <f t="shared" si="9"/>
        <v>9657</v>
      </c>
      <c r="C29" s="287">
        <f t="shared" si="10"/>
        <v>0</v>
      </c>
      <c r="D29" s="541">
        <f t="shared" si="11"/>
        <v>335204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3"/>
        <v>ok</v>
      </c>
      <c r="R29" s="541">
        <f t="shared" si="35"/>
        <v>11986</v>
      </c>
      <c r="S29" s="287">
        <f t="shared" si="4"/>
        <v>0</v>
      </c>
      <c r="T29" s="541">
        <f t="shared" si="29"/>
        <v>422663</v>
      </c>
      <c r="U29" s="287">
        <f t="shared" si="19"/>
        <v>0</v>
      </c>
      <c r="V29" s="287">
        <f t="shared" si="37"/>
        <v>0</v>
      </c>
      <c r="W29" s="196"/>
      <c r="X29" s="288">
        <f t="shared" si="20"/>
        <v>11898</v>
      </c>
      <c r="Y29" s="287" t="str">
        <f t="shared" si="36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2"/>
        <v>0</v>
      </c>
    </row>
    <row r="30" spans="1:37" ht="15.75" thickBot="1">
      <c r="A30" s="4">
        <f>ELEC!C30</f>
        <v>44283</v>
      </c>
      <c r="B30" s="540">
        <f t="shared" si="9"/>
        <v>9657</v>
      </c>
      <c r="C30" s="287">
        <f t="shared" si="10"/>
        <v>0</v>
      </c>
      <c r="D30" s="541">
        <f t="shared" si="11"/>
        <v>335204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3"/>
        <v>ok</v>
      </c>
      <c r="R30" s="541">
        <f t="shared" si="35"/>
        <v>11986</v>
      </c>
      <c r="S30" s="287">
        <f t="shared" si="4"/>
        <v>0</v>
      </c>
      <c r="T30" s="541">
        <f t="shared" si="29"/>
        <v>422663</v>
      </c>
      <c r="U30" s="287">
        <f t="shared" si="19"/>
        <v>0</v>
      </c>
      <c r="V30" s="287">
        <f t="shared" si="37"/>
        <v>0</v>
      </c>
      <c r="W30" s="285"/>
      <c r="X30" s="288">
        <f t="shared" si="20"/>
        <v>11898</v>
      </c>
      <c r="Y30" s="287" t="str">
        <f t="shared" si="36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2"/>
        <v>0</v>
      </c>
    </row>
    <row r="31" spans="1:37" ht="15.75" thickBot="1">
      <c r="A31" s="4">
        <f>ELEC!C31</f>
        <v>44284</v>
      </c>
      <c r="B31" s="540">
        <f t="shared" si="9"/>
        <v>9657</v>
      </c>
      <c r="C31" s="287">
        <f t="shared" ref="C31:C33" si="38">B31-B30</f>
        <v>0</v>
      </c>
      <c r="D31" s="541">
        <f t="shared" si="11"/>
        <v>335204</v>
      </c>
      <c r="E31" s="287">
        <f t="shared" ref="E31:E33" si="39">SUM(D31-D30)</f>
        <v>0</v>
      </c>
      <c r="F31" s="287">
        <f t="shared" ref="F31:F33" si="40">IF(C31&gt;0,E31/C31,0)</f>
        <v>0</v>
      </c>
      <c r="G31" s="338"/>
      <c r="H31" s="270">
        <f t="shared" si="13"/>
        <v>9729</v>
      </c>
      <c r="I31" s="287" t="str">
        <f t="shared" ref="I31:I33" si="41">IF(B31-H31&lt;=0,"ok","oil change")</f>
        <v>ok</v>
      </c>
      <c r="J31" s="541">
        <f t="shared" si="14"/>
        <v>10698</v>
      </c>
      <c r="K31" s="287">
        <f t="shared" ref="K31:K33" si="42">J31-J30</f>
        <v>0</v>
      </c>
      <c r="L31" s="541">
        <f t="shared" ref="L31" si="43">L30</f>
        <v>357691</v>
      </c>
      <c r="M31" s="287">
        <f t="shared" ref="M31:M33" si="44">SUM(L31-L30)</f>
        <v>0</v>
      </c>
      <c r="N31" s="287">
        <f t="shared" ref="N31:N33" si="45">IF(K31&gt;0,M31/K31,0)</f>
        <v>0</v>
      </c>
      <c r="O31" s="338"/>
      <c r="P31" s="288">
        <f t="shared" si="18"/>
        <v>10873</v>
      </c>
      <c r="Q31" s="287" t="str">
        <f t="shared" ref="Q31:Q33" si="46">IF(J31-P31&lt;=0,"ok","oil change")</f>
        <v>ok</v>
      </c>
      <c r="R31" s="541">
        <f t="shared" si="35"/>
        <v>11986</v>
      </c>
      <c r="S31" s="287">
        <f t="shared" ref="S31:S33" si="47">R31-R30</f>
        <v>0</v>
      </c>
      <c r="T31" s="541">
        <f t="shared" si="29"/>
        <v>422663</v>
      </c>
      <c r="U31" s="287">
        <f t="shared" si="19"/>
        <v>0</v>
      </c>
      <c r="V31" s="287">
        <f t="shared" si="37"/>
        <v>0</v>
      </c>
      <c r="W31" s="338"/>
      <c r="X31" s="288">
        <f t="shared" si="20"/>
        <v>11898</v>
      </c>
      <c r="Y31" s="287" t="str">
        <f t="shared" ref="Y31:Y33" si="48">IF(R31-X31&lt;=0,"ok","oil change")</f>
        <v>oil change</v>
      </c>
      <c r="Z31" s="287">
        <f t="shared" ref="Z31:Z33" si="49">C31+K31+S31</f>
        <v>0</v>
      </c>
      <c r="AA31" s="287">
        <f t="shared" ref="AA31:AA33" si="50">U31+M31+E31</f>
        <v>0</v>
      </c>
      <c r="AB31" s="287">
        <f t="shared" ref="AB31:AB33" si="51">V31+N31+F31</f>
        <v>0</v>
      </c>
      <c r="AC31" s="287">
        <f t="shared" ref="AC31:AC33" si="52">IF(Z31&gt;0,AA31/Z31,0)</f>
        <v>0</v>
      </c>
      <c r="AD31" s="73">
        <f>ELEC!Q31</f>
        <v>0</v>
      </c>
      <c r="AE31" s="73" t="e">
        <f t="shared" ref="AE31:AE33" si="53">SUM(AD31/Z31)</f>
        <v>#DIV/0!</v>
      </c>
      <c r="AF31" s="403" t="e">
        <f t="shared" ref="AF31:AF33" si="54">SUM(AE31/1600)</f>
        <v>#DIV/0!</v>
      </c>
      <c r="AG31" s="504" t="e">
        <f t="shared" ref="AG31:AG33" si="55">SUM(320*AF31)</f>
        <v>#DIV/0!</v>
      </c>
      <c r="AH31" s="504" t="e">
        <f t="shared" ref="AH31:AH33" si="56">SUM(AC31-AG31)</f>
        <v>#DIV/0!</v>
      </c>
      <c r="AI31" s="73">
        <f t="shared" ref="AI31:AI33" si="57">AD31*AJ31</f>
        <v>0</v>
      </c>
      <c r="AJ31" s="289">
        <f t="shared" si="7"/>
        <v>0.25738396624472576</v>
      </c>
      <c r="AK31" s="289">
        <f t="shared" ref="AK31:AK33" si="58">IF(Z31&gt;0,AI31/Z31,0)</f>
        <v>0</v>
      </c>
    </row>
    <row r="32" spans="1:37" ht="15.75" thickBot="1">
      <c r="A32" s="4">
        <f>ELEC!C32</f>
        <v>44285</v>
      </c>
      <c r="B32" s="540">
        <f t="shared" si="9"/>
        <v>9657</v>
      </c>
      <c r="C32" s="287">
        <f t="shared" si="38"/>
        <v>0</v>
      </c>
      <c r="D32" s="541">
        <f t="shared" si="11"/>
        <v>335204</v>
      </c>
      <c r="E32" s="287">
        <f t="shared" si="39"/>
        <v>0</v>
      </c>
      <c r="F32" s="287">
        <f t="shared" si="40"/>
        <v>0</v>
      </c>
      <c r="G32" s="338"/>
      <c r="H32" s="270">
        <f t="shared" si="13"/>
        <v>9729</v>
      </c>
      <c r="I32" s="287" t="str">
        <f t="shared" si="41"/>
        <v>ok</v>
      </c>
      <c r="J32" s="541">
        <f t="shared" si="14"/>
        <v>10698</v>
      </c>
      <c r="K32" s="287">
        <f t="shared" si="42"/>
        <v>0</v>
      </c>
      <c r="L32" s="541">
        <f t="shared" ref="L32" si="59">L31</f>
        <v>357691</v>
      </c>
      <c r="M32" s="287">
        <f t="shared" si="44"/>
        <v>0</v>
      </c>
      <c r="N32" s="287">
        <f t="shared" si="45"/>
        <v>0</v>
      </c>
      <c r="O32" s="338"/>
      <c r="P32" s="288">
        <f t="shared" si="18"/>
        <v>10873</v>
      </c>
      <c r="Q32" s="287" t="str">
        <f t="shared" si="46"/>
        <v>ok</v>
      </c>
      <c r="R32" s="541">
        <f t="shared" si="35"/>
        <v>11986</v>
      </c>
      <c r="S32" s="287">
        <f t="shared" si="47"/>
        <v>0</v>
      </c>
      <c r="T32" s="541">
        <f t="shared" si="29"/>
        <v>422663</v>
      </c>
      <c r="U32" s="287">
        <f t="shared" si="19"/>
        <v>0</v>
      </c>
      <c r="V32" s="287">
        <f t="shared" si="37"/>
        <v>0</v>
      </c>
      <c r="W32" s="338"/>
      <c r="X32" s="288">
        <f t="shared" si="20"/>
        <v>11898</v>
      </c>
      <c r="Y32" s="287" t="str">
        <f t="shared" si="48"/>
        <v>oil change</v>
      </c>
      <c r="Z32" s="287">
        <f t="shared" si="49"/>
        <v>0</v>
      </c>
      <c r="AA32" s="287">
        <f t="shared" si="50"/>
        <v>0</v>
      </c>
      <c r="AB32" s="287">
        <f t="shared" si="51"/>
        <v>0</v>
      </c>
      <c r="AC32" s="287">
        <f t="shared" si="52"/>
        <v>0</v>
      </c>
      <c r="AD32" s="73">
        <f>ELEC!Q32</f>
        <v>0</v>
      </c>
      <c r="AE32" s="73" t="e">
        <f t="shared" si="53"/>
        <v>#DIV/0!</v>
      </c>
      <c r="AF32" s="403" t="e">
        <f t="shared" si="54"/>
        <v>#DIV/0!</v>
      </c>
      <c r="AG32" s="504" t="e">
        <f t="shared" si="55"/>
        <v>#DIV/0!</v>
      </c>
      <c r="AH32" s="504" t="e">
        <f t="shared" si="56"/>
        <v>#DIV/0!</v>
      </c>
      <c r="AI32" s="73">
        <f t="shared" si="57"/>
        <v>0</v>
      </c>
      <c r="AJ32" s="289">
        <f t="shared" si="7"/>
        <v>0.25738396624472576</v>
      </c>
      <c r="AK32" s="289">
        <f t="shared" si="58"/>
        <v>0</v>
      </c>
    </row>
    <row r="33" spans="1:37">
      <c r="A33" s="4">
        <f>ELEC!C33</f>
        <v>44286</v>
      </c>
      <c r="B33" s="540">
        <f t="shared" si="9"/>
        <v>9657</v>
      </c>
      <c r="C33" s="287">
        <f t="shared" si="38"/>
        <v>0</v>
      </c>
      <c r="D33" s="541">
        <f t="shared" si="11"/>
        <v>335204</v>
      </c>
      <c r="E33" s="287">
        <f t="shared" si="39"/>
        <v>0</v>
      </c>
      <c r="F33" s="287">
        <f t="shared" si="40"/>
        <v>0</v>
      </c>
      <c r="G33" s="338"/>
      <c r="H33" s="270">
        <f t="shared" si="13"/>
        <v>9729</v>
      </c>
      <c r="I33" s="287" t="str">
        <f t="shared" si="41"/>
        <v>ok</v>
      </c>
      <c r="J33" s="541">
        <f t="shared" si="14"/>
        <v>10698</v>
      </c>
      <c r="K33" s="287">
        <f t="shared" si="42"/>
        <v>0</v>
      </c>
      <c r="L33" s="541">
        <f t="shared" ref="L33" si="60">L32</f>
        <v>357691</v>
      </c>
      <c r="M33" s="287">
        <f t="shared" si="44"/>
        <v>0</v>
      </c>
      <c r="N33" s="287">
        <f t="shared" si="45"/>
        <v>0</v>
      </c>
      <c r="O33" s="338"/>
      <c r="P33" s="288">
        <f t="shared" si="18"/>
        <v>10873</v>
      </c>
      <c r="Q33" s="287" t="str">
        <f t="shared" si="46"/>
        <v>ok</v>
      </c>
      <c r="R33" s="541">
        <f t="shared" si="35"/>
        <v>11986</v>
      </c>
      <c r="S33" s="287">
        <f t="shared" si="47"/>
        <v>0</v>
      </c>
      <c r="T33" s="541">
        <f t="shared" si="29"/>
        <v>422663</v>
      </c>
      <c r="U33" s="287">
        <f t="shared" si="19"/>
        <v>0</v>
      </c>
      <c r="V33" s="287">
        <f t="shared" ref="V33" si="61">IF(S33&gt;0,U33/S33,0)</f>
        <v>0</v>
      </c>
      <c r="W33" s="338"/>
      <c r="X33" s="288">
        <f t="shared" si="20"/>
        <v>11898</v>
      </c>
      <c r="Y33" s="287" t="str">
        <f t="shared" si="48"/>
        <v>oil change</v>
      </c>
      <c r="Z33" s="287">
        <f t="shared" si="49"/>
        <v>0</v>
      </c>
      <c r="AA33" s="287">
        <f t="shared" si="50"/>
        <v>0</v>
      </c>
      <c r="AB33" s="287">
        <f t="shared" si="51"/>
        <v>0</v>
      </c>
      <c r="AC33" s="287">
        <f t="shared" si="52"/>
        <v>0</v>
      </c>
      <c r="AD33" s="73">
        <f>ELEC!Q33</f>
        <v>0</v>
      </c>
      <c r="AE33" s="73" t="e">
        <f t="shared" si="53"/>
        <v>#DIV/0!</v>
      </c>
      <c r="AF33" s="403" t="e">
        <f t="shared" si="54"/>
        <v>#DIV/0!</v>
      </c>
      <c r="AG33" s="504" t="e">
        <f t="shared" si="55"/>
        <v>#DIV/0!</v>
      </c>
      <c r="AH33" s="504" t="e">
        <f t="shared" si="56"/>
        <v>#DIV/0!</v>
      </c>
      <c r="AI33" s="73">
        <f t="shared" si="57"/>
        <v>0</v>
      </c>
      <c r="AJ33" s="289">
        <f t="shared" si="7"/>
        <v>0.25738396624472576</v>
      </c>
      <c r="AK33" s="289">
        <f t="shared" si="58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118</v>
      </c>
      <c r="V34" s="40"/>
      <c r="X34">
        <v>341</v>
      </c>
      <c r="Z34" s="421">
        <f>SUM(Z3:Z30)</f>
        <v>118</v>
      </c>
    </row>
    <row r="35" spans="1:37">
      <c r="C35" s="40">
        <f>SUM(C3:C30)</f>
        <v>8</v>
      </c>
      <c r="K35" s="40">
        <f>SUM(K3:K30)</f>
        <v>0</v>
      </c>
      <c r="S35" s="40">
        <f>SUM(S3:S30)</f>
        <v>110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K21" sqref="K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89.88563529905106</v>
      </c>
      <c r="P4" s="297">
        <f>SUM(L4:O4)</f>
        <v>175.28265022442417</v>
      </c>
      <c r="Q4" s="297">
        <f>SUM(-tanks!AX6*tanks!$AU$37)</f>
        <v>2448.63685161288</v>
      </c>
      <c r="R4" s="297">
        <f>SUM(P4:Q4)</f>
        <v>2623.9195018373043</v>
      </c>
      <c r="S4" s="299">
        <f>SUM(ELEC!N3)</f>
        <v>8408</v>
      </c>
      <c r="T4" s="336">
        <f>IF(S4&gt;0,R4/S4,0)</f>
        <v>0.31207415578464609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70"/>
      <c r="AC4" s="671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89.88563529905106</v>
      </c>
      <c r="P5" s="297">
        <f t="shared" ref="P5:P30" si="9">SUM(L5:O5)</f>
        <v>172.16225221447394</v>
      </c>
      <c r="Q5" s="297">
        <f>SUM(-tanks!AX7*tanks!$AU$37)</f>
        <v>1680.0911129032311</v>
      </c>
      <c r="R5" s="297">
        <f t="shared" ref="R5:R30" si="10">SUM(P5:Q5)</f>
        <v>1852.253365117705</v>
      </c>
      <c r="S5" s="299">
        <f>SUM(ELEC!N4)</f>
        <v>9041</v>
      </c>
      <c r="T5" s="336">
        <f>IF(S5&gt;0,R5/S5,0)</f>
        <v>0.20487262085142185</v>
      </c>
      <c r="U5" s="250"/>
      <c r="V5" s="664"/>
      <c r="W5" s="665"/>
      <c r="X5" s="665"/>
      <c r="Y5" s="666"/>
      <c r="Z5" s="26" t="s">
        <v>203</v>
      </c>
      <c r="AA5" s="264">
        <f>'[7]EDl log'!AA22</f>
        <v>5000</v>
      </c>
      <c r="AB5" s="672"/>
      <c r="AC5" s="673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89.88563529905106</v>
      </c>
      <c r="P6" s="297">
        <f t="shared" si="9"/>
        <v>224.09459052293164</v>
      </c>
      <c r="Q6" s="297">
        <f>SUM(-tanks!AX8*tanks!$AU$37)</f>
        <v>1308.1839677419457</v>
      </c>
      <c r="R6" s="297">
        <f t="shared" si="10"/>
        <v>1532.2785582648773</v>
      </c>
      <c r="S6" s="299">
        <f>SUM(ELEC!N5)</f>
        <v>7715</v>
      </c>
      <c r="T6" s="336">
        <f t="shared" ref="T6:T30" si="12">IF(S6&gt;0,R6/S6,0)</f>
        <v>0.19861031215358099</v>
      </c>
      <c r="V6" s="667"/>
      <c r="W6" s="668"/>
      <c r="X6" s="668"/>
      <c r="Y6" s="669"/>
      <c r="Z6" s="3"/>
      <c r="AA6" s="3"/>
      <c r="AB6" s="672"/>
      <c r="AC6" s="673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89.88563529905106</v>
      </c>
      <c r="P7" s="297">
        <f t="shared" si="9"/>
        <v>269.93472319291504</v>
      </c>
      <c r="Q7" s="297">
        <f>SUM(-tanks!AX9*tanks!$AU$37)</f>
        <v>1174.470967741928</v>
      </c>
      <c r="R7" s="297">
        <f t="shared" si="10"/>
        <v>1444.4056909348431</v>
      </c>
      <c r="S7" s="299">
        <f>SUM(ELEC!N6)</f>
        <v>7405</v>
      </c>
      <c r="T7" s="336">
        <f t="shared" si="12"/>
        <v>0.19505816217891195</v>
      </c>
      <c r="V7" s="660" t="s">
        <v>204</v>
      </c>
      <c r="W7" s="661"/>
      <c r="X7" s="662" t="s">
        <v>205</v>
      </c>
      <c r="Y7" s="663"/>
      <c r="Z7" s="661"/>
      <c r="AA7" s="26"/>
      <c r="AB7" s="674"/>
      <c r="AC7" s="675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89.88563529905106</v>
      </c>
      <c r="P8" s="297">
        <f t="shared" si="9"/>
        <v>226.02626548147231</v>
      </c>
      <c r="Q8" s="297">
        <f>SUM(-tanks!AX10*tanks!$AU$37)</f>
        <v>276.10461290323695</v>
      </c>
      <c r="R8" s="297">
        <f t="shared" si="10"/>
        <v>502.13087838470926</v>
      </c>
      <c r="S8" s="299">
        <f>SUM(ELEC!N7)</f>
        <v>7744</v>
      </c>
      <c r="T8" s="336">
        <f>IF(S8&gt;0,R8/S8,0)</f>
        <v>6.4841280783149435E-2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89.88563529905106</v>
      </c>
      <c r="P9" s="297">
        <f t="shared" si="9"/>
        <v>213.54467344167131</v>
      </c>
      <c r="Q9" s="297">
        <f>SUM(-tanks!AX11*tanks!$AU$37)</f>
        <v>1298.517967741928</v>
      </c>
      <c r="R9" s="297">
        <f>SUM(P9:Q9)</f>
        <v>1512.0626411835992</v>
      </c>
      <c r="S9" s="299">
        <f>SUM(ELEC!N8)</f>
        <v>7618</v>
      </c>
      <c r="T9" s="336">
        <f t="shared" si="12"/>
        <v>0.19848551341344176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89.88563529905106</v>
      </c>
      <c r="P10" s="297">
        <f t="shared" si="9"/>
        <v>275.74036166721027</v>
      </c>
      <c r="Q10" s="297">
        <f>SUM(-tanks!AX12*tanks!$AU$37)</f>
        <v>555.82098387096107</v>
      </c>
      <c r="R10" s="297">
        <f t="shared" si="10"/>
        <v>831.56134553817128</v>
      </c>
      <c r="S10" s="299">
        <f>SUM(ELEC!N9)</f>
        <v>6359</v>
      </c>
      <c r="T10" s="336">
        <f t="shared" si="12"/>
        <v>0.13076920043059778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v>918520</v>
      </c>
      <c r="C11" s="264">
        <f t="shared" si="0"/>
        <v>2155</v>
      </c>
      <c r="D11" s="308">
        <f>SUM(G11+I11+K11)</f>
        <v>2154</v>
      </c>
      <c r="E11" s="308">
        <f t="shared" si="11"/>
        <v>918519</v>
      </c>
      <c r="F11" s="539">
        <v>138963</v>
      </c>
      <c r="G11" s="160">
        <f t="shared" si="1"/>
        <v>438</v>
      </c>
      <c r="H11" s="539">
        <v>452262</v>
      </c>
      <c r="I11" s="161">
        <f t="shared" si="2"/>
        <v>839</v>
      </c>
      <c r="J11" s="539">
        <v>327294</v>
      </c>
      <c r="K11" s="162">
        <f t="shared" si="3"/>
        <v>877</v>
      </c>
      <c r="L11" s="296">
        <f t="shared" si="4"/>
        <v>92.975124378109456</v>
      </c>
      <c r="M11" s="296">
        <f t="shared" si="5"/>
        <v>62.333665008291874</v>
      </c>
      <c r="N11" s="296">
        <f t="shared" si="6"/>
        <v>46.540630182421225</v>
      </c>
      <c r="O11" s="296">
        <f t="shared" si="7"/>
        <v>89.88563529905106</v>
      </c>
      <c r="P11" s="297">
        <f t="shared" si="9"/>
        <v>291.7350548678736</v>
      </c>
      <c r="Q11" s="297">
        <f>SUM(-tanks!AX13*tanks!$AU$37)</f>
        <v>849.84147580645049</v>
      </c>
      <c r="R11" s="297">
        <f t="shared" si="10"/>
        <v>1141.5765306743242</v>
      </c>
      <c r="S11" s="299">
        <f>SUM(ELEC!N10)</f>
        <v>6832</v>
      </c>
      <c r="T11" s="336">
        <f t="shared" si="12"/>
        <v>0.1670925835296142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v>920889</v>
      </c>
      <c r="C12" s="264">
        <f t="shared" si="0"/>
        <v>2369</v>
      </c>
      <c r="D12" s="308">
        <f t="shared" si="8"/>
        <v>2369</v>
      </c>
      <c r="E12" s="308">
        <f t="shared" si="11"/>
        <v>920889</v>
      </c>
      <c r="F12" s="539">
        <v>139360</v>
      </c>
      <c r="G12" s="160">
        <f t="shared" si="1"/>
        <v>397</v>
      </c>
      <c r="H12" s="539">
        <v>453224</v>
      </c>
      <c r="I12" s="161">
        <f t="shared" si="2"/>
        <v>962</v>
      </c>
      <c r="J12" s="539">
        <v>328304</v>
      </c>
      <c r="K12" s="162">
        <f t="shared" si="3"/>
        <v>1010</v>
      </c>
      <c r="L12" s="296">
        <f t="shared" si="4"/>
        <v>84.271973466003317</v>
      </c>
      <c r="M12" s="296">
        <f t="shared" si="5"/>
        <v>71.47197346600332</v>
      </c>
      <c r="N12" s="296">
        <f t="shared" si="6"/>
        <v>53.598673300165835</v>
      </c>
      <c r="O12" s="296">
        <f t="shared" si="7"/>
        <v>89.88563529905106</v>
      </c>
      <c r="P12" s="297">
        <f t="shared" si="9"/>
        <v>299.22825553122351</v>
      </c>
      <c r="Q12" s="297">
        <f>SUM(-tanks!AX14*tanks!$AU$37)</f>
        <v>440.36165322581951</v>
      </c>
      <c r="R12" s="297">
        <f t="shared" si="10"/>
        <v>739.58990875704308</v>
      </c>
      <c r="S12" s="299">
        <f>SUM(ELEC!N11)</f>
        <v>6552</v>
      </c>
      <c r="T12" s="336">
        <f t="shared" si="12"/>
        <v>0.1128800227040664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v>922887</v>
      </c>
      <c r="C13" s="264">
        <f t="shared" si="0"/>
        <v>1998</v>
      </c>
      <c r="D13" s="308">
        <f t="shared" si="8"/>
        <v>1997</v>
      </c>
      <c r="E13" s="308">
        <f t="shared" si="11"/>
        <v>922886</v>
      </c>
      <c r="F13" s="539">
        <v>139609</v>
      </c>
      <c r="G13" s="160">
        <f t="shared" si="1"/>
        <v>249</v>
      </c>
      <c r="H13" s="539">
        <v>454249</v>
      </c>
      <c r="I13" s="161">
        <f t="shared" si="2"/>
        <v>1025</v>
      </c>
      <c r="J13" s="539">
        <v>329027</v>
      </c>
      <c r="K13" s="162">
        <f t="shared" si="3"/>
        <v>723</v>
      </c>
      <c r="L13" s="296">
        <f t="shared" si="4"/>
        <v>52.855721393034827</v>
      </c>
      <c r="M13" s="296">
        <f t="shared" si="5"/>
        <v>76.152570480928688</v>
      </c>
      <c r="N13" s="296">
        <f t="shared" si="6"/>
        <v>38.368159203980099</v>
      </c>
      <c r="O13" s="296">
        <f t="shared" si="7"/>
        <v>89.88563529905106</v>
      </c>
      <c r="P13" s="297">
        <f t="shared" si="9"/>
        <v>257.26208637699466</v>
      </c>
      <c r="Q13" s="297">
        <f>SUM(-tanks!AX15*tanks!$AU$37)</f>
        <v>889.31097580644462</v>
      </c>
      <c r="R13" s="297">
        <f t="shared" si="10"/>
        <v>1146.5730621834393</v>
      </c>
      <c r="S13" s="299">
        <f>SUM(ELEC!N12)</f>
        <v>6673</v>
      </c>
      <c r="T13" s="336">
        <f>IF(S13&gt;0,R13/S13,0)</f>
        <v>0.17182272773616655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v>925453</v>
      </c>
      <c r="C14" s="264">
        <f t="shared" si="0"/>
        <v>2566</v>
      </c>
      <c r="D14" s="308">
        <f t="shared" si="8"/>
        <v>2567</v>
      </c>
      <c r="E14" s="308">
        <f t="shared" si="11"/>
        <v>925454</v>
      </c>
      <c r="F14" s="539">
        <v>139868</v>
      </c>
      <c r="G14" s="160">
        <f t="shared" si="1"/>
        <v>259</v>
      </c>
      <c r="H14" s="539">
        <v>455456</v>
      </c>
      <c r="I14" s="161">
        <f t="shared" si="2"/>
        <v>1207</v>
      </c>
      <c r="J14" s="539">
        <v>330128</v>
      </c>
      <c r="K14" s="162">
        <f t="shared" ref="K14:K17" si="13">J14-J13</f>
        <v>1101</v>
      </c>
      <c r="L14" s="296">
        <f t="shared" ref="L14:L17" si="14">SUM(G14*$Y$28)/1507.5</f>
        <v>54.978441127694857</v>
      </c>
      <c r="M14" s="296">
        <f t="shared" ref="M14:M17" si="15">SUM(I14*$Y$27)/1507.5</f>
        <v>89.674295190713096</v>
      </c>
      <c r="N14" s="296">
        <f t="shared" ref="N14:N17" si="16">SUM(K14*$Y$26)/1507.5</f>
        <v>58.427860696517413</v>
      </c>
      <c r="O14" s="296">
        <f t="shared" si="7"/>
        <v>89.88563529905106</v>
      </c>
      <c r="P14" s="297">
        <f t="shared" ref="P14:P17" si="17">SUM(L14:O14)</f>
        <v>292.96623231397643</v>
      </c>
      <c r="Q14" s="297">
        <f>SUM(-tanks!AX16*tanks!$AU$37)</f>
        <v>669.66931451612618</v>
      </c>
      <c r="R14" s="297">
        <f t="shared" ref="R14:R17" si="18">SUM(P14:Q14)</f>
        <v>962.63554683010261</v>
      </c>
      <c r="S14" s="299">
        <f>SUM(ELEC!N13)</f>
        <v>6832</v>
      </c>
      <c r="T14" s="336">
        <f t="shared" ref="T14:T17" si="19">IF(S14&gt;0,R14/S14,0)</f>
        <v>0.14090098753368013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v>928063</v>
      </c>
      <c r="C15" s="264">
        <f t="shared" si="0"/>
        <v>2610</v>
      </c>
      <c r="D15" s="308">
        <f t="shared" si="8"/>
        <v>2610</v>
      </c>
      <c r="E15" s="308">
        <f t="shared" si="11"/>
        <v>928063</v>
      </c>
      <c r="F15" s="539">
        <v>140391</v>
      </c>
      <c r="G15" s="160">
        <f t="shared" si="1"/>
        <v>523</v>
      </c>
      <c r="H15" s="539">
        <v>456536</v>
      </c>
      <c r="I15" s="161">
        <f t="shared" si="2"/>
        <v>1080</v>
      </c>
      <c r="J15" s="539">
        <v>331135</v>
      </c>
      <c r="K15" s="162">
        <f t="shared" si="13"/>
        <v>1007</v>
      </c>
      <c r="L15" s="296">
        <f t="shared" si="14"/>
        <v>111.01824212271974</v>
      </c>
      <c r="M15" s="296">
        <f t="shared" si="15"/>
        <v>80.238805970149258</v>
      </c>
      <c r="N15" s="296">
        <f t="shared" si="16"/>
        <v>53.439469320066337</v>
      </c>
      <c r="O15" s="296">
        <f t="shared" si="7"/>
        <v>89.88563529905106</v>
      </c>
      <c r="P15" s="297">
        <f t="shared" si="17"/>
        <v>334.5821527119864</v>
      </c>
      <c r="Q15" s="297">
        <f>SUM(-tanks!AX17*tanks!$AU$37)</f>
        <v>534.07248387096695</v>
      </c>
      <c r="R15" s="297">
        <f t="shared" si="18"/>
        <v>868.65463658295334</v>
      </c>
      <c r="S15" s="299">
        <f>SUM(ELEC!N14)</f>
        <v>6743</v>
      </c>
      <c r="T15" s="336">
        <f t="shared" si="19"/>
        <v>0.12882317018878145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v>930474</v>
      </c>
      <c r="C16" s="264">
        <f t="shared" si="0"/>
        <v>2411</v>
      </c>
      <c r="D16" s="308">
        <f t="shared" si="8"/>
        <v>2411</v>
      </c>
      <c r="E16" s="308">
        <f t="shared" si="11"/>
        <v>930474</v>
      </c>
      <c r="F16" s="539">
        <v>140902</v>
      </c>
      <c r="G16" s="160">
        <f t="shared" si="1"/>
        <v>511</v>
      </c>
      <c r="H16" s="539">
        <v>457521</v>
      </c>
      <c r="I16" s="161">
        <f t="shared" si="2"/>
        <v>985</v>
      </c>
      <c r="J16" s="539">
        <v>332050</v>
      </c>
      <c r="K16" s="162">
        <f t="shared" si="13"/>
        <v>915</v>
      </c>
      <c r="L16" s="296">
        <f t="shared" si="14"/>
        <v>108.4709784411277</v>
      </c>
      <c r="M16" s="296">
        <f t="shared" si="15"/>
        <v>73.180762852404641</v>
      </c>
      <c r="N16" s="296">
        <f t="shared" si="16"/>
        <v>48.557213930348261</v>
      </c>
      <c r="O16" s="296">
        <f t="shared" si="7"/>
        <v>89.88563529905106</v>
      </c>
      <c r="P16" s="297">
        <f t="shared" si="17"/>
        <v>320.09459052293164</v>
      </c>
      <c r="Q16" s="297">
        <f>SUM(-tanks!AX18*tanks!$AU$37)</f>
        <v>581.59698387096114</v>
      </c>
      <c r="R16" s="297">
        <f t="shared" si="18"/>
        <v>901.69157439389278</v>
      </c>
      <c r="S16" s="299">
        <f>SUM(ELEC!N15)</f>
        <v>6400</v>
      </c>
      <c r="T16" s="336">
        <f t="shared" si="19"/>
        <v>0.14088930849904574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v>932658</v>
      </c>
      <c r="C17" s="264">
        <f t="shared" si="0"/>
        <v>2184</v>
      </c>
      <c r="D17" s="308">
        <f t="shared" si="8"/>
        <v>2184</v>
      </c>
      <c r="E17" s="308">
        <f t="shared" si="11"/>
        <v>932658</v>
      </c>
      <c r="F17" s="539">
        <v>141383</v>
      </c>
      <c r="G17" s="160">
        <f t="shared" si="1"/>
        <v>481</v>
      </c>
      <c r="H17" s="539">
        <v>458312</v>
      </c>
      <c r="I17" s="161">
        <f t="shared" si="2"/>
        <v>791</v>
      </c>
      <c r="J17" s="539">
        <v>332962</v>
      </c>
      <c r="K17" s="162">
        <f t="shared" si="13"/>
        <v>912</v>
      </c>
      <c r="L17" s="296">
        <f t="shared" si="14"/>
        <v>102.1028192371476</v>
      </c>
      <c r="M17" s="296">
        <f t="shared" si="15"/>
        <v>58.767495854063021</v>
      </c>
      <c r="N17" s="296">
        <f t="shared" si="16"/>
        <v>48.398009950248756</v>
      </c>
      <c r="O17" s="296">
        <f t="shared" si="7"/>
        <v>89.88563529905106</v>
      </c>
      <c r="P17" s="297">
        <f t="shared" si="17"/>
        <v>299.15396034051042</v>
      </c>
      <c r="Q17" s="297">
        <f>SUM(-tanks!AX19*tanks!$AU$37)</f>
        <v>798.82214516130887</v>
      </c>
      <c r="R17" s="297">
        <f t="shared" si="18"/>
        <v>1097.9761055018193</v>
      </c>
      <c r="S17" s="299">
        <f>SUM(ELEC!N16)</f>
        <v>6878</v>
      </c>
      <c r="T17" s="336">
        <f t="shared" si="19"/>
        <v>0.15963595601945615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v>935157</v>
      </c>
      <c r="C18" s="264">
        <f t="shared" si="0"/>
        <v>2499</v>
      </c>
      <c r="D18" s="308">
        <f t="shared" si="8"/>
        <v>2500</v>
      </c>
      <c r="E18" s="308">
        <f t="shared" si="11"/>
        <v>935158</v>
      </c>
      <c r="F18" s="539">
        <v>141653</v>
      </c>
      <c r="G18" s="160">
        <f t="shared" si="1"/>
        <v>270</v>
      </c>
      <c r="H18" s="539">
        <v>459563</v>
      </c>
      <c r="I18" s="161">
        <f t="shared" si="2"/>
        <v>1251</v>
      </c>
      <c r="J18" s="539">
        <v>333941</v>
      </c>
      <c r="K18" s="162">
        <f t="shared" si="3"/>
        <v>979</v>
      </c>
      <c r="L18" s="296">
        <f t="shared" ref="L18:L30" si="20">SUM(G18*$Y$28)/1507.5</f>
        <v>57.313432835820898</v>
      </c>
      <c r="M18" s="296">
        <f t="shared" ref="M18:M30" si="21">SUM(I18*$Y$27)/1507.5</f>
        <v>92.943283582089549</v>
      </c>
      <c r="N18" s="296">
        <f t="shared" ref="N18:N30" si="22">SUM(K18*$Y$26)/1507.5</f>
        <v>51.953565505804313</v>
      </c>
      <c r="O18" s="296">
        <f t="shared" si="7"/>
        <v>89.88563529905106</v>
      </c>
      <c r="P18" s="297">
        <f t="shared" si="9"/>
        <v>292.09591722276582</v>
      </c>
      <c r="Q18" s="297">
        <f>SUM(-tanks!AX20*tanks!$AU$37)</f>
        <v>557.43198387096118</v>
      </c>
      <c r="R18" s="297">
        <f t="shared" si="10"/>
        <v>849.527901093727</v>
      </c>
      <c r="S18" s="299">
        <f>SUM(ELEC!N17)</f>
        <v>6482</v>
      </c>
      <c r="T18" s="336">
        <f t="shared" si="12"/>
        <v>0.13105953426314826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v>936869</v>
      </c>
      <c r="C19" s="264">
        <f t="shared" si="0"/>
        <v>1712</v>
      </c>
      <c r="D19" s="308">
        <f t="shared" si="8"/>
        <v>1711</v>
      </c>
      <c r="E19" s="308">
        <f t="shared" si="11"/>
        <v>936868</v>
      </c>
      <c r="F19" s="539">
        <v>141819</v>
      </c>
      <c r="G19" s="160">
        <f t="shared" si="1"/>
        <v>166</v>
      </c>
      <c r="H19" s="539">
        <v>460247</v>
      </c>
      <c r="I19" s="161">
        <f t="shared" si="2"/>
        <v>684</v>
      </c>
      <c r="J19" s="539">
        <v>334802</v>
      </c>
      <c r="K19" s="162">
        <f t="shared" si="3"/>
        <v>861</v>
      </c>
      <c r="L19" s="296">
        <f t="shared" si="20"/>
        <v>35.237147595356554</v>
      </c>
      <c r="M19" s="296">
        <f t="shared" si="21"/>
        <v>50.817910447761193</v>
      </c>
      <c r="N19" s="296">
        <f t="shared" si="22"/>
        <v>45.691542288557216</v>
      </c>
      <c r="O19" s="296">
        <f t="shared" si="7"/>
        <v>89.88563529905106</v>
      </c>
      <c r="P19" s="297">
        <f t="shared" si="9"/>
        <v>221.63223563072603</v>
      </c>
      <c r="Q19" s="297">
        <f>SUM(-tanks!AX21*tanks!$AU$37)</f>
        <v>544.62193548387961</v>
      </c>
      <c r="R19" s="297">
        <f t="shared" si="10"/>
        <v>766.2541711146057</v>
      </c>
      <c r="S19" s="299">
        <f>SUM(ELEC!N18)</f>
        <v>8211</v>
      </c>
      <c r="T19" s="336">
        <f t="shared" si="12"/>
        <v>9.3320444661381771E-2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v>938797</v>
      </c>
      <c r="C20" s="264">
        <f t="shared" si="0"/>
        <v>1928</v>
      </c>
      <c r="D20" s="308">
        <f t="shared" si="8"/>
        <v>1928</v>
      </c>
      <c r="E20" s="308">
        <f t="shared" si="11"/>
        <v>938797</v>
      </c>
      <c r="F20" s="539">
        <v>142002</v>
      </c>
      <c r="G20" s="160">
        <f t="shared" si="1"/>
        <v>183</v>
      </c>
      <c r="H20" s="539">
        <v>460959</v>
      </c>
      <c r="I20" s="161">
        <f t="shared" si="2"/>
        <v>712</v>
      </c>
      <c r="J20" s="539">
        <v>335835</v>
      </c>
      <c r="K20" s="162">
        <f t="shared" si="3"/>
        <v>1033</v>
      </c>
      <c r="L20" s="296">
        <f t="shared" si="20"/>
        <v>38.845771144278608</v>
      </c>
      <c r="M20" s="296">
        <f t="shared" si="21"/>
        <v>52.898175787728029</v>
      </c>
      <c r="N20" s="296">
        <f t="shared" si="22"/>
        <v>54.819237147595359</v>
      </c>
      <c r="O20" s="296">
        <f t="shared" si="7"/>
        <v>89.88563529905106</v>
      </c>
      <c r="P20" s="297">
        <f t="shared" si="9"/>
        <v>236.44881937865307</v>
      </c>
      <c r="Q20" s="297">
        <f>SUM(-tanks!AX22*tanks!$AU$37)</f>
        <v>1285.5312290322499</v>
      </c>
      <c r="R20" s="297">
        <f t="shared" si="10"/>
        <v>1521.980048410903</v>
      </c>
      <c r="S20" s="299">
        <f>SUM(ELEC!N19)</f>
        <v>8488</v>
      </c>
      <c r="T20" s="336">
        <f t="shared" si="12"/>
        <v>0.17930961927555408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v>940497</v>
      </c>
      <c r="C21" s="264">
        <f t="shared" si="0"/>
        <v>1700</v>
      </c>
      <c r="D21" s="308">
        <f t="shared" si="8"/>
        <v>1699</v>
      </c>
      <c r="E21" s="308">
        <f t="shared" si="11"/>
        <v>940496</v>
      </c>
      <c r="F21" s="539">
        <v>142191</v>
      </c>
      <c r="G21" s="160">
        <f t="shared" si="1"/>
        <v>189</v>
      </c>
      <c r="H21" s="539">
        <v>461451</v>
      </c>
      <c r="I21" s="161">
        <f t="shared" si="2"/>
        <v>492</v>
      </c>
      <c r="J21" s="539">
        <v>336853</v>
      </c>
      <c r="K21" s="162">
        <f t="shared" si="3"/>
        <v>1018</v>
      </c>
      <c r="L21" s="296">
        <f t="shared" si="20"/>
        <v>40.119402985074629</v>
      </c>
      <c r="M21" s="296">
        <f t="shared" si="21"/>
        <v>36.55323383084577</v>
      </c>
      <c r="N21" s="296">
        <f t="shared" si="22"/>
        <v>54.023217247097847</v>
      </c>
      <c r="O21" s="296">
        <f t="shared" si="7"/>
        <v>89.88563529905106</v>
      </c>
      <c r="P21" s="297">
        <f t="shared" si="9"/>
        <v>220.58148936206931</v>
      </c>
      <c r="Q21" s="297">
        <f>SUM(-tanks!AX23*tanks!$AU$37)</f>
        <v>1657.2512903226002</v>
      </c>
      <c r="R21" s="297">
        <f t="shared" si="10"/>
        <v>1877.8327796846695</v>
      </c>
      <c r="S21" s="299">
        <f>SUM(ELEC!N20)</f>
        <v>8988</v>
      </c>
      <c r="T21" s="336">
        <f t="shared" si="12"/>
        <v>0.20892665550563747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70"/>
      <c r="AC21" s="671"/>
    </row>
    <row r="22" spans="1:32" ht="15.75" thickBot="1">
      <c r="A22" s="163">
        <f>ELEC!C21</f>
        <v>44274</v>
      </c>
      <c r="B22" s="539">
        <f t="shared" ref="B21:B34" si="23">B21</f>
        <v>940497</v>
      </c>
      <c r="C22" s="264">
        <f t="shared" si="0"/>
        <v>0</v>
      </c>
      <c r="D22" s="308">
        <f t="shared" si="8"/>
        <v>0</v>
      </c>
      <c r="E22" s="308">
        <f t="shared" si="11"/>
        <v>940497</v>
      </c>
      <c r="F22" s="539">
        <f t="shared" ref="F21:F34" si="24">F21</f>
        <v>142191</v>
      </c>
      <c r="G22" s="160">
        <f t="shared" si="1"/>
        <v>0</v>
      </c>
      <c r="H22" s="539">
        <f t="shared" ref="H21:H34" si="25">H21</f>
        <v>461451</v>
      </c>
      <c r="I22" s="161">
        <f t="shared" si="2"/>
        <v>0</v>
      </c>
      <c r="J22" s="539">
        <f t="shared" ref="J21:J34" si="26">J21</f>
        <v>336853</v>
      </c>
      <c r="K22" s="162">
        <f t="shared" si="3"/>
        <v>0</v>
      </c>
      <c r="L22" s="296">
        <f t="shared" si="20"/>
        <v>0</v>
      </c>
      <c r="M22" s="296">
        <f t="shared" si="21"/>
        <v>0</v>
      </c>
      <c r="N22" s="296">
        <f t="shared" si="22"/>
        <v>0</v>
      </c>
      <c r="O22" s="296">
        <f t="shared" si="7"/>
        <v>89.88563529905106</v>
      </c>
      <c r="P22" s="297">
        <f t="shared" si="9"/>
        <v>89.88563529905106</v>
      </c>
      <c r="Q22" s="297">
        <f>SUM(-tanks!AX24*tanks!$AU$37)</f>
        <v>0</v>
      </c>
      <c r="R22" s="297">
        <f t="shared" si="10"/>
        <v>89.88563529905106</v>
      </c>
      <c r="S22" s="299">
        <f>SUM(ELEC!N21)</f>
        <v>0</v>
      </c>
      <c r="T22" s="336">
        <f t="shared" si="12"/>
        <v>0</v>
      </c>
      <c r="V22" s="676"/>
      <c r="W22" s="677"/>
      <c r="X22" s="677"/>
      <c r="Y22" s="678"/>
      <c r="Z22" s="26" t="s">
        <v>203</v>
      </c>
      <c r="AA22" s="26">
        <v>5000</v>
      </c>
      <c r="AB22" s="672"/>
      <c r="AC22" s="673"/>
    </row>
    <row r="23" spans="1:32" ht="15.75" thickBot="1">
      <c r="A23" s="163">
        <f>ELEC!C22</f>
        <v>44275</v>
      </c>
      <c r="B23" s="539">
        <f t="shared" si="23"/>
        <v>940497</v>
      </c>
      <c r="C23" s="264">
        <f t="shared" si="0"/>
        <v>0</v>
      </c>
      <c r="D23" s="308">
        <f t="shared" si="8"/>
        <v>0</v>
      </c>
      <c r="E23" s="308">
        <f t="shared" si="11"/>
        <v>940497</v>
      </c>
      <c r="F23" s="539">
        <f t="shared" si="24"/>
        <v>142191</v>
      </c>
      <c r="G23" s="160">
        <f t="shared" si="1"/>
        <v>0</v>
      </c>
      <c r="H23" s="539">
        <f t="shared" si="25"/>
        <v>461451</v>
      </c>
      <c r="I23" s="161">
        <f t="shared" si="2"/>
        <v>0</v>
      </c>
      <c r="J23" s="539">
        <f t="shared" si="26"/>
        <v>336853</v>
      </c>
      <c r="K23" s="162">
        <f t="shared" si="3"/>
        <v>0</v>
      </c>
      <c r="L23" s="296">
        <f t="shared" si="20"/>
        <v>0</v>
      </c>
      <c r="M23" s="296">
        <f t="shared" si="21"/>
        <v>0</v>
      </c>
      <c r="N23" s="296">
        <f t="shared" si="22"/>
        <v>0</v>
      </c>
      <c r="O23" s="296">
        <f t="shared" si="7"/>
        <v>89.88563529905106</v>
      </c>
      <c r="P23" s="297">
        <f t="shared" si="9"/>
        <v>89.88563529905106</v>
      </c>
      <c r="Q23" s="297">
        <f>SUM(-tanks!AX25*tanks!$AU$37)</f>
        <v>0</v>
      </c>
      <c r="R23" s="297">
        <f t="shared" si="10"/>
        <v>89.88563529905106</v>
      </c>
      <c r="S23" s="299">
        <f>SUM(ELEC!N22)</f>
        <v>0</v>
      </c>
      <c r="T23" s="336">
        <f t="shared" si="12"/>
        <v>0</v>
      </c>
      <c r="V23" s="679"/>
      <c r="W23" s="680"/>
      <c r="X23" s="680"/>
      <c r="Y23" s="681"/>
      <c r="Z23" s="682"/>
      <c r="AA23" s="683"/>
      <c r="AB23" s="672"/>
      <c r="AC23" s="673"/>
    </row>
    <row r="24" spans="1:32" ht="15" customHeight="1" thickBot="1">
      <c r="A24" s="163">
        <f>ELEC!C23</f>
        <v>44276</v>
      </c>
      <c r="B24" s="539">
        <f t="shared" si="23"/>
        <v>940497</v>
      </c>
      <c r="C24" s="264">
        <f t="shared" si="0"/>
        <v>0</v>
      </c>
      <c r="D24" s="308">
        <f t="shared" si="8"/>
        <v>0</v>
      </c>
      <c r="E24" s="308">
        <f t="shared" si="11"/>
        <v>940497</v>
      </c>
      <c r="F24" s="539">
        <f t="shared" si="24"/>
        <v>142191</v>
      </c>
      <c r="G24" s="160">
        <f t="shared" si="1"/>
        <v>0</v>
      </c>
      <c r="H24" s="539">
        <f t="shared" si="25"/>
        <v>461451</v>
      </c>
      <c r="I24" s="161">
        <f t="shared" si="2"/>
        <v>0</v>
      </c>
      <c r="J24" s="539">
        <f t="shared" si="26"/>
        <v>336853</v>
      </c>
      <c r="K24" s="162">
        <f t="shared" si="3"/>
        <v>0</v>
      </c>
      <c r="L24" s="296">
        <f t="shared" si="20"/>
        <v>0</v>
      </c>
      <c r="M24" s="296">
        <f t="shared" si="21"/>
        <v>0</v>
      </c>
      <c r="N24" s="296">
        <f t="shared" si="22"/>
        <v>0</v>
      </c>
      <c r="O24" s="296">
        <f t="shared" si="7"/>
        <v>89.88563529905106</v>
      </c>
      <c r="P24" s="297">
        <f t="shared" si="9"/>
        <v>89.88563529905106</v>
      </c>
      <c r="Q24" s="297">
        <f>SUM(-tanks!AX26*tanks!$AU$37)</f>
        <v>0</v>
      </c>
      <c r="R24" s="297">
        <f t="shared" si="10"/>
        <v>89.88563529905106</v>
      </c>
      <c r="S24" s="299">
        <f>SUM(ELEC!N23)</f>
        <v>0</v>
      </c>
      <c r="T24" s="336">
        <f t="shared" si="12"/>
        <v>0</v>
      </c>
      <c r="V24" s="684" t="s">
        <v>204</v>
      </c>
      <c r="W24" s="685"/>
      <c r="X24" s="686" t="s">
        <v>205</v>
      </c>
      <c r="Y24" s="687"/>
      <c r="Z24" s="688"/>
      <c r="AA24" s="170"/>
      <c r="AB24" s="674"/>
      <c r="AC24" s="675"/>
    </row>
    <row r="25" spans="1:32" ht="17.25" customHeight="1" thickBot="1">
      <c r="A25" s="163">
        <f>ELEC!C24</f>
        <v>44277</v>
      </c>
      <c r="B25" s="539">
        <f t="shared" si="23"/>
        <v>940497</v>
      </c>
      <c r="C25" s="264">
        <f t="shared" si="0"/>
        <v>0</v>
      </c>
      <c r="D25" s="308">
        <f t="shared" si="8"/>
        <v>0</v>
      </c>
      <c r="E25" s="308">
        <f t="shared" si="11"/>
        <v>940497</v>
      </c>
      <c r="F25" s="539">
        <f t="shared" si="24"/>
        <v>142191</v>
      </c>
      <c r="G25" s="160">
        <f t="shared" si="1"/>
        <v>0</v>
      </c>
      <c r="H25" s="539">
        <f t="shared" si="25"/>
        <v>461451</v>
      </c>
      <c r="I25" s="161">
        <f t="shared" si="2"/>
        <v>0</v>
      </c>
      <c r="J25" s="539">
        <f t="shared" si="26"/>
        <v>336853</v>
      </c>
      <c r="K25" s="162">
        <f t="shared" si="3"/>
        <v>0</v>
      </c>
      <c r="L25" s="296">
        <f t="shared" si="20"/>
        <v>0</v>
      </c>
      <c r="M25" s="296">
        <f t="shared" si="21"/>
        <v>0</v>
      </c>
      <c r="N25" s="296">
        <f t="shared" si="22"/>
        <v>0</v>
      </c>
      <c r="O25" s="296">
        <f t="shared" si="7"/>
        <v>89.88563529905106</v>
      </c>
      <c r="P25" s="297">
        <f t="shared" si="9"/>
        <v>89.88563529905106</v>
      </c>
      <c r="Q25" s="297">
        <f>SUM(-tanks!AX27*tanks!$AU$37)</f>
        <v>0</v>
      </c>
      <c r="R25" s="297">
        <f t="shared" si="10"/>
        <v>89.88563529905106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23"/>
        <v>940497</v>
      </c>
      <c r="C26" s="264">
        <f t="shared" si="0"/>
        <v>0</v>
      </c>
      <c r="D26" s="308">
        <f t="shared" si="8"/>
        <v>0</v>
      </c>
      <c r="E26" s="308">
        <f t="shared" si="11"/>
        <v>940497</v>
      </c>
      <c r="F26" s="539">
        <f t="shared" si="24"/>
        <v>142191</v>
      </c>
      <c r="G26" s="160">
        <f t="shared" si="1"/>
        <v>0</v>
      </c>
      <c r="H26" s="539">
        <f t="shared" si="25"/>
        <v>461451</v>
      </c>
      <c r="I26" s="161">
        <f t="shared" si="2"/>
        <v>0</v>
      </c>
      <c r="J26" s="539">
        <f t="shared" si="26"/>
        <v>336853</v>
      </c>
      <c r="K26" s="162">
        <f t="shared" si="3"/>
        <v>0</v>
      </c>
      <c r="L26" s="296">
        <f t="shared" si="20"/>
        <v>0</v>
      </c>
      <c r="M26" s="296">
        <f t="shared" si="21"/>
        <v>0</v>
      </c>
      <c r="N26" s="296">
        <f t="shared" si="22"/>
        <v>0</v>
      </c>
      <c r="O26" s="296">
        <f t="shared" si="7"/>
        <v>89.88563529905106</v>
      </c>
      <c r="P26" s="297">
        <f t="shared" si="9"/>
        <v>89.88563529905106</v>
      </c>
      <c r="Q26" s="297">
        <f>SUM(-tanks!AX28*tanks!$AU$37)</f>
        <v>0</v>
      </c>
      <c r="R26" s="297">
        <f t="shared" si="10"/>
        <v>89.88563529905106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336853</v>
      </c>
      <c r="X26" s="172" t="s">
        <v>199</v>
      </c>
      <c r="Y26" s="172">
        <v>80</v>
      </c>
      <c r="Z26" s="172">
        <v>1</v>
      </c>
      <c r="AA26" s="338">
        <f>(W26-V26)*Z26</f>
        <v>15803</v>
      </c>
      <c r="AB26" s="338">
        <f>AA26*Y26</f>
        <v>1264240</v>
      </c>
      <c r="AC26" s="249">
        <f>AC9</f>
        <v>1033333</v>
      </c>
      <c r="AD26" s="212">
        <f>SUM(K36)</f>
        <v>0.4449168050902334</v>
      </c>
    </row>
    <row r="27" spans="1:32" ht="15.75" thickBot="1">
      <c r="A27" s="163">
        <f>ELEC!C26</f>
        <v>44279</v>
      </c>
      <c r="B27" s="539">
        <f t="shared" si="23"/>
        <v>940497</v>
      </c>
      <c r="C27" s="264">
        <f t="shared" si="0"/>
        <v>0</v>
      </c>
      <c r="D27" s="308">
        <f t="shared" si="8"/>
        <v>0</v>
      </c>
      <c r="E27" s="308">
        <f t="shared" si="11"/>
        <v>940497</v>
      </c>
      <c r="F27" s="539">
        <f t="shared" si="24"/>
        <v>142191</v>
      </c>
      <c r="G27" s="160">
        <f t="shared" si="1"/>
        <v>0</v>
      </c>
      <c r="H27" s="539">
        <f t="shared" si="25"/>
        <v>461451</v>
      </c>
      <c r="I27" s="161">
        <f t="shared" si="2"/>
        <v>0</v>
      </c>
      <c r="J27" s="539">
        <f t="shared" si="26"/>
        <v>336853</v>
      </c>
      <c r="K27" s="162">
        <f t="shared" si="3"/>
        <v>0</v>
      </c>
      <c r="L27" s="296">
        <f t="shared" si="20"/>
        <v>0</v>
      </c>
      <c r="M27" s="296">
        <f t="shared" si="21"/>
        <v>0</v>
      </c>
      <c r="N27" s="296">
        <f t="shared" si="22"/>
        <v>0</v>
      </c>
      <c r="O27" s="296">
        <f t="shared" si="7"/>
        <v>89.88563529905106</v>
      </c>
      <c r="P27" s="297">
        <f t="shared" si="9"/>
        <v>89.88563529905106</v>
      </c>
      <c r="Q27" s="297">
        <f>SUM(-tanks!AX29*tanks!$AU$37)</f>
        <v>0</v>
      </c>
      <c r="R27" s="297">
        <f t="shared" si="10"/>
        <v>89.88563529905106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461451</v>
      </c>
      <c r="X27" s="172" t="s">
        <v>213</v>
      </c>
      <c r="Y27" s="172">
        <v>112</v>
      </c>
      <c r="Z27" s="172">
        <v>1</v>
      </c>
      <c r="AA27" s="338">
        <f>(W27-V27)*Z27</f>
        <v>14631</v>
      </c>
      <c r="AB27" s="338">
        <f>SUM(AA27*Y27)</f>
        <v>1638672</v>
      </c>
      <c r="AC27" s="249">
        <f>AC10</f>
        <v>6200000</v>
      </c>
      <c r="AD27" s="212">
        <f>SUM(I36)</f>
        <v>0.41192038064134689</v>
      </c>
    </row>
    <row r="28" spans="1:32" ht="15.75" thickBot="1">
      <c r="A28" s="163">
        <f>ELEC!C27</f>
        <v>44280</v>
      </c>
      <c r="B28" s="539">
        <f t="shared" si="23"/>
        <v>940497</v>
      </c>
      <c r="C28" s="264">
        <f t="shared" si="0"/>
        <v>0</v>
      </c>
      <c r="D28" s="308">
        <f t="shared" si="8"/>
        <v>0</v>
      </c>
      <c r="E28" s="308">
        <f t="shared" si="11"/>
        <v>940497</v>
      </c>
      <c r="F28" s="539">
        <f t="shared" si="24"/>
        <v>142191</v>
      </c>
      <c r="G28" s="160">
        <f t="shared" si="1"/>
        <v>0</v>
      </c>
      <c r="H28" s="539">
        <f t="shared" si="25"/>
        <v>461451</v>
      </c>
      <c r="I28" s="161">
        <f t="shared" si="2"/>
        <v>0</v>
      </c>
      <c r="J28" s="539">
        <f t="shared" si="26"/>
        <v>336853</v>
      </c>
      <c r="K28" s="162">
        <f t="shared" si="3"/>
        <v>0</v>
      </c>
      <c r="L28" s="296">
        <f t="shared" si="20"/>
        <v>0</v>
      </c>
      <c r="M28" s="296">
        <f t="shared" si="21"/>
        <v>0</v>
      </c>
      <c r="N28" s="296">
        <f t="shared" si="22"/>
        <v>0</v>
      </c>
      <c r="O28" s="296">
        <f t="shared" si="7"/>
        <v>89.88563529905106</v>
      </c>
      <c r="P28" s="297">
        <f t="shared" si="9"/>
        <v>89.88563529905106</v>
      </c>
      <c r="Q28" s="297">
        <f>SUM(-tanks!AX30*tanks!$AU$37)</f>
        <v>0</v>
      </c>
      <c r="R28" s="297">
        <f t="shared" si="10"/>
        <v>89.88563529905106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142191</v>
      </c>
      <c r="X28" s="172" t="s">
        <v>197</v>
      </c>
      <c r="Y28" s="172">
        <v>320</v>
      </c>
      <c r="Z28" s="172">
        <v>1</v>
      </c>
      <c r="AA28" s="338">
        <f>(W28-V28)*Z28</f>
        <v>5083</v>
      </c>
      <c r="AB28" s="338">
        <f>SUM(AA28*Y28)</f>
        <v>1626560</v>
      </c>
      <c r="AC28" s="249">
        <f>AC11</f>
        <v>1000</v>
      </c>
      <c r="AD28" s="212">
        <f>SUM(G36)</f>
        <v>0.14310650637686873</v>
      </c>
      <c r="AE28" s="40">
        <f>SUM(AB28*5%)</f>
        <v>81328</v>
      </c>
      <c r="AF28" s="82">
        <f>SUM(AE28/7)*31</f>
        <v>360166.8571428571</v>
      </c>
    </row>
    <row r="29" spans="1:32" ht="15.75" thickBot="1">
      <c r="A29" s="163">
        <f>ELEC!C28</f>
        <v>44281</v>
      </c>
      <c r="B29" s="539">
        <f t="shared" si="23"/>
        <v>940497</v>
      </c>
      <c r="C29" s="264">
        <f t="shared" si="0"/>
        <v>0</v>
      </c>
      <c r="D29" s="308">
        <f t="shared" si="8"/>
        <v>0</v>
      </c>
      <c r="E29" s="308">
        <f t="shared" si="11"/>
        <v>940497</v>
      </c>
      <c r="F29" s="539">
        <f t="shared" si="24"/>
        <v>142191</v>
      </c>
      <c r="G29" s="160">
        <f t="shared" si="1"/>
        <v>0</v>
      </c>
      <c r="H29" s="539">
        <f t="shared" si="25"/>
        <v>461451</v>
      </c>
      <c r="I29" s="161">
        <f t="shared" si="2"/>
        <v>0</v>
      </c>
      <c r="J29" s="539">
        <f t="shared" si="26"/>
        <v>336853</v>
      </c>
      <c r="K29" s="162">
        <f t="shared" si="3"/>
        <v>0</v>
      </c>
      <c r="L29" s="296">
        <f t="shared" si="20"/>
        <v>0</v>
      </c>
      <c r="M29" s="296">
        <f t="shared" si="21"/>
        <v>0</v>
      </c>
      <c r="N29" s="296">
        <f t="shared" si="22"/>
        <v>0</v>
      </c>
      <c r="O29" s="296">
        <f t="shared" si="7"/>
        <v>89.88563529905106</v>
      </c>
      <c r="P29" s="297">
        <f t="shared" si="9"/>
        <v>89.88563529905106</v>
      </c>
      <c r="Q29" s="297">
        <f>SUM(-tanks!AX31*tanks!$AU$37)</f>
        <v>0</v>
      </c>
      <c r="R29" s="297">
        <f t="shared" si="10"/>
        <v>89.88563529905106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35517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23"/>
        <v>940497</v>
      </c>
      <c r="C30" s="264">
        <f t="shared" si="0"/>
        <v>0</v>
      </c>
      <c r="D30" s="308">
        <f t="shared" si="8"/>
        <v>0</v>
      </c>
      <c r="E30" s="308">
        <f t="shared" si="11"/>
        <v>940497</v>
      </c>
      <c r="F30" s="539">
        <f t="shared" si="24"/>
        <v>142191</v>
      </c>
      <c r="G30" s="160">
        <f t="shared" si="1"/>
        <v>0</v>
      </c>
      <c r="H30" s="539">
        <f t="shared" si="25"/>
        <v>461451</v>
      </c>
      <c r="I30" s="161">
        <f t="shared" si="2"/>
        <v>0</v>
      </c>
      <c r="J30" s="539">
        <f t="shared" si="26"/>
        <v>336853</v>
      </c>
      <c r="K30" s="162">
        <f t="shared" si="3"/>
        <v>0</v>
      </c>
      <c r="L30" s="296">
        <f t="shared" si="20"/>
        <v>0</v>
      </c>
      <c r="M30" s="296">
        <f t="shared" si="21"/>
        <v>0</v>
      </c>
      <c r="N30" s="296">
        <f t="shared" si="22"/>
        <v>0</v>
      </c>
      <c r="O30" s="296">
        <f t="shared" si="7"/>
        <v>89.88563529905106</v>
      </c>
      <c r="P30" s="297">
        <f t="shared" si="9"/>
        <v>89.88563529905106</v>
      </c>
      <c r="Q30" s="297">
        <f>SUM(-tanks!AX32*tanks!$AU$37)</f>
        <v>0</v>
      </c>
      <c r="R30" s="297">
        <f t="shared" si="10"/>
        <v>89.88563529905106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4529472</v>
      </c>
      <c r="AC30" s="249">
        <f>SUM(AC26:AC29)/A37*A35</f>
        <v>4200580.4516129037</v>
      </c>
    </row>
    <row r="31" spans="1:32" ht="14.25" customHeight="1" thickBot="1">
      <c r="A31" s="163">
        <f>ELEC!C30</f>
        <v>44283</v>
      </c>
      <c r="B31" s="539">
        <f t="shared" si="23"/>
        <v>940497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940497</v>
      </c>
      <c r="F31" s="539">
        <f t="shared" si="24"/>
        <v>142191</v>
      </c>
      <c r="G31" s="160">
        <f t="shared" ref="G31:G34" si="31">F31-F30</f>
        <v>0</v>
      </c>
      <c r="H31" s="539">
        <f t="shared" si="25"/>
        <v>461451</v>
      </c>
      <c r="I31" s="161">
        <f t="shared" ref="I31:I34" si="32">H31-H30</f>
        <v>0</v>
      </c>
      <c r="J31" s="539">
        <f t="shared" si="26"/>
        <v>336853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89.88563529905106</v>
      </c>
      <c r="P31" s="297">
        <f t="shared" ref="P31:P34" si="37">SUM(L31:O31)</f>
        <v>89.88563529905106</v>
      </c>
      <c r="Q31" s="297">
        <f>SUM(-tanks!AX33*tanks!$AU$37)</f>
        <v>0</v>
      </c>
      <c r="R31" s="297">
        <f t="shared" ref="R31:R34" si="38">SUM(P31:Q31)</f>
        <v>89.88563529905106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23"/>
        <v>940497</v>
      </c>
      <c r="C32" s="264">
        <f t="shared" si="28"/>
        <v>0</v>
      </c>
      <c r="D32" s="308">
        <f t="shared" si="29"/>
        <v>0</v>
      </c>
      <c r="E32" s="308">
        <f t="shared" si="30"/>
        <v>940497</v>
      </c>
      <c r="F32" s="539">
        <f t="shared" si="24"/>
        <v>142191</v>
      </c>
      <c r="G32" s="160">
        <f t="shared" si="31"/>
        <v>0</v>
      </c>
      <c r="H32" s="539">
        <f t="shared" si="25"/>
        <v>461451</v>
      </c>
      <c r="I32" s="161">
        <f t="shared" si="32"/>
        <v>0</v>
      </c>
      <c r="J32" s="539">
        <f t="shared" si="26"/>
        <v>336853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89.88563529905106</v>
      </c>
      <c r="P32" s="297">
        <f t="shared" si="37"/>
        <v>89.88563529905106</v>
      </c>
      <c r="Q32" s="297">
        <f>SUM(-tanks!AX34*tanks!$AU$37)</f>
        <v>0</v>
      </c>
      <c r="R32" s="297">
        <f t="shared" si="38"/>
        <v>89.88563529905106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23"/>
        <v>940497</v>
      </c>
      <c r="C33" s="264">
        <f t="shared" si="28"/>
        <v>0</v>
      </c>
      <c r="D33" s="308">
        <f t="shared" si="29"/>
        <v>0</v>
      </c>
      <c r="E33" s="308">
        <f t="shared" si="30"/>
        <v>940497</v>
      </c>
      <c r="F33" s="539">
        <f t="shared" si="24"/>
        <v>142191</v>
      </c>
      <c r="G33" s="160">
        <f t="shared" si="31"/>
        <v>0</v>
      </c>
      <c r="H33" s="539">
        <f t="shared" si="25"/>
        <v>461451</v>
      </c>
      <c r="I33" s="161">
        <f t="shared" si="32"/>
        <v>0</v>
      </c>
      <c r="J33" s="539">
        <f t="shared" si="26"/>
        <v>336853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89.88563529905106</v>
      </c>
      <c r="P33" s="297">
        <f t="shared" si="37"/>
        <v>89.88563529905106</v>
      </c>
      <c r="Q33" s="297">
        <f>SUM(-tanks!AX35*tanks!$AU$37)</f>
        <v>0</v>
      </c>
      <c r="R33" s="297">
        <f t="shared" si="38"/>
        <v>89.88563529905106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23"/>
        <v>940497</v>
      </c>
      <c r="C34" s="264">
        <f t="shared" si="28"/>
        <v>0</v>
      </c>
      <c r="D34" s="308">
        <f t="shared" si="29"/>
        <v>0</v>
      </c>
      <c r="E34" s="308">
        <f t="shared" si="30"/>
        <v>940497</v>
      </c>
      <c r="F34" s="539">
        <f t="shared" si="24"/>
        <v>142191</v>
      </c>
      <c r="G34" s="160">
        <f t="shared" si="31"/>
        <v>0</v>
      </c>
      <c r="H34" s="539">
        <f t="shared" si="25"/>
        <v>461451</v>
      </c>
      <c r="I34" s="161">
        <f t="shared" si="32"/>
        <v>0</v>
      </c>
      <c r="J34" s="539">
        <f t="shared" si="26"/>
        <v>336853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89.88563529905106</v>
      </c>
      <c r="P34" s="297">
        <f t="shared" si="37"/>
        <v>89.88563529905106</v>
      </c>
      <c r="Q34" s="297">
        <f>SUM(-tanks!AX36*tanks!$AU$37)</f>
        <v>0</v>
      </c>
      <c r="R34" s="297">
        <f t="shared" si="38"/>
        <v>89.88563529905106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118</v>
      </c>
      <c r="X34" s="222">
        <f>SUM(W34/A35)</f>
        <v>6.5555555555555554</v>
      </c>
      <c r="Y34" s="260">
        <f>SUM(X34/2)</f>
        <v>3.2777777777777777</v>
      </c>
      <c r="Z34" s="3"/>
      <c r="AA34" s="3"/>
      <c r="AB34" s="542">
        <f>SUM(AB30+AC34)</f>
        <v>8730052.4516129047</v>
      </c>
      <c r="AC34" s="249">
        <f>SUM(AC30)</f>
        <v>4200580.4516129037</v>
      </c>
    </row>
    <row r="35" spans="1:32" ht="15.75" thickBot="1">
      <c r="A35" s="538">
        <f>A37-COUNTIF(C4:C34,0)</f>
        <v>18</v>
      </c>
      <c r="C35" s="173">
        <f>SUM(C4:C34)/A35</f>
        <v>1973.2777777777778</v>
      </c>
      <c r="D35" s="173"/>
      <c r="E35" s="173"/>
      <c r="G35" s="173">
        <f>SUM(G4:G34)/A35</f>
        <v>282.38888888888891</v>
      </c>
      <c r="I35" s="173">
        <f>SUM(I4:I34)/A35</f>
        <v>812.83333333333337</v>
      </c>
      <c r="K35" s="173">
        <f>SUM(K4:K34)/A35</f>
        <v>877.94444444444446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135502.59521331947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0.99994369210844902</v>
      </c>
      <c r="G36" s="225">
        <f>IF(C35&gt;0,G35/C35,0)</f>
        <v>0.14310650637686873</v>
      </c>
      <c r="H36" s="212"/>
      <c r="I36" s="225">
        <f>SUM(I35/C35)</f>
        <v>0.41192038064134689</v>
      </c>
      <c r="J36" s="212"/>
      <c r="K36" s="225">
        <f>SUM(K35/C35)</f>
        <v>0.4449168050902334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5791.079569892474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2786.4546942705829</v>
      </c>
      <c r="Z38" s="40"/>
      <c r="AA38" s="292" t="s">
        <v>215</v>
      </c>
      <c r="AB38" s="293">
        <f>SUM(AB36)</f>
        <v>5791.079569892474</v>
      </c>
    </row>
    <row r="39" spans="1:32">
      <c r="V39" s="217"/>
      <c r="W39" s="82">
        <f>(AB30+AB54)/1507.5</f>
        <v>3004.6248756218906</v>
      </c>
      <c r="X39" s="543"/>
      <c r="Z39" s="294">
        <f>SUM(AB38)</f>
        <v>5791.079569892474</v>
      </c>
      <c r="AA39" s="293"/>
      <c r="AB39" s="293"/>
    </row>
    <row r="40" spans="1:32">
      <c r="V40" s="17"/>
      <c r="W40" s="82">
        <f>SUM(W38:W39)</f>
        <v>5791.079569892474</v>
      </c>
      <c r="X40" s="543"/>
      <c r="Y40" s="82"/>
      <c r="Z40" s="294">
        <f>SUM(-tanks!AX37)*tanks!AU37</f>
        <v>17550.33793548388</v>
      </c>
      <c r="AA40" s="101">
        <f>SUM(AB34/A35)</f>
        <v>485002.9139784947</v>
      </c>
      <c r="AB40" s="348">
        <f>SUM(AA40*A37)</f>
        <v>15035090.333333336</v>
      </c>
    </row>
    <row r="41" spans="1:32" ht="18.75">
      <c r="W41" s="82">
        <f>(AB30+AB54)/1507.5</f>
        <v>3004.6248756218906</v>
      </c>
      <c r="Z41" s="276">
        <f>SUM(Z39:Z40)</f>
        <v>23341.417505376354</v>
      </c>
      <c r="AA41" s="293">
        <f>SUM(AA40/1507.5)</f>
        <v>321.72664277180411</v>
      </c>
      <c r="AB41" s="347">
        <f>SUM(AB40/1507.5)</f>
        <v>9973.5259259259274</v>
      </c>
    </row>
    <row r="42" spans="1:32">
      <c r="D42" s="519"/>
      <c r="E42" s="519"/>
      <c r="F42" s="519"/>
      <c r="W42" s="82">
        <f>SUM(W40:W41)</f>
        <v>8795.7044455143641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57"/>
      <c r="AC45" s="657"/>
      <c r="AD45" s="17"/>
      <c r="AE45" s="17"/>
      <c r="AF45" s="17"/>
    </row>
    <row r="46" spans="1:32">
      <c r="V46" s="657"/>
      <c r="W46" s="657"/>
      <c r="X46" s="657"/>
      <c r="Y46" s="657"/>
      <c r="Z46" s="547"/>
      <c r="AA46" s="547"/>
      <c r="AB46" s="657"/>
      <c r="AC46" s="657"/>
      <c r="AD46" s="17"/>
      <c r="AE46" s="17"/>
      <c r="AF46" s="17"/>
    </row>
    <row r="47" spans="1:32">
      <c r="V47" s="657"/>
      <c r="W47" s="657"/>
      <c r="X47" s="657"/>
      <c r="Y47" s="657"/>
      <c r="Z47" s="657"/>
      <c r="AA47" s="657"/>
      <c r="AB47" s="657"/>
      <c r="AC47" s="657"/>
      <c r="AD47" s="17"/>
      <c r="AE47" s="17"/>
      <c r="AF47" s="17"/>
    </row>
    <row r="48" spans="1:32">
      <c r="V48" s="658"/>
      <c r="W48" s="658"/>
      <c r="X48" s="659"/>
      <c r="Y48" s="659"/>
      <c r="Z48" s="659"/>
      <c r="AA48" s="548"/>
      <c r="AB48" s="657"/>
      <c r="AC48" s="657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1" activePane="bottomLeft" state="frozen"/>
      <selection pane="bottomLeft" activeCell="H23" sqref="H2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9" t="s">
        <v>51</v>
      </c>
      <c r="B1" s="701" t="s">
        <v>318</v>
      </c>
      <c r="C1" s="702"/>
      <c r="D1" s="704"/>
      <c r="E1" s="701" t="s">
        <v>319</v>
      </c>
      <c r="F1" s="702"/>
      <c r="G1" s="703"/>
      <c r="H1" s="698" t="s">
        <v>324</v>
      </c>
      <c r="I1" s="695" t="s">
        <v>325</v>
      </c>
      <c r="J1" s="692" t="s">
        <v>43</v>
      </c>
    </row>
    <row r="2" spans="1:18" ht="38.25" thickBot="1">
      <c r="A2" s="690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9"/>
      <c r="I2" s="696"/>
      <c r="J2" s="693"/>
    </row>
    <row r="3" spans="1:18" ht="24" customHeight="1" thickBot="1">
      <c r="A3" s="691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00"/>
      <c r="I3" s="697"/>
      <c r="J3" s="694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>
        <v>2.5</v>
      </c>
      <c r="C13" s="537">
        <v>7.8</v>
      </c>
      <c r="D13" s="537"/>
      <c r="E13" s="537">
        <v>2</v>
      </c>
      <c r="F13" s="537">
        <v>8</v>
      </c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>
        <v>2</v>
      </c>
      <c r="C14" s="609">
        <v>7.8</v>
      </c>
      <c r="D14" s="170"/>
      <c r="E14" s="170">
        <v>1</v>
      </c>
      <c r="F14" s="170">
        <v>8</v>
      </c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>
        <v>2</v>
      </c>
      <c r="C15" s="609">
        <v>7.8</v>
      </c>
      <c r="D15" s="609"/>
      <c r="E15" s="609">
        <v>1</v>
      </c>
      <c r="F15" s="609">
        <v>8</v>
      </c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>
        <v>2</v>
      </c>
      <c r="C16" s="609">
        <v>7.8</v>
      </c>
      <c r="D16" s="609"/>
      <c r="E16" s="609">
        <v>1</v>
      </c>
      <c r="F16" s="609">
        <v>8</v>
      </c>
      <c r="G16" s="585"/>
      <c r="H16" s="587">
        <v>6728</v>
      </c>
      <c r="I16" s="509">
        <f t="shared" si="3"/>
        <v>2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>
        <v>2</v>
      </c>
      <c r="C17" s="537">
        <v>7.8</v>
      </c>
      <c r="D17" s="537"/>
      <c r="E17" s="537">
        <v>1</v>
      </c>
      <c r="F17" s="537">
        <v>8</v>
      </c>
      <c r="G17" s="537"/>
      <c r="H17" s="587">
        <f t="shared" si="2"/>
        <v>6728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>
        <v>1.5</v>
      </c>
      <c r="C18" s="609">
        <v>7.8</v>
      </c>
      <c r="D18" s="170"/>
      <c r="E18" s="170">
        <v>1</v>
      </c>
      <c r="F18" s="170">
        <v>8</v>
      </c>
      <c r="G18" s="537"/>
      <c r="H18" s="587">
        <v>6729</v>
      </c>
      <c r="I18" s="509">
        <f t="shared" si="3"/>
        <v>1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>
        <v>1.4</v>
      </c>
      <c r="C19" s="609">
        <v>7.8</v>
      </c>
      <c r="D19" s="170"/>
      <c r="E19" s="170">
        <v>1</v>
      </c>
      <c r="F19" s="170">
        <v>8</v>
      </c>
      <c r="G19" s="537"/>
      <c r="H19" s="587">
        <f t="shared" si="2"/>
        <v>6729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>
        <v>1.5</v>
      </c>
      <c r="C20" s="537">
        <v>7.8</v>
      </c>
      <c r="D20" s="537"/>
      <c r="E20" s="537">
        <v>1</v>
      </c>
      <c r="F20" s="537">
        <v>8</v>
      </c>
      <c r="G20" s="537"/>
      <c r="H20" s="587">
        <f t="shared" si="2"/>
        <v>6729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>
        <v>1.5</v>
      </c>
      <c r="C21" s="609">
        <v>7.8</v>
      </c>
      <c r="D21" s="170"/>
      <c r="E21" s="170">
        <v>1</v>
      </c>
      <c r="F21" s="170">
        <v>8</v>
      </c>
      <c r="G21" s="537"/>
      <c r="H21" s="587">
        <f t="shared" si="2"/>
        <v>6729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>
        <v>1.5</v>
      </c>
      <c r="C22" s="537">
        <v>7.8</v>
      </c>
      <c r="D22" s="537"/>
      <c r="E22" s="537">
        <v>1</v>
      </c>
      <c r="F22" s="537">
        <v>8</v>
      </c>
      <c r="G22" s="537"/>
      <c r="H22" s="587">
        <v>6730</v>
      </c>
      <c r="I22" s="509">
        <f t="shared" si="3"/>
        <v>1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>
        <v>1.4</v>
      </c>
      <c r="C23" s="537">
        <v>7.8</v>
      </c>
      <c r="D23" s="537"/>
      <c r="E23" s="537">
        <v>1</v>
      </c>
      <c r="F23" s="537">
        <v>8</v>
      </c>
      <c r="G23" s="537"/>
      <c r="H23" s="587">
        <f t="shared" si="2"/>
        <v>6730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/>
      <c r="C24" s="609"/>
      <c r="D24" s="170"/>
      <c r="E24" s="170"/>
      <c r="F24" s="170"/>
      <c r="G24" s="170"/>
      <c r="H24" s="587">
        <f t="shared" si="2"/>
        <v>6730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/>
      <c r="C25" s="609"/>
      <c r="D25" s="170"/>
      <c r="E25" s="170"/>
      <c r="F25" s="170"/>
      <c r="G25" s="170"/>
      <c r="H25" s="587">
        <f t="shared" si="2"/>
        <v>6730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581"/>
      <c r="C26" s="609"/>
      <c r="D26" s="170"/>
      <c r="E26" s="170"/>
      <c r="F26" s="170"/>
      <c r="G26" s="170"/>
      <c r="H26" s="587">
        <f t="shared" si="2"/>
        <v>6730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6730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609"/>
      <c r="D28" s="170"/>
      <c r="E28" s="170"/>
      <c r="F28" s="170"/>
      <c r="G28" s="170"/>
      <c r="H28" s="587">
        <f t="shared" si="2"/>
        <v>6730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6730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6730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6730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6730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6730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6730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6730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6730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409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20</v>
      </c>
      <c r="K17" s="272">
        <f>'General information '!C13</f>
        <v>16</v>
      </c>
      <c r="L17" s="272">
        <f t="shared" si="1"/>
        <v>-0.30000000000000071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23</v>
      </c>
      <c r="K18" s="272">
        <f>'General information '!C14</f>
        <v>17</v>
      </c>
      <c r="L18" s="272">
        <f t="shared" si="1"/>
        <v>1.6999999999999993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19</v>
      </c>
      <c r="K19" s="272">
        <f>'General information '!C15</f>
        <v>13</v>
      </c>
      <c r="L19" s="272">
        <f t="shared" si="1"/>
        <v>-2.3000000000000007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17</v>
      </c>
      <c r="K20" s="272">
        <f>'General information '!C16</f>
        <v>12</v>
      </c>
      <c r="L20" s="272">
        <f t="shared" si="1"/>
        <v>-3.8000000000000007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18</v>
      </c>
      <c r="K21" s="272">
        <f>'General information '!C17</f>
        <v>13</v>
      </c>
      <c r="L21" s="272">
        <f t="shared" si="1"/>
        <v>-2.8000000000000007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18</v>
      </c>
      <c r="K22" s="272">
        <f>'General information '!C18</f>
        <v>16</v>
      </c>
      <c r="L22" s="272">
        <f t="shared" si="1"/>
        <v>-1.3000000000000007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19</v>
      </c>
      <c r="K23" s="272">
        <f>'General information '!C19</f>
        <v>15</v>
      </c>
      <c r="L23" s="272">
        <f t="shared" si="1"/>
        <v>-1.3000000000000007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19</v>
      </c>
      <c r="K24" s="272">
        <f>'General information '!C20</f>
        <v>15</v>
      </c>
      <c r="L24" s="272">
        <f t="shared" si="1"/>
        <v>-1.3000000000000007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19</v>
      </c>
      <c r="K25" s="272">
        <f>'General information '!C21</f>
        <v>14</v>
      </c>
      <c r="L25" s="272">
        <f t="shared" si="1"/>
        <v>-1.8000000000000007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20</v>
      </c>
      <c r="K26" s="272">
        <f>'General information '!C22</f>
        <v>15</v>
      </c>
      <c r="L26" s="272">
        <f t="shared" si="1"/>
        <v>-0.80000000000000071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20</v>
      </c>
      <c r="K27" s="272">
        <f>'General information '!C23</f>
        <v>15</v>
      </c>
      <c r="L27" s="272">
        <f t="shared" si="1"/>
        <v>-0.80000000000000071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-217.10000000000005</v>
      </c>
      <c r="K43" s="119">
        <f>SUMIF(L10:L37,"&gt;0")</f>
        <v>1.6999999999999993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-5290.0000000000009</v>
      </c>
      <c r="O86" s="142">
        <f>C43+G43+K43+O43+S43+W43+C81+G81+K81+O81+S81+W81</f>
        <v>10.999999999999989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9" t="s">
        <v>216</v>
      </c>
      <c r="B2" s="719"/>
      <c r="C2" s="719"/>
      <c r="D2" s="719"/>
      <c r="E2" s="719"/>
      <c r="F2" s="719"/>
      <c r="G2" s="719"/>
      <c r="H2" s="719"/>
      <c r="I2" s="719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18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554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4761.2903225806449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13896</v>
      </c>
      <c r="C8" s="493">
        <f>SUM(tanks!AU37)</f>
        <v>0.80549999999999999</v>
      </c>
      <c r="D8" s="191">
        <f>SUM(B8*C8)*D4</f>
        <v>16873791.209999997</v>
      </c>
      <c r="E8" s="192">
        <f>SUM(D8/D4/F4)</f>
        <v>621.84599999999989</v>
      </c>
      <c r="F8" s="192">
        <f>SUM(E8*F4)</f>
        <v>11193.227999999997</v>
      </c>
      <c r="G8" s="510">
        <f>E8*$F$4</f>
        <v>11193.227999999997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8730052.4516129047</v>
      </c>
      <c r="E10" s="182">
        <f>SUM(D10/D4/F4)</f>
        <v>321.72664277180411</v>
      </c>
      <c r="F10" s="182">
        <f>SUM(E10*F4)</f>
        <v>5791.079569892474</v>
      </c>
      <c r="G10" s="510">
        <f>E10*$G$4</f>
        <v>9973.5259259259274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1208.0887718040622</v>
      </c>
      <c r="F12" s="180">
        <f>SUM(F6:F10)</f>
        <v>21745.597892473117</v>
      </c>
      <c r="G12" s="179">
        <f>SUM(G6:G10)</f>
        <v>29366.753925925921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-17854.246074074079</v>
      </c>
      <c r="I14" s="423">
        <f>SUM(G12-I12)</f>
        <v>-17854.44932353645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16.5</v>
      </c>
      <c r="C16" s="433">
        <f>'[14]Utility Cost '!B16</f>
        <v>14.293103448275861</v>
      </c>
      <c r="D16" s="432"/>
      <c r="E16" s="433">
        <f t="shared" si="0"/>
        <v>2.2068965517241388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118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2.5799999999999272</v>
      </c>
      <c r="F18" s="528">
        <f>B18-D18</f>
        <v>-54.73885330486587</v>
      </c>
    </row>
    <row r="19" spans="1:10">
      <c r="A19" s="522" t="s">
        <v>411</v>
      </c>
      <c r="B19" s="520">
        <f>SUM(B18/$F$4)</f>
        <v>6.5555555555555554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2021-03-19T06:57:30Z</dcterms:modified>
</cp:coreProperties>
</file>