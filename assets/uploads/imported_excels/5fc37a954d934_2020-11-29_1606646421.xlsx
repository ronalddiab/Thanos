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H26" i="7" l="1"/>
  <c r="P22" i="7" l="1"/>
  <c r="J21" i="7" l="1"/>
  <c r="P21" i="7" l="1"/>
  <c r="BJ24" i="7" l="1"/>
  <c r="AJ20" i="7" l="1"/>
  <c r="P20" i="7"/>
  <c r="P19" i="7"/>
  <c r="CQ18" i="7" l="1"/>
  <c r="AB17" i="7" l="1"/>
  <c r="AF15" i="7" l="1"/>
  <c r="BF13" i="7" l="1"/>
  <c r="AR12" i="7" l="1"/>
  <c r="AZ11" i="7" l="1"/>
  <c r="V11" i="7"/>
  <c r="R10" i="7"/>
  <c r="R9" i="7" l="1"/>
  <c r="BJ7" i="7" l="1"/>
  <c r="AF6" i="7" l="1"/>
  <c r="X6" i="7"/>
  <c r="F5" i="7"/>
  <c r="F6" i="7"/>
  <c r="F7" i="7"/>
  <c r="F4" i="7"/>
  <c r="D5" i="7"/>
  <c r="D6" i="7"/>
  <c r="D7" i="7"/>
  <c r="D8" i="7"/>
  <c r="D9" i="7"/>
  <c r="D10" i="7"/>
  <c r="D11" i="7"/>
  <c r="D12" i="7"/>
  <c r="BZ5" i="7" l="1"/>
  <c r="Z5" i="7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8" i="7" l="1"/>
  <c r="CM4" i="7"/>
  <c r="CM7" i="7"/>
  <c r="CM5" i="7"/>
  <c r="CM6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AF8" i="7" l="1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3" i="7"/>
  <c r="AR14" i="7"/>
  <c r="AR15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7" i="7"/>
  <c r="AF9" i="7"/>
  <c r="AF10" i="7"/>
  <c r="AF11" i="7"/>
  <c r="AF12" i="7"/>
  <c r="AF13" i="7"/>
  <c r="AF14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8" i="7"/>
  <c r="AB9" i="7"/>
  <c r="AB10" i="7"/>
  <c r="AB11" i="7"/>
  <c r="AB12" i="7"/>
  <c r="AB13" i="7"/>
  <c r="AB14" i="7"/>
  <c r="AB15" i="7"/>
  <c r="AB16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6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E5" i="6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<sst xmlns="http://schemas.openxmlformats.org/spreadsheetml/2006/main" count="314" uniqueCount="149">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</sst>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M31" sqref="M31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11</v>
      </c>
      <c r="D2" s="1">
        <v>2020</v>
      </c>
      <c r="E2" s="12">
        <f>Submetering!E2+Submetering!F2+Submetering!G2+Submetering!H2+Submetering!J2-Submetering!AV2</f>
        <v>3950.0000000001364</v>
      </c>
      <c r="F2" s="11">
        <v>0.58765030286592534</v>
      </c>
      <c r="G2" s="12">
        <f>(Submetering!AX2+Submetering!AY2+Submetering!AZ2+Submetering!BA2+Submetering!BB2)</f>
        <v>3.6629999999999998</v>
      </c>
      <c r="H2" s="11">
        <v>0.99</v>
      </c>
      <c r="I2" s="12">
        <f>'FS Desroches Daily'!CM4</f>
        <v>14.399999999999864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11</v>
      </c>
      <c r="D3" s="1">
        <v>2020</v>
      </c>
      <c r="E3" s="12">
        <f>Submetering!E3+Submetering!F3+Submetering!G3+Submetering!H3+Submetering!J3-Submetering!AV3</f>
        <v>4490.0000000001237</v>
      </c>
      <c r="F3" s="11">
        <f>F2</f>
        <v>0.58765030286592534</v>
      </c>
      <c r="G3" s="12">
        <f>(Submetering!AX3+Submetering!AY3+Submetering!AZ3+Submetering!BA3+Submetering!BB3)</f>
        <v>3.6629999999999998</v>
      </c>
      <c r="H3" s="11">
        <f>H2</f>
        <v>0.99</v>
      </c>
      <c r="I3" s="12">
        <f>'FS Desroches Daily'!CM5</f>
        <v>25.900000000000091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11</v>
      </c>
      <c r="D4" s="1">
        <v>2020</v>
      </c>
      <c r="E4" s="12">
        <f>Submetering!E4+Submetering!F4+Submetering!G4+Submetering!H4+Submetering!J4-Submetering!AV4</f>
        <v>6289.9999999997035</v>
      </c>
      <c r="F4" s="11">
        <f t="shared" ref="F4:F32" si="1">F3</f>
        <v>0.58765030286592534</v>
      </c>
      <c r="G4" s="12">
        <f>(Submetering!AX4+Submetering!AY4+Submetering!AZ4+Submetering!BA4+Submetering!BB4)</f>
        <v>5.4944999999999995</v>
      </c>
      <c r="H4" s="11">
        <f t="shared" ref="H4:H32" si="2">H3</f>
        <v>0.99</v>
      </c>
      <c r="I4" s="12">
        <f>'FS Desroches Daily'!CM6</f>
        <v>29.099999999999909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11</v>
      </c>
      <c r="D5" s="1">
        <v>2020</v>
      </c>
      <c r="E5" s="12">
        <f>Submetering!E5+Submetering!F5+Submetering!G5+Submetering!H5+Submetering!J5-Submetering!AV5</f>
        <v>5249.9999999999591</v>
      </c>
      <c r="F5" s="11">
        <f t="shared" si="1"/>
        <v>0.58765030286592534</v>
      </c>
      <c r="G5" s="12">
        <f>(Submetering!AX5+Submetering!AY5+Submetering!AZ5+Submetering!BA5+Submetering!BB5)</f>
        <v>3.6629999999999998</v>
      </c>
      <c r="H5" s="11">
        <f t="shared" si="2"/>
        <v>0.99</v>
      </c>
      <c r="I5" s="12">
        <f>'FS Desroches Daily'!CM7</f>
        <v>17.300000000000182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11</v>
      </c>
      <c r="D6" s="1">
        <v>2020</v>
      </c>
      <c r="E6" s="12">
        <f>Submetering!E6+Submetering!F6+Submetering!G6+Submetering!H6+Submetering!J6-Submetering!AV6</f>
        <v>4360.0000000001619</v>
      </c>
      <c r="F6" s="11">
        <f t="shared" si="1"/>
        <v>0.58765030286592534</v>
      </c>
      <c r="G6" s="12">
        <f>(Submetering!AX6+Submetering!AY6+Submetering!AZ6+Submetering!BA6+Submetering!BB6)</f>
        <v>5.4944999999999995</v>
      </c>
      <c r="H6" s="11">
        <f t="shared" si="2"/>
        <v>0.99</v>
      </c>
      <c r="I6" s="12">
        <f>'FS Desroches Daily'!CM8</f>
        <v>16.599999999999909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11</v>
      </c>
      <c r="D7" s="1">
        <v>2020</v>
      </c>
      <c r="E7" s="12">
        <f>Submetering!E7+Submetering!F7+Submetering!G7+Submetering!H7+Submetering!J7-Submetering!AV7</f>
        <v>4490.0000000003802</v>
      </c>
      <c r="F7" s="11">
        <f t="shared" si="1"/>
        <v>0.58765030286592534</v>
      </c>
      <c r="G7" s="12">
        <f>(Submetering!AX7+Submetering!AY7+Submetering!AZ7+Submetering!BA7+Submetering!BB7)</f>
        <v>5.4944999999999995</v>
      </c>
      <c r="H7" s="11">
        <f t="shared" si="2"/>
        <v>0.99</v>
      </c>
      <c r="I7" s="12">
        <f>'FS Desroches Daily'!CM9</f>
        <v>15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11</v>
      </c>
      <c r="D8" s="1">
        <v>2020</v>
      </c>
      <c r="E8" s="12">
        <f>Submetering!E8+Submetering!F8+Submetering!G8+Submetering!H8+Submetering!J8-Submetering!AV8</f>
        <v>3529.9999999995325</v>
      </c>
      <c r="F8" s="11">
        <f t="shared" si="1"/>
        <v>0.58765030286592534</v>
      </c>
      <c r="G8" s="12">
        <f>(Submetering!AX8+Submetering!AY8+Submetering!AZ8+Submetering!BA8+Submetering!BB8)</f>
        <v>3.6629999999999998</v>
      </c>
      <c r="H8" s="11">
        <f t="shared" si="2"/>
        <v>0.99</v>
      </c>
      <c r="I8" s="12">
        <f>'FS Desroches Daily'!CM10</f>
        <v>17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11</v>
      </c>
      <c r="D9" s="1">
        <v>2020</v>
      </c>
      <c r="E9" s="12">
        <f>Submetering!E9+Submetering!F9+Submetering!G9+Submetering!H9+Submetering!J9-Submetering!AV9</f>
        <v>3610.0000000000168</v>
      </c>
      <c r="F9" s="11">
        <f t="shared" si="1"/>
        <v>0.58765030286592534</v>
      </c>
      <c r="G9" s="12">
        <f>(Submetering!AX9+Submetering!AY9+Submetering!AZ9+Submetering!BA9+Submetering!BB9)</f>
        <v>7.3259999999999996</v>
      </c>
      <c r="H9" s="11">
        <f t="shared" si="2"/>
        <v>0.99</v>
      </c>
      <c r="I9" s="12">
        <f>'FS Desroches Daily'!CM11</f>
        <v>12.5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11</v>
      </c>
      <c r="D10" s="1">
        <v>2020</v>
      </c>
      <c r="E10" s="12">
        <f>Submetering!E10+Submetering!F10+Submetering!G10+Submetering!H10+Submetering!J10-Submetering!AV10</f>
        <v>4349.9999999994261</v>
      </c>
      <c r="F10" s="11">
        <f t="shared" si="1"/>
        <v>0.58765030286592534</v>
      </c>
      <c r="G10" s="12">
        <f>(Submetering!AX10+Submetering!AY10+Submetering!AZ10+Submetering!BA10+Submetering!BB10)</f>
        <v>5.4944999999999995</v>
      </c>
      <c r="H10" s="11">
        <f t="shared" si="2"/>
        <v>0.99</v>
      </c>
      <c r="I10" s="12">
        <f>'FS Desroches Daily'!CM12</f>
        <v>20.700000000000045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11</v>
      </c>
      <c r="D11" s="1">
        <v>2020</v>
      </c>
      <c r="E11" s="12">
        <f>Submetering!E11+Submetering!F11+Submetering!G11+Submetering!H11+Submetering!J11-Submetering!AV11</f>
        <v>4170.0000000010978</v>
      </c>
      <c r="F11" s="11">
        <f t="shared" si="1"/>
        <v>0.58765030286592534</v>
      </c>
      <c r="G11" s="12">
        <f>(Submetering!AX11+Submetering!AY11+Submetering!AZ11+Submetering!BA11+Submetering!BB11)</f>
        <v>5.4944999999999995</v>
      </c>
      <c r="H11" s="11">
        <f t="shared" si="2"/>
        <v>0.99</v>
      </c>
      <c r="I11" s="12">
        <f>'FS Desroches Daily'!CM13</f>
        <v>20.5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11</v>
      </c>
      <c r="D12" s="1">
        <v>2020</v>
      </c>
      <c r="E12" s="12">
        <f>Submetering!E12+Submetering!F12+Submetering!G12+Submetering!H12+Submetering!J12-Submetering!AV12</f>
        <v>4199.9999999997381</v>
      </c>
      <c r="F12" s="11">
        <f t="shared" si="1"/>
        <v>0.58765030286592534</v>
      </c>
      <c r="G12" s="12">
        <f>(Submetering!AX12+Submetering!AY12+Submetering!AZ12+Submetering!BA12+Submetering!BB12)</f>
        <v>9.1574999999999989</v>
      </c>
      <c r="H12" s="11">
        <f t="shared" si="2"/>
        <v>0.99</v>
      </c>
      <c r="I12" s="12">
        <f>'FS Desroches Daily'!CM14</f>
        <v>18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11</v>
      </c>
      <c r="D13" s="1">
        <v>2020</v>
      </c>
      <c r="E13" s="12">
        <f>Submetering!E13+Submetering!F13+Submetering!G13+Submetering!H13+Submetering!J13-Submetering!AV13</f>
        <v>4329.9999999996653</v>
      </c>
      <c r="F13" s="11">
        <f t="shared" si="1"/>
        <v>0.58765030286592534</v>
      </c>
      <c r="G13" s="12">
        <f>(Submetering!AX13+Submetering!AY13+Submetering!AZ13+Submetering!BA13+Submetering!BB13)</f>
        <v>3.6629999999999998</v>
      </c>
      <c r="H13" s="11">
        <f t="shared" si="2"/>
        <v>0.99</v>
      </c>
      <c r="I13" s="12">
        <f>'FS Desroches Daily'!CM15</f>
        <v>31.299999999999955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11</v>
      </c>
      <c r="D14" s="1">
        <v>2020</v>
      </c>
      <c r="E14" s="12">
        <f>Submetering!E14+Submetering!F14+Submetering!G14+Submetering!H14+Submetering!J14-Submetering!AV14</f>
        <v>4699.9999999998035</v>
      </c>
      <c r="F14" s="11">
        <f t="shared" si="1"/>
        <v>0.58765030286592534</v>
      </c>
      <c r="G14" s="12">
        <f>(Submetering!AX14+Submetering!AY14+Submetering!AZ14+Submetering!BA14+Submetering!BB14)</f>
        <v>8595.2294999999995</v>
      </c>
      <c r="H14" s="11">
        <f t="shared" si="2"/>
        <v>0.99</v>
      </c>
      <c r="I14" s="12">
        <f>'FS Desroches Daily'!CM16</f>
        <v>16.299999999999955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11</v>
      </c>
      <c r="D15" s="1">
        <v>2020</v>
      </c>
      <c r="E15" s="12">
        <f>Submetering!E15+Submetering!F15+Submetering!G15+Submetering!H15+Submetering!J15-Submetering!AV15</f>
        <v>3730.000000000432</v>
      </c>
      <c r="F15" s="11">
        <f t="shared" si="1"/>
        <v>0.58765030286592534</v>
      </c>
      <c r="G15" s="12">
        <f>(Submetering!AX15+Submetering!AY15+Submetering!AZ15+Submetering!BA15+Submetering!BB15)</f>
        <v>1.8314999999999999</v>
      </c>
      <c r="H15" s="11">
        <f t="shared" si="2"/>
        <v>0.99</v>
      </c>
      <c r="I15" s="12">
        <f>'FS Desroches Daily'!CM17</f>
        <v>10.400000000000091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11</v>
      </c>
      <c r="D16" s="1">
        <v>2020</v>
      </c>
      <c r="E16" s="12">
        <f>Submetering!E16+Submetering!F16+Submetering!G16+Submetering!H16+Submetering!J16-Submetering!AV16</f>
        <v>4400.0000000001601</v>
      </c>
      <c r="F16" s="11">
        <f t="shared" si="1"/>
        <v>0.58765030286592534</v>
      </c>
      <c r="G16" s="12">
        <f>(Submetering!AX16+Submetering!AY16+Submetering!AZ16+Submetering!BA16+Submetering!BB16)</f>
        <v>5.4944999999999995</v>
      </c>
      <c r="H16" s="11">
        <f t="shared" si="2"/>
        <v>0.99</v>
      </c>
      <c r="I16" s="12">
        <f>'FS Desroches Daily'!CM18</f>
        <v>11.099999999999909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11</v>
      </c>
      <c r="D17" s="1">
        <v>2020</v>
      </c>
      <c r="E17" s="12">
        <f>Submetering!E17+Submetering!F17+Submetering!G17+Submetering!H17+Submetering!J17-Submetering!AV17</f>
        <v>4759.99999999993</v>
      </c>
      <c r="F17" s="11">
        <f t="shared" si="1"/>
        <v>0.58765030286592534</v>
      </c>
      <c r="G17" s="12">
        <f>(Submetering!AX17+Submetering!AY17+Submetering!AZ17+Submetering!BA17+Submetering!BB17)</f>
        <v>9.1574999999999989</v>
      </c>
      <c r="H17" s="11">
        <f t="shared" si="2"/>
        <v>0.99</v>
      </c>
      <c r="I17" s="12">
        <f>'FS Desroches Daily'!CM19</f>
        <v>19.400000000000091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11</v>
      </c>
      <c r="D18" s="1">
        <v>2020</v>
      </c>
      <c r="E18" s="12">
        <f>Submetering!E18+Submetering!F18+Submetering!G18+Submetering!H18+Submetering!J18-Submetering!AV18</f>
        <v>4650.0000000000582</v>
      </c>
      <c r="F18" s="11">
        <f t="shared" si="1"/>
        <v>0.58765030286592534</v>
      </c>
      <c r="G18" s="12">
        <f>(Submetering!AX18+Submetering!AY18+Submetering!AZ18+Submetering!BA18+Submetering!BB18)</f>
        <v>3.6629999999999998</v>
      </c>
      <c r="H18" s="11">
        <f t="shared" si="2"/>
        <v>0.99</v>
      </c>
      <c r="I18" s="12">
        <f>'FS Desroches Daily'!CM20</f>
        <v>16.200000000000045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11</v>
      </c>
      <c r="D19" s="1">
        <v>2020</v>
      </c>
      <c r="E19" s="12">
        <f>Submetering!E19+Submetering!F19+Submetering!G19+Submetering!H19+Submetering!J19-Submetering!AV19</f>
        <v>4009.9999999994952</v>
      </c>
      <c r="F19" s="11">
        <f t="shared" si="1"/>
        <v>0.58765030286592534</v>
      </c>
      <c r="G19" s="12">
        <f>(Submetering!AX19+Submetering!AY19+Submetering!AZ19+Submetering!BA19+Submetering!BB19)</f>
        <v>3.6629999999999998</v>
      </c>
      <c r="H19" s="11">
        <f t="shared" si="2"/>
        <v>0.99</v>
      </c>
      <c r="I19" s="12">
        <f>'FS Desroches Daily'!CM21</f>
        <v>20.299999999999955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11</v>
      </c>
      <c r="D20" s="1">
        <v>2020</v>
      </c>
      <c r="E20" s="12">
        <f>Submetering!E20+Submetering!F20+Submetering!G20+Submetering!H20+Submetering!J20-Submetering!AV20</f>
        <v>4380.0000000004002</v>
      </c>
      <c r="F20" s="11">
        <f t="shared" si="1"/>
        <v>0.58765030286592534</v>
      </c>
      <c r="G20" s="12">
        <f>(Submetering!AX20+Submetering!AY20+Submetering!AZ20+Submetering!BA20+Submetering!BB20)</f>
        <v>5.4944999999999995</v>
      </c>
      <c r="H20" s="11">
        <f t="shared" si="2"/>
        <v>0.99</v>
      </c>
      <c r="I20" s="12">
        <f>'FS Desroches Daily'!CM22</f>
        <v>13.299999999999955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11</v>
      </c>
      <c r="D21" s="1">
        <v>2020</v>
      </c>
      <c r="E21" s="12">
        <f>Submetering!E21+Submetering!F21+Submetering!G21+Submetering!H21+Submetering!J21-Submetering!AV21</f>
        <v>4829.9999999998663</v>
      </c>
      <c r="F21" s="11">
        <f t="shared" si="1"/>
        <v>0.58765030286592534</v>
      </c>
      <c r="G21" s="12">
        <f>(Submetering!AX21+Submetering!AY21+Submetering!AZ21+Submetering!BA21+Submetering!BB21)</f>
        <v>3.6629999999999998</v>
      </c>
      <c r="H21" s="11">
        <f t="shared" si="2"/>
        <v>0.99</v>
      </c>
      <c r="I21" s="12">
        <f>'FS Desroches Daily'!CM23</f>
        <v>20.299999999999955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11</v>
      </c>
      <c r="D22" s="1">
        <v>2020</v>
      </c>
      <c r="E22" s="12">
        <f>Submetering!E22+Submetering!F22+Submetering!G22+Submetering!H22+Submetering!J22-Submetering!AV22</f>
        <v>4480.0000000001328</v>
      </c>
      <c r="F22" s="11">
        <f t="shared" si="1"/>
        <v>0.58765030286592534</v>
      </c>
      <c r="G22" s="12">
        <f>(Submetering!AX22+Submetering!AY22+Submetering!AZ22+Submetering!BA22+Submetering!BB22)</f>
        <v>3.6629999999999998</v>
      </c>
      <c r="H22" s="11">
        <f t="shared" si="2"/>
        <v>0.99</v>
      </c>
      <c r="I22" s="12">
        <f>'FS Desroches Daily'!CM24</f>
        <v>26.799999999999955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11</v>
      </c>
      <c r="D23" s="1">
        <v>2020</v>
      </c>
      <c r="E23" s="12">
        <f>Submetering!E23+Submetering!F23+Submetering!G23+Submetering!H23+Submetering!J23-Submetering!AV23</f>
        <v>4019.9999999999636</v>
      </c>
      <c r="F23" s="11">
        <f t="shared" si="1"/>
        <v>0.58765030286592534</v>
      </c>
      <c r="G23" s="12">
        <f>(Submetering!AX23+Submetering!AY23+Submetering!AZ23+Submetering!BA23+Submetering!BB23)</f>
        <v>5.4944999999999995</v>
      </c>
      <c r="H23" s="11">
        <f t="shared" si="2"/>
        <v>0.99</v>
      </c>
      <c r="I23" s="12">
        <f>'FS Desroches Daily'!CM25</f>
        <v>13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11</v>
      </c>
      <c r="D24" s="1">
        <v>2020</v>
      </c>
      <c r="E24" s="12">
        <f>Submetering!E24+Submetering!F24+Submetering!G24+Submetering!H24+Submetering!J24-Submetering!AV24</f>
        <v>4979.9999999997426</v>
      </c>
      <c r="F24" s="11">
        <f t="shared" si="1"/>
        <v>0.58765030286592534</v>
      </c>
      <c r="G24" s="12">
        <f>(Submetering!AX24+Submetering!AY24+Submetering!AZ24+Submetering!BA24+Submetering!BB24)</f>
        <v>5.4944999999999995</v>
      </c>
      <c r="H24" s="11">
        <f t="shared" si="2"/>
        <v>0.99</v>
      </c>
      <c r="I24" s="12">
        <f>'FS Desroches Daily'!CM26</f>
        <v>34.5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11</v>
      </c>
      <c r="D25" s="1">
        <v>2020</v>
      </c>
      <c r="E25" s="12">
        <f>Submetering!E25+Submetering!F25+Submetering!G25+Submetering!H25+Submetering!J25-Submetering!AV25</f>
        <v>4890.00000000008</v>
      </c>
      <c r="F25" s="11">
        <f t="shared" si="1"/>
        <v>0.58765030286592534</v>
      </c>
      <c r="G25" s="12">
        <f>(Submetering!AX25+Submetering!AY25+Submetering!AZ25+Submetering!BA25+Submetering!BB25)</f>
        <v>7.3259999999999996</v>
      </c>
      <c r="H25" s="11">
        <f t="shared" si="2"/>
        <v>0.99</v>
      </c>
      <c r="I25" s="12">
        <f>'FS Desroches Daily'!CM27</f>
        <v>24.200000000000045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11</v>
      </c>
      <c r="D26" s="1">
        <v>2020</v>
      </c>
      <c r="E26" s="12">
        <f>Submetering!E26+Submetering!F26+Submetering!G26+Submetering!H26+Submetering!J26-Submetering!AV26</f>
        <v>5050.0000000000946</v>
      </c>
      <c r="F26" s="11">
        <f t="shared" si="1"/>
        <v>0.58765030286592534</v>
      </c>
      <c r="G26" s="12">
        <f>(Submetering!AX26+Submetering!AY26+Submetering!AZ26+Submetering!BA26+Submetering!BB26)</f>
        <v>5.4944999999999995</v>
      </c>
      <c r="H26" s="11">
        <f t="shared" si="2"/>
        <v>0.99</v>
      </c>
      <c r="I26" s="12">
        <f>'FS Desroches Daily'!CM28</f>
        <v>30.700000000000045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11</v>
      </c>
      <c r="D27" s="1">
        <v>2020</v>
      </c>
      <c r="E27" s="12">
        <f>Submetering!E27+Submetering!F27+Submetering!G27+Submetering!H27+Submetering!J27-Submetering!AV27</f>
        <v>4430.0000000001319</v>
      </c>
      <c r="F27" s="11">
        <f t="shared" si="1"/>
        <v>0.58765030286592534</v>
      </c>
      <c r="G27" s="12">
        <f>(Submetering!AX27+Submetering!AY27+Submetering!AZ27+Submetering!BA27+Submetering!BB27)</f>
        <v>7.3259999999999996</v>
      </c>
      <c r="H27" s="11">
        <f t="shared" si="2"/>
        <v>0.99</v>
      </c>
      <c r="I27" s="12">
        <f>'FS Desroches Daily'!CM29</f>
        <v>24.099999999999909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11</v>
      </c>
      <c r="D28" s="1">
        <v>2020</v>
      </c>
      <c r="E28" s="12">
        <f>Submetering!E28+Submetering!F28+Submetering!G28+Submetering!H28+Submetering!J28-Submetering!AV28</f>
        <v>5439.9999999998381</v>
      </c>
      <c r="F28" s="11">
        <f t="shared" si="1"/>
        <v>0.58765030286592534</v>
      </c>
      <c r="G28" s="12">
        <f>(Submetering!AX28+Submetering!AY28+Submetering!AZ28+Submetering!BA28+Submetering!BB28)</f>
        <v>7.3259999999999996</v>
      </c>
      <c r="H28" s="11">
        <f t="shared" si="2"/>
        <v>0.99</v>
      </c>
      <c r="I28" s="12">
        <f>'FS Desroches Daily'!CM30</f>
        <v>32.700000000000045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11</v>
      </c>
      <c r="D29" s="1">
        <v>2020</v>
      </c>
      <c r="E29" s="12">
        <f>Submetering!E29+Submetering!F29+Submetering!G29+Submetering!H29+Submetering!J29-Submetering!AV29</f>
        <v>5410.0000000001955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33.600000000000136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11</v>
      </c>
      <c r="D30" s="1">
        <v>2020</v>
      </c>
      <c r="E30" s="12" t="e">
        <f>Submetering!E30+Submetering!F30+Submetering!G30+Submetering!H30+Submetering!J30-Submetering!AV30</f>
        <v>#VALUE!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 t="e">
        <f>'FS Desroches Daily'!CM32</f>
        <v>#VALUE!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11</v>
      </c>
      <c r="D31" s="1">
        <v>2020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11</v>
      </c>
      <c r="D32" s="1">
        <v>2020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D34" sqref="D34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11</v>
      </c>
      <c r="D2" s="27">
        <v>2020</v>
      </c>
      <c r="E2" s="31">
        <f>'FS Desroches Daily'!D4</f>
        <v>1299.9999999998568</v>
      </c>
      <c r="F2" s="32">
        <f>'FS Desroches Daily'!F4</f>
        <v>600.00000000037801</v>
      </c>
      <c r="G2" s="31">
        <f>'FS Desroches Daily'!H4</f>
        <v>1399.9999999998458</v>
      </c>
      <c r="H2" s="32">
        <f>'FS Desroches Daily'!J4</f>
        <v>599.99999999993395</v>
      </c>
      <c r="I2" s="31">
        <f>'FS Desroches Daily'!L4</f>
        <v>1600.0000000002678</v>
      </c>
      <c r="J2" s="32">
        <f>'FS Desroches Daily'!N4</f>
        <v>500.00000000016701</v>
      </c>
      <c r="K2" s="13">
        <f>'FS Desroches Daily'!P4</f>
        <v>1</v>
      </c>
      <c r="L2" s="31">
        <f>'FS Desroches Daily'!R4</f>
        <v>1</v>
      </c>
      <c r="M2" s="31">
        <f>'FS Desroches Daily'!T4</f>
        <v>65.800000000046566</v>
      </c>
      <c r="N2" s="31">
        <f>'FS Desroches Daily'!V4</f>
        <v>48.299999999988358</v>
      </c>
      <c r="O2" s="31">
        <f>'FS Desroches Daily'!X4</f>
        <v>79.999999999984084</v>
      </c>
      <c r="P2" s="31">
        <f>'FS Desroches Daily'!Z4</f>
        <v>399.99999999995595</v>
      </c>
      <c r="Q2" s="31">
        <f>'FS Desroches Daily'!AB4</f>
        <v>110.00000000001364</v>
      </c>
      <c r="R2" s="31">
        <f>'FS Desroches Daily'!AD4</f>
        <v>129.99999999999545</v>
      </c>
      <c r="S2" s="31">
        <f>'FS Desroches Daily'!AF4</f>
        <v>120.00000000000455</v>
      </c>
      <c r="T2" s="31">
        <f>'FS Desroches Daily'!AH4</f>
        <v>1.1000000000001364</v>
      </c>
      <c r="U2" s="35">
        <f>'FS Desroches Daily'!AJ4</f>
        <v>230.00000000001819</v>
      </c>
      <c r="V2" s="35">
        <f>'FS Desroches Daily'!AL4</f>
        <v>150.00000000000568</v>
      </c>
      <c r="W2" s="35">
        <f>'FS Desroches Daily'!AN4</f>
        <v>359.99999999998522</v>
      </c>
      <c r="X2" s="35">
        <f>'FS Desroches Daily'!AP4</f>
        <v>259.99999999999091</v>
      </c>
      <c r="Y2" s="35">
        <f>'FS Desroches Daily'!AR4</f>
        <v>19.99999999998181</v>
      </c>
      <c r="Z2" s="35">
        <f>'FS Desroches Daily'!AT4</f>
        <v>30.000000000029559</v>
      </c>
      <c r="AA2" s="35">
        <f>'FS Desroches Daily'!AT4</f>
        <v>30.000000000029559</v>
      </c>
      <c r="AB2" s="35">
        <f>'FS Desroches Daily'!AV4</f>
        <v>19.99999999998181</v>
      </c>
      <c r="AC2" s="35">
        <f>'FS Desroches Daily'!AZ4</f>
        <v>29.999999999972715</v>
      </c>
      <c r="AD2" s="35">
        <f>'FS Desroches Daily'!BB4</f>
        <v>9.9999999999909051</v>
      </c>
      <c r="AE2" s="35">
        <f>'FS Desroches Daily'!BD4</f>
        <v>20.000000000010232</v>
      </c>
      <c r="AF2" s="31">
        <f>'FS Desroches Daily'!BF4</f>
        <v>27</v>
      </c>
      <c r="AG2" s="32">
        <f>'FS Desroches Daily'!BH4</f>
        <v>0</v>
      </c>
      <c r="AH2" s="32">
        <f>'FS Desroches Daily'!BJ4</f>
        <v>9.9999999999909051</v>
      </c>
      <c r="AI2" s="32">
        <f>'FS Desroches Daily'!BL4</f>
        <v>9.9999999999909051</v>
      </c>
      <c r="AJ2" s="32">
        <f>'FS Desroches Daily'!BN4</f>
        <v>9.9999999999909051</v>
      </c>
      <c r="AK2" s="32">
        <f>'FS Desroches Daily'!BP4</f>
        <v>20.000000000038654</v>
      </c>
      <c r="AL2" s="32">
        <f>'FS Desroches Daily'!BR4</f>
        <v>3</v>
      </c>
      <c r="AM2" s="32">
        <f>'FS Desroches Daily'!BT4</f>
        <v>10.000000000019327</v>
      </c>
      <c r="AN2" s="32">
        <f>'FS Desroches Daily'!BV4</f>
        <v>11</v>
      </c>
      <c r="AO2" s="32">
        <f>'FS Desroches Daily'!BX4</f>
        <v>9.9999999999909051</v>
      </c>
      <c r="AP2" s="32">
        <f>'FS Desroches Daily'!BZ4</f>
        <v>12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14.299999999995634</v>
      </c>
      <c r="AU2" s="31">
        <f>'FS Desroches Daily'!CJ4</f>
        <v>195</v>
      </c>
      <c r="AV2" s="31">
        <f>'FS Desroches Daily'!CL4</f>
        <v>450.00000000004547</v>
      </c>
      <c r="AW2" s="31">
        <f>'FS Desroches Daily'!CM4</f>
        <v>14.399999999999864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3.6629999999999998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11</v>
      </c>
      <c r="D3" s="27">
        <v>2020</v>
      </c>
      <c r="E3" s="31">
        <f>'FS Desroches Daily'!D5</f>
        <v>1200.0000000000898</v>
      </c>
      <c r="F3" s="32">
        <f>'FS Desroches Daily'!F5</f>
        <v>599.99999999993395</v>
      </c>
      <c r="G3" s="31">
        <f>'FS Desroches Daily'!H5</f>
        <v>1800.0000000002458</v>
      </c>
      <c r="H3" s="32">
        <f>'FS Desroches Daily'!J5</f>
        <v>899.99999999990087</v>
      </c>
      <c r="I3" s="31">
        <f>'FS Desroches Daily'!L5</f>
        <v>1799.9999999998017</v>
      </c>
      <c r="J3" s="32">
        <f>'FS Desroches Daily'!N5</f>
        <v>499.99999999994492</v>
      </c>
      <c r="K3" s="13">
        <f>'FS Desroches Daily'!P5</f>
        <v>0</v>
      </c>
      <c r="L3" s="31">
        <f>'FS Desroches Daily'!R5</f>
        <v>3</v>
      </c>
      <c r="M3" s="31">
        <f>'FS Desroches Daily'!T5</f>
        <v>355.5</v>
      </c>
      <c r="N3" s="31">
        <f>'FS Desroches Daily'!V5</f>
        <v>143.90000000002328</v>
      </c>
      <c r="O3" s="31">
        <f>'FS Desroches Daily'!X6</f>
        <v>360.00000000001364</v>
      </c>
      <c r="P3" s="31">
        <f>'FS Desroches Daily'!Z5</f>
        <v>499.99999999972289</v>
      </c>
      <c r="Q3" s="31">
        <f>'FS Desroches Daily'!AB5</f>
        <v>129.99999999999545</v>
      </c>
      <c r="R3" s="31">
        <f>'FS Desroches Daily'!AD5</f>
        <v>150.00000000003411</v>
      </c>
      <c r="S3" s="31">
        <f>'FS Desroches Daily'!AF5</f>
        <v>149.99999999997726</v>
      </c>
      <c r="T3" s="31">
        <f>'FS Desroches Daily'!AH5</f>
        <v>1.0999999999999091</v>
      </c>
      <c r="U3" s="35">
        <f>'FS Desroches Daily'!AJ5</f>
        <v>239.99999999995225</v>
      </c>
      <c r="V3" s="35">
        <f>'FS Desroches Daily'!AL5</f>
        <v>159.99999999999659</v>
      </c>
      <c r="W3" s="35">
        <f>'FS Desroches Daily'!AN5</f>
        <v>200.00000000001705</v>
      </c>
      <c r="X3" s="35">
        <f>'FS Desroches Daily'!AP5</f>
        <v>140.00000000001478</v>
      </c>
      <c r="Y3" s="35">
        <f>'FS Desroches Daily'!AR5</f>
        <v>30.000000000001137</v>
      </c>
      <c r="Z3" s="35">
        <f>'FS Desroches Daily'!AT5</f>
        <v>39.99999999996362</v>
      </c>
      <c r="AA3" s="35">
        <f>'FS Desroches Daily'!AT5</f>
        <v>39.99999999996362</v>
      </c>
      <c r="AB3" s="35">
        <f>'FS Desroches Daily'!AV5</f>
        <v>30.000000000029559</v>
      </c>
      <c r="AC3" s="35">
        <f>'FS Desroches Daily'!AZ5</f>
        <v>30.000000000029559</v>
      </c>
      <c r="AD3" s="35">
        <f>'FS Desroches Daily'!BB5</f>
        <v>30.000000000029559</v>
      </c>
      <c r="AE3" s="35">
        <f>'FS Desroches Daily'!BD5</f>
        <v>19.99999999998181</v>
      </c>
      <c r="AF3" s="31">
        <f>'FS Desroches Daily'!BF5</f>
        <v>28</v>
      </c>
      <c r="AG3" s="32">
        <f>'FS Desroches Daily'!BH5</f>
        <v>10.000000000019327</v>
      </c>
      <c r="AH3" s="32">
        <f>'FS Desroches Daily'!BJ5</f>
        <v>10.000000000047748</v>
      </c>
      <c r="AI3" s="32">
        <f>'FS Desroches Daily'!BL5</f>
        <v>0</v>
      </c>
      <c r="AJ3" s="32">
        <f>'FS Desroches Daily'!BN5</f>
        <v>20.000000000010232</v>
      </c>
      <c r="AK3" s="32">
        <f>'FS Desroches Daily'!BP5</f>
        <v>19.99999999998181</v>
      </c>
      <c r="AL3" s="32">
        <f>'FS Desroches Daily'!BR5</f>
        <v>11</v>
      </c>
      <c r="AM3" s="32">
        <f>'FS Desroches Daily'!BT5</f>
        <v>9.9999999999909051</v>
      </c>
      <c r="AN3" s="32">
        <f>'FS Desroches Daily'!BV5</f>
        <v>29</v>
      </c>
      <c r="AO3" s="32">
        <f>'FS Desroches Daily'!BX5</f>
        <v>20.000000000010232</v>
      </c>
      <c r="AP3" s="32">
        <f>'FS Desroches Daily'!BZ5</f>
        <v>30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19.100000000005821</v>
      </c>
      <c r="AU3" s="31">
        <f>'FS Desroches Daily'!CJ5</f>
        <v>209</v>
      </c>
      <c r="AV3" s="31">
        <f>'FS Desroches Daily'!CL5</f>
        <v>509.99999999999091</v>
      </c>
      <c r="AW3" s="31">
        <f>'FS Desroches Daily'!CM5</f>
        <v>25.900000000000091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3.6629999999999998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11</v>
      </c>
      <c r="D4" s="27">
        <v>2020</v>
      </c>
      <c r="E4" s="31">
        <f>'FS Desroches Daily'!D6</f>
        <v>1200.0000000000898</v>
      </c>
      <c r="F4" s="32">
        <f>'FS Desroches Daily'!F6</f>
        <v>1299.9999999996348</v>
      </c>
      <c r="G4" s="31">
        <f>'FS Desroches Daily'!H6</f>
        <v>1799.9999999998017</v>
      </c>
      <c r="H4" s="32">
        <f>'FS Desroches Daily'!J6</f>
        <v>1100.000000000101</v>
      </c>
      <c r="I4" s="31">
        <f>'FS Desroches Daily'!L6</f>
        <v>1800.0000000002458</v>
      </c>
      <c r="J4" s="32">
        <f>'FS Desroches Daily'!N6</f>
        <v>1400.0000000000678</v>
      </c>
      <c r="K4" s="13">
        <f>'FS Desroches Daily'!P6</f>
        <v>1</v>
      </c>
      <c r="L4" s="31">
        <f>'FS Desroches Daily'!R6</f>
        <v>2</v>
      </c>
      <c r="M4" s="31">
        <f>'FS Desroches Daily'!T6</f>
        <v>317.09999999997672</v>
      </c>
      <c r="N4" s="31">
        <f>'FS Desroches Daily'!V6</f>
        <v>163.39999999996508</v>
      </c>
      <c r="O4" s="31">
        <f>'FS Desroches Daily'!X7</f>
        <v>129.99999999999545</v>
      </c>
      <c r="P4" s="31">
        <f>'FS Desroches Daily'!Z6</f>
        <v>700.00000000014495</v>
      </c>
      <c r="Q4" s="31">
        <f>'FS Desroches Daily'!AB6</f>
        <v>139.99999999998636</v>
      </c>
      <c r="R4" s="31">
        <f>'FS Desroches Daily'!AD6</f>
        <v>329.99999999998408</v>
      </c>
      <c r="S4" s="31">
        <f>'FS Desroches Daily'!AF6</f>
        <v>800.00000000001137</v>
      </c>
      <c r="T4" s="31">
        <f>'FS Desroches Daily'!AH6</f>
        <v>1.1000000000001364</v>
      </c>
      <c r="U4" s="35">
        <f>'FS Desroches Daily'!AJ6</f>
        <v>250</v>
      </c>
      <c r="V4" s="35">
        <f>'FS Desroches Daily'!AL6</f>
        <v>169.99999999998749</v>
      </c>
      <c r="W4" s="35">
        <f>'FS Desroches Daily'!AN6</f>
        <v>180.00000000000682</v>
      </c>
      <c r="X4" s="35">
        <f>'FS Desroches Daily'!AP6</f>
        <v>129.99999999999545</v>
      </c>
      <c r="Y4" s="35">
        <f>'FS Desroches Daily'!AR6</f>
        <v>40.000000000020464</v>
      </c>
      <c r="Z4" s="35">
        <f>'FS Desroches Daily'!AT6</f>
        <v>40.000000000020464</v>
      </c>
      <c r="AA4" s="35">
        <f>'FS Desroches Daily'!AT6</f>
        <v>40.000000000020464</v>
      </c>
      <c r="AB4" s="35">
        <f>'FS Desroches Daily'!AV6</f>
        <v>19.99999999998181</v>
      </c>
      <c r="AC4" s="35">
        <f>'FS Desroches Daily'!AZ6</f>
        <v>29.999999999972715</v>
      </c>
      <c r="AD4" s="35">
        <f>'FS Desroches Daily'!BB6</f>
        <v>19.99999999998181</v>
      </c>
      <c r="AE4" s="35">
        <f>'FS Desroches Daily'!BD6</f>
        <v>30.000000000001137</v>
      </c>
      <c r="AF4" s="31">
        <f>'FS Desroches Daily'!BF6</f>
        <v>22</v>
      </c>
      <c r="AG4" s="32">
        <f>'FS Desroches Daily'!BH6</f>
        <v>30.000000000001137</v>
      </c>
      <c r="AH4" s="32">
        <f>'FS Desroches Daily'!BJ6</f>
        <v>19.99999999998181</v>
      </c>
      <c r="AI4" s="32">
        <f>'FS Desroches Daily'!BL6</f>
        <v>30.000000000001137</v>
      </c>
      <c r="AJ4" s="32">
        <f>'FS Desroches Daily'!BN6</f>
        <v>30.000000000001137</v>
      </c>
      <c r="AK4" s="32">
        <f>'FS Desroches Daily'!BP6</f>
        <v>29.999999999972715</v>
      </c>
      <c r="AL4" s="32">
        <f>'FS Desroches Daily'!BR6</f>
        <v>21</v>
      </c>
      <c r="AM4" s="32">
        <f>'FS Desroches Daily'!BT6</f>
        <v>39.999999999992042</v>
      </c>
      <c r="AN4" s="32">
        <f>'FS Desroches Daily'!BV6</f>
        <v>28</v>
      </c>
      <c r="AO4" s="32">
        <f>'FS Desroches Daily'!BX6</f>
        <v>19.99999999998181</v>
      </c>
      <c r="AP4" s="32">
        <f>'FS Desroches Daily'!BZ6</f>
        <v>30</v>
      </c>
      <c r="AQ4" s="31">
        <f>'FS Desroches Daily'!CB6</f>
        <v>0</v>
      </c>
      <c r="AR4" s="31">
        <f>'FS Desroches Daily'!CD6</f>
        <v>0</v>
      </c>
      <c r="AS4" s="31">
        <f>'FS Desroches Daily'!CF6</f>
        <v>0</v>
      </c>
      <c r="AT4" s="31">
        <f>'FS Desroches Daily'!CH6</f>
        <v>16.399999999994179</v>
      </c>
      <c r="AU4" s="31">
        <f>'FS Desroches Daily'!CJ6</f>
        <v>211</v>
      </c>
      <c r="AV4" s="31">
        <f>'FS Desroches Daily'!CL6</f>
        <v>509.99999999999091</v>
      </c>
      <c r="AW4" s="31">
        <f>'FS Desroches Daily'!CM6</f>
        <v>29.099999999999909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11</v>
      </c>
      <c r="D5" s="27">
        <v>2020</v>
      </c>
      <c r="E5" s="31">
        <f>'FS Desroches Daily'!D7</f>
        <v>1900.0000000000127</v>
      </c>
      <c r="F5" s="32">
        <f>'FS Desroches Daily'!F7</f>
        <v>700.00000000014495</v>
      </c>
      <c r="G5" s="31">
        <f>'FS Desroches Daily'!H7</f>
        <v>1700.0000000000348</v>
      </c>
      <c r="H5" s="32">
        <f>'FS Desroches Daily'!J7</f>
        <v>899.99999999990087</v>
      </c>
      <c r="I5" s="31">
        <f>'FS Desroches Daily'!L7</f>
        <v>1799.9999999998017</v>
      </c>
      <c r="J5" s="32">
        <f>'FS Desroches Daily'!N7</f>
        <v>599.99999999993395</v>
      </c>
      <c r="K5" s="13">
        <f>'FS Desroches Daily'!P7</f>
        <v>1</v>
      </c>
      <c r="L5" s="31">
        <f>'FS Desroches Daily'!R7</f>
        <v>2</v>
      </c>
      <c r="M5" s="31">
        <f>'FS Desroches Daily'!T7</f>
        <v>216.80000000004657</v>
      </c>
      <c r="N5" s="31">
        <f>'FS Desroches Daily'!V7</f>
        <v>125.5</v>
      </c>
      <c r="O5" s="31">
        <f>'FS Desroches Daily'!X8</f>
        <v>109.9999999999568</v>
      </c>
      <c r="P5" s="31">
        <f>'FS Desroches Daily'!Z7</f>
        <v>337.81</v>
      </c>
      <c r="Q5" s="31">
        <f>'FS Desroches Daily'!AB7</f>
        <v>326.68</v>
      </c>
      <c r="R5" s="31">
        <f>'FS Desroches Daily'!AD7</f>
        <v>509.83</v>
      </c>
      <c r="S5" s="31">
        <f>'FS Desroches Daily'!AF7</f>
        <v>189.99999999999773</v>
      </c>
      <c r="T5" s="31">
        <f>'FS Desroches Daily'!AH7</f>
        <v>1.1999999999998181</v>
      </c>
      <c r="U5" s="35">
        <f>'FS Desroches Daily'!AJ7</f>
        <v>220.00000000002728</v>
      </c>
      <c r="V5" s="35">
        <f>'FS Desroches Daily'!AL7</f>
        <v>170.00000000001592</v>
      </c>
      <c r="W5" s="35">
        <f>'FS Desroches Daily'!AN7</f>
        <v>179.9999999999784</v>
      </c>
      <c r="X5" s="35">
        <f>'FS Desroches Daily'!AP7</f>
        <v>109.99999999998522</v>
      </c>
      <c r="Y5" s="35">
        <f>'FS Desroches Daily'!AR7</f>
        <v>169.99999999998749</v>
      </c>
      <c r="Z5" s="35">
        <f>'FS Desroches Daily'!AT7</f>
        <v>180.00000000000682</v>
      </c>
      <c r="AA5" s="35">
        <f>'FS Desroches Daily'!AT7</f>
        <v>180.00000000000682</v>
      </c>
      <c r="AB5" s="35">
        <f>'FS Desroches Daily'!AV7</f>
        <v>110.00000000001364</v>
      </c>
      <c r="AC5" s="35">
        <f>'FS Desroches Daily'!AZ7</f>
        <v>160.00000000002501</v>
      </c>
      <c r="AD5" s="35">
        <f>'FS Desroches Daily'!BB7</f>
        <v>150.00000000003411</v>
      </c>
      <c r="AE5" s="35">
        <f>'FS Desroches Daily'!BD7</f>
        <v>80.000000000012506</v>
      </c>
      <c r="AF5" s="31">
        <f>'FS Desroches Daily'!BF7</f>
        <v>27</v>
      </c>
      <c r="AG5" s="32">
        <f>'FS Desroches Daily'!BH7</f>
        <v>19.99999999998181</v>
      </c>
      <c r="AH5" s="32">
        <f>'FS Desroches Daily'!BJ7</f>
        <v>9.9999999999909051</v>
      </c>
      <c r="AI5" s="32">
        <f>'FS Desroches Daily'!BL7</f>
        <v>9.9999999999909051</v>
      </c>
      <c r="AJ5" s="32">
        <f>'FS Desroches Daily'!BN7</f>
        <v>19.99999999998181</v>
      </c>
      <c r="AK5" s="32">
        <f>'FS Desroches Daily'!BP7</f>
        <v>30.000000000029559</v>
      </c>
      <c r="AL5" s="32">
        <f>'FS Desroches Daily'!BR7</f>
        <v>14</v>
      </c>
      <c r="AM5" s="32">
        <f>'FS Desroches Daily'!BT7</f>
        <v>20.000000000010232</v>
      </c>
      <c r="AN5" s="32">
        <f>'FS Desroches Daily'!BV7</f>
        <v>31</v>
      </c>
      <c r="AO5" s="32">
        <f>'FS Desroches Daily'!BX7</f>
        <v>10.000000000019327</v>
      </c>
      <c r="AP5" s="32">
        <f>'FS Desroches Daily'!BZ7</f>
        <v>26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22</v>
      </c>
      <c r="AU5" s="31">
        <f>'FS Desroches Daily'!CJ7</f>
        <v>207</v>
      </c>
      <c r="AV5" s="31">
        <f>'FS Desroches Daily'!CL7</f>
        <v>550.00000000006821</v>
      </c>
      <c r="AW5" s="31">
        <f>'FS Desroches Daily'!CM7</f>
        <v>17.300000000000182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11</v>
      </c>
      <c r="D6" s="27">
        <v>2020</v>
      </c>
      <c r="E6" s="31">
        <f>'FS Desroches Daily'!D8</f>
        <v>1199.9999999998679</v>
      </c>
      <c r="F6" s="32">
        <f>'FS Desroches Daily'!F8</f>
        <v>700.00000000014495</v>
      </c>
      <c r="G6" s="31">
        <f>'FS Desroches Daily'!H8</f>
        <v>1700.0000000000348</v>
      </c>
      <c r="H6" s="32">
        <f>'FS Desroches Daily'!J8</f>
        <v>800.00000000013392</v>
      </c>
      <c r="I6" s="31">
        <f>'FS Desroches Daily'!L8</f>
        <v>1900.0000000000127</v>
      </c>
      <c r="J6" s="32">
        <f>'FS Desroches Daily'!N8</f>
        <v>499.99999999994492</v>
      </c>
      <c r="K6" s="13">
        <f>'FS Desroches Daily'!P8</f>
        <v>1</v>
      </c>
      <c r="L6" s="31">
        <f>'FS Desroches Daily'!R8</f>
        <v>2</v>
      </c>
      <c r="M6" s="31">
        <f>'FS Desroches Daily'!T8</f>
        <v>136.79999999993015</v>
      </c>
      <c r="N6" s="31">
        <f>'FS Desroches Daily'!V8</f>
        <v>88.100000000034925</v>
      </c>
      <c r="O6" s="31">
        <f>'FS Desroches Daily'!X8</f>
        <v>109.9999999999568</v>
      </c>
      <c r="P6" s="31">
        <f>'FS Desroches Daily'!Z8</f>
        <v>500.00000000016701</v>
      </c>
      <c r="Q6" s="31">
        <f>'FS Desroches Daily'!AB8</f>
        <v>139.99999999998636</v>
      </c>
      <c r="R6" s="31">
        <f>'FS Desroches Daily'!AD8</f>
        <v>129.99999999999545</v>
      </c>
      <c r="S6" s="31">
        <f>'FS Desroches Daily'!AF8</f>
        <v>150.00000000003411</v>
      </c>
      <c r="T6" s="31">
        <f>'FS Desroches Daily'!AH8</f>
        <v>1.1000000000001364</v>
      </c>
      <c r="U6" s="35">
        <f>'FS Desroches Daily'!AJ8</f>
        <v>230.00000000001819</v>
      </c>
      <c r="V6" s="35">
        <f>'FS Desroches Daily'!AL8</f>
        <v>150.00000000000568</v>
      </c>
      <c r="W6" s="35">
        <f>'FS Desroches Daily'!AN8</f>
        <v>129.99999999999545</v>
      </c>
      <c r="X6" s="35">
        <f>'FS Desroches Daily'!AP8</f>
        <v>120.00000000000455</v>
      </c>
      <c r="Y6" s="35">
        <f>'FS Desroches Daily'!AR8</f>
        <v>69.999999999993179</v>
      </c>
      <c r="Z6" s="35">
        <f>'FS Desroches Daily'!AT8</f>
        <v>79.999999999984084</v>
      </c>
      <c r="AA6" s="35">
        <f>'FS Desroches Daily'!AT8</f>
        <v>79.999999999984084</v>
      </c>
      <c r="AB6" s="35">
        <f>'FS Desroches Daily'!AV8</f>
        <v>50.000000000011369</v>
      </c>
      <c r="AC6" s="35">
        <f>'FS Desroches Daily'!AZ8</f>
        <v>50.000000000011369</v>
      </c>
      <c r="AD6" s="35">
        <f>'FS Desroches Daily'!BB8</f>
        <v>29.999999999972715</v>
      </c>
      <c r="AE6" s="35">
        <f>'FS Desroches Daily'!BD8</f>
        <v>9.9999999999909051</v>
      </c>
      <c r="AF6" s="31">
        <f>'FS Desroches Daily'!BF8</f>
        <v>25</v>
      </c>
      <c r="AG6" s="32">
        <f>'FS Desroches Daily'!BH8</f>
        <v>10.000000000019327</v>
      </c>
      <c r="AH6" s="32">
        <f>'FS Desroches Daily'!BJ8</f>
        <v>19.99999999998181</v>
      </c>
      <c r="AI6" s="32">
        <f>'FS Desroches Daily'!BL8</f>
        <v>0</v>
      </c>
      <c r="AJ6" s="32">
        <f>'FS Desroches Daily'!BN8</f>
        <v>20.000000000010232</v>
      </c>
      <c r="AK6" s="32">
        <f>'FS Desroches Daily'!BP8</f>
        <v>19.99999999998181</v>
      </c>
      <c r="AL6" s="32">
        <f>'FS Desroches Daily'!BR8</f>
        <v>12</v>
      </c>
      <c r="AM6" s="32">
        <f>'FS Desroches Daily'!BT8</f>
        <v>19.99999999998181</v>
      </c>
      <c r="AN6" s="32">
        <f>'FS Desroches Daily'!BV8</f>
        <v>31</v>
      </c>
      <c r="AO6" s="32">
        <f>'FS Desroches Daily'!BX8</f>
        <v>9.9999999999909051</v>
      </c>
      <c r="AP6" s="32">
        <f>'FS Desroches Daily'!BZ8</f>
        <v>27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51.900000000001455</v>
      </c>
      <c r="AU6" s="31">
        <f>'FS Desroches Daily'!CJ8</f>
        <v>215</v>
      </c>
      <c r="AV6" s="31">
        <f>'FS Desroches Daily'!CL8</f>
        <v>539.99999999996362</v>
      </c>
      <c r="AW6" s="31">
        <f>'FS Desroches Daily'!CM8</f>
        <v>16.599999999999909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5.4944999999999995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11</v>
      </c>
      <c r="D7" s="27">
        <v>2020</v>
      </c>
      <c r="E7" s="31">
        <f>'FS Desroches Daily'!D9</f>
        <v>1100.000000000101</v>
      </c>
      <c r="F7" s="32">
        <f>'FS Desroches Daily'!F9</f>
        <v>700.00000000014495</v>
      </c>
      <c r="G7" s="31">
        <f>'FS Desroches Daily'!H9</f>
        <v>1500.0000000000568</v>
      </c>
      <c r="H7" s="32">
        <f>'FS Desroches Daily'!J9</f>
        <v>899.99999999990087</v>
      </c>
      <c r="I7" s="31">
        <f>'FS Desroches Daily'!L9</f>
        <v>1900.0000000000127</v>
      </c>
      <c r="J7" s="32">
        <f>'FS Desroches Daily'!N9</f>
        <v>700.00000000014495</v>
      </c>
      <c r="K7" s="13">
        <f>'FS Desroches Daily'!P9</f>
        <v>1</v>
      </c>
      <c r="L7" s="31">
        <f>'FS Desroches Daily'!R9</f>
        <v>4</v>
      </c>
      <c r="M7" s="31">
        <f>'FS Desroches Daily'!T9</f>
        <v>224.40000000002328</v>
      </c>
      <c r="N7" s="31">
        <f>'FS Desroches Daily'!V9</f>
        <v>134.79999999998836</v>
      </c>
      <c r="O7" s="31">
        <f>'FS Desroches Daily'!X9</f>
        <v>110.00000000001364</v>
      </c>
      <c r="P7" s="31">
        <f>'FS Desroches Daily'!Z9</f>
        <v>499.99999999972289</v>
      </c>
      <c r="Q7" s="31">
        <f>'FS Desroches Daily'!AB9</f>
        <v>129.99999999999545</v>
      </c>
      <c r="R7" s="31">
        <f>'FS Desroches Daily'!AD9</f>
        <v>170.00000000001592</v>
      </c>
      <c r="S7" s="31">
        <f>'FS Desroches Daily'!AF9</f>
        <v>269.99999999998181</v>
      </c>
      <c r="T7" s="31">
        <f>'FS Desroches Daily'!AH9</f>
        <v>1.0999999999999091</v>
      </c>
      <c r="U7" s="35">
        <f>'FS Desroches Daily'!AJ9</f>
        <v>239.99999999995225</v>
      </c>
      <c r="V7" s="35">
        <f>'FS Desroches Daily'!AL9</f>
        <v>159.99999999999659</v>
      </c>
      <c r="W7" s="35">
        <f>'FS Desroches Daily'!AN9</f>
        <v>140.00000000001478</v>
      </c>
      <c r="X7" s="35">
        <f>'FS Desroches Daily'!AP9</f>
        <v>129.99999999999545</v>
      </c>
      <c r="Y7" s="35">
        <f>'FS Desroches Daily'!AR9</f>
        <v>30.000000000001137</v>
      </c>
      <c r="Z7" s="35">
        <f>'FS Desroches Daily'!AT9</f>
        <v>30.000000000029559</v>
      </c>
      <c r="AA7" s="35">
        <f>'FS Desroches Daily'!AT9</f>
        <v>30.000000000029559</v>
      </c>
      <c r="AB7" s="35">
        <f>'FS Desroches Daily'!AV9</f>
        <v>29.999999999972715</v>
      </c>
      <c r="AC7" s="35">
        <f>'FS Desroches Daily'!AZ9</f>
        <v>29.999999999972715</v>
      </c>
      <c r="AD7" s="35">
        <f>'FS Desroches Daily'!BB9</f>
        <v>19.99999999998181</v>
      </c>
      <c r="AE7" s="35">
        <f>'FS Desroches Daily'!BD9</f>
        <v>20.000000000010232</v>
      </c>
      <c r="AF7" s="31">
        <f>'FS Desroches Daily'!BF9</f>
        <v>26</v>
      </c>
      <c r="AG7" s="32">
        <f>'FS Desroches Daily'!BH9</f>
        <v>9.9999999999909051</v>
      </c>
      <c r="AH7" s="32">
        <f>'FS Desroches Daily'!BJ9</f>
        <v>10.000000000047748</v>
      </c>
      <c r="AI7" s="32">
        <f>'FS Desroches Daily'!BL9</f>
        <v>9.9999999999909051</v>
      </c>
      <c r="AJ7" s="32">
        <f>'FS Desroches Daily'!BN9</f>
        <v>9.9999999999909051</v>
      </c>
      <c r="AK7" s="32">
        <f>'FS Desroches Daily'!BP9</f>
        <v>30.000000000029559</v>
      </c>
      <c r="AL7" s="32">
        <f>'FS Desroches Daily'!BR9</f>
        <v>15</v>
      </c>
      <c r="AM7" s="32">
        <f>'FS Desroches Daily'!BT9</f>
        <v>10.000000000019327</v>
      </c>
      <c r="AN7" s="32">
        <f>'FS Desroches Daily'!BV9</f>
        <v>32</v>
      </c>
      <c r="AO7" s="32">
        <f>'FS Desroches Daily'!BX9</f>
        <v>9.9999999999909051</v>
      </c>
      <c r="AP7" s="32">
        <f>'FS Desroches Daily'!BZ9</f>
        <v>32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20.700000000004366</v>
      </c>
      <c r="AU7" s="31">
        <f>'FS Desroches Daily'!CJ9</f>
        <v>210</v>
      </c>
      <c r="AV7" s="31">
        <f>'FS Desroches Daily'!CL9</f>
        <v>409.99999999996817</v>
      </c>
      <c r="AW7" s="31">
        <f>'FS Desroches Daily'!CM9</f>
        <v>15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5.4944999999999995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11</v>
      </c>
      <c r="D8" s="27">
        <v>2020</v>
      </c>
      <c r="E8" s="31">
        <f>'FS Desroches Daily'!D10</f>
        <v>899.99999999990087</v>
      </c>
      <c r="F8" s="32">
        <f>'FS Desroches Daily'!F10</f>
        <v>499.99999999972289</v>
      </c>
      <c r="G8" s="31">
        <f>'FS Desroches Daily'!H10</f>
        <v>1399.9999999998458</v>
      </c>
      <c r="H8" s="32">
        <f>'FS Desroches Daily'!J10</f>
        <v>700.00000000014495</v>
      </c>
      <c r="I8" s="31">
        <f>'FS Desroches Daily'!L10</f>
        <v>1700.0000000000348</v>
      </c>
      <c r="J8" s="32">
        <f>'FS Desroches Daily'!N10</f>
        <v>499.99999999994492</v>
      </c>
      <c r="K8" s="13">
        <f>'FS Desroches Daily'!P10</f>
        <v>1</v>
      </c>
      <c r="L8" s="31">
        <f>'FS Desroches Daily'!R10</f>
        <v>4</v>
      </c>
      <c r="M8" s="31">
        <f>'FS Desroches Daily'!T10</f>
        <v>40</v>
      </c>
      <c r="N8" s="31">
        <f>'FS Desroches Daily'!V10</f>
        <v>102</v>
      </c>
      <c r="O8" s="31">
        <f>'FS Desroches Daily'!X10</f>
        <v>69.999999999993179</v>
      </c>
      <c r="P8" s="31">
        <f>'FS Desroches Daily'!Z10</f>
        <v>300.000000000189</v>
      </c>
      <c r="Q8" s="31">
        <f>'FS Desroches Daily'!AB10</f>
        <v>100.00000000002274</v>
      </c>
      <c r="R8" s="31">
        <f>'FS Desroches Daily'!AD10</f>
        <v>120.00000000000455</v>
      </c>
      <c r="S8" s="31">
        <f>'FS Desroches Daily'!AF10</f>
        <v>160.00000000002501</v>
      </c>
      <c r="T8" s="31">
        <f>'FS Desroches Daily'!AH10</f>
        <v>0.90000000000009095</v>
      </c>
      <c r="U8" s="35">
        <f>'FS Desroches Daily'!AJ10</f>
        <v>230.00000000001819</v>
      </c>
      <c r="V8" s="35">
        <f>'FS Desroches Daily'!AL10</f>
        <v>109.99999999998522</v>
      </c>
      <c r="W8" s="35">
        <f>'FS Desroches Daily'!AN10</f>
        <v>120.00000000000455</v>
      </c>
      <c r="X8" s="35">
        <f>'FS Desroches Daily'!AP10</f>
        <v>90.000000000003411</v>
      </c>
      <c r="Y8" s="35">
        <f>'FS Desroches Daily'!AR10</f>
        <v>20.000000000010232</v>
      </c>
      <c r="Z8" s="35">
        <f>'FS Desroches Daily'!AT10</f>
        <v>29.999999999972715</v>
      </c>
      <c r="AA8" s="35">
        <f>'FS Desroches Daily'!AT10</f>
        <v>29.999999999972715</v>
      </c>
      <c r="AB8" s="35">
        <f>'FS Desroches Daily'!AV10</f>
        <v>19.99999999998181</v>
      </c>
      <c r="AC8" s="35">
        <f>'FS Desroches Daily'!AZ10</f>
        <v>79.999999999984084</v>
      </c>
      <c r="AD8" s="35">
        <f>'FS Desroches Daily'!BB10</f>
        <v>30.000000000029559</v>
      </c>
      <c r="AE8" s="35">
        <f>'FS Desroches Daily'!BD10</f>
        <v>19.99999999998181</v>
      </c>
      <c r="AF8" s="31">
        <f>'FS Desroches Daily'!BF10</f>
        <v>28</v>
      </c>
      <c r="AG8" s="32">
        <f>'FS Desroches Daily'!BH10</f>
        <v>9.9999999999909051</v>
      </c>
      <c r="AH8" s="32">
        <f>'FS Desroches Daily'!BJ10</f>
        <v>9.9999999999909051</v>
      </c>
      <c r="AI8" s="32">
        <f>'FS Desroches Daily'!BL10</f>
        <v>0</v>
      </c>
      <c r="AJ8" s="32">
        <f>'FS Desroches Daily'!BN10</f>
        <v>20.000000000010232</v>
      </c>
      <c r="AK8" s="32">
        <f>'FS Desroches Daily'!BP10</f>
        <v>9.9999999999909051</v>
      </c>
      <c r="AL8" s="32">
        <f>'FS Desroches Daily'!BR10</f>
        <v>14</v>
      </c>
      <c r="AM8" s="32">
        <f>'FS Desroches Daily'!BT10</f>
        <v>9.9999999999909051</v>
      </c>
      <c r="AN8" s="32">
        <f>'FS Desroches Daily'!BV10</f>
        <v>23</v>
      </c>
      <c r="AO8" s="32">
        <f>'FS Desroches Daily'!BX10</f>
        <v>10.000000000019327</v>
      </c>
      <c r="AP8" s="32">
        <f>'FS Desroches Daily'!BZ10</f>
        <v>18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16.099999999998545</v>
      </c>
      <c r="AU8" s="31">
        <f>'FS Desroches Daily'!CJ10</f>
        <v>195</v>
      </c>
      <c r="AV8" s="31">
        <f>'FS Desroches Daily'!CL10</f>
        <v>470.00000000002728</v>
      </c>
      <c r="AW8" s="31">
        <f>'FS Desroches Daily'!CM10</f>
        <v>17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3.6629999999999998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11</v>
      </c>
      <c r="D9" s="27">
        <v>2020</v>
      </c>
      <c r="E9" s="31">
        <f>'FS Desroches Daily'!D11</f>
        <v>900.0000000001229</v>
      </c>
      <c r="F9" s="32">
        <f>'FS Desroches Daily'!F11</f>
        <v>500.00000000016701</v>
      </c>
      <c r="G9" s="31">
        <f>'FS Desroches Daily'!H11</f>
        <v>1399.9999999998458</v>
      </c>
      <c r="H9" s="32">
        <f>'FS Desroches Daily'!J11</f>
        <v>799.99999999991189</v>
      </c>
      <c r="I9" s="31">
        <f>'FS Desroches Daily'!L11</f>
        <v>1900.0000000000127</v>
      </c>
      <c r="J9" s="32">
        <f>'FS Desroches Daily'!N11</f>
        <v>399.99999999995595</v>
      </c>
      <c r="K9" s="13">
        <f>'FS Desroches Daily'!P11</f>
        <v>1</v>
      </c>
      <c r="L9" s="31">
        <f>'FS Desroches Daily'!R11</f>
        <v>3</v>
      </c>
      <c r="M9" s="31">
        <f>'FS Desroches Daily'!T11</f>
        <v>61.199999999953434</v>
      </c>
      <c r="N9" s="31" t="str">
        <f>'FS Desroches Daily'!V11</f>
        <v/>
      </c>
      <c r="O9" s="31">
        <f>'FS Desroches Daily'!X11</f>
        <v>80.000000000040927</v>
      </c>
      <c r="P9" s="31">
        <f>'FS Desroches Daily'!Z11</f>
        <v>399.99999999995595</v>
      </c>
      <c r="Q9" s="31">
        <f>'FS Desroches Daily'!AB11</f>
        <v>79.999999999984084</v>
      </c>
      <c r="R9" s="31">
        <f>'FS Desroches Daily'!AD11</f>
        <v>120.00000000000455</v>
      </c>
      <c r="S9" s="31">
        <f>'FS Desroches Daily'!AF11</f>
        <v>129.99999999999545</v>
      </c>
      <c r="T9" s="31">
        <f>'FS Desroches Daily'!AH11</f>
        <v>1</v>
      </c>
      <c r="U9" s="35">
        <f>'FS Desroches Daily'!AJ11</f>
        <v>240.00000000000909</v>
      </c>
      <c r="V9" s="35">
        <f>'FS Desroches Daily'!AL11</f>
        <v>100.00000000002274</v>
      </c>
      <c r="W9" s="35">
        <f>'FS Desroches Daily'!AN11</f>
        <v>129.99999999999545</v>
      </c>
      <c r="X9" s="35">
        <f>'FS Desroches Daily'!AP11</f>
        <v>90.000000000003411</v>
      </c>
      <c r="Y9" s="35">
        <f>'FS Desroches Daily'!AR11</f>
        <v>79.999999999984084</v>
      </c>
      <c r="Z9" s="35">
        <f>'FS Desroches Daily'!AT11</f>
        <v>19.99999999998181</v>
      </c>
      <c r="AA9" s="35">
        <f>'FS Desroches Daily'!AT11</f>
        <v>19.99999999998181</v>
      </c>
      <c r="AB9" s="35">
        <f>'FS Desroches Daily'!AV11</f>
        <v>20.000000000038654</v>
      </c>
      <c r="AC9" s="35" t="str">
        <f>'FS Desroches Daily'!AZ11</f>
        <v/>
      </c>
      <c r="AD9" s="35">
        <f>'FS Desroches Daily'!BB11</f>
        <v>19.99999999998181</v>
      </c>
      <c r="AE9" s="35">
        <f>'FS Desroches Daily'!BD11</f>
        <v>10.000000000019327</v>
      </c>
      <c r="AF9" s="31">
        <f>'FS Desroches Daily'!BF11</f>
        <v>25</v>
      </c>
      <c r="AG9" s="32">
        <f>'FS Desroches Daily'!BH11</f>
        <v>0</v>
      </c>
      <c r="AH9" s="32">
        <f>'FS Desroches Daily'!BJ11</f>
        <v>9.9999999999909051</v>
      </c>
      <c r="AI9" s="32">
        <f>'FS Desroches Daily'!BL11</f>
        <v>0</v>
      </c>
      <c r="AJ9" s="32">
        <f>'FS Desroches Daily'!BN11</f>
        <v>9.9999999999909051</v>
      </c>
      <c r="AK9" s="32">
        <f>'FS Desroches Daily'!BP11</f>
        <v>9.9999999999909051</v>
      </c>
      <c r="AL9" s="32">
        <f>'FS Desroches Daily'!BR11</f>
        <v>15</v>
      </c>
      <c r="AM9" s="32">
        <f>'FS Desroches Daily'!BT11</f>
        <v>9.9999999999909051</v>
      </c>
      <c r="AN9" s="32">
        <f>'FS Desroches Daily'!BV11</f>
        <v>23</v>
      </c>
      <c r="AO9" s="32">
        <f>'FS Desroches Daily'!BX11</f>
        <v>19.99999999998181</v>
      </c>
      <c r="AP9" s="32">
        <f>'FS Desroches Daily'!BZ11</f>
        <v>22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19.400000000001455</v>
      </c>
      <c r="AU9" s="31">
        <f>'FS Desroches Daily'!CJ11</f>
        <v>203</v>
      </c>
      <c r="AV9" s="31">
        <f>'FS Desroches Daily'!CL11</f>
        <v>389.99999999998636</v>
      </c>
      <c r="AW9" s="31">
        <f>'FS Desroches Daily'!CM11</f>
        <v>12.5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7.3259999999999996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11</v>
      </c>
      <c r="D10" s="27">
        <v>2020</v>
      </c>
      <c r="E10" s="31">
        <f>'FS Desroches Daily'!D12</f>
        <v>1099.9999999998788</v>
      </c>
      <c r="F10" s="32">
        <f>'FS Desroches Daily'!F12</f>
        <v>699.99999999970089</v>
      </c>
      <c r="G10" s="31">
        <f>'FS Desroches Daily'!H12</f>
        <v>1500.0000000000568</v>
      </c>
      <c r="H10" s="32">
        <f>'FS Desroches Daily'!J12</f>
        <v>799.99999999991189</v>
      </c>
      <c r="I10" s="31">
        <f>'FS Desroches Daily'!L12</f>
        <v>1900.0000000000127</v>
      </c>
      <c r="J10" s="32">
        <f>'FS Desroches Daily'!N12</f>
        <v>699.99999999992292</v>
      </c>
      <c r="K10" s="13">
        <f>'FS Desroches Daily'!P12</f>
        <v>1</v>
      </c>
      <c r="L10" s="31">
        <f>'FS Desroches Daily'!R12</f>
        <v>3</v>
      </c>
      <c r="M10" s="31">
        <f>'FS Desroches Daily'!T12</f>
        <v>165.60000000009313</v>
      </c>
      <c r="N10" s="31">
        <f>'FS Desroches Daily'!V12</f>
        <v>116.90000000002328</v>
      </c>
      <c r="O10" s="31">
        <f>'FS Desroches Daily'!X12</f>
        <v>89.999999999974989</v>
      </c>
      <c r="P10" s="31">
        <f>'FS Desroches Daily'!Z12</f>
        <v>500.00000000016701</v>
      </c>
      <c r="Q10" s="31">
        <f>'FS Desroches Daily'!AB12</f>
        <v>120.00000000000455</v>
      </c>
      <c r="R10" s="31">
        <f>'FS Desroches Daily'!AD12</f>
        <v>159.99999999996817</v>
      </c>
      <c r="S10" s="31">
        <f>'FS Desroches Daily'!AF12</f>
        <v>259.99999999999091</v>
      </c>
      <c r="T10" s="31">
        <f>'FS Desroches Daily'!AH12</f>
        <v>1.2000000000000455</v>
      </c>
      <c r="U10" s="35">
        <f>'FS Desroches Daily'!AJ12</f>
        <v>250</v>
      </c>
      <c r="V10" s="35">
        <f>'FS Desroches Daily'!AL12</f>
        <v>179.9999999999784</v>
      </c>
      <c r="W10" s="35">
        <f>'FS Desroches Daily'!AN12</f>
        <v>169.99999999998749</v>
      </c>
      <c r="X10" s="35">
        <f>'FS Desroches Daily'!AP12</f>
        <v>120.00000000000455</v>
      </c>
      <c r="Y10" s="35" t="str">
        <f>'FS Desroches Daily'!AR12</f>
        <v/>
      </c>
      <c r="Z10" s="35">
        <f>'FS Desroches Daily'!AT12</f>
        <v>40.000000000020464</v>
      </c>
      <c r="AA10" s="35">
        <f>'FS Desroches Daily'!AT12</f>
        <v>40.000000000020464</v>
      </c>
      <c r="AB10" s="35">
        <f>'FS Desroches Daily'!AV12</f>
        <v>29.999999999972715</v>
      </c>
      <c r="AC10" s="35">
        <f>'FS Desroches Daily'!AZ12</f>
        <v>19.99999999998181</v>
      </c>
      <c r="AD10" s="35">
        <f>'FS Desroches Daily'!BB12</f>
        <v>30.000000000029559</v>
      </c>
      <c r="AE10" s="35">
        <f>'FS Desroches Daily'!BD12</f>
        <v>19.99999999998181</v>
      </c>
      <c r="AF10" s="31">
        <f>'FS Desroches Daily'!BF12</f>
        <v>26</v>
      </c>
      <c r="AG10" s="32">
        <f>'FS Desroches Daily'!BH12</f>
        <v>10.000000000019327</v>
      </c>
      <c r="AH10" s="32">
        <f>'FS Desroches Daily'!BJ12</f>
        <v>9.9999999999909051</v>
      </c>
      <c r="AI10" s="32">
        <f>'FS Desroches Daily'!BL12</f>
        <v>10.000000000019327</v>
      </c>
      <c r="AJ10" s="32">
        <f>'FS Desroches Daily'!BN12</f>
        <v>20.000000000010232</v>
      </c>
      <c r="AK10" s="32">
        <f>'FS Desroches Daily'!BP12</f>
        <v>30.000000000029559</v>
      </c>
      <c r="AL10" s="32">
        <f>'FS Desroches Daily'!BR12</f>
        <v>16</v>
      </c>
      <c r="AM10" s="32">
        <f>'FS Desroches Daily'!BT12</f>
        <v>20.000000000010232</v>
      </c>
      <c r="AN10" s="32">
        <f>'FS Desroches Daily'!BV12</f>
        <v>31</v>
      </c>
      <c r="AO10" s="32">
        <f>'FS Desroches Daily'!BX12</f>
        <v>10.000000000019327</v>
      </c>
      <c r="AP10" s="32">
        <f>'FS Desroches Daily'!BZ12</f>
        <v>26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16.799999999995634</v>
      </c>
      <c r="AU10" s="31">
        <f>'FS Desroches Daily'!CJ12</f>
        <v>215</v>
      </c>
      <c r="AV10" s="31">
        <f>'FS Desroches Daily'!CL12</f>
        <v>450.00000000004547</v>
      </c>
      <c r="AW10" s="31">
        <f>'FS Desroches Daily'!CM12</f>
        <v>20.700000000000045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5.4944999999999995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11</v>
      </c>
      <c r="D11" s="27">
        <v>2020</v>
      </c>
      <c r="E11" s="31">
        <f>'FS Desroches Daily'!D13</f>
        <v>1100.000000000101</v>
      </c>
      <c r="F11" s="32">
        <f>'FS Desroches Daily'!F13</f>
        <v>600.00000000037801</v>
      </c>
      <c r="G11" s="31">
        <f>'FS Desroches Daily'!H13</f>
        <v>1600.0000000002678</v>
      </c>
      <c r="H11" s="32">
        <f>'FS Desroches Daily'!J13</f>
        <v>800.00000000013392</v>
      </c>
      <c r="I11" s="31">
        <f>'FS Desroches Daily'!L13</f>
        <v>2099.9999999999909</v>
      </c>
      <c r="J11" s="32">
        <f>'FS Desroches Daily'!N13</f>
        <v>500.00000000016701</v>
      </c>
      <c r="K11" s="13">
        <f>'FS Desroches Daily'!P13</f>
        <v>0</v>
      </c>
      <c r="L11" s="31">
        <f>'FS Desroches Daily'!R13</f>
        <v>2</v>
      </c>
      <c r="M11" s="31">
        <f>'FS Desroches Daily'!T13</f>
        <v>160.39999999990687</v>
      </c>
      <c r="N11" s="31">
        <f>'FS Desroches Daily'!V13</f>
        <v>108.29999999998836</v>
      </c>
      <c r="O11" s="31">
        <f>'FS Desroches Daily'!X13</f>
        <v>79.999999999984084</v>
      </c>
      <c r="P11" s="31">
        <f>'FS Desroches Daily'!Z13</f>
        <v>399.99999999995595</v>
      </c>
      <c r="Q11" s="31">
        <f>'FS Desroches Daily'!AB13</f>
        <v>120.00000000000455</v>
      </c>
      <c r="R11" s="31">
        <f>'FS Desroches Daily'!AD13</f>
        <v>139.99999999998636</v>
      </c>
      <c r="S11" s="31">
        <f>'FS Desroches Daily'!AF13</f>
        <v>189.99999999999773</v>
      </c>
      <c r="T11" s="31">
        <f>'FS Desroches Daily'!AH13</f>
        <v>1.0999999999999091</v>
      </c>
      <c r="U11" s="35">
        <f>'FS Desroches Daily'!AJ13</f>
        <v>240.00000000000909</v>
      </c>
      <c r="V11" s="35">
        <f>'FS Desroches Daily'!AL13</f>
        <v>129.99999999999545</v>
      </c>
      <c r="W11" s="35">
        <f>'FS Desroches Daily'!AN13</f>
        <v>150.00000000000568</v>
      </c>
      <c r="X11" s="35">
        <f>'FS Desroches Daily'!AP13</f>
        <v>139.99999999998636</v>
      </c>
      <c r="Y11" s="35">
        <f>'FS Desroches Daily'!AR13</f>
        <v>20.000000000010232</v>
      </c>
      <c r="Z11" s="35">
        <f>'FS Desroches Daily'!AT13</f>
        <v>30.000000000029559</v>
      </c>
      <c r="AA11" s="35">
        <f>'FS Desroches Daily'!AT13</f>
        <v>30.000000000029559</v>
      </c>
      <c r="AB11" s="35">
        <f>'FS Desroches Daily'!AV13</f>
        <v>30.000000000029559</v>
      </c>
      <c r="AC11" s="35">
        <f>'FS Desroches Daily'!AZ13</f>
        <v>30.000000000029559</v>
      </c>
      <c r="AD11" s="35">
        <f>'FS Desroches Daily'!BB13</f>
        <v>29.999999999972715</v>
      </c>
      <c r="AE11" s="35">
        <f>'FS Desroches Daily'!BD13</f>
        <v>10.000000000019327</v>
      </c>
      <c r="AF11" s="31">
        <f>'FS Desroches Daily'!BF13</f>
        <v>26</v>
      </c>
      <c r="AG11" s="32">
        <f>'FS Desroches Daily'!BH13</f>
        <v>9.9999999999909051</v>
      </c>
      <c r="AH11" s="32">
        <f>'FS Desroches Daily'!BJ13</f>
        <v>9.9999999999909051</v>
      </c>
      <c r="AI11" s="32">
        <f>'FS Desroches Daily'!BL13</f>
        <v>0</v>
      </c>
      <c r="AJ11" s="32">
        <f>'FS Desroches Daily'!BN13</f>
        <v>9.9999999999909051</v>
      </c>
      <c r="AK11" s="32">
        <f>'FS Desroches Daily'!BP13</f>
        <v>19.99999999998181</v>
      </c>
      <c r="AL11" s="32">
        <f>'FS Desroches Daily'!BR13</f>
        <v>13</v>
      </c>
      <c r="AM11" s="32">
        <f>'FS Desroches Daily'!BT13</f>
        <v>9.9999999999909051</v>
      </c>
      <c r="AN11" s="32">
        <f>'FS Desroches Daily'!BV13</f>
        <v>27</v>
      </c>
      <c r="AO11" s="32">
        <f>'FS Desroches Daily'!BX13</f>
        <v>9.9999999999909051</v>
      </c>
      <c r="AP11" s="32">
        <f>'FS Desroches Daily'!BZ13</f>
        <v>24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23</v>
      </c>
      <c r="AU11" s="31">
        <f>'FS Desroches Daily'!CJ13</f>
        <v>217</v>
      </c>
      <c r="AV11" s="31">
        <f>'FS Desroches Daily'!CL13</f>
        <v>429.99999999994998</v>
      </c>
      <c r="AW11" s="31">
        <f>'FS Desroches Daily'!CM13</f>
        <v>20.5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5.4944999999999995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11</v>
      </c>
      <c r="D12" s="27">
        <v>2020</v>
      </c>
      <c r="E12" s="31">
        <f>'FS Desroches Daily'!D14</f>
        <v>1099.9999999998788</v>
      </c>
      <c r="F12" s="32">
        <f>'FS Desroches Daily'!F14</f>
        <v>599.99999999993395</v>
      </c>
      <c r="G12" s="31">
        <f>'FS Desroches Daily'!H14</f>
        <v>1500.0000000000568</v>
      </c>
      <c r="H12" s="32">
        <f>'FS Desroches Daily'!J14</f>
        <v>799.99999999991189</v>
      </c>
      <c r="I12" s="31">
        <f>'FS Desroches Daily'!L14</f>
        <v>1999.9999999997797</v>
      </c>
      <c r="J12" s="32">
        <f>'FS Desroches Daily'!N14</f>
        <v>599.99999999993395</v>
      </c>
      <c r="K12" s="13">
        <f>'FS Desroches Daily'!P14</f>
        <v>1</v>
      </c>
      <c r="L12" s="31">
        <f>'FS Desroches Daily'!R14</f>
        <v>2</v>
      </c>
      <c r="M12" s="31">
        <f>'FS Desroches Daily'!T14</f>
        <v>234</v>
      </c>
      <c r="N12" s="31">
        <f>'FS Desroches Daily'!V14</f>
        <v>147.40000000002328</v>
      </c>
      <c r="O12" s="31">
        <f>'FS Desroches Daily'!X14</f>
        <v>90.000000000031832</v>
      </c>
      <c r="P12" s="31">
        <f>'FS Desroches Daily'!Z14</f>
        <v>499.99999999972289</v>
      </c>
      <c r="Q12" s="31">
        <f>'FS Desroches Daily'!AB14</f>
        <v>120.00000000000455</v>
      </c>
      <c r="R12" s="31">
        <f>'FS Desroches Daily'!AD14</f>
        <v>150.00000000003411</v>
      </c>
      <c r="S12" s="31">
        <f>'FS Desroches Daily'!AF14</f>
        <v>170.00000000001592</v>
      </c>
      <c r="T12" s="31">
        <f>'FS Desroches Daily'!AH14</f>
        <v>1.0999999999999091</v>
      </c>
      <c r="U12" s="35">
        <f>'FS Desroches Daily'!AJ14</f>
        <v>219.99999999997044</v>
      </c>
      <c r="V12" s="35">
        <f>'FS Desroches Daily'!AL14</f>
        <v>170.00000000001592</v>
      </c>
      <c r="W12" s="35">
        <f>'FS Desroches Daily'!AN14</f>
        <v>180.00000000000682</v>
      </c>
      <c r="X12" s="35">
        <f>'FS Desroches Daily'!AP14</f>
        <v>160.00000000002501</v>
      </c>
      <c r="Y12" s="35">
        <f>'FS Desroches Daily'!AR14</f>
        <v>30.000000000001137</v>
      </c>
      <c r="Z12" s="35">
        <f>'FS Desroches Daily'!AT14</f>
        <v>39.99999999996362</v>
      </c>
      <c r="AA12" s="35">
        <f>'FS Desroches Daily'!AT14</f>
        <v>39.99999999996362</v>
      </c>
      <c r="AB12" s="35">
        <f>'FS Desroches Daily'!AV14</f>
        <v>29.999999999972715</v>
      </c>
      <c r="AC12" s="35">
        <f>'FS Desroches Daily'!AZ14</f>
        <v>29.999999999972715</v>
      </c>
      <c r="AD12" s="35">
        <f>'FS Desroches Daily'!BB14</f>
        <v>20.000000000038654</v>
      </c>
      <c r="AE12" s="35">
        <f>'FS Desroches Daily'!BD14</f>
        <v>19.99999999998181</v>
      </c>
      <c r="AF12" s="31">
        <f>'FS Desroches Daily'!BF14</f>
        <v>30</v>
      </c>
      <c r="AG12" s="32">
        <f>'FS Desroches Daily'!BH14</f>
        <v>9.9999999999909051</v>
      </c>
      <c r="AH12" s="32">
        <f>'FS Desroches Daily'!BJ14</f>
        <v>9.9999999999909051</v>
      </c>
      <c r="AI12" s="32">
        <f>'FS Desroches Daily'!BL14</f>
        <v>9.9999999999909051</v>
      </c>
      <c r="AJ12" s="32">
        <f>'FS Desroches Daily'!BN14</f>
        <v>9.9999999999909051</v>
      </c>
      <c r="AK12" s="32">
        <f>'FS Desroches Daily'!BP14</f>
        <v>19.99999999998181</v>
      </c>
      <c r="AL12" s="32">
        <f>'FS Desroches Daily'!BR14</f>
        <v>3</v>
      </c>
      <c r="AM12" s="32">
        <f>'FS Desroches Daily'!BT14</f>
        <v>10.000000000019327</v>
      </c>
      <c r="AN12" s="32">
        <f>'FS Desroches Daily'!BV14</f>
        <v>26</v>
      </c>
      <c r="AO12" s="32">
        <f>'FS Desroches Daily'!BX14</f>
        <v>9.9999999999909051</v>
      </c>
      <c r="AP12" s="32">
        <f>'FS Desroches Daily'!BZ14</f>
        <v>28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17.599999999998545</v>
      </c>
      <c r="AU12" s="31">
        <f>'FS Desroches Daily'!CJ14</f>
        <v>207</v>
      </c>
      <c r="AV12" s="31">
        <f>'FS Desroches Daily'!CL14</f>
        <v>399.99999999997726</v>
      </c>
      <c r="AW12" s="31">
        <f>'FS Desroches Daily'!CM14</f>
        <v>18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9.1574999999999989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11</v>
      </c>
      <c r="D13" s="27">
        <v>2020</v>
      </c>
      <c r="E13" s="31">
        <f>'FS Desroches Daily'!D15</f>
        <v>1100.000000000101</v>
      </c>
      <c r="F13" s="32">
        <f>'FS Desroches Daily'!F15</f>
        <v>699.99999999970089</v>
      </c>
      <c r="G13" s="31">
        <f>'FS Desroches Daily'!H15</f>
        <v>1599.9999999998238</v>
      </c>
      <c r="H13" s="32">
        <f>'FS Desroches Daily'!J15</f>
        <v>900.0000000001229</v>
      </c>
      <c r="I13" s="31">
        <f>'FS Desroches Daily'!L15</f>
        <v>2000.0000000002237</v>
      </c>
      <c r="J13" s="32">
        <f>'FS Desroches Daily'!N15</f>
        <v>499.99999999994492</v>
      </c>
      <c r="K13" s="13">
        <f>'FS Desroches Daily'!P15</f>
        <v>1</v>
      </c>
      <c r="L13" s="31">
        <f>'FS Desroches Daily'!R15</f>
        <v>2</v>
      </c>
      <c r="M13" s="31">
        <f>'FS Desroches Daily'!T15</f>
        <v>151</v>
      </c>
      <c r="N13" s="31">
        <f>'FS Desroches Daily'!V15</f>
        <v>100.29999999998836</v>
      </c>
      <c r="O13" s="31">
        <f>'FS Desroches Daily'!X15</f>
        <v>99.999999999965894</v>
      </c>
      <c r="P13" s="31">
        <f>'FS Desroches Daily'!Z15</f>
        <v>399.99999999995595</v>
      </c>
      <c r="Q13" s="31">
        <f>'FS Desroches Daily'!AB15</f>
        <v>120.00000000000455</v>
      </c>
      <c r="R13" s="31">
        <f>'FS Desroches Daily'!AD15</f>
        <v>139.99999999998636</v>
      </c>
      <c r="S13" s="31">
        <f>'FS Desroches Daily'!AF15</f>
        <v>159.99999999996817</v>
      </c>
      <c r="T13" s="31">
        <f>'FS Desroches Daily'!AH15</f>
        <v>1.2000000000000455</v>
      </c>
      <c r="U13" s="35">
        <f>'FS Desroches Daily'!AJ15</f>
        <v>210.00000000003638</v>
      </c>
      <c r="V13" s="35">
        <f>'FS Desroches Daily'!AL15</f>
        <v>169.99999999998749</v>
      </c>
      <c r="W13" s="35">
        <f>'FS Desroches Daily'!AN15</f>
        <v>169.99999999998749</v>
      </c>
      <c r="X13" s="35">
        <f>'FS Desroches Daily'!AP15</f>
        <v>159.99999999999659</v>
      </c>
      <c r="Y13" s="35">
        <f>'FS Desroches Daily'!AR15</f>
        <v>30.000000000001137</v>
      </c>
      <c r="Z13" s="35">
        <f>'FS Desroches Daily'!AT15</f>
        <v>30.000000000029559</v>
      </c>
      <c r="AA13" s="35">
        <f>'FS Desroches Daily'!AT15</f>
        <v>30.000000000029559</v>
      </c>
      <c r="AB13" s="35">
        <f>'FS Desroches Daily'!AV15</f>
        <v>30.000000000029559</v>
      </c>
      <c r="AC13" s="35">
        <f>'FS Desroches Daily'!AZ15</f>
        <v>30.000000000029559</v>
      </c>
      <c r="AD13" s="35">
        <f>'FS Desroches Daily'!BB15</f>
        <v>29.999999999972715</v>
      </c>
      <c r="AE13" s="35">
        <f>'FS Desroches Daily'!BD15</f>
        <v>20.000000000010232</v>
      </c>
      <c r="AF13" s="31">
        <f>'FS Desroches Daily'!BF15</f>
        <v>30</v>
      </c>
      <c r="AG13" s="32">
        <f>'FS Desroches Daily'!BH15</f>
        <v>10.000000000019327</v>
      </c>
      <c r="AH13" s="32">
        <f>'FS Desroches Daily'!BJ15</f>
        <v>10.000000000047748</v>
      </c>
      <c r="AI13" s="32">
        <f>'FS Desroches Daily'!BL15</f>
        <v>9.9999999999909051</v>
      </c>
      <c r="AJ13" s="32">
        <f>'FS Desroches Daily'!BN15</f>
        <v>20.000000000010232</v>
      </c>
      <c r="AK13" s="32">
        <f>'FS Desroches Daily'!BP15</f>
        <v>19.99999999998181</v>
      </c>
      <c r="AL13" s="32">
        <f>'FS Desroches Daily'!BR15</f>
        <v>12</v>
      </c>
      <c r="AM13" s="32">
        <f>'FS Desroches Daily'!BT15</f>
        <v>9.9999999999909051</v>
      </c>
      <c r="AN13" s="32">
        <f>'FS Desroches Daily'!BV15</f>
        <v>40</v>
      </c>
      <c r="AO13" s="32">
        <f>'FS Desroches Daily'!BX15</f>
        <v>9.9999999999909051</v>
      </c>
      <c r="AP13" s="32">
        <f>'FS Desroches Daily'!BZ15</f>
        <v>24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21</v>
      </c>
      <c r="AU13" s="31">
        <f>'FS Desroches Daily'!CJ15</f>
        <v>213</v>
      </c>
      <c r="AV13" s="31">
        <f>'FS Desroches Daily'!CL15</f>
        <v>470.00000000002728</v>
      </c>
      <c r="AW13" s="31">
        <f>'FS Desroches Daily'!CM15</f>
        <v>31.299999999999955</v>
      </c>
      <c r="AX13" s="31" t="str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3.6629999999999998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11</v>
      </c>
      <c r="D14" s="27">
        <v>2020</v>
      </c>
      <c r="E14" s="31">
        <f>'FS Desroches Daily'!D16</f>
        <v>1199.9999999998679</v>
      </c>
      <c r="F14" s="32">
        <f>'FS Desroches Daily'!F16</f>
        <v>700.00000000014495</v>
      </c>
      <c r="G14" s="31">
        <f>'FS Desroches Daily'!H16</f>
        <v>1900.0000000000127</v>
      </c>
      <c r="H14" s="32">
        <f>'FS Desroches Daily'!J16</f>
        <v>899.99999999990087</v>
      </c>
      <c r="I14" s="31">
        <f>'FS Desroches Daily'!L16</f>
        <v>2099.9999999999909</v>
      </c>
      <c r="J14" s="32">
        <f>'FS Desroches Daily'!N16</f>
        <v>699.99999999992292</v>
      </c>
      <c r="K14" s="13">
        <f>'FS Desroches Daily'!P16</f>
        <v>1</v>
      </c>
      <c r="L14" s="31">
        <f>'FS Desroches Daily'!R16</f>
        <v>3</v>
      </c>
      <c r="M14" s="31">
        <f>'FS Desroches Daily'!T16</f>
        <v>209.20000000006985</v>
      </c>
      <c r="N14" s="31">
        <f>'FS Desroches Daily'!V16</f>
        <v>139.79999999998836</v>
      </c>
      <c r="O14" s="31">
        <f>'FS Desroches Daily'!X16</f>
        <v>90.000000000031832</v>
      </c>
      <c r="P14" s="31">
        <f>'FS Desroches Daily'!Z16</f>
        <v>500.00000000016701</v>
      </c>
      <c r="Q14" s="31">
        <f>'FS Desroches Daily'!AB16</f>
        <v>129.99999999999545</v>
      </c>
      <c r="R14" s="31">
        <f>'FS Desroches Daily'!AD16</f>
        <v>170.00000000001592</v>
      </c>
      <c r="S14" s="31">
        <f>'FS Desroches Daily'!AF16</f>
        <v>259.99999999999091</v>
      </c>
      <c r="T14" s="31">
        <f>'FS Desroches Daily'!AH16</f>
        <v>1.2999999999999545</v>
      </c>
      <c r="U14" s="35">
        <f>'FS Desroches Daily'!AJ16</f>
        <v>219.99999999997044</v>
      </c>
      <c r="V14" s="35">
        <f>'FS Desroches Daily'!AL16</f>
        <v>180.00000000000682</v>
      </c>
      <c r="W14" s="35">
        <f>'FS Desroches Daily'!AN16</f>
        <v>170.00000000001592</v>
      </c>
      <c r="X14" s="35">
        <f>'FS Desroches Daily'!AP16</f>
        <v>159.99999999999659</v>
      </c>
      <c r="Y14" s="35">
        <f>'FS Desroches Daily'!AR16</f>
        <v>39.999999999992042</v>
      </c>
      <c r="Z14" s="35">
        <f>'FS Desroches Daily'!AT16</f>
        <v>39.99999999996362</v>
      </c>
      <c r="AA14" s="35">
        <f>'FS Desroches Daily'!AT16</f>
        <v>39.99999999996362</v>
      </c>
      <c r="AB14" s="35">
        <f>'FS Desroches Daily'!AV16</f>
        <v>29.999999999972715</v>
      </c>
      <c r="AC14" s="35">
        <f>'FS Desroches Daily'!AZ16</f>
        <v>29.999999999972715</v>
      </c>
      <c r="AD14" s="35">
        <f>'FS Desroches Daily'!BB16</f>
        <v>29.999999999972715</v>
      </c>
      <c r="AE14" s="35">
        <f>'FS Desroches Daily'!BD16</f>
        <v>20.000000000010232</v>
      </c>
      <c r="AF14" s="31">
        <f>'FS Desroches Daily'!BF16</f>
        <v>37</v>
      </c>
      <c r="AG14" s="32">
        <f>'FS Desroches Daily'!BH16</f>
        <v>30.000000000001137</v>
      </c>
      <c r="AH14" s="32">
        <f>'FS Desroches Daily'!BJ16</f>
        <v>19.99999999998181</v>
      </c>
      <c r="AI14" s="32">
        <f>'FS Desroches Daily'!BL16</f>
        <v>0</v>
      </c>
      <c r="AJ14" s="32">
        <f>'FS Desroches Daily'!BN16</f>
        <v>9.9999999999909051</v>
      </c>
      <c r="AK14" s="32">
        <f>'FS Desroches Daily'!BP16</f>
        <v>20.000000000038654</v>
      </c>
      <c r="AL14" s="32">
        <f>'FS Desroches Daily'!BR16</f>
        <v>11</v>
      </c>
      <c r="AM14" s="32">
        <f>'FS Desroches Daily'!BT16</f>
        <v>9.9999999999909051</v>
      </c>
      <c r="AN14" s="32">
        <f>'FS Desroches Daily'!BV16</f>
        <v>40</v>
      </c>
      <c r="AO14" s="32">
        <f>'FS Desroches Daily'!BX16</f>
        <v>10.000000000019327</v>
      </c>
      <c r="AP14" s="32">
        <f>'FS Desroches Daily'!BZ16</f>
        <v>26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28.5</v>
      </c>
      <c r="AU14" s="31">
        <f>'FS Desroches Daily'!CJ16</f>
        <v>217</v>
      </c>
      <c r="AV14" s="31">
        <f>'FS Desroches Daily'!CL16</f>
        <v>700.00000000004547</v>
      </c>
      <c r="AW14" s="31">
        <f>'FS Desroches Daily'!CM16</f>
        <v>16.299999999999955</v>
      </c>
      <c r="AX14" s="31">
        <f>IF(LPG!F21-LPG!G21&lt;0,"0",(LPG!F21-LPG!G21)*1.8315)</f>
        <v>8589.7349999999988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5.4944999999999995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11</v>
      </c>
      <c r="D15" s="27">
        <v>2020</v>
      </c>
      <c r="E15" s="31">
        <f>'FS Desroches Daily'!D17</f>
        <v>1200.0000000000898</v>
      </c>
      <c r="F15" s="32">
        <f>'FS Desroches Daily'!F17</f>
        <v>500.00000000016701</v>
      </c>
      <c r="G15" s="31">
        <f>'FS Desroches Daily'!H17</f>
        <v>1300.0000000000789</v>
      </c>
      <c r="H15" s="32">
        <f>'FS Desroches Daily'!J17</f>
        <v>699.99999999992292</v>
      </c>
      <c r="I15" s="31">
        <f>'FS Desroches Daily'!L17</f>
        <v>1700.0000000000348</v>
      </c>
      <c r="J15" s="32">
        <f>'FS Desroches Daily'!N17</f>
        <v>400.00000000017798</v>
      </c>
      <c r="K15" s="13">
        <f>'FS Desroches Daily'!P17</f>
        <v>1</v>
      </c>
      <c r="L15" s="31">
        <f>'FS Desroches Daily'!R17</f>
        <v>2</v>
      </c>
      <c r="M15" s="31">
        <f>'FS Desroches Daily'!T17</f>
        <v>101.59999999997672</v>
      </c>
      <c r="N15" s="31">
        <f>'FS Desroches Daily'!V17</f>
        <v>66.200000000011642</v>
      </c>
      <c r="O15" s="31">
        <f>'FS Desroches Daily'!X17</f>
        <v>79.999999999984084</v>
      </c>
      <c r="P15" s="31">
        <f>'FS Desroches Daily'!Z17</f>
        <v>399.99999999995595</v>
      </c>
      <c r="Q15" s="31" t="str">
        <f>'FS Desroches Daily'!AB17</f>
        <v/>
      </c>
      <c r="R15" s="31">
        <f>'FS Desroches Daily'!AD17</f>
        <v>120.00000000000455</v>
      </c>
      <c r="S15" s="31">
        <f>'FS Desroches Daily'!AF17</f>
        <v>120.00000000000455</v>
      </c>
      <c r="T15" s="31">
        <f>'FS Desroches Daily'!AH17</f>
        <v>0.90000000000009095</v>
      </c>
      <c r="U15" s="35">
        <f>'FS Desroches Daily'!AJ17</f>
        <v>500</v>
      </c>
      <c r="V15" s="35">
        <f>'FS Desroches Daily'!AL17</f>
        <v>129.99999999999545</v>
      </c>
      <c r="W15" s="35">
        <f>'FS Desroches Daily'!AN17</f>
        <v>139.99999999998636</v>
      </c>
      <c r="X15" s="35">
        <f>'FS Desroches Daily'!AP17</f>
        <v>120.00000000000455</v>
      </c>
      <c r="Y15" s="35">
        <f>'FS Desroches Daily'!AR17</f>
        <v>10.000000000019327</v>
      </c>
      <c r="Z15" s="35">
        <f>'FS Desroches Daily'!AT17</f>
        <v>30.000000000029559</v>
      </c>
      <c r="AA15" s="35">
        <f>'FS Desroches Daily'!AT17</f>
        <v>30.000000000029559</v>
      </c>
      <c r="AB15" s="35">
        <f>'FS Desroches Daily'!AV17</f>
        <v>19.99999999998181</v>
      </c>
      <c r="AC15" s="35">
        <f>'FS Desroches Daily'!AZ17</f>
        <v>19.99999999998181</v>
      </c>
      <c r="AD15" s="35">
        <f>'FS Desroches Daily'!BB17</f>
        <v>10.000000000047748</v>
      </c>
      <c r="AE15" s="35">
        <f>'FS Desroches Daily'!BD17</f>
        <v>19.99999999998181</v>
      </c>
      <c r="AF15" s="31">
        <f>'FS Desroches Daily'!BF17</f>
        <v>16</v>
      </c>
      <c r="AG15" s="32">
        <f>'FS Desroches Daily'!BH17</f>
        <v>9.9999999999909051</v>
      </c>
      <c r="AH15" s="32">
        <f>'FS Desroches Daily'!BJ17</f>
        <v>19.99999999998181</v>
      </c>
      <c r="AI15" s="32">
        <f>'FS Desroches Daily'!BL17</f>
        <v>10.000000000019327</v>
      </c>
      <c r="AJ15" s="32">
        <f>'FS Desroches Daily'!BN17</f>
        <v>10.000000000019327</v>
      </c>
      <c r="AK15" s="32">
        <f>'FS Desroches Daily'!BP17</f>
        <v>19.99999999998181</v>
      </c>
      <c r="AL15" s="32">
        <f>'FS Desroches Daily'!BR17</f>
        <v>9</v>
      </c>
      <c r="AM15" s="32">
        <f>'FS Desroches Daily'!BT17</f>
        <v>20.000000000010232</v>
      </c>
      <c r="AN15" s="32">
        <f>'FS Desroches Daily'!BV17</f>
        <v>27</v>
      </c>
      <c r="AO15" s="32">
        <f>'FS Desroches Daily'!BX17</f>
        <v>9.9999999999909051</v>
      </c>
      <c r="AP15" s="32">
        <f>'FS Desroches Daily'!BZ17</f>
        <v>17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11.5</v>
      </c>
      <c r="AU15" s="31">
        <f>'FS Desroches Daily'!CJ17</f>
        <v>185</v>
      </c>
      <c r="AV15" s="31">
        <f>'FS Desroches Daily'!CL17</f>
        <v>370.00000000000455</v>
      </c>
      <c r="AW15" s="31">
        <f>'FS Desroches Daily'!CM17</f>
        <v>10.400000000000091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1.8314999999999999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11</v>
      </c>
      <c r="D16" s="27">
        <v>2020</v>
      </c>
      <c r="E16" s="31">
        <f>'FS Desroches Daily'!D18</f>
        <v>1300.0000000000789</v>
      </c>
      <c r="F16" s="32">
        <f>'FS Desroches Daily'!F18</f>
        <v>599.99999999993395</v>
      </c>
      <c r="G16" s="31">
        <f>'FS Desroches Daily'!H18</f>
        <v>1500.0000000000568</v>
      </c>
      <c r="H16" s="32">
        <f>'FS Desroches Daily'!J18</f>
        <v>900.0000000001229</v>
      </c>
      <c r="I16" s="31">
        <f>'FS Desroches Daily'!L18</f>
        <v>1900.0000000000127</v>
      </c>
      <c r="J16" s="32">
        <f>'FS Desroches Daily'!N18</f>
        <v>499.99999999994492</v>
      </c>
      <c r="K16" s="13">
        <f>'FS Desroches Daily'!P18</f>
        <v>1</v>
      </c>
      <c r="L16" s="31">
        <f>'FS Desroches Daily'!R18</f>
        <v>3</v>
      </c>
      <c r="M16" s="31">
        <f>'FS Desroches Daily'!T18</f>
        <v>58.400000000023283</v>
      </c>
      <c r="N16" s="31">
        <f>'FS Desroches Daily'!V18</f>
        <v>46.099999999976717</v>
      </c>
      <c r="O16" s="31">
        <f>'FS Desroches Daily'!X18</f>
        <v>79.999999999984084</v>
      </c>
      <c r="P16" s="31">
        <f>'FS Desroches Daily'!Z18</f>
        <v>399.99999999995595</v>
      </c>
      <c r="Q16" s="31">
        <f>'FS Desroches Daily'!AB18</f>
        <v>350.00000000002274</v>
      </c>
      <c r="R16" s="31">
        <f>'FS Desroches Daily'!AD18</f>
        <v>139.99999999998636</v>
      </c>
      <c r="S16" s="31">
        <f>'FS Desroches Daily'!AF18</f>
        <v>150.00000000003411</v>
      </c>
      <c r="T16" s="31">
        <f>'FS Desroches Daily'!AH18</f>
        <v>1.0999999999999091</v>
      </c>
      <c r="U16" s="35">
        <f>'FS Desroches Daily'!AJ18</f>
        <v>500</v>
      </c>
      <c r="V16" s="35">
        <f>'FS Desroches Daily'!AL18</f>
        <v>150.00000000000568</v>
      </c>
      <c r="W16" s="35">
        <f>'FS Desroches Daily'!AN18</f>
        <v>159.99999999999659</v>
      </c>
      <c r="X16" s="35">
        <f>'FS Desroches Daily'!AP18</f>
        <v>149.99999999997726</v>
      </c>
      <c r="Y16" s="35">
        <f>'FS Desroches Daily'!AR18</f>
        <v>19.99999999998181</v>
      </c>
      <c r="Z16" s="35">
        <f>'FS Desroches Daily'!AT18</f>
        <v>29.999999999972715</v>
      </c>
      <c r="AA16" s="35">
        <f>'FS Desroches Daily'!AT18</f>
        <v>29.999999999972715</v>
      </c>
      <c r="AB16" s="35">
        <f>'FS Desroches Daily'!AV18</f>
        <v>30.000000000029559</v>
      </c>
      <c r="AC16" s="35">
        <f>'FS Desroches Daily'!AZ18</f>
        <v>30.000000000029559</v>
      </c>
      <c r="AD16" s="35">
        <f>'FS Desroches Daily'!BB18</f>
        <v>29.999999999972715</v>
      </c>
      <c r="AE16" s="35">
        <f>'FS Desroches Daily'!BD18</f>
        <v>9.9999999999909051</v>
      </c>
      <c r="AF16" s="31">
        <f>'FS Desroches Daily'!BF18</f>
        <v>37</v>
      </c>
      <c r="AG16" s="32">
        <f>'FS Desroches Daily'!BH18</f>
        <v>19.99999999998181</v>
      </c>
      <c r="AH16" s="32">
        <f>'FS Desroches Daily'!BJ18</f>
        <v>9.9999999999909051</v>
      </c>
      <c r="AI16" s="32">
        <f>'FS Desroches Daily'!BL18</f>
        <v>9.9999999999909051</v>
      </c>
      <c r="AJ16" s="32">
        <f>'FS Desroches Daily'!BN18</f>
        <v>19.99999999998181</v>
      </c>
      <c r="AK16" s="32">
        <f>'FS Desroches Daily'!BP18</f>
        <v>19.99999999998181</v>
      </c>
      <c r="AL16" s="32">
        <f>'FS Desroches Daily'!BR18</f>
        <v>12</v>
      </c>
      <c r="AM16" s="32">
        <f>'FS Desroches Daily'!BT18</f>
        <v>9.9999999999909051</v>
      </c>
      <c r="AN16" s="32">
        <f>'FS Desroches Daily'!BV18</f>
        <v>42</v>
      </c>
      <c r="AO16" s="32">
        <f>'FS Desroches Daily'!BX18</f>
        <v>20.000000000010232</v>
      </c>
      <c r="AP16" s="32">
        <f>'FS Desroches Daily'!BZ18</f>
        <v>18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18.80000000000291</v>
      </c>
      <c r="AU16" s="31">
        <f>'FS Desroches Daily'!CJ18</f>
        <v>216</v>
      </c>
      <c r="AV16" s="31">
        <f>'FS Desroches Daily'!CL18</f>
        <v>399.99999999997726</v>
      </c>
      <c r="AW16" s="31">
        <f>'FS Desroches Daily'!CM18</f>
        <v>11.099999999999909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5.4944999999999995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11</v>
      </c>
      <c r="D17" s="27">
        <v>2020</v>
      </c>
      <c r="E17" s="31">
        <f>'FS Desroches Daily'!D19</f>
        <v>1399.9999999998458</v>
      </c>
      <c r="F17" s="32">
        <f>'FS Desroches Daily'!F19</f>
        <v>700.00000000014495</v>
      </c>
      <c r="G17" s="31">
        <f>'FS Desroches Daily'!H19</f>
        <v>1700.0000000000348</v>
      </c>
      <c r="H17" s="32">
        <f>'FS Desroches Daily'!J19</f>
        <v>799.99999999991189</v>
      </c>
      <c r="I17" s="31">
        <f>'FS Desroches Daily'!L19</f>
        <v>1999.9999999997797</v>
      </c>
      <c r="J17" s="32">
        <f>'FS Desroches Daily'!N19</f>
        <v>599.99999999993395</v>
      </c>
      <c r="K17" s="13">
        <f>'FS Desroches Daily'!P19</f>
        <v>1</v>
      </c>
      <c r="L17" s="31">
        <f>'FS Desroches Daily'!R19</f>
        <v>3</v>
      </c>
      <c r="M17" s="31">
        <f>'FS Desroches Daily'!T19</f>
        <v>262</v>
      </c>
      <c r="N17" s="31">
        <f>'FS Desroches Daily'!V19</f>
        <v>175.70000000001164</v>
      </c>
      <c r="O17" s="31">
        <f>'FS Desroches Daily'!X19</f>
        <v>120.00000000000455</v>
      </c>
      <c r="P17" s="31">
        <f>'FS Desroches Daily'!Z19</f>
        <v>500.00000000016701</v>
      </c>
      <c r="Q17" s="31">
        <f>'FS Desroches Daily'!AB19</f>
        <v>109.9999999999568</v>
      </c>
      <c r="R17" s="31">
        <f>'FS Desroches Daily'!AD19</f>
        <v>159.99999999996817</v>
      </c>
      <c r="S17" s="31">
        <f>'FS Desroches Daily'!AF19</f>
        <v>230.00000000001819</v>
      </c>
      <c r="T17" s="31">
        <f>'FS Desroches Daily'!AH19</f>
        <v>1</v>
      </c>
      <c r="U17" s="35">
        <f>'FS Desroches Daily'!AJ19</f>
        <v>470.00000000002728</v>
      </c>
      <c r="V17" s="35">
        <f>'FS Desroches Daily'!AL19</f>
        <v>180.00000000000682</v>
      </c>
      <c r="W17" s="35">
        <f>'FS Desroches Daily'!AN19</f>
        <v>170.00000000001592</v>
      </c>
      <c r="X17" s="35">
        <f>'FS Desroches Daily'!AP19</f>
        <v>160.00000000002501</v>
      </c>
      <c r="Y17" s="35">
        <f>'FS Desroches Daily'!AR19</f>
        <v>40.000000000020464</v>
      </c>
      <c r="Z17" s="35">
        <f>'FS Desroches Daily'!AU20</f>
        <v>269.24</v>
      </c>
      <c r="AA17" s="35">
        <f>'FS Desroches Daily'!AU20</f>
        <v>269.24</v>
      </c>
      <c r="AB17" s="35">
        <f>'FS Desroches Daily'!AV19</f>
        <v>29.999999999972715</v>
      </c>
      <c r="AC17" s="35">
        <f>'FS Desroches Daily'!AZ19</f>
        <v>29.999999999972715</v>
      </c>
      <c r="AD17" s="35">
        <f>'FS Desroches Daily'!BB19</f>
        <v>30.000000000029559</v>
      </c>
      <c r="AE17" s="35">
        <f>'FS Desroches Daily'!BD19</f>
        <v>20.000000000010232</v>
      </c>
      <c r="AF17" s="31">
        <f>'FS Desroches Daily'!BF19</f>
        <v>28</v>
      </c>
      <c r="AG17" s="32">
        <f>'FS Desroches Daily'!BH19</f>
        <v>20.000000000010232</v>
      </c>
      <c r="AH17" s="32">
        <f>'FS Desroches Daily'!BJ19</f>
        <v>20.000000000038654</v>
      </c>
      <c r="AI17" s="32">
        <f>'FS Desroches Daily'!BL19</f>
        <v>9.9999999999909051</v>
      </c>
      <c r="AJ17" s="32">
        <f>'FS Desroches Daily'!BN19</f>
        <v>20.000000000010232</v>
      </c>
      <c r="AK17" s="32">
        <f>'FS Desroches Daily'!BP19</f>
        <v>20.000000000038654</v>
      </c>
      <c r="AL17" s="32">
        <f>'FS Desroches Daily'!BR19</f>
        <v>12</v>
      </c>
      <c r="AM17" s="32">
        <f>'FS Desroches Daily'!BT19</f>
        <v>0</v>
      </c>
      <c r="AN17" s="32">
        <f>'FS Desroches Daily'!BV19</f>
        <v>38</v>
      </c>
      <c r="AO17" s="32">
        <f>'FS Desroches Daily'!BX19</f>
        <v>9.9999999999909051</v>
      </c>
      <c r="AP17" s="32">
        <f>'FS Desroches Daily'!BZ19</f>
        <v>28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17</v>
      </c>
      <c r="AU17" s="31">
        <f>'FS Desroches Daily'!CJ19</f>
        <v>217</v>
      </c>
      <c r="AV17" s="31">
        <f>'FS Desroches Daily'!CL19</f>
        <v>439.99999999994088</v>
      </c>
      <c r="AW17" s="31">
        <f>'FS Desroches Daily'!CM19</f>
        <v>19.400000000000091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9.1574999999999989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11</v>
      </c>
      <c r="D18" s="27">
        <v>2020</v>
      </c>
      <c r="E18" s="31">
        <f>'FS Desroches Daily'!D20</f>
        <v>1400.0000000000678</v>
      </c>
      <c r="F18" s="32">
        <f>'FS Desroches Daily'!F20</f>
        <v>599.99999999993395</v>
      </c>
      <c r="G18" s="31">
        <f>'FS Desroches Daily'!H20</f>
        <v>1599.9999999998238</v>
      </c>
      <c r="H18" s="32">
        <f>'FS Desroches Daily'!J20</f>
        <v>900.0000000001229</v>
      </c>
      <c r="I18" s="31">
        <f>'FS Desroches Daily'!L20</f>
        <v>1900.0000000000127</v>
      </c>
      <c r="J18" s="32">
        <f>'FS Desroches Daily'!N20</f>
        <v>600.00000000015598</v>
      </c>
      <c r="K18" s="13">
        <f>'FS Desroches Daily'!P20</f>
        <v>1</v>
      </c>
      <c r="L18" s="31">
        <f>'FS Desroches Daily'!R20</f>
        <v>2</v>
      </c>
      <c r="M18" s="31">
        <f>'FS Desroches Daily'!T20</f>
        <v>262.59999999997672</v>
      </c>
      <c r="N18" s="31">
        <f>'FS Desroches Daily'!V20</f>
        <v>167.20000000001164</v>
      </c>
      <c r="O18" s="31">
        <f>'FS Desroches Daily'!X20</f>
        <v>80.000000000040927</v>
      </c>
      <c r="P18" s="31">
        <f>'FS Desroches Daily'!Z20</f>
        <v>399.99999999995595</v>
      </c>
      <c r="Q18" s="31">
        <f>'FS Desroches Daily'!AB20</f>
        <v>150.00000000003411</v>
      </c>
      <c r="R18" s="31">
        <f>'FS Desroches Daily'!AD20</f>
        <v>140.0000000000432</v>
      </c>
      <c r="S18" s="31">
        <f>'FS Desroches Daily'!AF20</f>
        <v>179.99999999994998</v>
      </c>
      <c r="T18" s="31">
        <f>'FS Desroches Daily'!AH20</f>
        <v>1.1000000000001364</v>
      </c>
      <c r="U18" s="35">
        <f>'FS Desroches Daily'!AJ20</f>
        <v>469.99999999997044</v>
      </c>
      <c r="V18" s="35">
        <f>'FS Desroches Daily'!AL20</f>
        <v>159.99999999999659</v>
      </c>
      <c r="W18" s="35">
        <f>'FS Desroches Daily'!AN20</f>
        <v>180.00000000000682</v>
      </c>
      <c r="X18" s="35">
        <f>'FS Desroches Daily'!AP20</f>
        <v>159.99999999999659</v>
      </c>
      <c r="Y18" s="35">
        <f>'FS Desroches Daily'!AR20</f>
        <v>39.999999999992042</v>
      </c>
      <c r="Z18" s="35">
        <f>'FS Desroches Daily'!AT20</f>
        <v>29.999999999972715</v>
      </c>
      <c r="AA18" s="35">
        <f>'FS Desroches Daily'!AT20</f>
        <v>29.999999999972715</v>
      </c>
      <c r="AB18" s="35">
        <f>'FS Desroches Daily'!AV20</f>
        <v>30.000000000029559</v>
      </c>
      <c r="AC18" s="35">
        <f>'FS Desroches Daily'!AZ20</f>
        <v>30.000000000029559</v>
      </c>
      <c r="AD18" s="35">
        <f>'FS Desroches Daily'!BB20</f>
        <v>19.99999999998181</v>
      </c>
      <c r="AE18" s="35">
        <f>'FS Desroches Daily'!BD20</f>
        <v>20.000000000010232</v>
      </c>
      <c r="AF18" s="31">
        <f>'FS Desroches Daily'!BF20</f>
        <v>32</v>
      </c>
      <c r="AG18" s="32">
        <f>'FS Desroches Daily'!BH20</f>
        <v>9.9999999999909051</v>
      </c>
      <c r="AH18" s="32">
        <f>'FS Desroches Daily'!BJ20</f>
        <v>9.9999999999909051</v>
      </c>
      <c r="AI18" s="32">
        <f>'FS Desroches Daily'!BL20</f>
        <v>10.000000000019327</v>
      </c>
      <c r="AJ18" s="32">
        <f>'FS Desroches Daily'!BN20</f>
        <v>9.9999999999909051</v>
      </c>
      <c r="AK18" s="32">
        <f>'FS Desroches Daily'!BP20</f>
        <v>19.99999999998181</v>
      </c>
      <c r="AL18" s="32">
        <f>'FS Desroches Daily'!BR20</f>
        <v>14</v>
      </c>
      <c r="AM18" s="32">
        <f>'FS Desroches Daily'!BT20</f>
        <v>20.000000000010232</v>
      </c>
      <c r="AN18" s="32">
        <f>'FS Desroches Daily'!BV20</f>
        <v>38</v>
      </c>
      <c r="AO18" s="32">
        <f>'FS Desroches Daily'!BX20</f>
        <v>9.9999999999909051</v>
      </c>
      <c r="AP18" s="32">
        <f>'FS Desroches Daily'!BZ20</f>
        <v>25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16.900000000001455</v>
      </c>
      <c r="AU18" s="31">
        <f>'FS Desroches Daily'!CJ20</f>
        <v>213</v>
      </c>
      <c r="AV18" s="31">
        <f>'FS Desroches Daily'!CL20</f>
        <v>450.00000000004547</v>
      </c>
      <c r="AW18" s="31">
        <f>'FS Desroches Daily'!CM20</f>
        <v>16.200000000000045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3.6629999999999998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11</v>
      </c>
      <c r="D19" s="27">
        <v>2020</v>
      </c>
      <c r="E19" s="31">
        <f>'FS Desroches Daily'!D21</f>
        <v>999.99999999988984</v>
      </c>
      <c r="F19" s="32">
        <f>'FS Desroches Daily'!F21</f>
        <v>499.99999999972289</v>
      </c>
      <c r="G19" s="31">
        <f>'FS Desroches Daily'!H21</f>
        <v>1700.0000000000348</v>
      </c>
      <c r="H19" s="32">
        <f>'FS Desroches Daily'!J21</f>
        <v>799.99999999991189</v>
      </c>
      <c r="I19" s="31">
        <f>'FS Desroches Daily'!L21</f>
        <v>1600.0000000002678</v>
      </c>
      <c r="J19" s="32">
        <f>'FS Desroches Daily'!N21</f>
        <v>499.99999999994492</v>
      </c>
      <c r="K19" s="13">
        <f>'FS Desroches Daily'!P21</f>
        <v>1</v>
      </c>
      <c r="L19" s="31">
        <f>'FS Desroches Daily'!R21</f>
        <v>0</v>
      </c>
      <c r="M19" s="31">
        <f>'FS Desroches Daily'!T21</f>
        <v>216.19999999995343</v>
      </c>
      <c r="N19" s="31">
        <f>'FS Desroches Daily'!V21</f>
        <v>125.89999999996508</v>
      </c>
      <c r="O19" s="31">
        <f>'FS Desroches Daily'!X21</f>
        <v>69.999999999993179</v>
      </c>
      <c r="P19" s="31">
        <f>'FS Desroches Daily'!Z21</f>
        <v>399.99999999995595</v>
      </c>
      <c r="Q19" s="31">
        <f>'FS Desroches Daily'!AB21</f>
        <v>129.99999999999545</v>
      </c>
      <c r="R19" s="31">
        <f>'FS Desroches Daily'!AD21</f>
        <v>109.9999999999568</v>
      </c>
      <c r="S19" s="31">
        <f>'FS Desroches Daily'!AF21</f>
        <v>159.99999999996817</v>
      </c>
      <c r="T19" s="31">
        <f>'FS Desroches Daily'!AH21</f>
        <v>0.89999999999986358</v>
      </c>
      <c r="U19" s="35">
        <f>'FS Desroches Daily'!AJ21</f>
        <v>350.00000000002274</v>
      </c>
      <c r="V19" s="35">
        <f>'FS Desroches Daily'!AL21</f>
        <v>90.000000000003411</v>
      </c>
      <c r="W19" s="35">
        <f>'FS Desroches Daily'!AN21</f>
        <v>129.99999999999545</v>
      </c>
      <c r="X19" s="35">
        <f>'FS Desroches Daily'!AP21</f>
        <v>109.99999999998522</v>
      </c>
      <c r="Y19" s="35">
        <f>'FS Desroches Daily'!AR21</f>
        <v>39.999999999992042</v>
      </c>
      <c r="Z19" s="35">
        <f>'FS Desroches Daily'!AT21</f>
        <v>30.000000000029559</v>
      </c>
      <c r="AA19" s="35">
        <f>'FS Desroches Daily'!AT21</f>
        <v>30.000000000029559</v>
      </c>
      <c r="AB19" s="35">
        <f>'FS Desroches Daily'!AV21</f>
        <v>19.99999999998181</v>
      </c>
      <c r="AC19" s="35">
        <f>'FS Desroches Daily'!AZ21</f>
        <v>19.99999999998181</v>
      </c>
      <c r="AD19" s="35">
        <f>'FS Desroches Daily'!BB21</f>
        <v>29.999999999972715</v>
      </c>
      <c r="AE19" s="35">
        <f>'FS Desroches Daily'!BD21</f>
        <v>9.9999999999909051</v>
      </c>
      <c r="AF19" s="31">
        <f>'FS Desroches Daily'!BF21</f>
        <v>24</v>
      </c>
      <c r="AG19" s="32">
        <f>'FS Desroches Daily'!BH21</f>
        <v>10.000000000019327</v>
      </c>
      <c r="AH19" s="32">
        <f>'FS Desroches Daily'!BJ21</f>
        <v>9.9999999999909051</v>
      </c>
      <c r="AI19" s="32">
        <f>'FS Desroches Daily'!BL21</f>
        <v>9.9999999999909051</v>
      </c>
      <c r="AJ19" s="32">
        <f>'FS Desroches Daily'!BN21</f>
        <v>20.000000000010232</v>
      </c>
      <c r="AK19" s="32">
        <f>'FS Desroches Daily'!BP21</f>
        <v>19.99999999998181</v>
      </c>
      <c r="AL19" s="32">
        <f>'FS Desroches Daily'!BR21</f>
        <v>11</v>
      </c>
      <c r="AM19" s="32">
        <f>'FS Desroches Daily'!BT21</f>
        <v>9.9999999999909051</v>
      </c>
      <c r="AN19" s="32">
        <f>'FS Desroches Daily'!BV21</f>
        <v>17</v>
      </c>
      <c r="AO19" s="32">
        <f>'FS Desroches Daily'!BX21</f>
        <v>0</v>
      </c>
      <c r="AP19" s="32">
        <f>'FS Desroches Daily'!BZ21</f>
        <v>19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20.69999999999709</v>
      </c>
      <c r="AU19" s="31">
        <f>'FS Desroches Daily'!CJ21</f>
        <v>203</v>
      </c>
      <c r="AV19" s="31">
        <f>'FS Desroches Daily'!CL21</f>
        <v>490.00000000000909</v>
      </c>
      <c r="AW19" s="31">
        <f>'FS Desroches Daily'!CM21</f>
        <v>20.299999999999955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3.6629999999999998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11</v>
      </c>
      <c r="D20" s="27">
        <v>2020</v>
      </c>
      <c r="E20" s="31">
        <f>'FS Desroches Daily'!D22</f>
        <v>1200.0000000000898</v>
      </c>
      <c r="F20" s="32">
        <f>'FS Desroches Daily'!F22</f>
        <v>700.00000000014495</v>
      </c>
      <c r="G20" s="31">
        <f>'FS Desroches Daily'!H22</f>
        <v>1500.0000000000568</v>
      </c>
      <c r="H20" s="32">
        <f>'FS Desroches Daily'!J22</f>
        <v>900.0000000001229</v>
      </c>
      <c r="I20" s="31">
        <f>'FS Desroches Daily'!L22</f>
        <v>1799.9999999998017</v>
      </c>
      <c r="J20" s="32">
        <f>'FS Desroches Daily'!N22</f>
        <v>499.99999999994492</v>
      </c>
      <c r="K20" s="13">
        <f>'FS Desroches Daily'!P22</f>
        <v>1</v>
      </c>
      <c r="L20" s="31">
        <f>'FS Desroches Daily'!R22</f>
        <v>6</v>
      </c>
      <c r="M20" s="31">
        <f>'FS Desroches Daily'!T22</f>
        <v>159.40000000002328</v>
      </c>
      <c r="N20" s="31">
        <f>'FS Desroches Daily'!V22</f>
        <v>98.300000000046566</v>
      </c>
      <c r="O20" s="31">
        <f>'FS Desroches Daily'!X22</f>
        <v>99.999999999965894</v>
      </c>
      <c r="P20" s="31">
        <f>'FS Desroches Daily'!Z22</f>
        <v>500.00000000016701</v>
      </c>
      <c r="Q20" s="31">
        <f>'FS Desroches Daily'!AB22</f>
        <v>129.99999999999545</v>
      </c>
      <c r="R20" s="31">
        <f>'FS Desroches Daily'!AD22</f>
        <v>129.99999999999545</v>
      </c>
      <c r="S20" s="31">
        <f>'FS Desroches Daily'!AF22</f>
        <v>210.00000000003638</v>
      </c>
      <c r="T20" s="31">
        <f>'FS Desroches Daily'!AH22</f>
        <v>1</v>
      </c>
      <c r="U20" s="35">
        <f>'FS Desroches Daily'!AJ22</f>
        <v>430.00000000000682</v>
      </c>
      <c r="V20" s="35">
        <f>'FS Desroches Daily'!AL22</f>
        <v>120.00000000000455</v>
      </c>
      <c r="W20" s="35">
        <f>'FS Desroches Daily'!AN22</f>
        <v>150.00000000000568</v>
      </c>
      <c r="X20" s="35">
        <f>'FS Desroches Daily'!AP22</f>
        <v>120.00000000000455</v>
      </c>
      <c r="Y20" s="35">
        <f>'FS Desroches Daily'!AR22</f>
        <v>20.000000000010232</v>
      </c>
      <c r="Z20" s="35">
        <f>'FS Desroches Daily'!AT22</f>
        <v>29.999999999972715</v>
      </c>
      <c r="AA20" s="35">
        <f>'FS Desroches Daily'!AT22</f>
        <v>29.999999999972715</v>
      </c>
      <c r="AB20" s="35">
        <f>'FS Desroches Daily'!AV22</f>
        <v>30.000000000029559</v>
      </c>
      <c r="AC20" s="35">
        <f>'FS Desroches Daily'!AZ22</f>
        <v>367.67</v>
      </c>
      <c r="AD20" s="35">
        <f>'FS Desroches Daily'!BB22</f>
        <v>233.95</v>
      </c>
      <c r="AE20" s="35">
        <f>'FS Desroches Daily'!BD22</f>
        <v>9.9999999999909051</v>
      </c>
      <c r="AF20" s="31">
        <f>'FS Desroches Daily'!BF22</f>
        <v>31</v>
      </c>
      <c r="AG20" s="32">
        <f>'FS Desroches Daily'!BH22</f>
        <v>19.99999999998181</v>
      </c>
      <c r="AH20" s="32">
        <f>'FS Desroches Daily'!BJ22</f>
        <v>29.999999999972715</v>
      </c>
      <c r="AI20" s="32">
        <f>'FS Desroches Daily'!BL22</f>
        <v>9.9999999999909051</v>
      </c>
      <c r="AJ20" s="32">
        <f>'FS Desroches Daily'!BN22</f>
        <v>9.9999999999909051</v>
      </c>
      <c r="AK20" s="32">
        <f>'FS Desroches Daily'!BP22</f>
        <v>20.000000000038654</v>
      </c>
      <c r="AL20" s="32">
        <f>'FS Desroches Daily'!BR22</f>
        <v>12</v>
      </c>
      <c r="AM20" s="32">
        <f>'FS Desroches Daily'!BT22</f>
        <v>10.000000000019327</v>
      </c>
      <c r="AN20" s="32">
        <f>'FS Desroches Daily'!BV22</f>
        <v>20</v>
      </c>
      <c r="AO20" s="32">
        <f>'FS Desroches Daily'!BX22</f>
        <v>30.000000000001137</v>
      </c>
      <c r="AP20" s="32">
        <f>'FS Desroches Daily'!BZ22</f>
        <v>20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17.80000000000291</v>
      </c>
      <c r="AU20" s="31">
        <f>'FS Desroches Daily'!CJ22</f>
        <v>211</v>
      </c>
      <c r="AV20" s="31">
        <f>'FS Desroches Daily'!CL22</f>
        <v>419.99999999995907</v>
      </c>
      <c r="AW20" s="31">
        <f>'FS Desroches Daily'!CM22</f>
        <v>13.299999999999955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5.4944999999999995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11</v>
      </c>
      <c r="D21" s="27">
        <v>2020</v>
      </c>
      <c r="E21" s="31">
        <f>'FS Desroches Daily'!D23</f>
        <v>1300.0000000000789</v>
      </c>
      <c r="F21" s="32">
        <f>'FS Desroches Daily'!F23</f>
        <v>700.00000000014495</v>
      </c>
      <c r="G21" s="31">
        <f>'FS Desroches Daily'!H23</f>
        <v>1599.9999999998238</v>
      </c>
      <c r="H21" s="32">
        <f>'FS Desroches Daily'!J23</f>
        <v>899.99999999990087</v>
      </c>
      <c r="I21" s="31">
        <f>'FS Desroches Daily'!L23</f>
        <v>1799.9999999998017</v>
      </c>
      <c r="J21" s="32">
        <f>'FS Desroches Daily'!N23</f>
        <v>699.99999999992292</v>
      </c>
      <c r="K21" s="13">
        <f>'FS Desroches Daily'!P23</f>
        <v>1</v>
      </c>
      <c r="L21" s="31">
        <f>'FS Desroches Daily'!R23</f>
        <v>3</v>
      </c>
      <c r="M21" s="31">
        <f>'FS Desroches Daily'!T23</f>
        <v>291</v>
      </c>
      <c r="N21" s="31">
        <f>'FS Desroches Daily'!V23</f>
        <v>180</v>
      </c>
      <c r="O21" s="31">
        <f>'FS Desroches Daily'!X23</f>
        <v>90.000000000031832</v>
      </c>
      <c r="P21" s="31">
        <f>'FS Desroches Daily'!Z23</f>
        <v>499.99999999972289</v>
      </c>
      <c r="Q21" s="31">
        <f>'FS Desroches Daily'!AB23</f>
        <v>120.00000000000455</v>
      </c>
      <c r="R21" s="31">
        <f>'FS Desroches Daily'!AD23</f>
        <v>160.00000000002501</v>
      </c>
      <c r="S21" s="31">
        <f>'FS Desroches Daily'!AF23</f>
        <v>250</v>
      </c>
      <c r="T21" s="31">
        <f>'FS Desroches Daily'!AH23</f>
        <v>1</v>
      </c>
      <c r="U21" s="35">
        <f>'FS Desroches Daily'!AJ23</f>
        <v>449.99999999998863</v>
      </c>
      <c r="V21" s="35">
        <f>'FS Desroches Daily'!AL23</f>
        <v>169.99999999998749</v>
      </c>
      <c r="W21" s="35">
        <f>'FS Desroches Daily'!AN23</f>
        <v>149.99999999997726</v>
      </c>
      <c r="X21" s="35">
        <f>'FS Desroches Daily'!AP23</f>
        <v>120.00000000000455</v>
      </c>
      <c r="Y21" s="35">
        <f>'FS Desroches Daily'!AR23</f>
        <v>60.000000000002274</v>
      </c>
      <c r="Z21" s="35">
        <f>'FS Desroches Daily'!AT23</f>
        <v>30.000000000029559</v>
      </c>
      <c r="AA21" s="35">
        <f>'FS Desroches Daily'!AT23</f>
        <v>30.000000000029559</v>
      </c>
      <c r="AB21" s="35">
        <f>'FS Desroches Daily'!AV23</f>
        <v>29.999999999972715</v>
      </c>
      <c r="AC21" s="35">
        <f>'FS Desroches Daily'!AZ23</f>
        <v>29.999999999972715</v>
      </c>
      <c r="AD21" s="35">
        <f>'FS Desroches Daily'!BB23</f>
        <v>29.999999999972715</v>
      </c>
      <c r="AE21" s="35">
        <f>'FS Desroches Daily'!BD23</f>
        <v>20.000000000010232</v>
      </c>
      <c r="AF21" s="31">
        <f>'FS Desroches Daily'!BF23</f>
        <v>33</v>
      </c>
      <c r="AG21" s="32">
        <f>'FS Desroches Daily'!BH23</f>
        <v>10.000000000019327</v>
      </c>
      <c r="AH21" s="32">
        <f>'FS Desroches Daily'!BJ23</f>
        <v>20.000000000038654</v>
      </c>
      <c r="AI21" s="32">
        <f>'FS Desroches Daily'!BL23</f>
        <v>0</v>
      </c>
      <c r="AJ21" s="32">
        <f>'FS Desroches Daily'!BN23</f>
        <v>20.000000000010232</v>
      </c>
      <c r="AK21" s="32">
        <f>'FS Desroches Daily'!BP23</f>
        <v>19.99999999998181</v>
      </c>
      <c r="AL21" s="32">
        <f>'FS Desroches Daily'!BR23</f>
        <v>13</v>
      </c>
      <c r="AM21" s="32">
        <f>'FS Desroches Daily'!BT23</f>
        <v>9.9999999999909051</v>
      </c>
      <c r="AN21" s="32">
        <f>'FS Desroches Daily'!BV23</f>
        <v>20</v>
      </c>
      <c r="AO21" s="32">
        <f>'FS Desroches Daily'!BX23</f>
        <v>20.000000000010232</v>
      </c>
      <c r="AP21" s="32">
        <f>'FS Desroches Daily'!BZ23</f>
        <v>19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20.19999999999709</v>
      </c>
      <c r="AU21" s="31">
        <f>'FS Desroches Daily'!CJ23</f>
        <v>216</v>
      </c>
      <c r="AV21" s="31">
        <f>'FS Desroches Daily'!CL23</f>
        <v>370.00000000000455</v>
      </c>
      <c r="AW21" s="31">
        <f>'FS Desroches Daily'!CM23</f>
        <v>20.299999999999955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3.6629999999999998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11</v>
      </c>
      <c r="D22" s="27">
        <v>2020</v>
      </c>
      <c r="E22" s="31">
        <f>'FS Desroches Daily'!D24</f>
        <v>1199.9999999998679</v>
      </c>
      <c r="F22" s="32">
        <f>'FS Desroches Daily'!F24</f>
        <v>599.99999999993395</v>
      </c>
      <c r="G22" s="31">
        <f>'FS Desroches Daily'!H24</f>
        <v>1800.0000000002458</v>
      </c>
      <c r="H22" s="32">
        <f>'FS Desroches Daily'!J24</f>
        <v>799.99999999991189</v>
      </c>
      <c r="I22" s="31">
        <f>'FS Desroches Daily'!L24</f>
        <v>1800.0000000002458</v>
      </c>
      <c r="J22" s="32">
        <f>'FS Desroches Daily'!N24</f>
        <v>600.00000000015598</v>
      </c>
      <c r="K22" s="13">
        <f>'FS Desroches Daily'!P24</f>
        <v>1</v>
      </c>
      <c r="L22" s="31">
        <f>'FS Desroches Daily'!R24</f>
        <v>3</v>
      </c>
      <c r="M22" s="31">
        <f>'FS Desroches Daily'!T24</f>
        <v>211.20000000006985</v>
      </c>
      <c r="N22" s="31">
        <f>'FS Desroches Daily'!V24</f>
        <v>138.69999999995343</v>
      </c>
      <c r="O22" s="31">
        <f>'FS Desroches Daily'!X24</f>
        <v>89.999999999974989</v>
      </c>
      <c r="P22" s="31">
        <f>'FS Desroches Daily'!Z24</f>
        <v>399.99999999995595</v>
      </c>
      <c r="Q22" s="31">
        <f>'FS Desroches Daily'!AB24</f>
        <v>110.00000000001364</v>
      </c>
      <c r="R22" s="31">
        <f>'FS Desroches Daily'!AD24</f>
        <v>160.00000000002501</v>
      </c>
      <c r="S22" s="31">
        <f>'FS Desroches Daily'!AF24</f>
        <v>210.00000000003638</v>
      </c>
      <c r="T22" s="31">
        <f>'FS Desroches Daily'!AH24</f>
        <v>1</v>
      </c>
      <c r="U22" s="35">
        <f>'FS Desroches Daily'!AJ24</f>
        <v>449.99999999998863</v>
      </c>
      <c r="V22" s="35">
        <f>'FS Desroches Daily'!AL24</f>
        <v>140.00000000001478</v>
      </c>
      <c r="W22" s="35">
        <f>'FS Desroches Daily'!AN24</f>
        <v>140.00000000001478</v>
      </c>
      <c r="X22" s="35">
        <f>'FS Desroches Daily'!AP24</f>
        <v>120.00000000000455</v>
      </c>
      <c r="Y22" s="35">
        <f>'FS Desroches Daily'!AR24</f>
        <v>19.99999999998181</v>
      </c>
      <c r="Z22" s="35">
        <f>'FS Desroches Daily'!AT24</f>
        <v>39.99999999996362</v>
      </c>
      <c r="AA22" s="35">
        <f>'FS Desroches Daily'!AT24</f>
        <v>39.99999999996362</v>
      </c>
      <c r="AB22" s="35">
        <f>'FS Desroches Daily'!AV24</f>
        <v>30.000000000029559</v>
      </c>
      <c r="AC22" s="35">
        <f>'FS Desroches Daily'!AZ24</f>
        <v>19.99999999998181</v>
      </c>
      <c r="AD22" s="35">
        <f>'FS Desroches Daily'!BB24</f>
        <v>30.000000000029559</v>
      </c>
      <c r="AE22" s="35">
        <f>'FS Desroches Daily'!BD24</f>
        <v>20.000000000010232</v>
      </c>
      <c r="AF22" s="31">
        <f>'FS Desroches Daily'!BF24</f>
        <v>25</v>
      </c>
      <c r="AG22" s="32">
        <f>'FS Desroches Daily'!BH24</f>
        <v>19.99999999998181</v>
      </c>
      <c r="AH22" s="32">
        <f>'FS Desroches Daily'!BJ24</f>
        <v>19.99999999998181</v>
      </c>
      <c r="AI22" s="32">
        <f>'FS Desroches Daily'!BL24</f>
        <v>10.000000000019327</v>
      </c>
      <c r="AJ22" s="32">
        <f>'FS Desroches Daily'!BN24</f>
        <v>19.99999999998181</v>
      </c>
      <c r="AK22" s="32">
        <f>'FS Desroches Daily'!BP24</f>
        <v>19.99999999998181</v>
      </c>
      <c r="AL22" s="32">
        <f>'FS Desroches Daily'!BR24</f>
        <v>12</v>
      </c>
      <c r="AM22" s="32">
        <f>'FS Desroches Daily'!BT24</f>
        <v>20.000000000010232</v>
      </c>
      <c r="AN22" s="32">
        <f>'FS Desroches Daily'!BV24</f>
        <v>20</v>
      </c>
      <c r="AO22" s="32">
        <f>'FS Desroches Daily'!BX24</f>
        <v>20.000000000010232</v>
      </c>
      <c r="AP22" s="32">
        <f>'FS Desroches Daily'!BZ24</f>
        <v>18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29.700000000004366</v>
      </c>
      <c r="AU22" s="31">
        <f>'FS Desroches Daily'!CJ24</f>
        <v>218</v>
      </c>
      <c r="AV22" s="31">
        <f>'FS Desroches Daily'!CL24</f>
        <v>519.99999999998181</v>
      </c>
      <c r="AW22" s="31">
        <f>'FS Desroches Daily'!CM24</f>
        <v>26.799999999999955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3.6629999999999998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11</v>
      </c>
      <c r="D23" s="27">
        <v>2020</v>
      </c>
      <c r="E23" s="31">
        <f>'FS Desroches Daily'!D25</f>
        <v>1100.000000000101</v>
      </c>
      <c r="F23" s="32">
        <f>'FS Desroches Daily'!F25</f>
        <v>599.99999999993395</v>
      </c>
      <c r="G23" s="31">
        <f>'FS Desroches Daily'!H25</f>
        <v>1399.9999999998458</v>
      </c>
      <c r="H23" s="32">
        <f>'FS Desroches Daily'!J25</f>
        <v>800.00000000013392</v>
      </c>
      <c r="I23" s="31">
        <f>'FS Desroches Daily'!L25</f>
        <v>1700.0000000000348</v>
      </c>
      <c r="J23" s="32">
        <f>'FS Desroches Daily'!N25</f>
        <v>499.99999999994492</v>
      </c>
      <c r="K23" s="13">
        <f>'FS Desroches Daily'!P25</f>
        <v>1</v>
      </c>
      <c r="L23" s="31">
        <f>'FS Desroches Daily'!R25</f>
        <v>2</v>
      </c>
      <c r="M23" s="31">
        <f>'FS Desroches Daily'!T25</f>
        <v>62.399999999906868</v>
      </c>
      <c r="N23" s="31">
        <f>'FS Desroches Daily'!V25</f>
        <v>49.800000000046566</v>
      </c>
      <c r="O23" s="31">
        <f>'FS Desroches Daily'!X25</f>
        <v>90.000000000031832</v>
      </c>
      <c r="P23" s="31">
        <f>'FS Desroches Daily'!Z25</f>
        <v>300.000000000189</v>
      </c>
      <c r="Q23" s="31" t="str">
        <f>'FS Desroches Daily'!AB25</f>
        <v/>
      </c>
      <c r="R23" s="31">
        <f>'FS Desroches Daily'!AD25</f>
        <v>120.00000000000455</v>
      </c>
      <c r="S23" s="31">
        <f>'FS Desroches Daily'!AF25</f>
        <v>139.99999999998636</v>
      </c>
      <c r="T23" s="31">
        <f>'FS Desroches Daily'!AH25</f>
        <v>0.8000000000001819</v>
      </c>
      <c r="U23" s="35">
        <f>'FS Desroches Daily'!AJ25</f>
        <v>399.99999999997726</v>
      </c>
      <c r="V23" s="35">
        <f>'FS Desroches Daily'!AL25</f>
        <v>109.99999999998522</v>
      </c>
      <c r="W23" s="35">
        <f>'FS Desroches Daily'!AN25</f>
        <v>129.99999999999545</v>
      </c>
      <c r="X23" s="35">
        <f>'FS Desroches Daily'!AP25</f>
        <v>90.000000000003411</v>
      </c>
      <c r="Y23" s="35">
        <f>'FS Desroches Daily'!AR25</f>
        <v>20.000000000010232</v>
      </c>
      <c r="Z23" s="35">
        <f>'FS Desroches Daily'!AT25</f>
        <v>30.000000000029559</v>
      </c>
      <c r="AA23" s="35">
        <f>'FS Desroches Daily'!AT25</f>
        <v>30.000000000029559</v>
      </c>
      <c r="AB23" s="35">
        <f>'FS Desroches Daily'!AV25</f>
        <v>19.99999999998181</v>
      </c>
      <c r="AC23" s="35">
        <f>'FS Desroches Daily'!AZ25</f>
        <v>30.000000000029559</v>
      </c>
      <c r="AD23" s="35">
        <f>'FS Desroches Daily'!BB25</f>
        <v>9.9999999999909051</v>
      </c>
      <c r="AE23" s="35">
        <f>'FS Desroches Daily'!BD25</f>
        <v>9.9999999999909051</v>
      </c>
      <c r="AF23" s="31">
        <f>'FS Desroches Daily'!BF25</f>
        <v>23</v>
      </c>
      <c r="AG23" s="32">
        <f>'FS Desroches Daily'!BH25</f>
        <v>20.000000000010232</v>
      </c>
      <c r="AH23" s="32" t="str">
        <f>'FS Desroches Daily'!BJ25</f>
        <v/>
      </c>
      <c r="AI23" s="32">
        <f>'FS Desroches Daily'!BL25</f>
        <v>9.9999999999909051</v>
      </c>
      <c r="AJ23" s="32">
        <f>'FS Desroches Daily'!BN25</f>
        <v>10.000000000019327</v>
      </c>
      <c r="AK23" s="32">
        <f>'FS Desroches Daily'!BP25</f>
        <v>20.000000000038654</v>
      </c>
      <c r="AL23" s="32">
        <f>'FS Desroches Daily'!BR25</f>
        <v>12</v>
      </c>
      <c r="AM23" s="32">
        <f>'FS Desroches Daily'!BT25</f>
        <v>9.9999999999909051</v>
      </c>
      <c r="AN23" s="32">
        <f>'FS Desroches Daily'!BV25</f>
        <v>20</v>
      </c>
      <c r="AO23" s="32">
        <f>'FS Desroches Daily'!BX25</f>
        <v>19.99999999998181</v>
      </c>
      <c r="AP23" s="32">
        <f>'FS Desroches Daily'!BZ25</f>
        <v>18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23.69999999999709</v>
      </c>
      <c r="AU23" s="31">
        <f>'FS Desroches Daily'!CJ25</f>
        <v>195</v>
      </c>
      <c r="AV23" s="31">
        <f>'FS Desroches Daily'!CL25</f>
        <v>379.99999999999545</v>
      </c>
      <c r="AW23" s="31">
        <f>'FS Desroches Daily'!CM25</f>
        <v>13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5.4944999999999995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11</v>
      </c>
      <c r="D24" s="27">
        <v>2020</v>
      </c>
      <c r="E24" s="31">
        <f>'FS Desroches Daily'!D26</f>
        <v>1500.0000000000568</v>
      </c>
      <c r="F24" s="32">
        <f>'FS Desroches Daily'!F26</f>
        <v>700.00000000014495</v>
      </c>
      <c r="G24" s="31">
        <f>'FS Desroches Daily'!H26</f>
        <v>1799.9999999998017</v>
      </c>
      <c r="H24" s="32">
        <f>'FS Desroches Daily'!J26</f>
        <v>899.99999999990087</v>
      </c>
      <c r="I24" s="31">
        <f>'FS Desroches Daily'!L26</f>
        <v>1900.0000000000127</v>
      </c>
      <c r="J24" s="32">
        <f>'FS Desroches Daily'!N26</f>
        <v>599.99999999993395</v>
      </c>
      <c r="K24" s="13">
        <f>'FS Desroches Daily'!P26</f>
        <v>1</v>
      </c>
      <c r="L24" s="31">
        <f>'FS Desroches Daily'!R26</f>
        <v>3</v>
      </c>
      <c r="M24" s="31">
        <f>'FS Desroches Daily'!T26</f>
        <v>371.20000000006985</v>
      </c>
      <c r="N24" s="31">
        <f>'FS Desroches Daily'!V26</f>
        <v>162.29999999998836</v>
      </c>
      <c r="O24" s="31">
        <f>'FS Desroches Daily'!X26</f>
        <v>109.9999999999568</v>
      </c>
      <c r="P24" s="31">
        <f>'FS Desroches Daily'!Z26</f>
        <v>500.00000000016701</v>
      </c>
      <c r="Q24" s="31">
        <f>'FS Desroches Daily'!AB26</f>
        <v>649.99999999997726</v>
      </c>
      <c r="R24" s="31">
        <f>'FS Desroches Daily'!AD26</f>
        <v>159.99999999996817</v>
      </c>
      <c r="S24" s="31">
        <f>'FS Desroches Daily'!AF26</f>
        <v>220.00000000002728</v>
      </c>
      <c r="T24" s="31">
        <f>'FS Desroches Daily'!AH26</f>
        <v>1.0999999999999091</v>
      </c>
      <c r="U24" s="35">
        <f>'FS Desroches Daily'!AJ26</f>
        <v>540.00000000002046</v>
      </c>
      <c r="V24" s="35">
        <f>'FS Desroches Daily'!AL26</f>
        <v>159.99999999999659</v>
      </c>
      <c r="W24" s="35">
        <f>'FS Desroches Daily'!AN26</f>
        <v>150.00000000000568</v>
      </c>
      <c r="X24" s="35">
        <f>'FS Desroches Daily'!AP26</f>
        <v>129.99999999999545</v>
      </c>
      <c r="Y24" s="35">
        <f>'FS Desroches Daily'!AR26</f>
        <v>39.999999999992042</v>
      </c>
      <c r="Z24" s="35">
        <f>'FS Desroches Daily'!AT26</f>
        <v>29.999999999972715</v>
      </c>
      <c r="AA24" s="35">
        <f>'FS Desroches Daily'!AT26</f>
        <v>29.999999999972715</v>
      </c>
      <c r="AB24" s="35">
        <f>'FS Desroches Daily'!AV26</f>
        <v>29.999999999972715</v>
      </c>
      <c r="AC24" s="35">
        <f>'FS Desroches Daily'!AZ26</f>
        <v>19.99999999998181</v>
      </c>
      <c r="AD24" s="35">
        <f>'FS Desroches Daily'!BB26</f>
        <v>170.00000000001592</v>
      </c>
      <c r="AE24" s="35">
        <f>'FS Desroches Daily'!BD26</f>
        <v>20.000000000010232</v>
      </c>
      <c r="AF24" s="31">
        <f>'FS Desroches Daily'!BF26</f>
        <v>28</v>
      </c>
      <c r="AG24" s="32" t="str">
        <f>'FS Desroches Daily'!BH26</f>
        <v/>
      </c>
      <c r="AH24" s="32">
        <f>'FS Desroches Daily'!BJ26</f>
        <v>220.00000000002728</v>
      </c>
      <c r="AI24" s="32">
        <f>'FS Desroches Daily'!BL26</f>
        <v>9.9999999999909051</v>
      </c>
      <c r="AJ24" s="32">
        <f>'FS Desroches Daily'!BN26</f>
        <v>19.99999999998181</v>
      </c>
      <c r="AK24" s="32">
        <f>'FS Desroches Daily'!BP26</f>
        <v>29.999999999972715</v>
      </c>
      <c r="AL24" s="32">
        <f>'FS Desroches Daily'!BR26</f>
        <v>12</v>
      </c>
      <c r="AM24" s="32">
        <f>'FS Desroches Daily'!BT26</f>
        <v>9.9999999999909051</v>
      </c>
      <c r="AN24" s="32">
        <f>'FS Desroches Daily'!BV26</f>
        <v>22</v>
      </c>
      <c r="AO24" s="32">
        <f>'FS Desroches Daily'!BX26</f>
        <v>10.000000000019327</v>
      </c>
      <c r="AP24" s="32">
        <f>'FS Desroches Daily'!BZ26</f>
        <v>18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32.599999999998545</v>
      </c>
      <c r="AU24" s="31">
        <f>'FS Desroches Daily'!CJ26</f>
        <v>209</v>
      </c>
      <c r="AV24" s="31">
        <f>'FS Desroches Daily'!CL26</f>
        <v>520.0000000000955</v>
      </c>
      <c r="AW24" s="31">
        <f>'FS Desroches Daily'!CM26</f>
        <v>34.5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5.4944999999999995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11</v>
      </c>
      <c r="D25" s="27">
        <v>2020</v>
      </c>
      <c r="E25" s="31">
        <f>'FS Desroches Daily'!D27</f>
        <v>1399.9999999998458</v>
      </c>
      <c r="F25" s="32">
        <f>'FS Desroches Daily'!F27</f>
        <v>599.99999999993395</v>
      </c>
      <c r="G25" s="31">
        <f>'FS Desroches Daily'!H27</f>
        <v>1900.0000000000127</v>
      </c>
      <c r="H25" s="32">
        <f>'FS Desroches Daily'!J27</f>
        <v>900.0000000001229</v>
      </c>
      <c r="I25" s="31">
        <f>'FS Desroches Daily'!L27</f>
        <v>1799.9999999998017</v>
      </c>
      <c r="J25" s="32">
        <f>'FS Desroches Daily'!N27</f>
        <v>600.00000000015598</v>
      </c>
      <c r="K25" s="13">
        <f>'FS Desroches Daily'!P27</f>
        <v>1</v>
      </c>
      <c r="L25" s="31">
        <f>'FS Desroches Daily'!R27</f>
        <v>3</v>
      </c>
      <c r="M25" s="31">
        <f>'FS Desroches Daily'!T27</f>
        <v>368.79999999993015</v>
      </c>
      <c r="N25" s="31">
        <f>'FS Desroches Daily'!V27</f>
        <v>169</v>
      </c>
      <c r="O25" s="31">
        <f>'FS Desroches Daily'!X27</f>
        <v>90.000000000031832</v>
      </c>
      <c r="P25" s="31">
        <f>'FS Desroches Daily'!Z27</f>
        <v>499.99999999972289</v>
      </c>
      <c r="Q25" s="31">
        <f>'FS Desroches Daily'!AB27</f>
        <v>139.99999999998636</v>
      </c>
      <c r="R25" s="31">
        <f>'FS Desroches Daily'!AD27</f>
        <v>129.99999999999545</v>
      </c>
      <c r="S25" s="31">
        <f>'FS Desroches Daily'!AF27</f>
        <v>179.99999999994998</v>
      </c>
      <c r="T25" s="31">
        <f>'FS Desroches Daily'!AH27</f>
        <v>0.90000000000009095</v>
      </c>
      <c r="U25" s="35">
        <f>'FS Desroches Daily'!AJ27</f>
        <v>420.00000000001592</v>
      </c>
      <c r="V25" s="35">
        <f>'FS Desroches Daily'!AL27</f>
        <v>129.99999999999545</v>
      </c>
      <c r="W25" s="35">
        <f>'FS Desroches Daily'!AN27</f>
        <v>129.99999999999545</v>
      </c>
      <c r="X25" s="35">
        <f>'FS Desroches Daily'!AP27</f>
        <v>99.999999999994316</v>
      </c>
      <c r="Y25" s="35">
        <f>'FS Desroches Daily'!AR27</f>
        <v>110.00000000001364</v>
      </c>
      <c r="Z25" s="35">
        <f>'FS Desroches Daily'!AT27</f>
        <v>40.000000000020464</v>
      </c>
      <c r="AA25" s="35">
        <f>'FS Desroches Daily'!AT27</f>
        <v>40.000000000020464</v>
      </c>
      <c r="AB25" s="35">
        <f>'FS Desroches Daily'!AV27</f>
        <v>40.000000000020464</v>
      </c>
      <c r="AC25" s="35">
        <f>'FS Desroches Daily'!AZ27</f>
        <v>50.000000000011369</v>
      </c>
      <c r="AD25" s="35">
        <f>'FS Desroches Daily'!BB27</f>
        <v>109.9999999999568</v>
      </c>
      <c r="AE25" s="35">
        <f>'FS Desroches Daily'!BD27</f>
        <v>9.9999999999909051</v>
      </c>
      <c r="AF25" s="31">
        <f>'FS Desroches Daily'!BF27</f>
        <v>32</v>
      </c>
      <c r="AG25" s="32">
        <f>'FS Desroches Daily'!BH27</f>
        <v>329.99999999998408</v>
      </c>
      <c r="AH25" s="32">
        <f>'FS Desroches Daily'!BJ27</f>
        <v>19.99999999998181</v>
      </c>
      <c r="AI25" s="32">
        <f>'FS Desroches Daily'!BL27</f>
        <v>10.000000000019327</v>
      </c>
      <c r="AJ25" s="32">
        <f>'FS Desroches Daily'!BN27</f>
        <v>20.000000000010232</v>
      </c>
      <c r="AK25" s="32">
        <f>'FS Desroches Daily'!BP27</f>
        <v>19.99999999998181</v>
      </c>
      <c r="AL25" s="32">
        <f>'FS Desroches Daily'!BR27</f>
        <v>13</v>
      </c>
      <c r="AM25" s="32">
        <f>'FS Desroches Daily'!BT27</f>
        <v>10.000000000019327</v>
      </c>
      <c r="AN25" s="32">
        <f>'FS Desroches Daily'!BV27</f>
        <v>23</v>
      </c>
      <c r="AO25" s="32">
        <f>'FS Desroches Daily'!BX27</f>
        <v>19.99999999998181</v>
      </c>
      <c r="AP25" s="32">
        <f>'FS Desroches Daily'!BZ27</f>
        <v>17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31.5</v>
      </c>
      <c r="AU25" s="31">
        <f>'FS Desroches Daily'!CJ27</f>
        <v>222</v>
      </c>
      <c r="AV25" s="31">
        <f>'FS Desroches Daily'!CL27</f>
        <v>509.99999999999091</v>
      </c>
      <c r="AW25" s="31">
        <f>'FS Desroches Daily'!CM27</f>
        <v>24.200000000000045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7.3259999999999996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11</v>
      </c>
      <c r="D26" s="27">
        <v>2020</v>
      </c>
      <c r="E26" s="31">
        <f>'FS Desroches Daily'!D28</f>
        <v>1400.0000000000678</v>
      </c>
      <c r="F26" s="32">
        <f>'FS Desroches Daily'!F28</f>
        <v>799.99999999991189</v>
      </c>
      <c r="G26" s="31">
        <f>'FS Desroches Daily'!H28</f>
        <v>2000.0000000002237</v>
      </c>
      <c r="H26" s="32">
        <f>'FS Desroches Daily'!J28</f>
        <v>899.99999999990087</v>
      </c>
      <c r="I26" s="31">
        <f>'FS Desroches Daily'!L28</f>
        <v>1800.0000000002458</v>
      </c>
      <c r="J26" s="32">
        <f>'FS Desroches Daily'!N28</f>
        <v>499.99999999994492</v>
      </c>
      <c r="K26" s="13">
        <f>'FS Desroches Daily'!P28</f>
        <v>1</v>
      </c>
      <c r="L26" s="31">
        <f>'FS Desroches Daily'!R28</f>
        <v>2</v>
      </c>
      <c r="M26" s="31">
        <f>'FS Desroches Daily'!T28</f>
        <v>469</v>
      </c>
      <c r="N26" s="31">
        <f>'FS Desroches Daily'!V28</f>
        <v>213.89999999996508</v>
      </c>
      <c r="O26" s="31">
        <f>'FS Desroches Daily'!X28</f>
        <v>110.00000000001364</v>
      </c>
      <c r="P26" s="31">
        <f>'FS Desroches Daily'!Z28</f>
        <v>500.00000000016701</v>
      </c>
      <c r="Q26" s="31">
        <f>'FS Desroches Daily'!AB28</f>
        <v>139.99999999998636</v>
      </c>
      <c r="R26" s="31">
        <f>'FS Desroches Daily'!AD28</f>
        <v>150.00000000003411</v>
      </c>
      <c r="S26" s="31">
        <f>'FS Desroches Daily'!AF28</f>
        <v>190.00000000005457</v>
      </c>
      <c r="T26" s="31">
        <f>'FS Desroches Daily'!AH28</f>
        <v>1.1999999999998181</v>
      </c>
      <c r="U26" s="35">
        <f>'FS Desroches Daily'!AJ28</f>
        <v>240.00000000000909</v>
      </c>
      <c r="V26" s="35">
        <f>'FS Desroches Daily'!AL28</f>
        <v>170.00000000001592</v>
      </c>
      <c r="W26" s="35">
        <f>'FS Desroches Daily'!AN28</f>
        <v>150.00000000000568</v>
      </c>
      <c r="X26" s="35">
        <f>'FS Desroches Daily'!AP28</f>
        <v>169.99999999998749</v>
      </c>
      <c r="Y26" s="35">
        <f>'FS Desroches Daily'!AR28</f>
        <v>139.99999999998636</v>
      </c>
      <c r="Z26" s="35">
        <f>'FS Desroches Daily'!AT28</f>
        <v>60.000000000002274</v>
      </c>
      <c r="AA26" s="35">
        <f>'FS Desroches Daily'!AT28</f>
        <v>60.000000000002274</v>
      </c>
      <c r="AB26" s="35">
        <f>'FS Desroches Daily'!AV28</f>
        <v>40.000000000020464</v>
      </c>
      <c r="AC26" s="35">
        <f>'FS Desroches Daily'!AZ28</f>
        <v>30.000000000029559</v>
      </c>
      <c r="AD26" s="35">
        <f>'FS Desroches Daily'!BB28</f>
        <v>120.00000000000455</v>
      </c>
      <c r="AE26" s="35">
        <f>'FS Desroches Daily'!BD28</f>
        <v>20.000000000010232</v>
      </c>
      <c r="AF26" s="31">
        <f>'FS Desroches Daily'!BF28</f>
        <v>24</v>
      </c>
      <c r="AG26" s="32">
        <f>'FS Desroches Daily'!BH28</f>
        <v>310.00000000000227</v>
      </c>
      <c r="AH26" s="32">
        <f>'FS Desroches Daily'!BJ28</f>
        <v>19.99999999998181</v>
      </c>
      <c r="AI26" s="32">
        <f>'FS Desroches Daily'!BL28</f>
        <v>9.9999999999909051</v>
      </c>
      <c r="AJ26" s="32">
        <f>'FS Desroches Daily'!BN28</f>
        <v>9.9999999999909051</v>
      </c>
      <c r="AK26" s="32">
        <f>'FS Desroches Daily'!BP28</f>
        <v>20.000000000038654</v>
      </c>
      <c r="AL26" s="32">
        <f>'FS Desroches Daily'!BR28</f>
        <v>13</v>
      </c>
      <c r="AM26" s="32">
        <f>'FS Desroches Daily'!BT28</f>
        <v>9.9999999999909051</v>
      </c>
      <c r="AN26" s="32">
        <f>'FS Desroches Daily'!BV28</f>
        <v>27</v>
      </c>
      <c r="AO26" s="32">
        <f>'FS Desroches Daily'!BX28</f>
        <v>20.000000000010232</v>
      </c>
      <c r="AP26" s="32">
        <f>'FS Desroches Daily'!BZ28</f>
        <v>23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32</v>
      </c>
      <c r="AU26" s="31">
        <f>'FS Desroches Daily'!CJ28</f>
        <v>235</v>
      </c>
      <c r="AV26" s="31">
        <f>'FS Desroches Daily'!CL28</f>
        <v>549.99999999995453</v>
      </c>
      <c r="AW26" s="31">
        <f>'FS Desroches Daily'!CM28</f>
        <v>30.700000000000045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5.4944999999999995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11</v>
      </c>
      <c r="D27" s="27">
        <v>2020</v>
      </c>
      <c r="E27" s="31">
        <f>'FS Desroches Daily'!D29</f>
        <v>1200.0000000000898</v>
      </c>
      <c r="F27" s="32">
        <f>'FS Desroches Daily'!F29</f>
        <v>700.00000000014495</v>
      </c>
      <c r="G27" s="31">
        <f>'FS Desroches Daily'!H29</f>
        <v>1599.9999999998238</v>
      </c>
      <c r="H27" s="32">
        <f>'FS Desroches Daily'!J29</f>
        <v>800.00000000013392</v>
      </c>
      <c r="I27" s="31">
        <f>'FS Desroches Daily'!L29</f>
        <v>1700.0000000000348</v>
      </c>
      <c r="J27" s="32">
        <f>'FS Desroches Daily'!N29</f>
        <v>499.99999999994492</v>
      </c>
      <c r="K27" s="13">
        <f>'FS Desroches Daily'!P29</f>
        <v>1</v>
      </c>
      <c r="L27" s="31">
        <f>'FS Desroches Daily'!R29</f>
        <v>3</v>
      </c>
      <c r="M27" s="31">
        <f>'FS Desroches Daily'!T29</f>
        <v>366.40000000002328</v>
      </c>
      <c r="N27" s="31">
        <f>'FS Desroches Daily'!V29</f>
        <v>148.40000000002328</v>
      </c>
      <c r="O27" s="31">
        <f>'FS Desroches Daily'!X29</f>
        <v>89.999999999974989</v>
      </c>
      <c r="P27" s="31">
        <f>'FS Desroches Daily'!Z29</f>
        <v>599.99999999993395</v>
      </c>
      <c r="Q27" s="31">
        <f>'FS Desroches Daily'!AB29</f>
        <v>120.00000000000455</v>
      </c>
      <c r="R27" s="31">
        <f>'FS Desroches Daily'!AD29</f>
        <v>109.9999999999568</v>
      </c>
      <c r="S27" s="31">
        <f>'FS Desroches Daily'!AF29</f>
        <v>159.99999999996817</v>
      </c>
      <c r="T27" s="31">
        <f>'FS Desroches Daily'!AH29</f>
        <v>0.90000000000009095</v>
      </c>
      <c r="U27" s="35">
        <f>'FS Desroches Daily'!AJ29</f>
        <v>250</v>
      </c>
      <c r="V27" s="35">
        <f>'FS Desroches Daily'!AL29</f>
        <v>109.99999999998522</v>
      </c>
      <c r="W27" s="35">
        <f>'FS Desroches Daily'!AN29</f>
        <v>129.99999999999545</v>
      </c>
      <c r="X27" s="35">
        <f>'FS Desroches Daily'!AP29</f>
        <v>110.00000000001364</v>
      </c>
      <c r="Y27" s="35">
        <f>'FS Desroches Daily'!AR29</f>
        <v>99.999999999994316</v>
      </c>
      <c r="Z27" s="35">
        <f>'FS Desroches Daily'!AT29</f>
        <v>69.999999999993179</v>
      </c>
      <c r="AA27" s="35">
        <f>'FS Desroches Daily'!AT29</f>
        <v>69.999999999993179</v>
      </c>
      <c r="AB27" s="35">
        <f>'FS Desroches Daily'!AV29</f>
        <v>60.000000000002274</v>
      </c>
      <c r="AC27" s="35">
        <f>'FS Desroches Daily'!AZ29</f>
        <v>39.99999999996362</v>
      </c>
      <c r="AD27" s="35">
        <f>'FS Desroches Daily'!BB29</f>
        <v>80.000000000040927</v>
      </c>
      <c r="AE27" s="35">
        <f>'FS Desroches Daily'!BD29</f>
        <v>9.9999999999909051</v>
      </c>
      <c r="AF27" s="31">
        <f>'FS Desroches Daily'!BF29</f>
        <v>19</v>
      </c>
      <c r="AG27" s="32">
        <f>'FS Desroches Daily'!BH29</f>
        <v>10.000000000019327</v>
      </c>
      <c r="AH27" s="32">
        <f>'FS Desroches Daily'!BJ29</f>
        <v>20.000000000038654</v>
      </c>
      <c r="AI27" s="32">
        <f>'FS Desroches Daily'!BL29</f>
        <v>9.9999999999909051</v>
      </c>
      <c r="AJ27" s="32">
        <f>'FS Desroches Daily'!BN29</f>
        <v>20.000000000010232</v>
      </c>
      <c r="AK27" s="32">
        <f>'FS Desroches Daily'!BP29</f>
        <v>19.99999999998181</v>
      </c>
      <c r="AL27" s="32">
        <f>'FS Desroches Daily'!BR29</f>
        <v>12</v>
      </c>
      <c r="AM27" s="32">
        <f>'FS Desroches Daily'!BT29</f>
        <v>9.9999999999909051</v>
      </c>
      <c r="AN27" s="32">
        <f>'FS Desroches Daily'!BV29</f>
        <v>21</v>
      </c>
      <c r="AO27" s="32">
        <f>'FS Desroches Daily'!BX29</f>
        <v>9.9999999999909051</v>
      </c>
      <c r="AP27" s="32">
        <f>'FS Desroches Daily'!BZ29</f>
        <v>18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19.30000000000291</v>
      </c>
      <c r="AU27" s="31">
        <f>'FS Desroches Daily'!CJ29</f>
        <v>216</v>
      </c>
      <c r="AV27" s="31">
        <f>'FS Desroches Daily'!CL29</f>
        <v>370.00000000000455</v>
      </c>
      <c r="AW27" s="31">
        <f>'FS Desroches Daily'!CM29</f>
        <v>24.099999999999909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7.3259999999999996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11</v>
      </c>
      <c r="D28" s="27">
        <v>2020</v>
      </c>
      <c r="E28" s="31">
        <f>'FS Desroches Daily'!D30</f>
        <v>1499.9999999998347</v>
      </c>
      <c r="F28" s="32">
        <f>'FS Desroches Daily'!F30</f>
        <v>799.99999999991189</v>
      </c>
      <c r="G28" s="31">
        <f>'FS Desroches Daily'!H30</f>
        <v>2000.0000000002237</v>
      </c>
      <c r="H28" s="32">
        <f>'FS Desroches Daily'!J30</f>
        <v>999.99999999988984</v>
      </c>
      <c r="I28" s="31">
        <f>'FS Desroches Daily'!L30</f>
        <v>1799.9999999998017</v>
      </c>
      <c r="J28" s="32">
        <f>'FS Desroches Daily'!N30</f>
        <v>699.99999999992292</v>
      </c>
      <c r="K28" s="13">
        <f>'FS Desroches Daily'!P30</f>
        <v>1</v>
      </c>
      <c r="L28" s="31">
        <f>'FS Desroches Daily'!R30</f>
        <v>2</v>
      </c>
      <c r="M28" s="31">
        <f>'FS Desroches Daily'!T30</f>
        <v>401.59999999997672</v>
      </c>
      <c r="N28" s="31">
        <f>'FS Desroches Daily'!V30</f>
        <v>217.5</v>
      </c>
      <c r="O28" s="31">
        <f>'FS Desroches Daily'!X30</f>
        <v>110.00000000001364</v>
      </c>
      <c r="P28" s="31">
        <f>'FS Desroches Daily'!Z30</f>
        <v>599.99999999993395</v>
      </c>
      <c r="Q28" s="31">
        <f>'FS Desroches Daily'!AB30</f>
        <v>140.0000000000432</v>
      </c>
      <c r="R28" s="31">
        <f>'FS Desroches Daily'!AD30</f>
        <v>150.00000000003411</v>
      </c>
      <c r="S28" s="31">
        <f>'FS Desroches Daily'!AF30</f>
        <v>220.00000000002728</v>
      </c>
      <c r="T28" s="31">
        <f>'FS Desroches Daily'!AH30</f>
        <v>1.2000000000000455</v>
      </c>
      <c r="U28" s="35">
        <f>'FS Desroches Daily'!AJ30</f>
        <v>250</v>
      </c>
      <c r="V28" s="35">
        <f>'FS Desroches Daily'!AL30</f>
        <v>170.00000000001592</v>
      </c>
      <c r="W28" s="35">
        <f>'FS Desroches Daily'!AN30</f>
        <v>159.99999999999659</v>
      </c>
      <c r="X28" s="35">
        <f>'FS Desroches Daily'!AP30</f>
        <v>139.99999999998636</v>
      </c>
      <c r="Y28" s="35">
        <f>'FS Desroches Daily'!AR30</f>
        <v>120.00000000000455</v>
      </c>
      <c r="Z28" s="35">
        <f>'FS Desroches Daily'!AT30</f>
        <v>90.000000000031832</v>
      </c>
      <c r="AA28" s="35">
        <f>'FS Desroches Daily'!AT30</f>
        <v>90.000000000031832</v>
      </c>
      <c r="AB28" s="35">
        <f>'FS Desroches Daily'!AV30</f>
        <v>0</v>
      </c>
      <c r="AC28" s="35">
        <f>'FS Desroches Daily'!AZ30</f>
        <v>40.000000000020464</v>
      </c>
      <c r="AD28" s="35">
        <f>'FS Desroches Daily'!BB30</f>
        <v>99.999999999965894</v>
      </c>
      <c r="AE28" s="35">
        <f>'FS Desroches Daily'!BD30</f>
        <v>20.000000000010232</v>
      </c>
      <c r="AF28" s="31">
        <f>'FS Desroches Daily'!BF30</f>
        <v>31</v>
      </c>
      <c r="AG28" s="32">
        <f>'FS Desroches Daily'!BH30</f>
        <v>19.99999999998181</v>
      </c>
      <c r="AH28" s="32">
        <f>'FS Desroches Daily'!BJ30</f>
        <v>9.9999999999909051</v>
      </c>
      <c r="AI28" s="32">
        <f>'FS Desroches Daily'!BL30</f>
        <v>10.000000000019327</v>
      </c>
      <c r="AJ28" s="32">
        <f>'FS Desroches Daily'!BN30</f>
        <v>9.9999999999909051</v>
      </c>
      <c r="AK28" s="32">
        <f>'FS Desroches Daily'!BP30</f>
        <v>19.99999999998181</v>
      </c>
      <c r="AL28" s="32">
        <f>'FS Desroches Daily'!BR30</f>
        <v>13</v>
      </c>
      <c r="AM28" s="32">
        <f>'FS Desroches Daily'!BT30</f>
        <v>20.000000000010232</v>
      </c>
      <c r="AN28" s="32">
        <f>'FS Desroches Daily'!BV30</f>
        <v>29</v>
      </c>
      <c r="AO28" s="32">
        <f>'FS Desroches Daily'!BX30</f>
        <v>20.000000000010232</v>
      </c>
      <c r="AP28" s="32">
        <f>'FS Desroches Daily'!BZ30</f>
        <v>25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30.099999999998545</v>
      </c>
      <c r="AU28" s="31">
        <f>'FS Desroches Daily'!CJ30</f>
        <v>225</v>
      </c>
      <c r="AV28" s="31">
        <f>'FS Desroches Daily'!CL30</f>
        <v>559.99999999994543</v>
      </c>
      <c r="AW28" s="31">
        <f>'FS Desroches Daily'!CM30</f>
        <v>32.700000000000045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7.3259999999999996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11</v>
      </c>
      <c r="D29" s="27">
        <v>2020</v>
      </c>
      <c r="E29" s="31">
        <f>'FS Desroches Daily'!D31</f>
        <v>1700.0000000000348</v>
      </c>
      <c r="F29" s="32">
        <f>'FS Desroches Daily'!F31</f>
        <v>900.0000000001229</v>
      </c>
      <c r="G29" s="31">
        <f>'FS Desroches Daily'!H31</f>
        <v>1799.9999999998017</v>
      </c>
      <c r="H29" s="32">
        <f>'FS Desroches Daily'!J31</f>
        <v>1000.0000000001119</v>
      </c>
      <c r="I29" s="31">
        <f>'FS Desroches Daily'!L31</f>
        <v>2099.9999999999909</v>
      </c>
      <c r="J29" s="32">
        <f>'FS Desroches Daily'!N31</f>
        <v>600.00000000015598</v>
      </c>
      <c r="K29" s="13">
        <f>'FS Desroches Daily'!P31</f>
        <v>1</v>
      </c>
      <c r="L29" s="31">
        <f>'FS Desroches Daily'!R31</f>
        <v>3</v>
      </c>
      <c r="M29" s="31">
        <f>'FS Desroches Daily'!T31</f>
        <v>257.80000000004657</v>
      </c>
      <c r="N29" s="31">
        <f>'FS Desroches Daily'!V31</f>
        <v>120</v>
      </c>
      <c r="O29" s="31">
        <f>'FS Desroches Daily'!X31</f>
        <v>99.999999999965894</v>
      </c>
      <c r="P29" s="31">
        <f>'FS Desroches Daily'!Z31</f>
        <v>700.00000000014495</v>
      </c>
      <c r="Q29" s="31">
        <f>'FS Desroches Daily'!AB31</f>
        <v>159.99999999996817</v>
      </c>
      <c r="R29" s="31">
        <f>'FS Desroches Daily'!AD31</f>
        <v>180.00000000000682</v>
      </c>
      <c r="S29" s="31">
        <f>'FS Desroches Daily'!AF31</f>
        <v>179.99999999994998</v>
      </c>
      <c r="T29" s="31">
        <f>'FS Desroches Daily'!AH31</f>
        <v>1.2000000000000455</v>
      </c>
      <c r="U29" s="35">
        <f>'FS Desroches Daily'!AJ31</f>
        <v>259.99999999999091</v>
      </c>
      <c r="V29" s="35">
        <f>'FS Desroches Daily'!AL31</f>
        <v>189.99999999999773</v>
      </c>
      <c r="W29" s="35">
        <f>'FS Desroches Daily'!AN31</f>
        <v>180.00000000000682</v>
      </c>
      <c r="X29" s="35">
        <f>'FS Desroches Daily'!AP31</f>
        <v>170.00000000001592</v>
      </c>
      <c r="Y29" s="35">
        <f>'FS Desroches Daily'!AR31</f>
        <v>120.00000000000455</v>
      </c>
      <c r="Z29" s="35">
        <f>'FS Desroches Daily'!AT31</f>
        <v>139.99999999998636</v>
      </c>
      <c r="AA29" s="35">
        <f>'FS Desroches Daily'!AT31</f>
        <v>139.99999999998636</v>
      </c>
      <c r="AB29" s="35">
        <f>'FS Desroches Daily'!AV31</f>
        <v>100.00000000002274</v>
      </c>
      <c r="AC29" s="35">
        <f>'FS Desroches Daily'!AZ31</f>
        <v>129.99999999999545</v>
      </c>
      <c r="AD29" s="35">
        <f>'FS Desroches Daily'!BB31</f>
        <v>129.99999999999545</v>
      </c>
      <c r="AE29" s="35">
        <f>'FS Desroches Daily'!BD31</f>
        <v>19.99999999998181</v>
      </c>
      <c r="AF29" s="31">
        <f>'FS Desroches Daily'!BF31</f>
        <v>29</v>
      </c>
      <c r="AG29" s="32">
        <f>'FS Desroches Daily'!BH31</f>
        <v>20.000000000010232</v>
      </c>
      <c r="AH29" s="32">
        <f>'FS Desroches Daily'!BJ31</f>
        <v>29.999999999972715</v>
      </c>
      <c r="AI29" s="32">
        <f>'FS Desroches Daily'!BL31</f>
        <v>9.9999999999909051</v>
      </c>
      <c r="AJ29" s="32">
        <f>'FS Desroches Daily'!BN31</f>
        <v>20.000000000010232</v>
      </c>
      <c r="AK29" s="32">
        <f>'FS Desroches Daily'!BP31</f>
        <v>20.000000000038654</v>
      </c>
      <c r="AL29" s="32">
        <f>'FS Desroches Daily'!BR31</f>
        <v>15</v>
      </c>
      <c r="AM29" s="32">
        <f>'FS Desroches Daily'!BT31</f>
        <v>9.9999999999909051</v>
      </c>
      <c r="AN29" s="32">
        <f>'FS Desroches Daily'!BV31</f>
        <v>30</v>
      </c>
      <c r="AO29" s="32">
        <f>'FS Desroches Daily'!BX31</f>
        <v>19.99999999998181</v>
      </c>
      <c r="AP29" s="32">
        <f>'FS Desroches Daily'!BZ31</f>
        <v>23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34.900000000001455</v>
      </c>
      <c r="AU29" s="31">
        <f>'FS Desroches Daily'!CJ31</f>
        <v>243</v>
      </c>
      <c r="AV29" s="31">
        <f>'FS Desroches Daily'!CL31</f>
        <v>590.00000000003183</v>
      </c>
      <c r="AW29" s="31">
        <f>'FS Desroches Daily'!CM31</f>
        <v>33.600000000000136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 t="str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11</v>
      </c>
      <c r="D30" s="27">
        <v>2020</v>
      </c>
      <c r="E30" s="31" t="str">
        <f>'FS Desroches Daily'!D32</f>
        <v>0</v>
      </c>
      <c r="F30" s="32" t="str">
        <f>'FS Desroches Daily'!F32</f>
        <v>0</v>
      </c>
      <c r="G30" s="31" t="str">
        <f>'FS Desroches Daily'!H32</f>
        <v>0</v>
      </c>
      <c r="H30" s="32" t="str">
        <f>'FS Desroches Daily'!J32</f>
        <v>0</v>
      </c>
      <c r="I30" s="31" t="str">
        <f>'FS Desroches Daily'!L32</f>
        <v>0</v>
      </c>
      <c r="J30" s="32" t="str">
        <f>'FS Desroches Daily'!N32</f>
        <v/>
      </c>
      <c r="K30" s="13" t="str">
        <f>'FS Desroches Daily'!P32</f>
        <v/>
      </c>
      <c r="L30" s="31" t="str">
        <f>'FS Desroches Daily'!R32</f>
        <v/>
      </c>
      <c r="M30" s="31" t="str">
        <f>'FS Desroches Daily'!T32</f>
        <v/>
      </c>
      <c r="N30" s="31" t="str">
        <f>'FS Desroches Daily'!V32</f>
        <v/>
      </c>
      <c r="O30" s="31" t="str">
        <f>'FS Desroches Daily'!X32</f>
        <v/>
      </c>
      <c r="P30" s="31" t="str">
        <f>'FS Desroches Daily'!Z32</f>
        <v/>
      </c>
      <c r="Q30" s="31" t="str">
        <f>'FS Desroches Daily'!AB32</f>
        <v/>
      </c>
      <c r="R30" s="31" t="str">
        <f>'FS Desroches Daily'!AD32</f>
        <v/>
      </c>
      <c r="S30" s="31" t="str">
        <f>'FS Desroches Daily'!AF32</f>
        <v/>
      </c>
      <c r="T30" s="31" t="str">
        <f>'FS Desroches Daily'!AH32</f>
        <v/>
      </c>
      <c r="U30" s="35" t="str">
        <f>'FS Desroches Daily'!AJ32</f>
        <v/>
      </c>
      <c r="V30" s="35" t="str">
        <f>'FS Desroches Daily'!AL32</f>
        <v/>
      </c>
      <c r="W30" s="35" t="str">
        <f>'FS Desroches Daily'!AN32</f>
        <v/>
      </c>
      <c r="X30" s="35" t="str">
        <f>'FS Desroches Daily'!AP32</f>
        <v/>
      </c>
      <c r="Y30" s="35" t="str">
        <f>'FS Desroches Daily'!AR32</f>
        <v/>
      </c>
      <c r="Z30" s="35" t="str">
        <f>'FS Desroches Daily'!AT32</f>
        <v/>
      </c>
      <c r="AA30" s="35" t="str">
        <f>'FS Desroches Daily'!AT32</f>
        <v/>
      </c>
      <c r="AB30" s="35" t="str">
        <f>'FS Desroches Daily'!AV32</f>
        <v/>
      </c>
      <c r="AC30" s="35" t="str">
        <f>'FS Desroches Daily'!AZ32</f>
        <v/>
      </c>
      <c r="AD30" s="35" t="str">
        <f>'FS Desroches Daily'!BB32</f>
        <v/>
      </c>
      <c r="AE30" s="35" t="str">
        <f>'FS Desroches Daily'!BD32</f>
        <v/>
      </c>
      <c r="AF30" s="31" t="str">
        <f>'FS Desroches Daily'!BF32</f>
        <v/>
      </c>
      <c r="AG30" s="32" t="str">
        <f>'FS Desroches Daily'!BH32</f>
        <v/>
      </c>
      <c r="AH30" s="32" t="str">
        <f>'FS Desroches Daily'!BJ32</f>
        <v/>
      </c>
      <c r="AI30" s="32" t="str">
        <f>'FS Desroches Daily'!BL32</f>
        <v/>
      </c>
      <c r="AJ30" s="32" t="str">
        <f>'FS Desroches Daily'!BN32</f>
        <v/>
      </c>
      <c r="AK30" s="32" t="str">
        <f>'FS Desroches Daily'!BP32</f>
        <v/>
      </c>
      <c r="AL30" s="32" t="str">
        <f>'FS Desroches Daily'!BR32</f>
        <v/>
      </c>
      <c r="AM30" s="32" t="str">
        <f>'FS Desroches Daily'!BT32</f>
        <v/>
      </c>
      <c r="AN30" s="32" t="str">
        <f>'FS Desroches Daily'!BV32</f>
        <v/>
      </c>
      <c r="AO30" s="32" t="str">
        <f>'FS Desroches Daily'!BX32</f>
        <v/>
      </c>
      <c r="AP30" s="32" t="str">
        <f>'FS Desroches Daily'!BZ32</f>
        <v/>
      </c>
      <c r="AQ30" s="31" t="str">
        <f>'FS Desroches Daily'!CB32</f>
        <v/>
      </c>
      <c r="AR30" s="31" t="str">
        <f>'FS Desroches Daily'!CD32</f>
        <v/>
      </c>
      <c r="AS30" s="31" t="str">
        <f>'FS Desroches Daily'!CF32</f>
        <v/>
      </c>
      <c r="AT30" s="31" t="str">
        <f>'FS Desroches Daily'!CH32</f>
        <v/>
      </c>
      <c r="AU30" s="31" t="str">
        <f>'FS Desroches Daily'!CJ32</f>
        <v/>
      </c>
      <c r="AV30" s="31" t="str">
        <f>'FS Desroches Daily'!CL32</f>
        <v/>
      </c>
      <c r="AW30" s="31" t="e">
        <f>'FS Desroches Daily'!CM32</f>
        <v>#VALUE!</v>
      </c>
      <c r="AX30" s="31" t="str">
        <f>IF(LPG!F38-LPG!F36&lt;0,"0",(LPG!F38-LPG!F36)*1.8315)</f>
        <v>0</v>
      </c>
      <c r="AY30" s="31" t="str">
        <f>IF(LPG!H38-LPG!H36&lt;0,"0",(LPG!H38-LPG!H36)*1.8315)</f>
        <v>0</v>
      </c>
      <c r="AZ30" s="31" t="str">
        <f>IF(LPG!J38-LPG!J36&lt;0,"0",(LPG!J38-LPG!J36)*1.8315)</f>
        <v>0</v>
      </c>
      <c r="BA30" s="31" t="str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11</v>
      </c>
      <c r="D31" s="27">
        <v>2020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 t="str">
        <f>IF(LPG!F39-LPG!F37&lt;0,"0",(LPG!F39-LPG!F37)*1.8315)</f>
        <v>0</v>
      </c>
      <c r="AY31" s="31" t="str">
        <f>IF(LPG!H39-LPG!H37&lt;0,"0",(LPG!H39-LPG!H37)*1.8315)</f>
        <v>0</v>
      </c>
      <c r="AZ31" s="31" t="str">
        <f>IF(LPG!J39-LPG!J37&lt;0,"0",(LPG!J39-LPG!J37)*1.8315)</f>
        <v>0</v>
      </c>
      <c r="BA31" s="31" t="str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11</v>
      </c>
      <c r="D32" s="27">
        <v>2020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35099.99999999992</v>
      </c>
      <c r="F33" s="17">
        <f t="shared" ref="F33:BC33" si="1">SUM(F2:F32)</f>
        <v>18900.000000000371</v>
      </c>
      <c r="G33" s="17">
        <f t="shared" si="1"/>
        <v>45999.99999999984</v>
      </c>
      <c r="H33" s="17">
        <f t="shared" si="1"/>
        <v>23900.000000000047</v>
      </c>
      <c r="I33" s="17">
        <f t="shared" si="1"/>
        <v>51800.000000000087</v>
      </c>
      <c r="J33" s="17">
        <f t="shared" si="1"/>
        <v>16500.000000000186</v>
      </c>
      <c r="K33" s="17">
        <f t="shared" si="1"/>
        <v>26</v>
      </c>
      <c r="L33" s="17">
        <f t="shared" si="1"/>
        <v>73</v>
      </c>
      <c r="M33" s="17">
        <f t="shared" si="1"/>
        <v>6197.4000000000233</v>
      </c>
      <c r="N33" s="17">
        <f t="shared" si="1"/>
        <v>3497.7000000000116</v>
      </c>
      <c r="O33" s="17">
        <f t="shared" si="1"/>
        <v>2909.9999999999113</v>
      </c>
      <c r="P33" s="17">
        <f t="shared" si="1"/>
        <v>13137.80999999993</v>
      </c>
      <c r="Q33" s="17">
        <f t="shared" si="1"/>
        <v>4216.6799999999857</v>
      </c>
      <c r="R33" s="17">
        <f t="shared" si="1"/>
        <v>4539.8300000000309</v>
      </c>
      <c r="S33" s="17">
        <f t="shared" si="1"/>
        <v>5810.0000000000018</v>
      </c>
      <c r="T33" s="17">
        <f t="shared" si="1"/>
        <v>29.800000000000182</v>
      </c>
      <c r="U33" s="35">
        <f t="shared" si="1"/>
        <v>9000.0000000000018</v>
      </c>
      <c r="V33" s="35">
        <f t="shared" si="1"/>
        <v>4180.0000000000064</v>
      </c>
      <c r="W33" s="35">
        <f t="shared" si="1"/>
        <v>4530</v>
      </c>
      <c r="X33" s="35">
        <f t="shared" si="1"/>
        <v>3780.0000000000014</v>
      </c>
      <c r="Y33" s="35">
        <f t="shared" si="1"/>
        <v>1479.9999999999898</v>
      </c>
      <c r="Z33" s="35">
        <f t="shared" si="1"/>
        <v>1579.2400000000023</v>
      </c>
      <c r="AA33" s="35">
        <f t="shared" si="1"/>
        <v>1579.2400000000023</v>
      </c>
      <c r="AB33" s="35">
        <f t="shared" si="1"/>
        <v>960.00000000003638</v>
      </c>
      <c r="AC33" s="35">
        <f t="shared" si="1"/>
        <v>1437.6699999999364</v>
      </c>
      <c r="AD33" s="35">
        <f t="shared" si="1"/>
        <v>1583.9499999999659</v>
      </c>
      <c r="AE33" s="35">
        <f t="shared" si="1"/>
        <v>539.99999999999204</v>
      </c>
      <c r="AF33" s="17">
        <f t="shared" si="1"/>
        <v>769</v>
      </c>
      <c r="AG33" s="32">
        <f t="shared" si="1"/>
        <v>990.00000000000909</v>
      </c>
      <c r="AH33" s="32">
        <f t="shared" si="1"/>
        <v>620.00000000000455</v>
      </c>
      <c r="AI33" s="32">
        <f t="shared" si="1"/>
        <v>229.99999999998977</v>
      </c>
      <c r="AJ33" s="32">
        <f t="shared" si="1"/>
        <v>449.99999999998863</v>
      </c>
      <c r="AK33" s="32">
        <f t="shared" si="1"/>
        <v>590.00000000003183</v>
      </c>
      <c r="AL33" s="32">
        <f t="shared" si="1"/>
        <v>345</v>
      </c>
      <c r="AM33" s="32">
        <f t="shared" si="1"/>
        <v>370.00000000000455</v>
      </c>
      <c r="AN33" s="32">
        <f t="shared" si="1"/>
        <v>766</v>
      </c>
      <c r="AO33" s="32">
        <f t="shared" si="1"/>
        <v>399.99999999997726</v>
      </c>
      <c r="AP33" s="32">
        <f t="shared" si="1"/>
        <v>631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643.5</v>
      </c>
      <c r="AU33" s="17">
        <f t="shared" si="1"/>
        <v>5938</v>
      </c>
      <c r="AV33" s="17">
        <f t="shared" si="1"/>
        <v>13220.000000000025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142.85699999999997</v>
      </c>
      <c r="BC33" s="17">
        <f t="shared" si="1"/>
        <v>0</v>
      </c>
    </row>
    <row r="35" spans="5:55" x14ac:dyDescent="0.25">
      <c r="E35" s="38">
        <f>E33/E37</f>
        <v>0.26684304155453048</v>
      </c>
      <c r="G35" s="29">
        <f>G33-M36</f>
        <v>36304.899999999805</v>
      </c>
      <c r="AE35" s="35">
        <f>SUM(U33:AE33)</f>
        <v>30650.099999999929</v>
      </c>
      <c r="AG35" s="32">
        <f>SUM(AG33:AP33)</f>
        <v>5392.0000000000055</v>
      </c>
    </row>
    <row r="36" spans="5:55" x14ac:dyDescent="0.25">
      <c r="G36" s="29">
        <f>G35-633*14</f>
        <v>27442.899999999805</v>
      </c>
      <c r="M36" s="29">
        <f>M33+N33</f>
        <v>9695.1000000000349</v>
      </c>
    </row>
    <row r="37" spans="5:55" x14ac:dyDescent="0.25">
      <c r="E37" s="17">
        <f>E33+F33+G33+H33+J33-633*14</f>
        <v>131538.00000000035</v>
      </c>
      <c r="G37" s="37">
        <f>M36/E37</f>
        <v>7.3705697212972751E-2</v>
      </c>
      <c r="M37" s="35">
        <f>AE35</f>
        <v>30650.099999999929</v>
      </c>
    </row>
    <row r="38" spans="5:55" x14ac:dyDescent="0.25">
      <c r="L38" s="27">
        <f>M38/E37</f>
        <v>4.0991956696924015E-2</v>
      </c>
      <c r="M38" s="29">
        <f>AG35</f>
        <v>5392.0000000000055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topLeftCell="AS1" zoomScale="80" zoomScaleNormal="80" workbookViewId="0">
      <pane ySplit="1" topLeftCell="A17" activePane="bottomLeft" state="frozen"/>
      <selection pane="bottomLeft" activeCell="BE33" sqref="BE33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138</v>
      </c>
      <c r="CQ1" s="83"/>
      <c r="CR1" s="81" t="s">
        <v>139</v>
      </c>
      <c r="CS1" s="81"/>
      <c r="CT1" s="82" t="s">
        <v>142</v>
      </c>
      <c r="CU1" s="83"/>
      <c r="CV1" s="81" t="s">
        <v>143</v>
      </c>
      <c r="CW1" s="81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44135</v>
      </c>
      <c r="B3" s="68"/>
      <c r="C3" s="58">
        <v>1.8806</v>
      </c>
      <c r="D3" s="64"/>
      <c r="E3" s="58">
        <v>2.7978999999999998</v>
      </c>
      <c r="F3" s="64"/>
      <c r="G3" s="58">
        <v>2.7877000000000001</v>
      </c>
      <c r="H3" s="64"/>
      <c r="I3" s="58">
        <v>1.3542000000000001</v>
      </c>
      <c r="J3" s="64"/>
      <c r="K3" s="58">
        <v>2.1562999999999999</v>
      </c>
      <c r="L3" s="64"/>
      <c r="M3" s="58">
        <v>1.2710999999999999</v>
      </c>
      <c r="N3" s="64"/>
      <c r="O3" s="58">
        <v>12682</v>
      </c>
      <c r="P3" s="67"/>
      <c r="Q3" s="58">
        <v>5954</v>
      </c>
      <c r="R3" s="67"/>
      <c r="S3" s="58">
        <v>862837.6</v>
      </c>
      <c r="T3" s="67"/>
      <c r="U3" s="58">
        <v>353166.5</v>
      </c>
      <c r="V3" s="67"/>
      <c r="W3" s="58">
        <v>345.36</v>
      </c>
      <c r="X3" s="65"/>
      <c r="Y3" s="58">
        <v>2.4500000000000002</v>
      </c>
      <c r="Z3" s="65"/>
      <c r="AA3" s="58">
        <v>337.3</v>
      </c>
      <c r="AB3" s="65"/>
      <c r="AC3" s="58">
        <v>325.89999999999998</v>
      </c>
      <c r="AD3" s="65"/>
      <c r="AE3" s="58">
        <v>508.57</v>
      </c>
      <c r="AF3" s="65"/>
      <c r="AG3" s="58">
        <v>1423.1</v>
      </c>
      <c r="AH3" s="67"/>
      <c r="AI3" s="58">
        <v>482.24</v>
      </c>
      <c r="AJ3" s="65"/>
      <c r="AK3" s="58">
        <v>168.19</v>
      </c>
      <c r="AL3" s="65"/>
      <c r="AM3" s="58">
        <v>166.34</v>
      </c>
      <c r="AN3" s="65"/>
      <c r="AO3" s="58">
        <v>160.59</v>
      </c>
      <c r="AP3" s="65"/>
      <c r="AQ3" s="58">
        <v>222.71</v>
      </c>
      <c r="AR3" s="65"/>
      <c r="AS3" s="58">
        <v>348.14</v>
      </c>
      <c r="AT3" s="65"/>
      <c r="AU3" s="58">
        <v>268.68</v>
      </c>
      <c r="AV3" s="65"/>
      <c r="AW3" s="58">
        <v>295.99</v>
      </c>
      <c r="AX3" s="65"/>
      <c r="AY3" s="58">
        <v>347.36</v>
      </c>
      <c r="AZ3" s="65"/>
      <c r="BA3" s="58">
        <v>367.08</v>
      </c>
      <c r="BB3" s="65"/>
      <c r="BC3" s="58">
        <v>233.56</v>
      </c>
      <c r="BD3" s="65"/>
      <c r="BE3" s="59">
        <v>32497</v>
      </c>
      <c r="BF3" s="67"/>
      <c r="BG3" s="60">
        <v>226.45</v>
      </c>
      <c r="BH3" s="65"/>
      <c r="BI3" s="60">
        <v>284.58</v>
      </c>
      <c r="BJ3" s="65"/>
      <c r="BK3" s="60">
        <v>231.61</v>
      </c>
      <c r="BL3" s="65"/>
      <c r="BM3" s="60">
        <v>216.3</v>
      </c>
      <c r="BN3" s="65"/>
      <c r="BO3" s="60">
        <v>281.27</v>
      </c>
      <c r="BP3" s="65"/>
      <c r="BQ3" s="60">
        <v>40343</v>
      </c>
      <c r="BR3" s="65"/>
      <c r="BS3" s="60">
        <v>194.79</v>
      </c>
      <c r="BT3" s="65"/>
      <c r="BU3" s="60">
        <v>32913</v>
      </c>
      <c r="BV3" s="65"/>
      <c r="BW3" s="60">
        <v>226.24</v>
      </c>
      <c r="BX3" s="65"/>
      <c r="BY3" s="60">
        <v>51258</v>
      </c>
      <c r="BZ3" s="67"/>
      <c r="CA3" s="60">
        <v>27515.599999999999</v>
      </c>
      <c r="CB3" s="67"/>
      <c r="CC3" s="60">
        <v>11255.6</v>
      </c>
      <c r="CD3" s="67"/>
      <c r="CE3" s="60">
        <v>50954.2</v>
      </c>
      <c r="CF3" s="67"/>
      <c r="CG3" s="60">
        <v>50939.9</v>
      </c>
      <c r="CH3" s="67"/>
      <c r="CI3" s="60">
        <v>886523</v>
      </c>
      <c r="CJ3" s="67"/>
      <c r="CK3" s="60">
        <v>625.92999999999995</v>
      </c>
      <c r="CL3" s="64"/>
      <c r="CM3" s="65"/>
      <c r="CN3" s="62">
        <v>0</v>
      </c>
      <c r="CO3" s="62">
        <v>0</v>
      </c>
      <c r="CP3" s="68">
        <v>1466.7</v>
      </c>
      <c r="CQ3" s="68"/>
      <c r="CR3" s="68">
        <v>10848</v>
      </c>
      <c r="CS3" s="68"/>
      <c r="CT3" s="68">
        <v>3491</v>
      </c>
      <c r="CU3" s="68"/>
      <c r="CV3" s="75">
        <v>9894</v>
      </c>
      <c r="CW3" s="75"/>
      <c r="CX3" s="76"/>
    </row>
    <row r="4" spans="1:102" ht="25.5" customHeight="1" thickBot="1" x14ac:dyDescent="0.45">
      <c r="A4" s="63">
        <v>44136</v>
      </c>
      <c r="B4" s="68"/>
      <c r="C4" s="58">
        <v>1.8818999999999999</v>
      </c>
      <c r="D4" s="64">
        <f t="shared" ref="D4:D34" si="0">IF((C4-C3&lt;0), "0",(C4-C3)*1000000)</f>
        <v>1299.9999999998568</v>
      </c>
      <c r="E4" s="58">
        <v>2.7985000000000002</v>
      </c>
      <c r="F4" s="64">
        <f t="shared" ref="F4:F34" si="1">IF((E4-E3&lt;0), "0",(E4-E3)*1000000)</f>
        <v>600.00000000037801</v>
      </c>
      <c r="G4" s="58">
        <v>2.7890999999999999</v>
      </c>
      <c r="H4" s="64">
        <f t="shared" ref="H4:H34" si="2">IF((G4-G3&lt;0), "0",(G4-G3)*1000000)</f>
        <v>1399.9999999998458</v>
      </c>
      <c r="I4" s="58">
        <v>1.3548</v>
      </c>
      <c r="J4" s="64">
        <f t="shared" ref="J4:J34" si="3">IF((I4-I3&lt;0), "0",(I4-I3)*1000000)</f>
        <v>599.99999999993395</v>
      </c>
      <c r="K4" s="58">
        <v>2.1579000000000002</v>
      </c>
      <c r="L4" s="64">
        <f t="shared" ref="L4:L34" si="4">IF((K4-K3&lt;0), "0",(K4-K3)*1000000)</f>
        <v>1600.0000000002678</v>
      </c>
      <c r="M4" s="58">
        <v>1.2716000000000001</v>
      </c>
      <c r="N4" s="64">
        <f t="shared" ref="N4:N34" si="5">IF((M4-M3&lt;0), "",(M4-M3)*1000000)</f>
        <v>500.00000000016701</v>
      </c>
      <c r="O4" s="58">
        <v>12683</v>
      </c>
      <c r="P4" s="67">
        <f>IF((O4-O3&lt;0), "",O4-O3)</f>
        <v>1</v>
      </c>
      <c r="Q4" s="58">
        <v>5955</v>
      </c>
      <c r="R4" s="67">
        <f t="shared" ref="R4:R34" si="6">IF((Q4-Q3&lt;0), "",Q4-Q3)</f>
        <v>1</v>
      </c>
      <c r="S4" s="58">
        <v>862903.4</v>
      </c>
      <c r="T4" s="67">
        <f t="shared" ref="T4:T34" si="7">IF((S4-S3&lt;0), "",S4-S3)</f>
        <v>65.800000000046566</v>
      </c>
      <c r="U4" s="58">
        <v>353214.8</v>
      </c>
      <c r="V4" s="67">
        <f t="shared" ref="V4:V34" si="8">IF((U4-U3&lt;0), "",U4-U3)</f>
        <v>48.299999999988358</v>
      </c>
      <c r="W4" s="58">
        <v>345.44</v>
      </c>
      <c r="X4" s="65">
        <f t="shared" ref="X4:X34" si="9">IF((W4-W3&lt;0), "",(W4-W3)*1000)</f>
        <v>79.999999999984084</v>
      </c>
      <c r="Y4" s="58">
        <v>2.4504000000000001</v>
      </c>
      <c r="Z4" s="65">
        <f t="shared" ref="Z4:Z34" si="10">IF((Y4-Y3&lt;0), "",(Y4-Y3)*1000000)</f>
        <v>399.99999999995595</v>
      </c>
      <c r="AA4" s="58">
        <v>337.41</v>
      </c>
      <c r="AB4" s="65">
        <f t="shared" ref="AB4:AB34" si="11">IF((AA4-AA3&lt;0), "",(AA4-AA3)*1000)</f>
        <v>110.00000000001364</v>
      </c>
      <c r="AC4" s="58">
        <v>326.02999999999997</v>
      </c>
      <c r="AD4" s="65">
        <f t="shared" ref="AD4:AD34" si="12">IF((AC4-AC3&lt;0), "",(AC4-AC3)*1000)</f>
        <v>129.99999999999545</v>
      </c>
      <c r="AE4" s="58">
        <v>508.69</v>
      </c>
      <c r="AF4" s="65">
        <f t="shared" ref="AF4:AF34" si="13">IF((AE4-AE3&lt;0), "",(AE4-AE3)*1000)</f>
        <v>120.00000000000455</v>
      </c>
      <c r="AG4" s="58">
        <v>1424.2</v>
      </c>
      <c r="AH4" s="67">
        <f t="shared" ref="AH4:AH34" si="14">IF((AG4-AG3&lt;0), "",AG4-AG3)</f>
        <v>1.1000000000001364</v>
      </c>
      <c r="AI4" s="58">
        <v>482.47</v>
      </c>
      <c r="AJ4" s="65">
        <f t="shared" ref="AJ4:AP34" si="15">IF((AI4-AI3&lt;0), "",(AI4-AI3)*1000)</f>
        <v>230.00000000001819</v>
      </c>
      <c r="AK4" s="58">
        <v>168.34</v>
      </c>
      <c r="AL4" s="65">
        <f t="shared" si="15"/>
        <v>150.00000000000568</v>
      </c>
      <c r="AM4" s="58">
        <v>166.7</v>
      </c>
      <c r="AN4" s="65">
        <f t="shared" si="15"/>
        <v>359.99999999998522</v>
      </c>
      <c r="AO4" s="58">
        <v>160.85</v>
      </c>
      <c r="AP4" s="65">
        <f t="shared" si="15"/>
        <v>259.99999999999091</v>
      </c>
      <c r="AQ4" s="58">
        <v>222.73</v>
      </c>
      <c r="AR4" s="65">
        <f t="shared" ref="AR4:AR34" si="16">IF((AQ4-AQ3&lt;0), "",(AQ4-AQ3)*1000)</f>
        <v>19.99999999998181</v>
      </c>
      <c r="AS4" s="58">
        <v>348.17</v>
      </c>
      <c r="AT4" s="65">
        <f t="shared" ref="AT4:AT34" si="17">IF((AS4-AS3&lt;0), "",(AS4-AS3)*1000)</f>
        <v>30.000000000029559</v>
      </c>
      <c r="AU4" s="58">
        <v>268.7</v>
      </c>
      <c r="AV4" s="65">
        <f t="shared" ref="AV4:AV34" si="18">IF((AU4-AU3&lt;0), "",(AU4-AU3)*1000)</f>
        <v>19.99999999998181</v>
      </c>
      <c r="AW4" s="58">
        <v>296.01</v>
      </c>
      <c r="AX4" s="65">
        <f t="shared" ref="AX4:AX34" si="19">IF((AW4-AW3&lt;0), "",(AW4-AW3)*1000)</f>
        <v>19.99999999998181</v>
      </c>
      <c r="AY4" s="58">
        <v>347.39</v>
      </c>
      <c r="AZ4" s="65">
        <f t="shared" ref="AZ4:AZ34" si="20">IF((AY4-AY3&lt;0), "",(AY4-AY3)*1000)</f>
        <v>29.999999999972715</v>
      </c>
      <c r="BA4" s="58">
        <v>367.09</v>
      </c>
      <c r="BB4" s="65">
        <f t="shared" ref="BB4:BB34" si="21">IF((BA4-BA3&lt;0), "",(BA4-BA3)*1000)</f>
        <v>9.9999999999909051</v>
      </c>
      <c r="BC4" s="58">
        <v>233.58</v>
      </c>
      <c r="BD4" s="65">
        <f t="shared" ref="BD4:BD34" si="22">IF((BC4-BC3&lt;0), "",(BC4-BC3)*1000)</f>
        <v>20.000000000010232</v>
      </c>
      <c r="BE4" s="59">
        <v>32524</v>
      </c>
      <c r="BF4" s="67">
        <f>IF((BE4-BE3&lt;0), "",BE4-BE3)</f>
        <v>27</v>
      </c>
      <c r="BG4" s="60">
        <v>226.45</v>
      </c>
      <c r="BH4" s="65">
        <f t="shared" ref="BH4:BH34" si="23">IF((BG4-BG3&lt;0), "",(BG4-BG3)*1000)</f>
        <v>0</v>
      </c>
      <c r="BI4" s="60">
        <v>284.58999999999997</v>
      </c>
      <c r="BJ4" s="65">
        <f>IF((BI4-BI3&lt;0), "",(BI4-BI3)*1000)</f>
        <v>9.9999999999909051</v>
      </c>
      <c r="BK4" s="60">
        <v>231.62</v>
      </c>
      <c r="BL4" s="65">
        <f t="shared" ref="BL4:BL34" si="24">IF((BK4-BK3&lt;0), "",(BK4-BK3)*1000)</f>
        <v>9.9999999999909051</v>
      </c>
      <c r="BM4" s="60">
        <v>216.31</v>
      </c>
      <c r="BN4" s="65">
        <f t="shared" ref="BN4:BN33" si="25">IF((BM4-BM3&lt;0), "",(BM4-BM3)*1000)</f>
        <v>9.9999999999909051</v>
      </c>
      <c r="BO4" s="60">
        <v>281.29000000000002</v>
      </c>
      <c r="BP4" s="65">
        <f t="shared" ref="BP4:BP34" si="26">IF((BO4-BO3&lt;0), "",(BO4-BO3)*1000)</f>
        <v>20.000000000038654</v>
      </c>
      <c r="BQ4" s="60">
        <v>40346</v>
      </c>
      <c r="BR4" s="65">
        <f t="shared" ref="BR4:BR34" si="27">IF((BQ4-BQ3&lt;0), "",BQ4-BQ3)</f>
        <v>3</v>
      </c>
      <c r="BS4" s="60">
        <v>194.8</v>
      </c>
      <c r="BT4" s="65">
        <f t="shared" ref="BT4" si="28">IF((BS4-BS3&lt;0), "",(BS4-BS3)*1000)</f>
        <v>10.000000000019327</v>
      </c>
      <c r="BU4" s="60">
        <v>32924</v>
      </c>
      <c r="BV4" s="65">
        <f t="shared" ref="BV4:BV35" si="29">IF((BU4-BU3&lt;0), "",BU4-BU3)</f>
        <v>11</v>
      </c>
      <c r="BW4" s="60">
        <v>226.25</v>
      </c>
      <c r="BX4" s="65">
        <f t="shared" ref="BX4:BX34" si="30">IF((BW4-BW3&lt;0), "",(BW4-BW3)*1000)</f>
        <v>9.9999999999909051</v>
      </c>
      <c r="BY4" s="60">
        <v>51270</v>
      </c>
      <c r="BZ4" s="67">
        <f t="shared" ref="BZ4:BZ34" si="31">IF((BY4-BY3&lt;0), "",BY4-BY3)</f>
        <v>12</v>
      </c>
      <c r="CA4" s="60">
        <v>27515.599999999999</v>
      </c>
      <c r="CB4" s="67">
        <f t="shared" ref="CB4:CB33" si="32">IF((CA4-CA3&lt;0), "",CA4-CA3)</f>
        <v>0</v>
      </c>
      <c r="CC4" s="60">
        <v>11255.6</v>
      </c>
      <c r="CD4" s="67">
        <f t="shared" ref="CD4:CD34" si="33">IF((CC4-CC3&lt;0), "",CC4-CC3)</f>
        <v>0</v>
      </c>
      <c r="CE4" s="60">
        <v>50954.2</v>
      </c>
      <c r="CF4" s="67">
        <f t="shared" ref="CF4:CF33" si="34">IF((CE4-CE3&lt;0), "",CE4-CE3)</f>
        <v>0</v>
      </c>
      <c r="CG4" s="60">
        <v>50954.2</v>
      </c>
      <c r="CH4" s="67">
        <f t="shared" ref="CH4:CH34" si="35">IF((CG4-CG3&lt;0), "",CG4-CG3)</f>
        <v>14.299999999995634</v>
      </c>
      <c r="CI4" s="60">
        <v>886718</v>
      </c>
      <c r="CJ4" s="67">
        <f t="shared" ref="CJ4:CJ34" si="36">IF((CI4-CI3&lt;0), "",CI4-CI3)</f>
        <v>195</v>
      </c>
      <c r="CK4" s="60">
        <v>626.38</v>
      </c>
      <c r="CL4" s="64">
        <f t="shared" ref="CL4:CL34" si="37">IF((CK4-CK3&lt;0), "",(CK4-CK3)*1000)</f>
        <v>450.00000000004547</v>
      </c>
      <c r="CM4" s="65">
        <f>CQ4+CS4</f>
        <v>14.399999999999864</v>
      </c>
      <c r="CN4" s="62">
        <v>0</v>
      </c>
      <c r="CO4" s="62">
        <v>0</v>
      </c>
      <c r="CP4" s="68">
        <v>1470.1</v>
      </c>
      <c r="CQ4" s="67">
        <f t="shared" ref="CQ4:CW34" si="38">IF((CP4-CP3&lt;0), "",CP4-CP3)</f>
        <v>3.3999999999998636</v>
      </c>
      <c r="CR4" s="68">
        <v>10859</v>
      </c>
      <c r="CS4" s="67">
        <f t="shared" si="38"/>
        <v>11</v>
      </c>
      <c r="CT4" s="75">
        <v>3502</v>
      </c>
      <c r="CU4" s="67">
        <f t="shared" si="38"/>
        <v>11</v>
      </c>
      <c r="CV4" s="68">
        <v>9914</v>
      </c>
      <c r="CW4" s="67">
        <f t="shared" si="38"/>
        <v>20</v>
      </c>
    </row>
    <row r="5" spans="1:102" ht="25.5" customHeight="1" thickBot="1" x14ac:dyDescent="0.45">
      <c r="A5" s="63">
        <v>44137</v>
      </c>
      <c r="B5" s="44"/>
      <c r="C5" s="58">
        <v>1.8831</v>
      </c>
      <c r="D5" s="64">
        <f t="shared" si="0"/>
        <v>1200.0000000000898</v>
      </c>
      <c r="E5" s="58">
        <v>2.7991000000000001</v>
      </c>
      <c r="F5" s="64">
        <f t="shared" si="1"/>
        <v>599.99999999993395</v>
      </c>
      <c r="G5" s="58">
        <v>2.7909000000000002</v>
      </c>
      <c r="H5" s="64">
        <f t="shared" si="2"/>
        <v>1800.0000000002458</v>
      </c>
      <c r="I5" s="58">
        <v>1.3556999999999999</v>
      </c>
      <c r="J5" s="64">
        <f t="shared" si="3"/>
        <v>899.99999999990087</v>
      </c>
      <c r="K5" s="58">
        <v>2.1597</v>
      </c>
      <c r="L5" s="64">
        <f t="shared" si="4"/>
        <v>1799.9999999998017</v>
      </c>
      <c r="M5" s="58">
        <v>1.2721</v>
      </c>
      <c r="N5" s="64">
        <f t="shared" si="5"/>
        <v>499.99999999994492</v>
      </c>
      <c r="O5" s="58">
        <v>12683</v>
      </c>
      <c r="P5" s="67">
        <f>IF((O5-O4&lt;0), "",O5-O4)</f>
        <v>0</v>
      </c>
      <c r="Q5" s="58">
        <v>5958</v>
      </c>
      <c r="R5" s="67">
        <f t="shared" si="6"/>
        <v>3</v>
      </c>
      <c r="S5" s="58">
        <v>863258.9</v>
      </c>
      <c r="T5" s="67">
        <f t="shared" si="7"/>
        <v>355.5</v>
      </c>
      <c r="U5" s="58">
        <v>353358.7</v>
      </c>
      <c r="V5" s="67">
        <f t="shared" si="8"/>
        <v>143.90000000002328</v>
      </c>
      <c r="W5" s="58">
        <v>345.55</v>
      </c>
      <c r="X5" s="65">
        <f t="shared" si="9"/>
        <v>110.00000000001364</v>
      </c>
      <c r="Y5" s="58">
        <v>2.4508999999999999</v>
      </c>
      <c r="Z5" s="65">
        <f t="shared" si="10"/>
        <v>499.99999999972289</v>
      </c>
      <c r="AA5" s="58">
        <v>337.54</v>
      </c>
      <c r="AB5" s="65">
        <f t="shared" si="11"/>
        <v>129.99999999999545</v>
      </c>
      <c r="AC5" s="58">
        <v>326.18</v>
      </c>
      <c r="AD5" s="65">
        <f t="shared" si="12"/>
        <v>150.00000000003411</v>
      </c>
      <c r="AE5" s="58">
        <v>508.84</v>
      </c>
      <c r="AF5" s="65">
        <f t="shared" si="13"/>
        <v>149.99999999997726</v>
      </c>
      <c r="AG5" s="58">
        <v>1425.3</v>
      </c>
      <c r="AH5" s="67">
        <f t="shared" si="14"/>
        <v>1.0999999999999091</v>
      </c>
      <c r="AI5" s="58">
        <v>482.71</v>
      </c>
      <c r="AJ5" s="65">
        <f t="shared" si="15"/>
        <v>239.99999999995225</v>
      </c>
      <c r="AK5" s="58">
        <v>168.5</v>
      </c>
      <c r="AL5" s="65">
        <f t="shared" si="15"/>
        <v>159.99999999999659</v>
      </c>
      <c r="AM5" s="58">
        <v>166.9</v>
      </c>
      <c r="AN5" s="65">
        <f t="shared" si="15"/>
        <v>200.00000000001705</v>
      </c>
      <c r="AO5" s="58">
        <v>160.99</v>
      </c>
      <c r="AP5" s="65">
        <f t="shared" si="15"/>
        <v>140.00000000001478</v>
      </c>
      <c r="AQ5" s="58">
        <v>222.76</v>
      </c>
      <c r="AR5" s="65">
        <f t="shared" si="16"/>
        <v>30.000000000001137</v>
      </c>
      <c r="AS5" s="58">
        <v>348.21</v>
      </c>
      <c r="AT5" s="65">
        <f t="shared" si="17"/>
        <v>39.99999999996362</v>
      </c>
      <c r="AU5" s="58">
        <v>268.73</v>
      </c>
      <c r="AV5" s="65">
        <f t="shared" si="18"/>
        <v>30.000000000029559</v>
      </c>
      <c r="AW5" s="58">
        <v>296.04000000000002</v>
      </c>
      <c r="AX5" s="65">
        <f t="shared" si="19"/>
        <v>30.000000000029559</v>
      </c>
      <c r="AY5" s="58">
        <v>347.42</v>
      </c>
      <c r="AZ5" s="65">
        <f t="shared" si="20"/>
        <v>30.000000000029559</v>
      </c>
      <c r="BA5" s="58">
        <v>367.12</v>
      </c>
      <c r="BB5" s="65">
        <f t="shared" si="21"/>
        <v>30.000000000029559</v>
      </c>
      <c r="BC5" s="58">
        <v>233.6</v>
      </c>
      <c r="BD5" s="65">
        <f t="shared" si="22"/>
        <v>19.99999999998181</v>
      </c>
      <c r="BE5" s="59">
        <v>32552</v>
      </c>
      <c r="BF5" s="67">
        <f t="shared" ref="BF5:BF34" si="39">IF((BE5-BE4&lt;0), "",BE5-BE4)</f>
        <v>28</v>
      </c>
      <c r="BG5" s="60">
        <v>226.46</v>
      </c>
      <c r="BH5" s="65">
        <f t="shared" si="23"/>
        <v>10.000000000019327</v>
      </c>
      <c r="BI5" s="60">
        <v>284.60000000000002</v>
      </c>
      <c r="BJ5" s="65">
        <f t="shared" ref="BJ5:BJ34" si="40">IF((BI5-BI4&lt;0), "",(BI5-BI4)*1000)</f>
        <v>10.000000000047748</v>
      </c>
      <c r="BK5" s="60">
        <v>231.62</v>
      </c>
      <c r="BL5" s="65">
        <f t="shared" si="24"/>
        <v>0</v>
      </c>
      <c r="BM5" s="60">
        <v>216.33</v>
      </c>
      <c r="BN5" s="65">
        <f t="shared" si="25"/>
        <v>20.000000000010232</v>
      </c>
      <c r="BO5" s="60">
        <v>281.31</v>
      </c>
      <c r="BP5" s="65">
        <f t="shared" si="26"/>
        <v>19.99999999998181</v>
      </c>
      <c r="BQ5" s="60">
        <v>40357</v>
      </c>
      <c r="BR5" s="65">
        <f t="shared" si="27"/>
        <v>11</v>
      </c>
      <c r="BS5" s="60">
        <v>194.81</v>
      </c>
      <c r="BT5" s="65">
        <f>IF((BS5-BS4&lt;0), "",(BS5-BS4)*1000)</f>
        <v>9.9999999999909051</v>
      </c>
      <c r="BU5" s="60">
        <v>32953</v>
      </c>
      <c r="BV5" s="65">
        <f t="shared" si="29"/>
        <v>29</v>
      </c>
      <c r="BW5" s="60">
        <v>226.27</v>
      </c>
      <c r="BX5" s="65">
        <f t="shared" si="30"/>
        <v>20.000000000010232</v>
      </c>
      <c r="BY5" s="60">
        <v>51300</v>
      </c>
      <c r="BZ5" s="67">
        <f t="shared" si="31"/>
        <v>30</v>
      </c>
      <c r="CA5" s="60">
        <v>27515.599999999999</v>
      </c>
      <c r="CB5" s="67">
        <f t="shared" si="32"/>
        <v>0</v>
      </c>
      <c r="CC5" s="60">
        <v>11255.6</v>
      </c>
      <c r="CD5" s="67">
        <f t="shared" si="33"/>
        <v>0</v>
      </c>
      <c r="CE5" s="60">
        <v>50954.2</v>
      </c>
      <c r="CF5" s="67">
        <f t="shared" si="34"/>
        <v>0</v>
      </c>
      <c r="CG5" s="60">
        <v>50973.3</v>
      </c>
      <c r="CH5" s="67">
        <f t="shared" si="35"/>
        <v>19.100000000005821</v>
      </c>
      <c r="CI5" s="60">
        <v>886927</v>
      </c>
      <c r="CJ5" s="67">
        <f t="shared" si="36"/>
        <v>209</v>
      </c>
      <c r="CK5" s="60">
        <v>626.89</v>
      </c>
      <c r="CL5" s="64">
        <f t="shared" si="37"/>
        <v>509.99999999999091</v>
      </c>
      <c r="CM5" s="65">
        <f t="shared" ref="CM5:CM34" si="41">CQ5+CS5</f>
        <v>25.900000000000091</v>
      </c>
      <c r="CN5" s="62">
        <v>0</v>
      </c>
      <c r="CO5" s="62">
        <v>0</v>
      </c>
      <c r="CP5" s="68">
        <v>1487</v>
      </c>
      <c r="CQ5" s="67">
        <f t="shared" si="38"/>
        <v>16.900000000000091</v>
      </c>
      <c r="CR5" s="68">
        <v>10868</v>
      </c>
      <c r="CS5" s="67">
        <f t="shared" si="38"/>
        <v>9</v>
      </c>
      <c r="CT5" s="75">
        <v>3513</v>
      </c>
      <c r="CU5" s="67">
        <f t="shared" si="38"/>
        <v>11</v>
      </c>
      <c r="CV5" s="68">
        <v>9929</v>
      </c>
      <c r="CW5" s="67">
        <f t="shared" si="38"/>
        <v>15</v>
      </c>
    </row>
    <row r="6" spans="1:102" ht="24.75" customHeight="1" thickBot="1" x14ac:dyDescent="0.45">
      <c r="A6" s="63">
        <v>44138</v>
      </c>
      <c r="B6" s="44"/>
      <c r="C6" s="58">
        <v>1.8843000000000001</v>
      </c>
      <c r="D6" s="64">
        <f t="shared" si="0"/>
        <v>1200.0000000000898</v>
      </c>
      <c r="E6" s="58">
        <v>2.8003999999999998</v>
      </c>
      <c r="F6" s="64">
        <f t="shared" si="1"/>
        <v>1299.9999999996348</v>
      </c>
      <c r="G6" s="58">
        <v>2.7927</v>
      </c>
      <c r="H6" s="64">
        <f t="shared" si="2"/>
        <v>1799.9999999998017</v>
      </c>
      <c r="I6" s="58">
        <v>1.3568</v>
      </c>
      <c r="J6" s="64">
        <f t="shared" si="3"/>
        <v>1100.000000000101</v>
      </c>
      <c r="K6" s="58">
        <v>2.1615000000000002</v>
      </c>
      <c r="L6" s="64">
        <f t="shared" si="4"/>
        <v>1800.0000000002458</v>
      </c>
      <c r="M6" s="58">
        <v>1.2735000000000001</v>
      </c>
      <c r="N6" s="64">
        <f t="shared" si="5"/>
        <v>1400.0000000000678</v>
      </c>
      <c r="O6" s="58">
        <v>12684</v>
      </c>
      <c r="P6" s="67">
        <f>IF((O6-O5&lt;0), "",O6-O5)</f>
        <v>1</v>
      </c>
      <c r="Q6" s="58">
        <v>5960</v>
      </c>
      <c r="R6" s="67">
        <f t="shared" si="6"/>
        <v>2</v>
      </c>
      <c r="S6" s="58">
        <v>863576</v>
      </c>
      <c r="T6" s="67">
        <f t="shared" si="7"/>
        <v>317.09999999997672</v>
      </c>
      <c r="U6" s="58">
        <v>353522.1</v>
      </c>
      <c r="V6" s="67">
        <f t="shared" si="8"/>
        <v>163.39999999996508</v>
      </c>
      <c r="W6" s="58">
        <v>345.91</v>
      </c>
      <c r="X6" s="65">
        <f t="shared" si="9"/>
        <v>360.00000000001364</v>
      </c>
      <c r="Y6" s="58">
        <v>2.4516</v>
      </c>
      <c r="Z6" s="65">
        <f t="shared" si="10"/>
        <v>700.00000000014495</v>
      </c>
      <c r="AA6" s="58">
        <v>337.68</v>
      </c>
      <c r="AB6" s="65">
        <f t="shared" si="11"/>
        <v>139.99999999998636</v>
      </c>
      <c r="AC6" s="58">
        <v>326.51</v>
      </c>
      <c r="AD6" s="65">
        <f t="shared" si="12"/>
        <v>329.99999999998408</v>
      </c>
      <c r="AE6" s="58">
        <v>509.64</v>
      </c>
      <c r="AF6" s="65">
        <f t="shared" si="13"/>
        <v>800.00000000001137</v>
      </c>
      <c r="AG6" s="58">
        <v>1426.4</v>
      </c>
      <c r="AH6" s="67">
        <f t="shared" si="14"/>
        <v>1.1000000000001364</v>
      </c>
      <c r="AI6" s="58">
        <v>482.96</v>
      </c>
      <c r="AJ6" s="65">
        <f t="shared" si="15"/>
        <v>250</v>
      </c>
      <c r="AK6" s="58">
        <v>168.67</v>
      </c>
      <c r="AL6" s="65">
        <f t="shared" si="15"/>
        <v>169.99999999998749</v>
      </c>
      <c r="AM6" s="58">
        <v>167.08</v>
      </c>
      <c r="AN6" s="65">
        <f t="shared" si="15"/>
        <v>180.00000000000682</v>
      </c>
      <c r="AO6" s="58">
        <v>161.12</v>
      </c>
      <c r="AP6" s="65">
        <f t="shared" si="15"/>
        <v>129.99999999999545</v>
      </c>
      <c r="AQ6" s="58">
        <v>222.8</v>
      </c>
      <c r="AR6" s="65">
        <f t="shared" si="16"/>
        <v>40.000000000020464</v>
      </c>
      <c r="AS6" s="58">
        <v>348.25</v>
      </c>
      <c r="AT6" s="65">
        <f t="shared" si="17"/>
        <v>40.000000000020464</v>
      </c>
      <c r="AU6" s="58">
        <v>268.75</v>
      </c>
      <c r="AV6" s="65">
        <f t="shared" si="18"/>
        <v>19.99999999998181</v>
      </c>
      <c r="AW6" s="58">
        <v>296.06</v>
      </c>
      <c r="AX6" s="65">
        <f t="shared" si="19"/>
        <v>19.99999999998181</v>
      </c>
      <c r="AY6" s="58">
        <v>347.45</v>
      </c>
      <c r="AZ6" s="65">
        <f t="shared" si="20"/>
        <v>29.999999999972715</v>
      </c>
      <c r="BA6" s="58">
        <v>367.14</v>
      </c>
      <c r="BB6" s="65">
        <f t="shared" si="21"/>
        <v>19.99999999998181</v>
      </c>
      <c r="BC6" s="58">
        <v>233.63</v>
      </c>
      <c r="BD6" s="65">
        <f t="shared" si="22"/>
        <v>30.000000000001137</v>
      </c>
      <c r="BE6" s="59">
        <v>32574</v>
      </c>
      <c r="BF6" s="67">
        <f t="shared" si="39"/>
        <v>22</v>
      </c>
      <c r="BG6" s="60">
        <v>226.49</v>
      </c>
      <c r="BH6" s="65">
        <f t="shared" si="23"/>
        <v>30.000000000001137</v>
      </c>
      <c r="BI6" s="60">
        <v>284.62</v>
      </c>
      <c r="BJ6" s="65">
        <f t="shared" si="40"/>
        <v>19.99999999998181</v>
      </c>
      <c r="BK6" s="60">
        <v>231.65</v>
      </c>
      <c r="BL6" s="65">
        <f t="shared" si="24"/>
        <v>30.000000000001137</v>
      </c>
      <c r="BM6" s="60">
        <v>216.36</v>
      </c>
      <c r="BN6" s="65">
        <f t="shared" si="25"/>
        <v>30.000000000001137</v>
      </c>
      <c r="BO6" s="60">
        <v>281.33999999999997</v>
      </c>
      <c r="BP6" s="65">
        <f t="shared" si="26"/>
        <v>29.999999999972715</v>
      </c>
      <c r="BQ6" s="60">
        <v>40378</v>
      </c>
      <c r="BR6" s="65">
        <f t="shared" si="27"/>
        <v>21</v>
      </c>
      <c r="BS6" s="60">
        <v>194.85</v>
      </c>
      <c r="BT6" s="65">
        <f t="shared" ref="BT6:BT35" si="42">IF((BS6-BS5&lt;0), "",(BS6-BS5)*1000)</f>
        <v>39.999999999992042</v>
      </c>
      <c r="BU6" s="60">
        <v>32981</v>
      </c>
      <c r="BV6" s="65">
        <f t="shared" si="29"/>
        <v>28</v>
      </c>
      <c r="BW6" s="60">
        <v>226.29</v>
      </c>
      <c r="BX6" s="65">
        <f t="shared" si="30"/>
        <v>19.99999999998181</v>
      </c>
      <c r="BY6" s="60">
        <v>51330</v>
      </c>
      <c r="BZ6" s="67">
        <f t="shared" si="31"/>
        <v>30</v>
      </c>
      <c r="CA6" s="60">
        <v>27515.599999999999</v>
      </c>
      <c r="CB6" s="67">
        <f t="shared" si="32"/>
        <v>0</v>
      </c>
      <c r="CC6" s="60">
        <v>11255.6</v>
      </c>
      <c r="CD6" s="67">
        <f t="shared" si="33"/>
        <v>0</v>
      </c>
      <c r="CE6" s="60">
        <v>50954.2</v>
      </c>
      <c r="CF6" s="67">
        <f t="shared" si="34"/>
        <v>0</v>
      </c>
      <c r="CG6" s="60">
        <v>50989.7</v>
      </c>
      <c r="CH6" s="67">
        <f t="shared" si="35"/>
        <v>16.399999999994179</v>
      </c>
      <c r="CI6" s="60">
        <v>887138</v>
      </c>
      <c r="CJ6" s="67">
        <f t="shared" si="36"/>
        <v>211</v>
      </c>
      <c r="CK6" s="60">
        <v>627.4</v>
      </c>
      <c r="CL6" s="64">
        <f t="shared" si="37"/>
        <v>509.99999999999091</v>
      </c>
      <c r="CM6" s="65">
        <f t="shared" si="41"/>
        <v>29.099999999999909</v>
      </c>
      <c r="CN6" s="62">
        <v>0</v>
      </c>
      <c r="CO6" s="62">
        <v>0</v>
      </c>
      <c r="CP6" s="68">
        <v>1502.1</v>
      </c>
      <c r="CQ6" s="67">
        <f t="shared" si="38"/>
        <v>15.099999999999909</v>
      </c>
      <c r="CR6" s="68">
        <v>10882</v>
      </c>
      <c r="CS6" s="67">
        <f t="shared" si="38"/>
        <v>14</v>
      </c>
      <c r="CT6" s="75">
        <v>3525</v>
      </c>
      <c r="CU6" s="67">
        <f t="shared" si="38"/>
        <v>12</v>
      </c>
      <c r="CV6" s="68">
        <v>9950</v>
      </c>
      <c r="CW6" s="67">
        <f t="shared" si="38"/>
        <v>21</v>
      </c>
    </row>
    <row r="7" spans="1:102" ht="25.5" customHeight="1" thickBot="1" x14ac:dyDescent="0.45">
      <c r="A7" s="63">
        <v>44139</v>
      </c>
      <c r="B7" s="44"/>
      <c r="C7" s="58">
        <v>1.8862000000000001</v>
      </c>
      <c r="D7" s="64">
        <f t="shared" si="0"/>
        <v>1900.0000000000127</v>
      </c>
      <c r="E7" s="58">
        <v>2.8010999999999999</v>
      </c>
      <c r="F7" s="64">
        <f t="shared" si="1"/>
        <v>700.00000000014495</v>
      </c>
      <c r="G7" s="58">
        <v>2.7944</v>
      </c>
      <c r="H7" s="64">
        <f t="shared" si="2"/>
        <v>1700.0000000000348</v>
      </c>
      <c r="I7" s="58">
        <v>1.3576999999999999</v>
      </c>
      <c r="J7" s="64">
        <f t="shared" si="3"/>
        <v>899.99999999990087</v>
      </c>
      <c r="K7" s="58">
        <v>2.1633</v>
      </c>
      <c r="L7" s="64">
        <f t="shared" si="4"/>
        <v>1799.9999999998017</v>
      </c>
      <c r="M7" s="58">
        <v>1.2741</v>
      </c>
      <c r="N7" s="64">
        <f t="shared" si="5"/>
        <v>599.99999999993395</v>
      </c>
      <c r="O7" s="58">
        <v>12685</v>
      </c>
      <c r="P7" s="67">
        <f t="shared" ref="P7:P10" si="43">IF((O7-O6&lt;0), "",O7-O6)</f>
        <v>1</v>
      </c>
      <c r="Q7" s="58">
        <v>5962</v>
      </c>
      <c r="R7" s="67">
        <f t="shared" si="6"/>
        <v>2</v>
      </c>
      <c r="S7" s="58">
        <v>863792.8</v>
      </c>
      <c r="T7" s="67">
        <f t="shared" si="7"/>
        <v>216.80000000004657</v>
      </c>
      <c r="U7" s="58">
        <v>353647.6</v>
      </c>
      <c r="V7" s="67">
        <f t="shared" si="8"/>
        <v>125.5</v>
      </c>
      <c r="W7" s="58">
        <v>346.04</v>
      </c>
      <c r="X7" s="65">
        <f t="shared" si="9"/>
        <v>129.99999999999545</v>
      </c>
      <c r="Y7" s="58">
        <v>2.452</v>
      </c>
      <c r="Z7" s="65">
        <v>337.81</v>
      </c>
      <c r="AA7" s="58">
        <v>337.81</v>
      </c>
      <c r="AB7" s="65">
        <v>326.68</v>
      </c>
      <c r="AC7" s="58">
        <v>326.68</v>
      </c>
      <c r="AD7" s="65">
        <v>509.83</v>
      </c>
      <c r="AE7" s="58">
        <v>509.83</v>
      </c>
      <c r="AF7" s="65">
        <f t="shared" si="13"/>
        <v>189.99999999999773</v>
      </c>
      <c r="AG7" s="58">
        <v>1427.6</v>
      </c>
      <c r="AH7" s="67">
        <f t="shared" si="14"/>
        <v>1.1999999999998181</v>
      </c>
      <c r="AI7" s="58">
        <v>483.18</v>
      </c>
      <c r="AJ7" s="65">
        <f t="shared" si="15"/>
        <v>220.00000000002728</v>
      </c>
      <c r="AK7" s="58">
        <v>168.84</v>
      </c>
      <c r="AL7" s="65">
        <f t="shared" si="15"/>
        <v>170.00000000001592</v>
      </c>
      <c r="AM7" s="58">
        <v>167.26</v>
      </c>
      <c r="AN7" s="65">
        <f t="shared" si="15"/>
        <v>179.9999999999784</v>
      </c>
      <c r="AO7" s="58">
        <v>161.22999999999999</v>
      </c>
      <c r="AP7" s="65">
        <f t="shared" si="15"/>
        <v>109.99999999998522</v>
      </c>
      <c r="AQ7" s="58">
        <v>222.97</v>
      </c>
      <c r="AR7" s="65">
        <f t="shared" si="16"/>
        <v>169.99999999998749</v>
      </c>
      <c r="AS7" s="58">
        <v>348.43</v>
      </c>
      <c r="AT7" s="65">
        <f t="shared" si="17"/>
        <v>180.00000000000682</v>
      </c>
      <c r="AU7" s="58">
        <v>268.86</v>
      </c>
      <c r="AV7" s="65">
        <f t="shared" si="18"/>
        <v>110.00000000001364</v>
      </c>
      <c r="AW7" s="58">
        <v>296.23</v>
      </c>
      <c r="AX7" s="65">
        <f t="shared" si="19"/>
        <v>170.00000000001592</v>
      </c>
      <c r="AY7" s="58">
        <v>347.61</v>
      </c>
      <c r="AZ7" s="65">
        <f t="shared" si="20"/>
        <v>160.00000000002501</v>
      </c>
      <c r="BA7" s="58">
        <v>367.29</v>
      </c>
      <c r="BB7" s="65">
        <f t="shared" si="21"/>
        <v>150.00000000003411</v>
      </c>
      <c r="BC7" s="58">
        <v>233.71</v>
      </c>
      <c r="BD7" s="65">
        <f t="shared" si="22"/>
        <v>80.000000000012506</v>
      </c>
      <c r="BE7" s="59">
        <v>32601</v>
      </c>
      <c r="BF7" s="67">
        <f t="shared" si="39"/>
        <v>27</v>
      </c>
      <c r="BG7" s="60">
        <v>226.51</v>
      </c>
      <c r="BH7" s="65">
        <f t="shared" si="23"/>
        <v>19.99999999998181</v>
      </c>
      <c r="BI7" s="60">
        <v>284.63</v>
      </c>
      <c r="BJ7" s="65">
        <f t="shared" si="40"/>
        <v>9.9999999999909051</v>
      </c>
      <c r="BK7" s="60">
        <v>231.66</v>
      </c>
      <c r="BL7" s="65">
        <f t="shared" si="24"/>
        <v>9.9999999999909051</v>
      </c>
      <c r="BM7" s="60">
        <v>216.38</v>
      </c>
      <c r="BN7" s="65">
        <f t="shared" si="25"/>
        <v>19.99999999998181</v>
      </c>
      <c r="BO7" s="60">
        <v>281.37</v>
      </c>
      <c r="BP7" s="65">
        <f t="shared" si="26"/>
        <v>30.000000000029559</v>
      </c>
      <c r="BQ7" s="60">
        <v>40392</v>
      </c>
      <c r="BR7" s="65">
        <f t="shared" si="27"/>
        <v>14</v>
      </c>
      <c r="BS7" s="60">
        <v>194.87</v>
      </c>
      <c r="BT7" s="65">
        <f t="shared" si="42"/>
        <v>20.000000000010232</v>
      </c>
      <c r="BU7" s="60">
        <v>33012</v>
      </c>
      <c r="BV7" s="65">
        <f t="shared" si="29"/>
        <v>31</v>
      </c>
      <c r="BW7" s="60">
        <v>226.3</v>
      </c>
      <c r="BX7" s="65">
        <f t="shared" si="30"/>
        <v>10.000000000019327</v>
      </c>
      <c r="BY7" s="60">
        <v>51356</v>
      </c>
      <c r="BZ7" s="67">
        <f t="shared" si="31"/>
        <v>26</v>
      </c>
      <c r="CA7" s="60">
        <v>27515.599999999999</v>
      </c>
      <c r="CB7" s="67">
        <f t="shared" si="32"/>
        <v>0</v>
      </c>
      <c r="CC7" s="60">
        <v>11255.6</v>
      </c>
      <c r="CD7" s="67">
        <f t="shared" si="33"/>
        <v>0</v>
      </c>
      <c r="CE7" s="60">
        <v>50954.2</v>
      </c>
      <c r="CF7" s="67">
        <f t="shared" si="34"/>
        <v>0</v>
      </c>
      <c r="CG7" s="60">
        <v>51011.7</v>
      </c>
      <c r="CH7" s="67">
        <f t="shared" si="35"/>
        <v>22</v>
      </c>
      <c r="CI7" s="60">
        <v>887345</v>
      </c>
      <c r="CJ7" s="67">
        <f t="shared" si="36"/>
        <v>207</v>
      </c>
      <c r="CK7" s="60">
        <v>627.95000000000005</v>
      </c>
      <c r="CL7" s="64">
        <f t="shared" si="37"/>
        <v>550.00000000006821</v>
      </c>
      <c r="CM7" s="65">
        <f t="shared" si="41"/>
        <v>17.300000000000182</v>
      </c>
      <c r="CN7" s="62">
        <v>0</v>
      </c>
      <c r="CO7" s="62">
        <v>0</v>
      </c>
      <c r="CP7" s="68">
        <v>1513.4</v>
      </c>
      <c r="CQ7" s="67">
        <f t="shared" si="38"/>
        <v>11.300000000000182</v>
      </c>
      <c r="CR7" s="68">
        <v>10888</v>
      </c>
      <c r="CS7" s="67">
        <f t="shared" si="38"/>
        <v>6</v>
      </c>
      <c r="CT7" s="75">
        <v>3535</v>
      </c>
      <c r="CU7" s="67">
        <f t="shared" si="38"/>
        <v>10</v>
      </c>
      <c r="CV7" s="68">
        <v>9966</v>
      </c>
      <c r="CW7" s="67">
        <f t="shared" si="38"/>
        <v>16</v>
      </c>
    </row>
    <row r="8" spans="1:102" ht="25.5" customHeight="1" thickBot="1" x14ac:dyDescent="0.45">
      <c r="A8" s="63">
        <v>44140</v>
      </c>
      <c r="B8" s="44"/>
      <c r="C8" s="58">
        <v>1.8874</v>
      </c>
      <c r="D8" s="64">
        <f t="shared" si="0"/>
        <v>1199.9999999998679</v>
      </c>
      <c r="E8" s="58">
        <v>2.8018000000000001</v>
      </c>
      <c r="F8" s="64">
        <f t="shared" si="1"/>
        <v>700.00000000014495</v>
      </c>
      <c r="G8" s="58">
        <v>2.7961</v>
      </c>
      <c r="H8" s="64">
        <f t="shared" si="2"/>
        <v>1700.0000000000348</v>
      </c>
      <c r="I8" s="58">
        <v>1.3585</v>
      </c>
      <c r="J8" s="64">
        <f t="shared" si="3"/>
        <v>800.00000000013392</v>
      </c>
      <c r="K8" s="58">
        <v>2.1652</v>
      </c>
      <c r="L8" s="64">
        <f t="shared" si="4"/>
        <v>1900.0000000000127</v>
      </c>
      <c r="M8" s="58">
        <v>1.2746</v>
      </c>
      <c r="N8" s="64">
        <f t="shared" si="5"/>
        <v>499.99999999994492</v>
      </c>
      <c r="O8" s="58">
        <v>12686</v>
      </c>
      <c r="P8" s="67">
        <f t="shared" si="43"/>
        <v>1</v>
      </c>
      <c r="Q8" s="58">
        <v>5964</v>
      </c>
      <c r="R8" s="67">
        <f t="shared" si="6"/>
        <v>2</v>
      </c>
      <c r="S8" s="58">
        <v>863929.6</v>
      </c>
      <c r="T8" s="67">
        <f t="shared" si="7"/>
        <v>136.79999999993015</v>
      </c>
      <c r="U8" s="58">
        <v>353735.7</v>
      </c>
      <c r="V8" s="67">
        <f t="shared" si="8"/>
        <v>88.100000000034925</v>
      </c>
      <c r="W8" s="58">
        <v>346.15</v>
      </c>
      <c r="X8" s="65">
        <f t="shared" si="9"/>
        <v>109.9999999999568</v>
      </c>
      <c r="Y8" s="58">
        <v>2.4525000000000001</v>
      </c>
      <c r="Z8" s="65">
        <f t="shared" si="10"/>
        <v>500.00000000016701</v>
      </c>
      <c r="AA8" s="58">
        <v>337.95</v>
      </c>
      <c r="AB8" s="65">
        <f t="shared" si="11"/>
        <v>139.99999999998636</v>
      </c>
      <c r="AC8" s="58">
        <v>326.81</v>
      </c>
      <c r="AD8" s="65">
        <f t="shared" si="12"/>
        <v>129.99999999999545</v>
      </c>
      <c r="AE8" s="58">
        <v>509.98</v>
      </c>
      <c r="AF8" s="65">
        <f t="shared" si="13"/>
        <v>150.00000000003411</v>
      </c>
      <c r="AG8" s="58">
        <v>1428.7</v>
      </c>
      <c r="AH8" s="67">
        <f t="shared" si="14"/>
        <v>1.1000000000001364</v>
      </c>
      <c r="AI8" s="58">
        <v>483.41</v>
      </c>
      <c r="AJ8" s="65">
        <f t="shared" si="15"/>
        <v>230.00000000001819</v>
      </c>
      <c r="AK8" s="58">
        <v>168.99</v>
      </c>
      <c r="AL8" s="65">
        <f t="shared" si="15"/>
        <v>150.00000000000568</v>
      </c>
      <c r="AM8" s="58">
        <v>167.39</v>
      </c>
      <c r="AN8" s="65">
        <f t="shared" si="15"/>
        <v>129.99999999999545</v>
      </c>
      <c r="AO8" s="58">
        <v>161.35</v>
      </c>
      <c r="AP8" s="65">
        <f t="shared" si="15"/>
        <v>120.00000000000455</v>
      </c>
      <c r="AQ8" s="58">
        <v>223.04</v>
      </c>
      <c r="AR8" s="65">
        <f t="shared" si="16"/>
        <v>69.999999999993179</v>
      </c>
      <c r="AS8" s="58">
        <v>348.51</v>
      </c>
      <c r="AT8" s="65">
        <f t="shared" si="17"/>
        <v>79.999999999984084</v>
      </c>
      <c r="AU8" s="58">
        <v>268.91000000000003</v>
      </c>
      <c r="AV8" s="65">
        <f t="shared" si="18"/>
        <v>50.000000000011369</v>
      </c>
      <c r="AW8" s="58">
        <v>296.26</v>
      </c>
      <c r="AX8" s="65">
        <f t="shared" si="19"/>
        <v>29.999999999972715</v>
      </c>
      <c r="AY8" s="58">
        <v>347.66</v>
      </c>
      <c r="AZ8" s="65">
        <f t="shared" si="20"/>
        <v>50.000000000011369</v>
      </c>
      <c r="BA8" s="58">
        <v>367.32</v>
      </c>
      <c r="BB8" s="65">
        <f t="shared" si="21"/>
        <v>29.999999999972715</v>
      </c>
      <c r="BC8" s="58">
        <v>233.72</v>
      </c>
      <c r="BD8" s="65">
        <f t="shared" si="22"/>
        <v>9.9999999999909051</v>
      </c>
      <c r="BE8" s="59">
        <v>32626</v>
      </c>
      <c r="BF8" s="67">
        <f t="shared" si="39"/>
        <v>25</v>
      </c>
      <c r="BG8" s="60">
        <v>226.52</v>
      </c>
      <c r="BH8" s="65">
        <f t="shared" si="23"/>
        <v>10.000000000019327</v>
      </c>
      <c r="BI8" s="60">
        <v>284.64999999999998</v>
      </c>
      <c r="BJ8" s="65">
        <f t="shared" si="40"/>
        <v>19.99999999998181</v>
      </c>
      <c r="BK8" s="60">
        <v>231.66</v>
      </c>
      <c r="BL8" s="65">
        <f t="shared" si="24"/>
        <v>0</v>
      </c>
      <c r="BM8" s="60">
        <v>216.4</v>
      </c>
      <c r="BN8" s="65">
        <f t="shared" si="25"/>
        <v>20.000000000010232</v>
      </c>
      <c r="BO8" s="60">
        <v>281.39</v>
      </c>
      <c r="BP8" s="65">
        <f t="shared" si="26"/>
        <v>19.99999999998181</v>
      </c>
      <c r="BQ8" s="60">
        <v>40404</v>
      </c>
      <c r="BR8" s="65">
        <f t="shared" si="27"/>
        <v>12</v>
      </c>
      <c r="BS8" s="60">
        <v>194.89</v>
      </c>
      <c r="BT8" s="65">
        <f t="shared" si="42"/>
        <v>19.99999999998181</v>
      </c>
      <c r="BU8" s="60">
        <v>33043</v>
      </c>
      <c r="BV8" s="65">
        <f t="shared" si="29"/>
        <v>31</v>
      </c>
      <c r="BW8" s="60">
        <v>226.31</v>
      </c>
      <c r="BX8" s="65">
        <f t="shared" si="30"/>
        <v>9.9999999999909051</v>
      </c>
      <c r="BY8" s="60">
        <v>51383</v>
      </c>
      <c r="BZ8" s="67">
        <f t="shared" si="31"/>
        <v>27</v>
      </c>
      <c r="CA8" s="60">
        <v>27515.599999999999</v>
      </c>
      <c r="CB8" s="67">
        <f t="shared" si="32"/>
        <v>0</v>
      </c>
      <c r="CC8" s="60">
        <v>11255.6</v>
      </c>
      <c r="CD8" s="67">
        <f t="shared" si="33"/>
        <v>0</v>
      </c>
      <c r="CE8" s="60">
        <v>50954.2</v>
      </c>
      <c r="CF8" s="67">
        <f t="shared" si="34"/>
        <v>0</v>
      </c>
      <c r="CG8" s="60">
        <v>51063.6</v>
      </c>
      <c r="CH8" s="67">
        <f t="shared" si="35"/>
        <v>51.900000000001455</v>
      </c>
      <c r="CI8" s="60">
        <v>887560</v>
      </c>
      <c r="CJ8" s="67">
        <f t="shared" si="36"/>
        <v>215</v>
      </c>
      <c r="CK8" s="60">
        <v>628.49</v>
      </c>
      <c r="CL8" s="64">
        <f t="shared" si="37"/>
        <v>539.99999999996362</v>
      </c>
      <c r="CM8" s="65">
        <f t="shared" si="41"/>
        <v>16.599999999999909</v>
      </c>
      <c r="CN8" s="62">
        <v>0</v>
      </c>
      <c r="CO8" s="62">
        <v>0</v>
      </c>
      <c r="CP8" s="68">
        <v>1523</v>
      </c>
      <c r="CQ8" s="67">
        <f t="shared" si="38"/>
        <v>9.5999999999999091</v>
      </c>
      <c r="CR8" s="68">
        <v>10895</v>
      </c>
      <c r="CS8" s="67">
        <f t="shared" si="38"/>
        <v>7</v>
      </c>
      <c r="CT8" s="75">
        <v>3547</v>
      </c>
      <c r="CU8" s="67">
        <f t="shared" si="38"/>
        <v>12</v>
      </c>
      <c r="CV8" s="68">
        <v>9986</v>
      </c>
      <c r="CW8" s="67">
        <f t="shared" si="38"/>
        <v>20</v>
      </c>
    </row>
    <row r="9" spans="1:102" ht="25.5" customHeight="1" thickBot="1" x14ac:dyDescent="0.45">
      <c r="A9" s="63">
        <v>44141</v>
      </c>
      <c r="B9" s="44"/>
      <c r="C9" s="58">
        <v>1.8885000000000001</v>
      </c>
      <c r="D9" s="64">
        <f t="shared" si="0"/>
        <v>1100.000000000101</v>
      </c>
      <c r="E9" s="58">
        <v>2.8025000000000002</v>
      </c>
      <c r="F9" s="64">
        <f t="shared" si="1"/>
        <v>700.00000000014495</v>
      </c>
      <c r="G9" s="58">
        <v>2.7976000000000001</v>
      </c>
      <c r="H9" s="64">
        <f t="shared" si="2"/>
        <v>1500.0000000000568</v>
      </c>
      <c r="I9" s="58">
        <v>1.3593999999999999</v>
      </c>
      <c r="J9" s="64">
        <f t="shared" si="3"/>
        <v>899.99999999990087</v>
      </c>
      <c r="K9" s="58">
        <v>2.1671</v>
      </c>
      <c r="L9" s="64">
        <f t="shared" si="4"/>
        <v>1900.0000000000127</v>
      </c>
      <c r="M9" s="58">
        <v>1.2753000000000001</v>
      </c>
      <c r="N9" s="64">
        <f t="shared" si="5"/>
        <v>700.00000000014495</v>
      </c>
      <c r="O9" s="58">
        <v>12687</v>
      </c>
      <c r="P9" s="67">
        <f t="shared" si="43"/>
        <v>1</v>
      </c>
      <c r="Q9" s="58">
        <v>5968</v>
      </c>
      <c r="R9" s="67">
        <f t="shared" si="6"/>
        <v>4</v>
      </c>
      <c r="S9" s="58">
        <v>864154</v>
      </c>
      <c r="T9" s="67">
        <f t="shared" si="7"/>
        <v>224.40000000002328</v>
      </c>
      <c r="U9" s="58">
        <v>353870.5</v>
      </c>
      <c r="V9" s="67">
        <f t="shared" si="8"/>
        <v>134.79999999998836</v>
      </c>
      <c r="W9" s="58">
        <v>346.26</v>
      </c>
      <c r="X9" s="65">
        <f t="shared" si="9"/>
        <v>110.00000000001364</v>
      </c>
      <c r="Y9" s="58">
        <v>2.4529999999999998</v>
      </c>
      <c r="Z9" s="65">
        <f t="shared" si="10"/>
        <v>499.99999999972289</v>
      </c>
      <c r="AA9" s="58">
        <v>338.08</v>
      </c>
      <c r="AB9" s="65">
        <f t="shared" si="11"/>
        <v>129.99999999999545</v>
      </c>
      <c r="AC9" s="58">
        <v>326.98</v>
      </c>
      <c r="AD9" s="65">
        <f t="shared" si="12"/>
        <v>170.00000000001592</v>
      </c>
      <c r="AE9" s="58">
        <v>510.25</v>
      </c>
      <c r="AF9" s="65">
        <f t="shared" si="13"/>
        <v>269.99999999998181</v>
      </c>
      <c r="AG9" s="58">
        <v>1429.8</v>
      </c>
      <c r="AH9" s="67">
        <f t="shared" si="14"/>
        <v>1.0999999999999091</v>
      </c>
      <c r="AI9" s="58">
        <v>483.65</v>
      </c>
      <c r="AJ9" s="65">
        <f t="shared" si="15"/>
        <v>239.99999999995225</v>
      </c>
      <c r="AK9" s="58">
        <v>169.15</v>
      </c>
      <c r="AL9" s="65">
        <f t="shared" si="15"/>
        <v>159.99999999999659</v>
      </c>
      <c r="AM9" s="58">
        <v>167.53</v>
      </c>
      <c r="AN9" s="65">
        <f t="shared" si="15"/>
        <v>140.00000000001478</v>
      </c>
      <c r="AO9" s="58">
        <v>161.47999999999999</v>
      </c>
      <c r="AP9" s="65">
        <f t="shared" si="15"/>
        <v>129.99999999999545</v>
      </c>
      <c r="AQ9" s="58">
        <v>223.07</v>
      </c>
      <c r="AR9" s="65">
        <f t="shared" si="16"/>
        <v>30.000000000001137</v>
      </c>
      <c r="AS9" s="58">
        <v>348.54</v>
      </c>
      <c r="AT9" s="65">
        <f t="shared" si="17"/>
        <v>30.000000000029559</v>
      </c>
      <c r="AU9" s="58">
        <v>268.94</v>
      </c>
      <c r="AV9" s="65">
        <f t="shared" si="18"/>
        <v>29.999999999972715</v>
      </c>
      <c r="AW9" s="58">
        <v>296.29000000000002</v>
      </c>
      <c r="AX9" s="65">
        <f t="shared" si="19"/>
        <v>30.000000000029559</v>
      </c>
      <c r="AY9" s="58">
        <v>347.69</v>
      </c>
      <c r="AZ9" s="65">
        <f t="shared" si="20"/>
        <v>29.999999999972715</v>
      </c>
      <c r="BA9" s="58">
        <v>367.34</v>
      </c>
      <c r="BB9" s="65">
        <f t="shared" si="21"/>
        <v>19.99999999998181</v>
      </c>
      <c r="BC9" s="58">
        <v>233.74</v>
      </c>
      <c r="BD9" s="65">
        <f t="shared" si="22"/>
        <v>20.000000000010232</v>
      </c>
      <c r="BE9" s="59">
        <v>32652</v>
      </c>
      <c r="BF9" s="67">
        <f t="shared" si="39"/>
        <v>26</v>
      </c>
      <c r="BG9" s="60">
        <v>226.53</v>
      </c>
      <c r="BH9" s="65">
        <f t="shared" si="23"/>
        <v>9.9999999999909051</v>
      </c>
      <c r="BI9" s="60">
        <v>284.66000000000003</v>
      </c>
      <c r="BJ9" s="65">
        <f t="shared" si="40"/>
        <v>10.000000000047748</v>
      </c>
      <c r="BK9" s="60">
        <v>231.67</v>
      </c>
      <c r="BL9" s="65">
        <f t="shared" si="24"/>
        <v>9.9999999999909051</v>
      </c>
      <c r="BM9" s="60">
        <v>216.41</v>
      </c>
      <c r="BN9" s="65">
        <f t="shared" si="25"/>
        <v>9.9999999999909051</v>
      </c>
      <c r="BO9" s="60">
        <v>281.42</v>
      </c>
      <c r="BP9" s="65">
        <f t="shared" si="26"/>
        <v>30.000000000029559</v>
      </c>
      <c r="BQ9" s="60">
        <v>40419</v>
      </c>
      <c r="BR9" s="65">
        <f t="shared" si="27"/>
        <v>15</v>
      </c>
      <c r="BS9" s="60">
        <v>194.9</v>
      </c>
      <c r="BT9" s="65">
        <f t="shared" si="42"/>
        <v>10.000000000019327</v>
      </c>
      <c r="BU9" s="60">
        <v>33075</v>
      </c>
      <c r="BV9" s="65">
        <f t="shared" si="29"/>
        <v>32</v>
      </c>
      <c r="BW9" s="60">
        <v>226.32</v>
      </c>
      <c r="BX9" s="65">
        <f t="shared" si="30"/>
        <v>9.9999999999909051</v>
      </c>
      <c r="BY9" s="60">
        <v>51415</v>
      </c>
      <c r="BZ9" s="67">
        <f t="shared" si="31"/>
        <v>32</v>
      </c>
      <c r="CA9" s="60">
        <v>27515.599999999999</v>
      </c>
      <c r="CB9" s="67">
        <f t="shared" si="32"/>
        <v>0</v>
      </c>
      <c r="CC9" s="60">
        <v>11255.6</v>
      </c>
      <c r="CD9" s="67">
        <f t="shared" si="33"/>
        <v>0</v>
      </c>
      <c r="CE9" s="60">
        <v>50954.2</v>
      </c>
      <c r="CF9" s="67">
        <f t="shared" si="34"/>
        <v>0</v>
      </c>
      <c r="CG9" s="60">
        <v>51084.3</v>
      </c>
      <c r="CH9" s="67">
        <f t="shared" si="35"/>
        <v>20.700000000004366</v>
      </c>
      <c r="CI9" s="60">
        <v>887770</v>
      </c>
      <c r="CJ9" s="67">
        <f t="shared" si="36"/>
        <v>210</v>
      </c>
      <c r="CK9" s="60">
        <v>628.9</v>
      </c>
      <c r="CL9" s="64">
        <f t="shared" si="37"/>
        <v>409.99999999996817</v>
      </c>
      <c r="CM9" s="65">
        <f t="shared" si="41"/>
        <v>15</v>
      </c>
      <c r="CN9" s="62">
        <v>0</v>
      </c>
      <c r="CO9" s="62">
        <v>0</v>
      </c>
      <c r="CP9" s="68">
        <v>1530</v>
      </c>
      <c r="CQ9" s="67">
        <f t="shared" si="38"/>
        <v>7</v>
      </c>
      <c r="CR9" s="68">
        <v>10903</v>
      </c>
      <c r="CS9" s="67">
        <f t="shared" si="38"/>
        <v>8</v>
      </c>
      <c r="CT9" s="75">
        <v>3559</v>
      </c>
      <c r="CU9" s="67">
        <f t="shared" si="38"/>
        <v>12</v>
      </c>
      <c r="CV9" s="68">
        <v>10008</v>
      </c>
      <c r="CW9" s="67">
        <f t="shared" si="38"/>
        <v>22</v>
      </c>
    </row>
    <row r="10" spans="1:102" ht="25.5" customHeight="1" thickBot="1" x14ac:dyDescent="0.45">
      <c r="A10" s="63">
        <v>44142</v>
      </c>
      <c r="B10" s="44"/>
      <c r="C10" s="58">
        <v>1.8894</v>
      </c>
      <c r="D10" s="64">
        <f t="shared" si="0"/>
        <v>899.99999999990087</v>
      </c>
      <c r="E10" s="58">
        <v>2.8029999999999999</v>
      </c>
      <c r="F10" s="64">
        <f t="shared" si="1"/>
        <v>499.99999999972289</v>
      </c>
      <c r="G10" s="58">
        <v>2.7989999999999999</v>
      </c>
      <c r="H10" s="64">
        <f t="shared" si="2"/>
        <v>1399.9999999998458</v>
      </c>
      <c r="I10" s="58">
        <v>1.3601000000000001</v>
      </c>
      <c r="J10" s="64">
        <f t="shared" si="3"/>
        <v>700.00000000014495</v>
      </c>
      <c r="K10" s="58">
        <v>2.1688000000000001</v>
      </c>
      <c r="L10" s="64">
        <f t="shared" si="4"/>
        <v>1700.0000000000348</v>
      </c>
      <c r="M10" s="58">
        <v>1.2758</v>
      </c>
      <c r="N10" s="64">
        <f t="shared" si="5"/>
        <v>499.99999999994492</v>
      </c>
      <c r="O10" s="58">
        <v>12688</v>
      </c>
      <c r="P10" s="67">
        <f t="shared" si="43"/>
        <v>1</v>
      </c>
      <c r="Q10" s="58">
        <v>5972</v>
      </c>
      <c r="R10" s="67">
        <f t="shared" si="6"/>
        <v>4</v>
      </c>
      <c r="S10" s="58">
        <v>864194</v>
      </c>
      <c r="T10" s="67">
        <f t="shared" si="7"/>
        <v>40</v>
      </c>
      <c r="U10" s="58">
        <v>353972.5</v>
      </c>
      <c r="V10" s="67">
        <f t="shared" si="8"/>
        <v>102</v>
      </c>
      <c r="W10" s="58">
        <v>346.33</v>
      </c>
      <c r="X10" s="65">
        <f t="shared" si="9"/>
        <v>69.999999999993179</v>
      </c>
      <c r="Y10" s="58">
        <v>2.4533</v>
      </c>
      <c r="Z10" s="65">
        <f t="shared" si="10"/>
        <v>300.000000000189</v>
      </c>
      <c r="AA10" s="58">
        <v>338.18</v>
      </c>
      <c r="AB10" s="65">
        <f t="shared" si="11"/>
        <v>100.00000000002274</v>
      </c>
      <c r="AC10" s="58">
        <v>327.10000000000002</v>
      </c>
      <c r="AD10" s="65">
        <f t="shared" si="12"/>
        <v>120.00000000000455</v>
      </c>
      <c r="AE10" s="58">
        <v>510.41</v>
      </c>
      <c r="AF10" s="65">
        <f t="shared" si="13"/>
        <v>160.00000000002501</v>
      </c>
      <c r="AG10" s="58">
        <v>1430.7</v>
      </c>
      <c r="AH10" s="67">
        <f t="shared" si="14"/>
        <v>0.90000000000009095</v>
      </c>
      <c r="AI10" s="58">
        <v>483.88</v>
      </c>
      <c r="AJ10" s="65">
        <f t="shared" si="15"/>
        <v>230.00000000001819</v>
      </c>
      <c r="AK10" s="58">
        <v>169.26</v>
      </c>
      <c r="AL10" s="65">
        <f t="shared" si="15"/>
        <v>109.99999999998522</v>
      </c>
      <c r="AM10" s="58">
        <v>167.65</v>
      </c>
      <c r="AN10" s="65">
        <f t="shared" si="15"/>
        <v>120.00000000000455</v>
      </c>
      <c r="AO10" s="58">
        <v>161.57</v>
      </c>
      <c r="AP10" s="65">
        <f t="shared" si="15"/>
        <v>90.000000000003411</v>
      </c>
      <c r="AQ10" s="58">
        <v>223.09</v>
      </c>
      <c r="AR10" s="65">
        <f t="shared" si="16"/>
        <v>20.000000000010232</v>
      </c>
      <c r="AS10" s="58">
        <v>348.57</v>
      </c>
      <c r="AT10" s="65">
        <f t="shared" si="17"/>
        <v>29.999999999972715</v>
      </c>
      <c r="AU10" s="58">
        <v>268.95999999999998</v>
      </c>
      <c r="AV10" s="65">
        <f t="shared" si="18"/>
        <v>19.99999999998181</v>
      </c>
      <c r="AW10" s="58">
        <v>296.31</v>
      </c>
      <c r="AX10" s="65">
        <f t="shared" si="19"/>
        <v>19.99999999998181</v>
      </c>
      <c r="AY10" s="58">
        <v>347.77</v>
      </c>
      <c r="AZ10" s="65">
        <f t="shared" si="20"/>
        <v>79.999999999984084</v>
      </c>
      <c r="BA10" s="58">
        <v>367.37</v>
      </c>
      <c r="BB10" s="65">
        <f t="shared" si="21"/>
        <v>30.000000000029559</v>
      </c>
      <c r="BC10" s="58">
        <v>233.76</v>
      </c>
      <c r="BD10" s="65">
        <f t="shared" si="22"/>
        <v>19.99999999998181</v>
      </c>
      <c r="BE10" s="59">
        <v>32680</v>
      </c>
      <c r="BF10" s="67">
        <f t="shared" si="39"/>
        <v>28</v>
      </c>
      <c r="BG10" s="60">
        <v>226.54</v>
      </c>
      <c r="BH10" s="65">
        <f t="shared" si="23"/>
        <v>9.9999999999909051</v>
      </c>
      <c r="BI10" s="60">
        <v>284.67</v>
      </c>
      <c r="BJ10" s="65">
        <f t="shared" si="40"/>
        <v>9.9999999999909051</v>
      </c>
      <c r="BK10" s="60">
        <v>231.67</v>
      </c>
      <c r="BL10" s="65">
        <f t="shared" si="24"/>
        <v>0</v>
      </c>
      <c r="BM10" s="60">
        <v>216.43</v>
      </c>
      <c r="BN10" s="65">
        <f t="shared" si="25"/>
        <v>20.000000000010232</v>
      </c>
      <c r="BO10" s="60">
        <v>281.43</v>
      </c>
      <c r="BP10" s="65">
        <f t="shared" si="26"/>
        <v>9.9999999999909051</v>
      </c>
      <c r="BQ10" s="60">
        <v>40433</v>
      </c>
      <c r="BR10" s="65">
        <f t="shared" si="27"/>
        <v>14</v>
      </c>
      <c r="BS10" s="60">
        <v>194.91</v>
      </c>
      <c r="BT10" s="65">
        <f t="shared" si="42"/>
        <v>9.9999999999909051</v>
      </c>
      <c r="BU10" s="60">
        <v>33098</v>
      </c>
      <c r="BV10" s="65">
        <f t="shared" si="29"/>
        <v>23</v>
      </c>
      <c r="BW10" s="60">
        <v>226.33</v>
      </c>
      <c r="BX10" s="65">
        <f t="shared" si="30"/>
        <v>10.000000000019327</v>
      </c>
      <c r="BY10" s="60">
        <v>51433</v>
      </c>
      <c r="BZ10" s="67">
        <f t="shared" si="31"/>
        <v>18</v>
      </c>
      <c r="CA10" s="60">
        <v>27515.599999999999</v>
      </c>
      <c r="CB10" s="67">
        <f t="shared" si="32"/>
        <v>0</v>
      </c>
      <c r="CC10" s="60">
        <v>11255.6</v>
      </c>
      <c r="CD10" s="67">
        <f t="shared" si="33"/>
        <v>0</v>
      </c>
      <c r="CE10" s="60">
        <v>50954.2</v>
      </c>
      <c r="CF10" s="67">
        <f t="shared" si="34"/>
        <v>0</v>
      </c>
      <c r="CG10" s="60">
        <v>51100.4</v>
      </c>
      <c r="CH10" s="67">
        <f t="shared" si="35"/>
        <v>16.099999999998545</v>
      </c>
      <c r="CI10" s="60">
        <v>887965</v>
      </c>
      <c r="CJ10" s="67">
        <f t="shared" si="36"/>
        <v>195</v>
      </c>
      <c r="CK10" s="60">
        <v>629.37</v>
      </c>
      <c r="CL10" s="64">
        <f t="shared" si="37"/>
        <v>470.00000000002728</v>
      </c>
      <c r="CM10" s="65">
        <f t="shared" si="41"/>
        <v>17</v>
      </c>
      <c r="CN10" s="62">
        <v>0</v>
      </c>
      <c r="CO10" s="62">
        <v>0</v>
      </c>
      <c r="CP10" s="68">
        <v>1535</v>
      </c>
      <c r="CQ10" s="67">
        <f>IF((CP10-CP9&lt;0), "",CP10-CP9)</f>
        <v>5</v>
      </c>
      <c r="CR10" s="68">
        <v>10915</v>
      </c>
      <c r="CS10" s="67">
        <f t="shared" si="38"/>
        <v>12</v>
      </c>
      <c r="CT10" s="75">
        <v>3570</v>
      </c>
      <c r="CU10" s="67">
        <f t="shared" si="38"/>
        <v>11</v>
      </c>
      <c r="CV10" s="68">
        <v>10030</v>
      </c>
      <c r="CW10" s="67">
        <f t="shared" si="38"/>
        <v>22</v>
      </c>
    </row>
    <row r="11" spans="1:102" ht="25.5" customHeight="1" thickBot="1" x14ac:dyDescent="0.45">
      <c r="A11" s="63">
        <v>44143</v>
      </c>
      <c r="B11" s="44"/>
      <c r="C11" s="58">
        <v>1.8903000000000001</v>
      </c>
      <c r="D11" s="64">
        <f t="shared" si="0"/>
        <v>900.0000000001229</v>
      </c>
      <c r="E11" s="58">
        <v>2.8035000000000001</v>
      </c>
      <c r="F11" s="64">
        <f t="shared" si="1"/>
        <v>500.00000000016701</v>
      </c>
      <c r="G11" s="58">
        <v>2.8003999999999998</v>
      </c>
      <c r="H11" s="64">
        <f t="shared" si="2"/>
        <v>1399.9999999998458</v>
      </c>
      <c r="I11" s="58">
        <v>1.3609</v>
      </c>
      <c r="J11" s="64">
        <f t="shared" si="3"/>
        <v>799.99999999991189</v>
      </c>
      <c r="K11" s="58">
        <v>2.1707000000000001</v>
      </c>
      <c r="L11" s="64">
        <f t="shared" si="4"/>
        <v>1900.0000000000127</v>
      </c>
      <c r="M11" s="58">
        <v>1.2762</v>
      </c>
      <c r="N11" s="64">
        <f t="shared" si="5"/>
        <v>399.99999999995595</v>
      </c>
      <c r="O11" s="58">
        <v>12689</v>
      </c>
      <c r="P11" s="67">
        <f t="shared" ref="P11:P34" si="44">IF((O11-O10&lt;0), "",O11-O10)</f>
        <v>1</v>
      </c>
      <c r="Q11" s="58">
        <v>5975</v>
      </c>
      <c r="R11" s="67">
        <f t="shared" si="6"/>
        <v>3</v>
      </c>
      <c r="S11" s="58">
        <v>864255.2</v>
      </c>
      <c r="T11" s="67">
        <f t="shared" si="7"/>
        <v>61.199999999953434</v>
      </c>
      <c r="U11" s="58">
        <v>353942.8</v>
      </c>
      <c r="V11" s="67" t="str">
        <f t="shared" si="8"/>
        <v/>
      </c>
      <c r="W11" s="58">
        <v>346.41</v>
      </c>
      <c r="X11" s="65">
        <f t="shared" si="9"/>
        <v>80.000000000040927</v>
      </c>
      <c r="Y11" s="58">
        <v>2.4537</v>
      </c>
      <c r="Z11" s="65">
        <f t="shared" si="10"/>
        <v>399.99999999995595</v>
      </c>
      <c r="AA11" s="58">
        <v>338.26</v>
      </c>
      <c r="AB11" s="65">
        <f t="shared" si="11"/>
        <v>79.999999999984084</v>
      </c>
      <c r="AC11" s="58">
        <v>327.22000000000003</v>
      </c>
      <c r="AD11" s="65">
        <f t="shared" si="12"/>
        <v>120.00000000000455</v>
      </c>
      <c r="AE11" s="58">
        <v>510.54</v>
      </c>
      <c r="AF11" s="65">
        <f t="shared" si="13"/>
        <v>129.99999999999545</v>
      </c>
      <c r="AG11" s="58">
        <v>1431.7</v>
      </c>
      <c r="AH11" s="67">
        <f t="shared" si="14"/>
        <v>1</v>
      </c>
      <c r="AI11" s="58">
        <v>484.12</v>
      </c>
      <c r="AJ11" s="65">
        <f t="shared" si="15"/>
        <v>240.00000000000909</v>
      </c>
      <c r="AK11" s="58">
        <v>169.36</v>
      </c>
      <c r="AL11" s="65">
        <f t="shared" si="15"/>
        <v>100.00000000002274</v>
      </c>
      <c r="AM11" s="58">
        <v>167.78</v>
      </c>
      <c r="AN11" s="65">
        <f t="shared" si="15"/>
        <v>129.99999999999545</v>
      </c>
      <c r="AO11" s="58">
        <v>161.66</v>
      </c>
      <c r="AP11" s="65">
        <f t="shared" si="15"/>
        <v>90.000000000003411</v>
      </c>
      <c r="AQ11" s="58">
        <v>223.17</v>
      </c>
      <c r="AR11" s="65">
        <f t="shared" si="16"/>
        <v>79.999999999984084</v>
      </c>
      <c r="AS11" s="58">
        <v>348.59</v>
      </c>
      <c r="AT11" s="65">
        <f t="shared" si="17"/>
        <v>19.99999999998181</v>
      </c>
      <c r="AU11" s="58">
        <v>268.98</v>
      </c>
      <c r="AV11" s="65">
        <f t="shared" si="18"/>
        <v>20.000000000038654</v>
      </c>
      <c r="AW11" s="58">
        <v>296.33</v>
      </c>
      <c r="AX11" s="65">
        <f t="shared" si="19"/>
        <v>19.99999999998181</v>
      </c>
      <c r="AY11" s="58">
        <v>347.74</v>
      </c>
      <c r="AZ11" s="65" t="str">
        <f t="shared" si="20"/>
        <v/>
      </c>
      <c r="BA11" s="58">
        <v>367.39</v>
      </c>
      <c r="BB11" s="65">
        <f t="shared" si="21"/>
        <v>19.99999999998181</v>
      </c>
      <c r="BC11" s="58">
        <v>233.77</v>
      </c>
      <c r="BD11" s="65">
        <f>IF((BC11-BC10&lt;0), "",(BC11-BC10)*1000)</f>
        <v>10.000000000019327</v>
      </c>
      <c r="BE11" s="59">
        <v>32705</v>
      </c>
      <c r="BF11" s="67">
        <f t="shared" si="39"/>
        <v>25</v>
      </c>
      <c r="BG11" s="60">
        <v>226.54</v>
      </c>
      <c r="BH11" s="65">
        <f t="shared" si="23"/>
        <v>0</v>
      </c>
      <c r="BI11" s="60">
        <v>284.68</v>
      </c>
      <c r="BJ11" s="65">
        <f t="shared" si="40"/>
        <v>9.9999999999909051</v>
      </c>
      <c r="BK11" s="60">
        <v>231.67</v>
      </c>
      <c r="BL11" s="65">
        <f t="shared" si="24"/>
        <v>0</v>
      </c>
      <c r="BM11" s="60">
        <v>216.44</v>
      </c>
      <c r="BN11" s="65">
        <f t="shared" si="25"/>
        <v>9.9999999999909051</v>
      </c>
      <c r="BO11" s="60">
        <v>281.44</v>
      </c>
      <c r="BP11" s="65">
        <f t="shared" si="26"/>
        <v>9.9999999999909051</v>
      </c>
      <c r="BQ11" s="60">
        <v>40448</v>
      </c>
      <c r="BR11" s="65">
        <f t="shared" si="27"/>
        <v>15</v>
      </c>
      <c r="BS11" s="60">
        <v>194.92</v>
      </c>
      <c r="BT11" s="65">
        <f t="shared" si="42"/>
        <v>9.9999999999909051</v>
      </c>
      <c r="BU11" s="60">
        <v>33121</v>
      </c>
      <c r="BV11" s="65">
        <f t="shared" si="29"/>
        <v>23</v>
      </c>
      <c r="BW11" s="60">
        <v>226.35</v>
      </c>
      <c r="BX11" s="65">
        <f t="shared" si="30"/>
        <v>19.99999999998181</v>
      </c>
      <c r="BY11" s="60">
        <v>51455</v>
      </c>
      <c r="BZ11" s="67">
        <f t="shared" si="31"/>
        <v>22</v>
      </c>
      <c r="CA11" s="60">
        <v>27515.599999999999</v>
      </c>
      <c r="CB11" s="67">
        <f t="shared" si="32"/>
        <v>0</v>
      </c>
      <c r="CC11" s="60">
        <v>11255.6</v>
      </c>
      <c r="CD11" s="67">
        <f t="shared" si="33"/>
        <v>0</v>
      </c>
      <c r="CE11" s="60">
        <v>50954.2</v>
      </c>
      <c r="CF11" s="67">
        <f t="shared" si="34"/>
        <v>0</v>
      </c>
      <c r="CG11" s="60">
        <v>51119.8</v>
      </c>
      <c r="CH11" s="67">
        <f t="shared" si="35"/>
        <v>19.400000000001455</v>
      </c>
      <c r="CI11" s="60">
        <v>888168</v>
      </c>
      <c r="CJ11" s="67">
        <f t="shared" si="36"/>
        <v>203</v>
      </c>
      <c r="CK11" s="60">
        <v>629.76</v>
      </c>
      <c r="CL11" s="64">
        <f t="shared" si="37"/>
        <v>389.99999999998636</v>
      </c>
      <c r="CM11" s="65">
        <f t="shared" si="41"/>
        <v>12.5</v>
      </c>
      <c r="CN11" s="62">
        <v>0</v>
      </c>
      <c r="CO11" s="62">
        <v>0</v>
      </c>
      <c r="CP11" s="68">
        <v>1542.5</v>
      </c>
      <c r="CQ11" s="67">
        <f>IF((CP11-CP10&lt;0), "",CP11-CP10)</f>
        <v>7.5</v>
      </c>
      <c r="CR11" s="68">
        <v>10920</v>
      </c>
      <c r="CS11" s="67">
        <f t="shared" si="38"/>
        <v>5</v>
      </c>
      <c r="CT11" s="75">
        <v>3581</v>
      </c>
      <c r="CU11" s="67">
        <f t="shared" si="38"/>
        <v>11</v>
      </c>
      <c r="CV11" s="68">
        <v>10055</v>
      </c>
      <c r="CW11" s="67">
        <f t="shared" si="38"/>
        <v>25</v>
      </c>
    </row>
    <row r="12" spans="1:102" ht="25.5" customHeight="1" thickBot="1" x14ac:dyDescent="0.45">
      <c r="A12" s="63">
        <v>44144</v>
      </c>
      <c r="B12" s="44"/>
      <c r="C12" s="58">
        <v>1.8914</v>
      </c>
      <c r="D12" s="64">
        <f t="shared" si="0"/>
        <v>1099.9999999998788</v>
      </c>
      <c r="E12" s="58">
        <v>2.8041999999999998</v>
      </c>
      <c r="F12" s="64">
        <f t="shared" si="1"/>
        <v>699.99999999970089</v>
      </c>
      <c r="G12" s="58">
        <v>2.8018999999999998</v>
      </c>
      <c r="H12" s="64">
        <f t="shared" si="2"/>
        <v>1500.0000000000568</v>
      </c>
      <c r="I12" s="58">
        <v>1.3616999999999999</v>
      </c>
      <c r="J12" s="64">
        <f t="shared" si="3"/>
        <v>799.99999999991189</v>
      </c>
      <c r="K12" s="58">
        <v>2.1726000000000001</v>
      </c>
      <c r="L12" s="64">
        <f t="shared" si="4"/>
        <v>1900.0000000000127</v>
      </c>
      <c r="M12" s="58">
        <v>1.2768999999999999</v>
      </c>
      <c r="N12" s="64">
        <f t="shared" si="5"/>
        <v>699.99999999992292</v>
      </c>
      <c r="O12" s="58">
        <v>12690</v>
      </c>
      <c r="P12" s="67">
        <f t="shared" si="44"/>
        <v>1</v>
      </c>
      <c r="Q12" s="58">
        <v>5978</v>
      </c>
      <c r="R12" s="67">
        <f t="shared" si="6"/>
        <v>3</v>
      </c>
      <c r="S12" s="58">
        <v>864420.8</v>
      </c>
      <c r="T12" s="67">
        <f t="shared" si="7"/>
        <v>165.60000000009313</v>
      </c>
      <c r="U12" s="58">
        <v>354059.7</v>
      </c>
      <c r="V12" s="67">
        <f t="shared" si="8"/>
        <v>116.90000000002328</v>
      </c>
      <c r="W12" s="58">
        <v>346.5</v>
      </c>
      <c r="X12" s="65">
        <f t="shared" si="9"/>
        <v>89.999999999974989</v>
      </c>
      <c r="Y12" s="58">
        <v>2.4542000000000002</v>
      </c>
      <c r="Z12" s="65">
        <f t="shared" si="10"/>
        <v>500.00000000016701</v>
      </c>
      <c r="AA12" s="58">
        <v>338.38</v>
      </c>
      <c r="AB12" s="65">
        <f t="shared" si="11"/>
        <v>120.00000000000455</v>
      </c>
      <c r="AC12" s="58">
        <v>327.38</v>
      </c>
      <c r="AD12" s="65">
        <f t="shared" si="12"/>
        <v>159.99999999996817</v>
      </c>
      <c r="AE12" s="58">
        <v>510.8</v>
      </c>
      <c r="AF12" s="65">
        <f t="shared" si="13"/>
        <v>259.99999999999091</v>
      </c>
      <c r="AG12" s="58">
        <v>1432.9</v>
      </c>
      <c r="AH12" s="67">
        <f t="shared" si="14"/>
        <v>1.2000000000000455</v>
      </c>
      <c r="AI12" s="58">
        <v>484.37</v>
      </c>
      <c r="AJ12" s="65">
        <f t="shared" si="15"/>
        <v>250</v>
      </c>
      <c r="AK12" s="58">
        <v>169.54</v>
      </c>
      <c r="AL12" s="65">
        <f t="shared" si="15"/>
        <v>179.9999999999784</v>
      </c>
      <c r="AM12" s="58">
        <v>167.95</v>
      </c>
      <c r="AN12" s="65">
        <f t="shared" si="15"/>
        <v>169.99999999998749</v>
      </c>
      <c r="AO12" s="58">
        <v>161.78</v>
      </c>
      <c r="AP12" s="65">
        <f t="shared" si="15"/>
        <v>120.00000000000455</v>
      </c>
      <c r="AQ12" s="58">
        <v>223.14</v>
      </c>
      <c r="AR12" s="65" t="str">
        <f t="shared" si="16"/>
        <v/>
      </c>
      <c r="AS12" s="58">
        <v>348.63</v>
      </c>
      <c r="AT12" s="65">
        <f t="shared" si="17"/>
        <v>40.000000000020464</v>
      </c>
      <c r="AU12" s="58">
        <v>269.01</v>
      </c>
      <c r="AV12" s="65">
        <f t="shared" si="18"/>
        <v>29.999999999972715</v>
      </c>
      <c r="AW12" s="58">
        <v>296.35000000000002</v>
      </c>
      <c r="AX12" s="65">
        <f t="shared" si="19"/>
        <v>20.000000000038654</v>
      </c>
      <c r="AY12" s="58">
        <v>347.76</v>
      </c>
      <c r="AZ12" s="65">
        <f t="shared" si="20"/>
        <v>19.99999999998181</v>
      </c>
      <c r="BA12" s="58">
        <v>367.42</v>
      </c>
      <c r="BB12" s="65">
        <f t="shared" si="21"/>
        <v>30.000000000029559</v>
      </c>
      <c r="BC12" s="58">
        <v>233.79</v>
      </c>
      <c r="BD12" s="65">
        <f t="shared" si="22"/>
        <v>19.99999999998181</v>
      </c>
      <c r="BE12" s="59">
        <v>32731</v>
      </c>
      <c r="BF12" s="67">
        <f t="shared" si="39"/>
        <v>26</v>
      </c>
      <c r="BG12" s="60">
        <v>226.55</v>
      </c>
      <c r="BH12" s="65">
        <f t="shared" si="23"/>
        <v>10.000000000019327</v>
      </c>
      <c r="BI12" s="60">
        <v>284.69</v>
      </c>
      <c r="BJ12" s="65">
        <f t="shared" si="40"/>
        <v>9.9999999999909051</v>
      </c>
      <c r="BK12" s="60">
        <v>231.68</v>
      </c>
      <c r="BL12" s="65">
        <f t="shared" si="24"/>
        <v>10.000000000019327</v>
      </c>
      <c r="BM12" s="60">
        <v>216.46</v>
      </c>
      <c r="BN12" s="65">
        <f t="shared" si="25"/>
        <v>20.000000000010232</v>
      </c>
      <c r="BO12" s="60">
        <v>281.47000000000003</v>
      </c>
      <c r="BP12" s="65">
        <f t="shared" si="26"/>
        <v>30.000000000029559</v>
      </c>
      <c r="BQ12" s="60">
        <v>40464</v>
      </c>
      <c r="BR12" s="65">
        <f t="shared" si="27"/>
        <v>16</v>
      </c>
      <c r="BS12" s="60">
        <v>194.94</v>
      </c>
      <c r="BT12" s="65">
        <f t="shared" si="42"/>
        <v>20.000000000010232</v>
      </c>
      <c r="BU12" s="60">
        <v>33152</v>
      </c>
      <c r="BV12" s="65">
        <f t="shared" si="29"/>
        <v>31</v>
      </c>
      <c r="BW12" s="60">
        <v>226.36</v>
      </c>
      <c r="BX12" s="65">
        <f t="shared" si="30"/>
        <v>10.000000000019327</v>
      </c>
      <c r="BY12" s="60">
        <v>51481</v>
      </c>
      <c r="BZ12" s="67">
        <f t="shared" si="31"/>
        <v>26</v>
      </c>
      <c r="CA12" s="60">
        <v>27515.599999999999</v>
      </c>
      <c r="CB12" s="67">
        <f t="shared" si="32"/>
        <v>0</v>
      </c>
      <c r="CC12" s="60">
        <v>11255.6</v>
      </c>
      <c r="CD12" s="67">
        <f t="shared" si="33"/>
        <v>0</v>
      </c>
      <c r="CE12" s="60">
        <v>50954.2</v>
      </c>
      <c r="CF12" s="67">
        <f t="shared" si="34"/>
        <v>0</v>
      </c>
      <c r="CG12" s="60">
        <v>51136.6</v>
      </c>
      <c r="CH12" s="67">
        <f t="shared" si="35"/>
        <v>16.799999999995634</v>
      </c>
      <c r="CI12" s="60">
        <v>888383</v>
      </c>
      <c r="CJ12" s="67">
        <f t="shared" si="36"/>
        <v>215</v>
      </c>
      <c r="CK12" s="60">
        <v>630.21</v>
      </c>
      <c r="CL12" s="64">
        <f t="shared" si="37"/>
        <v>450.00000000004547</v>
      </c>
      <c r="CM12" s="65">
        <f t="shared" si="41"/>
        <v>20.700000000000045</v>
      </c>
      <c r="CN12" s="62">
        <v>0</v>
      </c>
      <c r="CO12" s="62">
        <v>0</v>
      </c>
      <c r="CP12" s="68">
        <v>1557.2</v>
      </c>
      <c r="CQ12" s="67">
        <f>IF((CP12-CP11&lt;0), "",CP12-CP11)</f>
        <v>14.700000000000045</v>
      </c>
      <c r="CR12" s="68">
        <v>10926</v>
      </c>
      <c r="CS12" s="67">
        <f t="shared" si="38"/>
        <v>6</v>
      </c>
      <c r="CT12" s="75">
        <v>3593</v>
      </c>
      <c r="CU12" s="67">
        <f t="shared" si="38"/>
        <v>12</v>
      </c>
      <c r="CV12" s="68">
        <v>10072</v>
      </c>
      <c r="CW12" s="67">
        <f t="shared" si="38"/>
        <v>17</v>
      </c>
    </row>
    <row r="13" spans="1:102" ht="25.5" customHeight="1" thickBot="1" x14ac:dyDescent="0.45">
      <c r="A13" s="63">
        <v>44145</v>
      </c>
      <c r="B13" s="44"/>
      <c r="C13" s="58">
        <v>1.8925000000000001</v>
      </c>
      <c r="D13" s="64">
        <f t="shared" si="0"/>
        <v>1100.000000000101</v>
      </c>
      <c r="E13" s="58">
        <v>2.8048000000000002</v>
      </c>
      <c r="F13" s="64">
        <f t="shared" si="1"/>
        <v>600.00000000037801</v>
      </c>
      <c r="G13" s="58">
        <v>2.8035000000000001</v>
      </c>
      <c r="H13" s="64">
        <f t="shared" si="2"/>
        <v>1600.0000000002678</v>
      </c>
      <c r="I13" s="58">
        <v>1.3625</v>
      </c>
      <c r="J13" s="64">
        <f t="shared" si="3"/>
        <v>800.00000000013392</v>
      </c>
      <c r="K13" s="58">
        <v>2.1747000000000001</v>
      </c>
      <c r="L13" s="64">
        <f t="shared" si="4"/>
        <v>2099.9999999999909</v>
      </c>
      <c r="M13" s="58">
        <v>1.2774000000000001</v>
      </c>
      <c r="N13" s="64">
        <f t="shared" si="5"/>
        <v>500.00000000016701</v>
      </c>
      <c r="O13" s="58">
        <v>12690</v>
      </c>
      <c r="P13" s="67">
        <f t="shared" si="44"/>
        <v>0</v>
      </c>
      <c r="Q13" s="58">
        <v>5980</v>
      </c>
      <c r="R13" s="67">
        <f t="shared" si="6"/>
        <v>2</v>
      </c>
      <c r="S13" s="58">
        <v>864581.2</v>
      </c>
      <c r="T13" s="67">
        <f t="shared" si="7"/>
        <v>160.39999999990687</v>
      </c>
      <c r="U13" s="58">
        <v>354168</v>
      </c>
      <c r="V13" s="67">
        <f t="shared" si="8"/>
        <v>108.29999999998836</v>
      </c>
      <c r="W13" s="58">
        <v>346.58</v>
      </c>
      <c r="X13" s="65">
        <f t="shared" si="9"/>
        <v>79.999999999984084</v>
      </c>
      <c r="Y13" s="58">
        <v>2.4546000000000001</v>
      </c>
      <c r="Z13" s="65">
        <f t="shared" si="10"/>
        <v>399.99999999995595</v>
      </c>
      <c r="AA13" s="58">
        <v>338.5</v>
      </c>
      <c r="AB13" s="65">
        <f t="shared" si="11"/>
        <v>120.00000000000455</v>
      </c>
      <c r="AC13" s="58">
        <v>327.52</v>
      </c>
      <c r="AD13" s="65">
        <f t="shared" si="12"/>
        <v>139.99999999998636</v>
      </c>
      <c r="AE13" s="58">
        <v>510.99</v>
      </c>
      <c r="AF13" s="65">
        <f t="shared" si="13"/>
        <v>189.99999999999773</v>
      </c>
      <c r="AG13" s="58">
        <v>1434</v>
      </c>
      <c r="AH13" s="67">
        <f t="shared" si="14"/>
        <v>1.0999999999999091</v>
      </c>
      <c r="AI13" s="58">
        <v>484.61</v>
      </c>
      <c r="AJ13" s="65">
        <f t="shared" si="15"/>
        <v>240.00000000000909</v>
      </c>
      <c r="AK13" s="58">
        <v>169.67</v>
      </c>
      <c r="AL13" s="65">
        <f t="shared" si="15"/>
        <v>129.99999999999545</v>
      </c>
      <c r="AM13" s="58">
        <v>168.1</v>
      </c>
      <c r="AN13" s="65">
        <f t="shared" si="15"/>
        <v>150.00000000000568</v>
      </c>
      <c r="AO13" s="58">
        <v>161.91999999999999</v>
      </c>
      <c r="AP13" s="65">
        <f t="shared" si="15"/>
        <v>139.99999999998636</v>
      </c>
      <c r="AQ13" s="58">
        <v>223.16</v>
      </c>
      <c r="AR13" s="65">
        <f t="shared" si="16"/>
        <v>20.000000000010232</v>
      </c>
      <c r="AS13" s="58">
        <v>348.66</v>
      </c>
      <c r="AT13" s="65">
        <f t="shared" si="17"/>
        <v>30.000000000029559</v>
      </c>
      <c r="AU13" s="58">
        <v>269.04000000000002</v>
      </c>
      <c r="AV13" s="65">
        <f t="shared" si="18"/>
        <v>30.000000000029559</v>
      </c>
      <c r="AW13" s="58">
        <v>296.37</v>
      </c>
      <c r="AX13" s="65">
        <f t="shared" si="19"/>
        <v>19.99999999998181</v>
      </c>
      <c r="AY13" s="58">
        <v>347.79</v>
      </c>
      <c r="AZ13" s="65">
        <f t="shared" si="20"/>
        <v>30.000000000029559</v>
      </c>
      <c r="BA13" s="58">
        <v>367.45</v>
      </c>
      <c r="BB13" s="65">
        <f t="shared" si="21"/>
        <v>29.999999999972715</v>
      </c>
      <c r="BC13" s="58">
        <v>233.8</v>
      </c>
      <c r="BD13" s="65">
        <f t="shared" si="22"/>
        <v>10.000000000019327</v>
      </c>
      <c r="BE13" s="59">
        <v>32757</v>
      </c>
      <c r="BF13" s="67">
        <f t="shared" si="39"/>
        <v>26</v>
      </c>
      <c r="BG13" s="60">
        <v>226.56</v>
      </c>
      <c r="BH13" s="65">
        <f t="shared" si="23"/>
        <v>9.9999999999909051</v>
      </c>
      <c r="BI13" s="60">
        <v>284.7</v>
      </c>
      <c r="BJ13" s="65">
        <f t="shared" si="40"/>
        <v>9.9999999999909051</v>
      </c>
      <c r="BK13" s="60">
        <v>231.68</v>
      </c>
      <c r="BL13" s="65">
        <f t="shared" si="24"/>
        <v>0</v>
      </c>
      <c r="BM13" s="60">
        <v>216.47</v>
      </c>
      <c r="BN13" s="65">
        <f t="shared" si="25"/>
        <v>9.9999999999909051</v>
      </c>
      <c r="BO13" s="60">
        <v>281.49</v>
      </c>
      <c r="BP13" s="65">
        <f t="shared" si="26"/>
        <v>19.99999999998181</v>
      </c>
      <c r="BQ13" s="60">
        <v>40477</v>
      </c>
      <c r="BR13" s="65">
        <f t="shared" si="27"/>
        <v>13</v>
      </c>
      <c r="BS13" s="60">
        <v>194.95</v>
      </c>
      <c r="BT13" s="65">
        <f t="shared" si="42"/>
        <v>9.9999999999909051</v>
      </c>
      <c r="BU13" s="60">
        <v>33179</v>
      </c>
      <c r="BV13" s="65">
        <f t="shared" si="29"/>
        <v>27</v>
      </c>
      <c r="BW13" s="60">
        <v>226.37</v>
      </c>
      <c r="BX13" s="65">
        <f t="shared" si="30"/>
        <v>9.9999999999909051</v>
      </c>
      <c r="BY13" s="60">
        <v>51505</v>
      </c>
      <c r="BZ13" s="67">
        <f t="shared" si="31"/>
        <v>24</v>
      </c>
      <c r="CA13" s="60">
        <v>27515.599999999999</v>
      </c>
      <c r="CB13" s="67">
        <f t="shared" si="32"/>
        <v>0</v>
      </c>
      <c r="CC13" s="60">
        <v>11255.6</v>
      </c>
      <c r="CD13" s="67">
        <f t="shared" si="33"/>
        <v>0</v>
      </c>
      <c r="CE13" s="60">
        <v>50954.2</v>
      </c>
      <c r="CF13" s="67">
        <f t="shared" si="34"/>
        <v>0</v>
      </c>
      <c r="CG13" s="60">
        <v>51159.6</v>
      </c>
      <c r="CH13" s="67">
        <f t="shared" si="35"/>
        <v>23</v>
      </c>
      <c r="CI13" s="60">
        <v>888600</v>
      </c>
      <c r="CJ13" s="67">
        <f t="shared" si="36"/>
        <v>217</v>
      </c>
      <c r="CK13" s="60">
        <v>630.64</v>
      </c>
      <c r="CL13" s="64">
        <f t="shared" si="37"/>
        <v>429.99999999994998</v>
      </c>
      <c r="CM13" s="65">
        <f t="shared" si="41"/>
        <v>20.5</v>
      </c>
      <c r="CN13" s="62">
        <v>0</v>
      </c>
      <c r="CO13" s="62">
        <v>0</v>
      </c>
      <c r="CP13" s="68">
        <v>1571.7</v>
      </c>
      <c r="CQ13" s="67">
        <f>IF((CP13-CP12&lt;0), "",CP13-CP12)</f>
        <v>14.5</v>
      </c>
      <c r="CR13" s="68">
        <v>10932</v>
      </c>
      <c r="CS13" s="67">
        <f t="shared" si="38"/>
        <v>6</v>
      </c>
      <c r="CT13" s="75">
        <v>3604</v>
      </c>
      <c r="CU13" s="67">
        <f t="shared" si="38"/>
        <v>11</v>
      </c>
      <c r="CV13" s="68">
        <v>10095</v>
      </c>
      <c r="CW13" s="67">
        <f t="shared" si="38"/>
        <v>23</v>
      </c>
    </row>
    <row r="14" spans="1:102" ht="25.5" customHeight="1" thickBot="1" x14ac:dyDescent="0.45">
      <c r="A14" s="63">
        <v>44146</v>
      </c>
      <c r="B14" s="44"/>
      <c r="C14" s="58">
        <v>1.8935999999999999</v>
      </c>
      <c r="D14" s="64">
        <f t="shared" si="0"/>
        <v>1099.9999999998788</v>
      </c>
      <c r="E14" s="58">
        <v>2.8054000000000001</v>
      </c>
      <c r="F14" s="64">
        <f t="shared" si="1"/>
        <v>599.99999999993395</v>
      </c>
      <c r="G14" s="58">
        <v>2.8050000000000002</v>
      </c>
      <c r="H14" s="64">
        <f t="shared" si="2"/>
        <v>1500.0000000000568</v>
      </c>
      <c r="I14" s="58">
        <v>1.3633</v>
      </c>
      <c r="J14" s="64">
        <f t="shared" si="3"/>
        <v>799.99999999991189</v>
      </c>
      <c r="K14" s="58">
        <v>2.1766999999999999</v>
      </c>
      <c r="L14" s="64">
        <f t="shared" si="4"/>
        <v>1999.9999999997797</v>
      </c>
      <c r="M14" s="58">
        <v>1.278</v>
      </c>
      <c r="N14" s="64">
        <f t="shared" si="5"/>
        <v>599.99999999993395</v>
      </c>
      <c r="O14" s="58">
        <v>12691</v>
      </c>
      <c r="P14" s="67">
        <f t="shared" si="44"/>
        <v>1</v>
      </c>
      <c r="Q14" s="58">
        <v>5982</v>
      </c>
      <c r="R14" s="67">
        <f t="shared" si="6"/>
        <v>2</v>
      </c>
      <c r="S14" s="58">
        <v>864815.2</v>
      </c>
      <c r="T14" s="67">
        <f t="shared" si="7"/>
        <v>234</v>
      </c>
      <c r="U14" s="58">
        <v>354315.4</v>
      </c>
      <c r="V14" s="67">
        <f t="shared" si="8"/>
        <v>147.40000000002328</v>
      </c>
      <c r="W14" s="58">
        <v>346.67</v>
      </c>
      <c r="X14" s="65">
        <f t="shared" si="9"/>
        <v>90.000000000031832</v>
      </c>
      <c r="Y14" s="58">
        <v>2.4550999999999998</v>
      </c>
      <c r="Z14" s="65">
        <f t="shared" si="10"/>
        <v>499.99999999972289</v>
      </c>
      <c r="AA14" s="58">
        <v>338.62</v>
      </c>
      <c r="AB14" s="65">
        <f t="shared" si="11"/>
        <v>120.00000000000455</v>
      </c>
      <c r="AC14" s="58">
        <v>327.67</v>
      </c>
      <c r="AD14" s="65">
        <f t="shared" si="12"/>
        <v>150.00000000003411</v>
      </c>
      <c r="AE14" s="58">
        <v>511.16</v>
      </c>
      <c r="AF14" s="65">
        <f t="shared" si="13"/>
        <v>170.00000000001592</v>
      </c>
      <c r="AG14" s="58">
        <v>1435.1</v>
      </c>
      <c r="AH14" s="67">
        <f t="shared" si="14"/>
        <v>1.0999999999999091</v>
      </c>
      <c r="AI14" s="58">
        <v>484.83</v>
      </c>
      <c r="AJ14" s="65">
        <f t="shared" si="15"/>
        <v>219.99999999997044</v>
      </c>
      <c r="AK14" s="58">
        <v>169.84</v>
      </c>
      <c r="AL14" s="65">
        <f t="shared" si="15"/>
        <v>170.00000000001592</v>
      </c>
      <c r="AM14" s="58">
        <v>168.28</v>
      </c>
      <c r="AN14" s="65">
        <f t="shared" si="15"/>
        <v>180.00000000000682</v>
      </c>
      <c r="AO14" s="58">
        <v>162.08000000000001</v>
      </c>
      <c r="AP14" s="65">
        <f t="shared" si="15"/>
        <v>160.00000000002501</v>
      </c>
      <c r="AQ14" s="58">
        <v>223.19</v>
      </c>
      <c r="AR14" s="65">
        <f t="shared" si="16"/>
        <v>30.000000000001137</v>
      </c>
      <c r="AS14" s="58">
        <v>348.7</v>
      </c>
      <c r="AT14" s="65">
        <f t="shared" si="17"/>
        <v>39.99999999996362</v>
      </c>
      <c r="AU14" s="58">
        <v>269.07</v>
      </c>
      <c r="AV14" s="65">
        <f t="shared" si="18"/>
        <v>29.999999999972715</v>
      </c>
      <c r="AW14" s="58">
        <v>296.39999999999998</v>
      </c>
      <c r="AX14" s="65">
        <f t="shared" si="19"/>
        <v>29.999999999972715</v>
      </c>
      <c r="AY14" s="58">
        <v>347.82</v>
      </c>
      <c r="AZ14" s="65">
        <f t="shared" si="20"/>
        <v>29.999999999972715</v>
      </c>
      <c r="BA14" s="58">
        <v>367.47</v>
      </c>
      <c r="BB14" s="65">
        <f t="shared" si="21"/>
        <v>20.000000000038654</v>
      </c>
      <c r="BC14" s="58">
        <v>233.82</v>
      </c>
      <c r="BD14" s="65">
        <f t="shared" si="22"/>
        <v>19.99999999998181</v>
      </c>
      <c r="BE14" s="59">
        <v>32787</v>
      </c>
      <c r="BF14" s="67">
        <f t="shared" si="39"/>
        <v>30</v>
      </c>
      <c r="BG14" s="60">
        <v>226.57</v>
      </c>
      <c r="BH14" s="65">
        <f t="shared" si="23"/>
        <v>9.9999999999909051</v>
      </c>
      <c r="BI14" s="60">
        <v>284.70999999999998</v>
      </c>
      <c r="BJ14" s="65">
        <f t="shared" si="40"/>
        <v>9.9999999999909051</v>
      </c>
      <c r="BK14" s="60">
        <v>231.69</v>
      </c>
      <c r="BL14" s="65">
        <f t="shared" si="24"/>
        <v>9.9999999999909051</v>
      </c>
      <c r="BM14" s="60">
        <v>216.48</v>
      </c>
      <c r="BN14" s="65">
        <f t="shared" si="25"/>
        <v>9.9999999999909051</v>
      </c>
      <c r="BO14" s="60">
        <v>281.51</v>
      </c>
      <c r="BP14" s="65">
        <f t="shared" si="26"/>
        <v>19.99999999998181</v>
      </c>
      <c r="BQ14" s="60">
        <v>40480</v>
      </c>
      <c r="BR14" s="65">
        <f t="shared" si="27"/>
        <v>3</v>
      </c>
      <c r="BS14" s="60">
        <v>194.96</v>
      </c>
      <c r="BT14" s="65">
        <f t="shared" si="42"/>
        <v>10.000000000019327</v>
      </c>
      <c r="BU14" s="60">
        <v>33205</v>
      </c>
      <c r="BV14" s="65">
        <f t="shared" si="29"/>
        <v>26</v>
      </c>
      <c r="BW14" s="60">
        <v>226.38</v>
      </c>
      <c r="BX14" s="65">
        <f t="shared" si="30"/>
        <v>9.9999999999909051</v>
      </c>
      <c r="BY14" s="60">
        <v>51533</v>
      </c>
      <c r="BZ14" s="67">
        <f t="shared" si="31"/>
        <v>28</v>
      </c>
      <c r="CA14" s="60">
        <v>27515.599999999999</v>
      </c>
      <c r="CB14" s="67">
        <f t="shared" si="32"/>
        <v>0</v>
      </c>
      <c r="CC14" s="60">
        <v>11255.6</v>
      </c>
      <c r="CD14" s="67">
        <f t="shared" si="33"/>
        <v>0</v>
      </c>
      <c r="CE14" s="60">
        <v>50954.2</v>
      </c>
      <c r="CF14" s="67">
        <f t="shared" si="34"/>
        <v>0</v>
      </c>
      <c r="CG14" s="60">
        <v>51177.2</v>
      </c>
      <c r="CH14" s="67">
        <f t="shared" si="35"/>
        <v>17.599999999998545</v>
      </c>
      <c r="CI14" s="60">
        <v>888807</v>
      </c>
      <c r="CJ14" s="67">
        <f t="shared" si="36"/>
        <v>207</v>
      </c>
      <c r="CK14" s="60">
        <v>631.04</v>
      </c>
      <c r="CL14" s="64">
        <f t="shared" si="37"/>
        <v>399.99999999997726</v>
      </c>
      <c r="CM14" s="65">
        <f t="shared" si="41"/>
        <v>18</v>
      </c>
      <c r="CN14" s="62">
        <v>0</v>
      </c>
      <c r="CO14" s="62">
        <v>0</v>
      </c>
      <c r="CP14" s="68">
        <v>1582.7</v>
      </c>
      <c r="CQ14" s="67">
        <f t="shared" si="38"/>
        <v>11</v>
      </c>
      <c r="CR14" s="68">
        <v>10939</v>
      </c>
      <c r="CS14" s="67">
        <f t="shared" si="38"/>
        <v>7</v>
      </c>
      <c r="CT14" s="75">
        <v>3615</v>
      </c>
      <c r="CU14" s="67">
        <f t="shared" si="38"/>
        <v>11</v>
      </c>
      <c r="CV14" s="68">
        <v>10114</v>
      </c>
      <c r="CW14" s="67">
        <f t="shared" si="38"/>
        <v>19</v>
      </c>
    </row>
    <row r="15" spans="1:102" ht="25.5" customHeight="1" thickBot="1" x14ac:dyDescent="0.45">
      <c r="A15" s="63">
        <v>44147</v>
      </c>
      <c r="B15" s="44"/>
      <c r="C15" s="58">
        <v>1.8947000000000001</v>
      </c>
      <c r="D15" s="64">
        <f t="shared" si="0"/>
        <v>1100.000000000101</v>
      </c>
      <c r="E15" s="58">
        <v>2.8060999999999998</v>
      </c>
      <c r="F15" s="64">
        <f t="shared" si="1"/>
        <v>699.99999999970089</v>
      </c>
      <c r="G15" s="58">
        <v>2.8066</v>
      </c>
      <c r="H15" s="64">
        <f t="shared" si="2"/>
        <v>1599.9999999998238</v>
      </c>
      <c r="I15" s="58">
        <v>1.3642000000000001</v>
      </c>
      <c r="J15" s="64">
        <f t="shared" si="3"/>
        <v>900.0000000001229</v>
      </c>
      <c r="K15" s="58">
        <v>2.1787000000000001</v>
      </c>
      <c r="L15" s="64">
        <f t="shared" si="4"/>
        <v>2000.0000000002237</v>
      </c>
      <c r="M15" s="58">
        <v>1.2785</v>
      </c>
      <c r="N15" s="64">
        <f t="shared" si="5"/>
        <v>499.99999999994492</v>
      </c>
      <c r="O15" s="58">
        <v>12692</v>
      </c>
      <c r="P15" s="67">
        <f t="shared" si="44"/>
        <v>1</v>
      </c>
      <c r="Q15" s="58">
        <v>5984</v>
      </c>
      <c r="R15" s="67">
        <f t="shared" si="6"/>
        <v>2</v>
      </c>
      <c r="S15" s="58">
        <v>864966.2</v>
      </c>
      <c r="T15" s="67">
        <f t="shared" si="7"/>
        <v>151</v>
      </c>
      <c r="U15" s="58">
        <v>354415.7</v>
      </c>
      <c r="V15" s="67">
        <f t="shared" si="8"/>
        <v>100.29999999998836</v>
      </c>
      <c r="W15" s="58">
        <v>346.77</v>
      </c>
      <c r="X15" s="65">
        <f t="shared" si="9"/>
        <v>99.999999999965894</v>
      </c>
      <c r="Y15" s="58">
        <v>2.4554999999999998</v>
      </c>
      <c r="Z15" s="65">
        <f t="shared" si="10"/>
        <v>399.99999999995595</v>
      </c>
      <c r="AA15" s="58">
        <v>338.74</v>
      </c>
      <c r="AB15" s="65">
        <f t="shared" si="11"/>
        <v>120.00000000000455</v>
      </c>
      <c r="AC15" s="58">
        <v>327.81</v>
      </c>
      <c r="AD15" s="65">
        <f t="shared" si="12"/>
        <v>139.99999999998636</v>
      </c>
      <c r="AE15" s="58">
        <v>511.32</v>
      </c>
      <c r="AF15" s="65">
        <f t="shared" si="13"/>
        <v>159.99999999996817</v>
      </c>
      <c r="AG15" s="58">
        <v>1436.3</v>
      </c>
      <c r="AH15" s="67">
        <f t="shared" si="14"/>
        <v>1.2000000000000455</v>
      </c>
      <c r="AI15" s="58">
        <v>485.04</v>
      </c>
      <c r="AJ15" s="65">
        <f t="shared" si="15"/>
        <v>210.00000000003638</v>
      </c>
      <c r="AK15" s="58">
        <v>170.01</v>
      </c>
      <c r="AL15" s="65">
        <f t="shared" si="15"/>
        <v>169.99999999998749</v>
      </c>
      <c r="AM15" s="58">
        <v>168.45</v>
      </c>
      <c r="AN15" s="65">
        <f t="shared" si="15"/>
        <v>169.99999999998749</v>
      </c>
      <c r="AO15" s="58">
        <v>162.24</v>
      </c>
      <c r="AP15" s="65">
        <f t="shared" si="15"/>
        <v>159.99999999999659</v>
      </c>
      <c r="AQ15" s="58">
        <v>223.22</v>
      </c>
      <c r="AR15" s="65">
        <f t="shared" si="16"/>
        <v>30.000000000001137</v>
      </c>
      <c r="AS15" s="58">
        <v>348.73</v>
      </c>
      <c r="AT15" s="65">
        <f t="shared" si="17"/>
        <v>30.000000000029559</v>
      </c>
      <c r="AU15" s="58">
        <v>269.10000000000002</v>
      </c>
      <c r="AV15" s="65">
        <f t="shared" si="18"/>
        <v>30.000000000029559</v>
      </c>
      <c r="AW15" s="58">
        <v>296.42</v>
      </c>
      <c r="AX15" s="65">
        <f t="shared" si="19"/>
        <v>20.000000000038654</v>
      </c>
      <c r="AY15" s="58">
        <v>347.85</v>
      </c>
      <c r="AZ15" s="65">
        <f t="shared" si="20"/>
        <v>30.000000000029559</v>
      </c>
      <c r="BA15" s="58">
        <v>367.5</v>
      </c>
      <c r="BB15" s="65">
        <f t="shared" si="21"/>
        <v>29.999999999972715</v>
      </c>
      <c r="BC15" s="58">
        <v>233.84</v>
      </c>
      <c r="BD15" s="65">
        <f t="shared" si="22"/>
        <v>20.000000000010232</v>
      </c>
      <c r="BE15" s="59">
        <v>32817</v>
      </c>
      <c r="BF15" s="67">
        <f t="shared" si="39"/>
        <v>30</v>
      </c>
      <c r="BG15" s="60">
        <v>226.58</v>
      </c>
      <c r="BH15" s="65">
        <f t="shared" si="23"/>
        <v>10.000000000019327</v>
      </c>
      <c r="BI15" s="60">
        <v>284.72000000000003</v>
      </c>
      <c r="BJ15" s="65">
        <f t="shared" si="40"/>
        <v>10.000000000047748</v>
      </c>
      <c r="BK15" s="60">
        <v>231.7</v>
      </c>
      <c r="BL15" s="65">
        <f t="shared" si="24"/>
        <v>9.9999999999909051</v>
      </c>
      <c r="BM15" s="60">
        <v>216.5</v>
      </c>
      <c r="BN15" s="65">
        <f t="shared" si="25"/>
        <v>20.000000000010232</v>
      </c>
      <c r="BO15" s="60">
        <v>281.52999999999997</v>
      </c>
      <c r="BP15" s="65">
        <f t="shared" si="26"/>
        <v>19.99999999998181</v>
      </c>
      <c r="BQ15" s="60">
        <v>40492</v>
      </c>
      <c r="BR15" s="65">
        <f t="shared" si="27"/>
        <v>12</v>
      </c>
      <c r="BS15" s="60">
        <v>194.97</v>
      </c>
      <c r="BT15" s="65">
        <f t="shared" si="42"/>
        <v>9.9999999999909051</v>
      </c>
      <c r="BU15" s="60">
        <v>33245</v>
      </c>
      <c r="BV15" s="65">
        <f t="shared" si="29"/>
        <v>40</v>
      </c>
      <c r="BW15" s="60">
        <v>226.39</v>
      </c>
      <c r="BX15" s="65">
        <f t="shared" si="30"/>
        <v>9.9999999999909051</v>
      </c>
      <c r="BY15" s="60">
        <v>51557</v>
      </c>
      <c r="BZ15" s="67">
        <f t="shared" si="31"/>
        <v>24</v>
      </c>
      <c r="CA15" s="60">
        <v>27515.599999999999</v>
      </c>
      <c r="CB15" s="67">
        <f t="shared" si="32"/>
        <v>0</v>
      </c>
      <c r="CC15" s="60">
        <v>11255.6</v>
      </c>
      <c r="CD15" s="67">
        <f t="shared" si="33"/>
        <v>0</v>
      </c>
      <c r="CE15" s="60">
        <v>50954.2</v>
      </c>
      <c r="CF15" s="67">
        <f t="shared" si="34"/>
        <v>0</v>
      </c>
      <c r="CG15" s="60">
        <v>51198.2</v>
      </c>
      <c r="CH15" s="67">
        <f t="shared" si="35"/>
        <v>21</v>
      </c>
      <c r="CI15" s="60">
        <v>889020</v>
      </c>
      <c r="CJ15" s="67">
        <f t="shared" si="36"/>
        <v>213</v>
      </c>
      <c r="CK15" s="60">
        <v>631.51</v>
      </c>
      <c r="CL15" s="64">
        <f t="shared" si="37"/>
        <v>470.00000000002728</v>
      </c>
      <c r="CM15" s="65">
        <f t="shared" si="41"/>
        <v>31.299999999999955</v>
      </c>
      <c r="CN15" s="62">
        <v>0</v>
      </c>
      <c r="CO15" s="62">
        <v>0</v>
      </c>
      <c r="CP15" s="68">
        <v>1606</v>
      </c>
      <c r="CQ15" s="67">
        <f t="shared" si="38"/>
        <v>23.299999999999955</v>
      </c>
      <c r="CR15" s="68">
        <v>10947</v>
      </c>
      <c r="CS15" s="67">
        <f t="shared" si="38"/>
        <v>8</v>
      </c>
      <c r="CT15" s="75">
        <v>3625</v>
      </c>
      <c r="CU15" s="67">
        <f t="shared" si="38"/>
        <v>10</v>
      </c>
      <c r="CV15" s="68">
        <v>10124</v>
      </c>
      <c r="CW15" s="67">
        <f t="shared" si="38"/>
        <v>10</v>
      </c>
    </row>
    <row r="16" spans="1:102" ht="25.5" customHeight="1" thickBot="1" x14ac:dyDescent="0.45">
      <c r="A16" s="63">
        <v>44148</v>
      </c>
      <c r="B16" s="44"/>
      <c r="C16" s="58">
        <v>1.8958999999999999</v>
      </c>
      <c r="D16" s="64">
        <f t="shared" si="0"/>
        <v>1199.9999999998679</v>
      </c>
      <c r="E16" s="58">
        <v>2.8068</v>
      </c>
      <c r="F16" s="64">
        <f t="shared" si="1"/>
        <v>700.00000000014495</v>
      </c>
      <c r="G16" s="58">
        <v>2.8085</v>
      </c>
      <c r="H16" s="64">
        <f t="shared" si="2"/>
        <v>1900.0000000000127</v>
      </c>
      <c r="I16" s="58">
        <v>1.3651</v>
      </c>
      <c r="J16" s="64">
        <f t="shared" si="3"/>
        <v>899.99999999990087</v>
      </c>
      <c r="K16" s="58">
        <v>2.1808000000000001</v>
      </c>
      <c r="L16" s="64">
        <f t="shared" si="4"/>
        <v>2099.9999999999909</v>
      </c>
      <c r="M16" s="58">
        <v>1.2791999999999999</v>
      </c>
      <c r="N16" s="64">
        <f t="shared" si="5"/>
        <v>699.99999999992292</v>
      </c>
      <c r="O16" s="58">
        <v>12693</v>
      </c>
      <c r="P16" s="67">
        <f t="shared" si="44"/>
        <v>1</v>
      </c>
      <c r="Q16" s="58">
        <v>5987</v>
      </c>
      <c r="R16" s="67">
        <f t="shared" si="6"/>
        <v>3</v>
      </c>
      <c r="S16" s="58">
        <v>865175.4</v>
      </c>
      <c r="T16" s="67">
        <f t="shared" si="7"/>
        <v>209.20000000006985</v>
      </c>
      <c r="U16" s="58">
        <v>354555.5</v>
      </c>
      <c r="V16" s="67">
        <f t="shared" si="8"/>
        <v>139.79999999998836</v>
      </c>
      <c r="W16" s="58">
        <v>346.86</v>
      </c>
      <c r="X16" s="65">
        <f t="shared" si="9"/>
        <v>90.000000000031832</v>
      </c>
      <c r="Y16" s="58">
        <v>2.456</v>
      </c>
      <c r="Z16" s="65">
        <f t="shared" si="10"/>
        <v>500.00000000016701</v>
      </c>
      <c r="AA16" s="58">
        <v>338.87</v>
      </c>
      <c r="AB16" s="65">
        <f t="shared" si="11"/>
        <v>129.99999999999545</v>
      </c>
      <c r="AC16" s="58">
        <v>327.98</v>
      </c>
      <c r="AD16" s="65">
        <f t="shared" si="12"/>
        <v>170.00000000001592</v>
      </c>
      <c r="AE16" s="58">
        <v>511.58</v>
      </c>
      <c r="AF16" s="65">
        <f t="shared" si="13"/>
        <v>259.99999999999091</v>
      </c>
      <c r="AG16" s="58">
        <v>1437.6</v>
      </c>
      <c r="AH16" s="67">
        <f t="shared" si="14"/>
        <v>1.2999999999999545</v>
      </c>
      <c r="AI16" s="58">
        <v>485.26</v>
      </c>
      <c r="AJ16" s="65">
        <f t="shared" si="15"/>
        <v>219.99999999997044</v>
      </c>
      <c r="AK16" s="58">
        <v>170.19</v>
      </c>
      <c r="AL16" s="65">
        <f t="shared" si="15"/>
        <v>180.00000000000682</v>
      </c>
      <c r="AM16" s="58">
        <v>168.62</v>
      </c>
      <c r="AN16" s="65">
        <f t="shared" si="15"/>
        <v>170.00000000001592</v>
      </c>
      <c r="AO16" s="58">
        <v>162.4</v>
      </c>
      <c r="AP16" s="65">
        <f t="shared" si="15"/>
        <v>159.99999999999659</v>
      </c>
      <c r="AQ16" s="58">
        <v>223.26</v>
      </c>
      <c r="AR16" s="65">
        <f t="shared" si="16"/>
        <v>39.999999999992042</v>
      </c>
      <c r="AS16" s="58">
        <v>348.77</v>
      </c>
      <c r="AT16" s="65">
        <f t="shared" si="17"/>
        <v>39.99999999996362</v>
      </c>
      <c r="AU16" s="58">
        <v>269.13</v>
      </c>
      <c r="AV16" s="65">
        <f t="shared" si="18"/>
        <v>29.999999999972715</v>
      </c>
      <c r="AW16" s="58">
        <v>296.45</v>
      </c>
      <c r="AX16" s="65">
        <f t="shared" si="19"/>
        <v>29.999999999972715</v>
      </c>
      <c r="AY16" s="58">
        <v>347.88</v>
      </c>
      <c r="AZ16" s="65">
        <f t="shared" si="20"/>
        <v>29.999999999972715</v>
      </c>
      <c r="BA16" s="58">
        <v>367.53</v>
      </c>
      <c r="BB16" s="65">
        <f t="shared" si="21"/>
        <v>29.999999999972715</v>
      </c>
      <c r="BC16" s="58">
        <v>233.86</v>
      </c>
      <c r="BD16" s="65">
        <f t="shared" si="22"/>
        <v>20.000000000010232</v>
      </c>
      <c r="BE16" s="59">
        <v>32854</v>
      </c>
      <c r="BF16" s="67">
        <f t="shared" si="39"/>
        <v>37</v>
      </c>
      <c r="BG16" s="60">
        <v>226.61</v>
      </c>
      <c r="BH16" s="65">
        <f t="shared" si="23"/>
        <v>30.000000000001137</v>
      </c>
      <c r="BI16" s="60">
        <v>284.74</v>
      </c>
      <c r="BJ16" s="65">
        <f t="shared" si="40"/>
        <v>19.99999999998181</v>
      </c>
      <c r="BK16" s="60">
        <v>231.7</v>
      </c>
      <c r="BL16" s="65">
        <f t="shared" si="24"/>
        <v>0</v>
      </c>
      <c r="BM16" s="60">
        <v>216.51</v>
      </c>
      <c r="BN16" s="65">
        <f t="shared" si="25"/>
        <v>9.9999999999909051</v>
      </c>
      <c r="BO16" s="60">
        <v>281.55</v>
      </c>
      <c r="BP16" s="65">
        <f t="shared" si="26"/>
        <v>20.000000000038654</v>
      </c>
      <c r="BQ16" s="60">
        <v>40503</v>
      </c>
      <c r="BR16" s="65">
        <f t="shared" si="27"/>
        <v>11</v>
      </c>
      <c r="BS16" s="60">
        <v>194.98</v>
      </c>
      <c r="BT16" s="65">
        <f t="shared" si="42"/>
        <v>9.9999999999909051</v>
      </c>
      <c r="BU16" s="60">
        <v>33285</v>
      </c>
      <c r="BV16" s="65">
        <f t="shared" si="29"/>
        <v>40</v>
      </c>
      <c r="BW16" s="60">
        <v>226.4</v>
      </c>
      <c r="BX16" s="65">
        <f t="shared" si="30"/>
        <v>10.000000000019327</v>
      </c>
      <c r="BY16" s="60">
        <v>51583</v>
      </c>
      <c r="BZ16" s="67">
        <f t="shared" si="31"/>
        <v>26</v>
      </c>
      <c r="CA16" s="60">
        <v>27515.599999999999</v>
      </c>
      <c r="CB16" s="67">
        <f t="shared" si="32"/>
        <v>0</v>
      </c>
      <c r="CC16" s="60">
        <v>11255.6</v>
      </c>
      <c r="CD16" s="67">
        <f t="shared" si="33"/>
        <v>0</v>
      </c>
      <c r="CE16" s="60">
        <v>50954.2</v>
      </c>
      <c r="CF16" s="67">
        <f t="shared" si="34"/>
        <v>0</v>
      </c>
      <c r="CG16" s="60">
        <v>51226.7</v>
      </c>
      <c r="CH16" s="67">
        <f t="shared" si="35"/>
        <v>28.5</v>
      </c>
      <c r="CI16" s="60">
        <v>889237</v>
      </c>
      <c r="CJ16" s="67">
        <f t="shared" si="36"/>
        <v>217</v>
      </c>
      <c r="CK16" s="60">
        <v>632.21</v>
      </c>
      <c r="CL16" s="64">
        <f t="shared" si="37"/>
        <v>700.00000000004547</v>
      </c>
      <c r="CM16" s="65">
        <f t="shared" si="41"/>
        <v>16.299999999999955</v>
      </c>
      <c r="CN16" s="62">
        <v>0</v>
      </c>
      <c r="CO16" s="62">
        <v>0</v>
      </c>
      <c r="CP16" s="68">
        <v>1618.3</v>
      </c>
      <c r="CQ16" s="67">
        <f t="shared" si="38"/>
        <v>12.299999999999955</v>
      </c>
      <c r="CR16" s="68">
        <v>10951</v>
      </c>
      <c r="CS16" s="67">
        <f t="shared" si="38"/>
        <v>4</v>
      </c>
      <c r="CT16" s="75">
        <v>3634</v>
      </c>
      <c r="CU16" s="67">
        <f t="shared" si="38"/>
        <v>9</v>
      </c>
      <c r="CV16" s="68">
        <v>10133</v>
      </c>
      <c r="CW16" s="67">
        <f t="shared" si="38"/>
        <v>9</v>
      </c>
    </row>
    <row r="17" spans="1:102" ht="25.5" customHeight="1" thickBot="1" x14ac:dyDescent="0.45">
      <c r="A17" s="63">
        <v>44149</v>
      </c>
      <c r="B17" s="44"/>
      <c r="C17" s="58">
        <v>1.8971</v>
      </c>
      <c r="D17" s="64">
        <f t="shared" si="0"/>
        <v>1200.0000000000898</v>
      </c>
      <c r="E17" s="58">
        <v>2.8073000000000001</v>
      </c>
      <c r="F17" s="64">
        <f t="shared" si="1"/>
        <v>500.00000000016701</v>
      </c>
      <c r="G17" s="58">
        <v>2.8098000000000001</v>
      </c>
      <c r="H17" s="64">
        <f t="shared" si="2"/>
        <v>1300.0000000000789</v>
      </c>
      <c r="I17" s="58">
        <v>1.3657999999999999</v>
      </c>
      <c r="J17" s="64">
        <f t="shared" si="3"/>
        <v>699.99999999992292</v>
      </c>
      <c r="K17" s="58">
        <v>2.1825000000000001</v>
      </c>
      <c r="L17" s="64">
        <f t="shared" si="4"/>
        <v>1700.0000000000348</v>
      </c>
      <c r="M17" s="58">
        <v>1.2796000000000001</v>
      </c>
      <c r="N17" s="64">
        <f t="shared" si="5"/>
        <v>400.00000000017798</v>
      </c>
      <c r="O17" s="58">
        <v>12694</v>
      </c>
      <c r="P17" s="67">
        <f t="shared" si="44"/>
        <v>1</v>
      </c>
      <c r="Q17" s="58">
        <v>5989</v>
      </c>
      <c r="R17" s="67">
        <f t="shared" si="6"/>
        <v>2</v>
      </c>
      <c r="S17" s="58">
        <v>865277</v>
      </c>
      <c r="T17" s="67">
        <f t="shared" si="7"/>
        <v>101.59999999997672</v>
      </c>
      <c r="U17" s="58">
        <v>354621.7</v>
      </c>
      <c r="V17" s="67">
        <f t="shared" si="8"/>
        <v>66.200000000011642</v>
      </c>
      <c r="W17" s="58">
        <v>346.94</v>
      </c>
      <c r="X17" s="65">
        <f t="shared" si="9"/>
        <v>79.999999999984084</v>
      </c>
      <c r="Y17" s="58">
        <v>2.4563999999999999</v>
      </c>
      <c r="Z17" s="65">
        <f t="shared" si="10"/>
        <v>399.99999999995595</v>
      </c>
      <c r="AA17" s="58">
        <v>338.69</v>
      </c>
      <c r="AB17" s="65" t="str">
        <f t="shared" si="11"/>
        <v/>
      </c>
      <c r="AC17" s="58">
        <v>328.1</v>
      </c>
      <c r="AD17" s="65">
        <f t="shared" si="12"/>
        <v>120.00000000000455</v>
      </c>
      <c r="AE17" s="58">
        <v>511.7</v>
      </c>
      <c r="AF17" s="65">
        <f t="shared" si="13"/>
        <v>120.00000000000455</v>
      </c>
      <c r="AG17" s="58">
        <v>1438.5</v>
      </c>
      <c r="AH17" s="67">
        <f t="shared" si="14"/>
        <v>0.90000000000009095</v>
      </c>
      <c r="AI17" s="58">
        <v>485.76</v>
      </c>
      <c r="AJ17" s="65">
        <f t="shared" si="15"/>
        <v>500</v>
      </c>
      <c r="AK17" s="58">
        <v>170.32</v>
      </c>
      <c r="AL17" s="65">
        <f t="shared" si="15"/>
        <v>129.99999999999545</v>
      </c>
      <c r="AM17" s="58">
        <v>168.76</v>
      </c>
      <c r="AN17" s="65">
        <f t="shared" si="15"/>
        <v>139.99999999998636</v>
      </c>
      <c r="AO17" s="58">
        <v>162.52000000000001</v>
      </c>
      <c r="AP17" s="65">
        <f t="shared" si="15"/>
        <v>120.00000000000455</v>
      </c>
      <c r="AQ17" s="58">
        <v>223.27</v>
      </c>
      <c r="AR17" s="65">
        <f t="shared" si="16"/>
        <v>10.000000000019327</v>
      </c>
      <c r="AS17" s="58">
        <v>348.8</v>
      </c>
      <c r="AT17" s="65">
        <f t="shared" si="17"/>
        <v>30.000000000029559</v>
      </c>
      <c r="AU17" s="58">
        <v>269.14999999999998</v>
      </c>
      <c r="AV17" s="65">
        <f t="shared" si="18"/>
        <v>19.99999999998181</v>
      </c>
      <c r="AW17" s="58">
        <v>296.47000000000003</v>
      </c>
      <c r="AX17" s="65">
        <f t="shared" si="19"/>
        <v>20.000000000038654</v>
      </c>
      <c r="AY17" s="58">
        <v>347.9</v>
      </c>
      <c r="AZ17" s="65">
        <f t="shared" si="20"/>
        <v>19.99999999998181</v>
      </c>
      <c r="BA17" s="58">
        <v>367.54</v>
      </c>
      <c r="BB17" s="65">
        <f t="shared" si="21"/>
        <v>10.000000000047748</v>
      </c>
      <c r="BC17" s="58">
        <v>233.88</v>
      </c>
      <c r="BD17" s="65">
        <f t="shared" si="22"/>
        <v>19.99999999998181</v>
      </c>
      <c r="BE17" s="59">
        <v>32870</v>
      </c>
      <c r="BF17" s="67">
        <f t="shared" si="39"/>
        <v>16</v>
      </c>
      <c r="BG17" s="60">
        <v>226.62</v>
      </c>
      <c r="BH17" s="65">
        <f t="shared" si="23"/>
        <v>9.9999999999909051</v>
      </c>
      <c r="BI17" s="60">
        <v>284.76</v>
      </c>
      <c r="BJ17" s="65">
        <f t="shared" si="40"/>
        <v>19.99999999998181</v>
      </c>
      <c r="BK17" s="60">
        <v>231.71</v>
      </c>
      <c r="BL17" s="65">
        <f t="shared" si="24"/>
        <v>10.000000000019327</v>
      </c>
      <c r="BM17" s="60">
        <v>216.52</v>
      </c>
      <c r="BN17" s="65">
        <f t="shared" si="25"/>
        <v>10.000000000019327</v>
      </c>
      <c r="BO17" s="60">
        <v>281.57</v>
      </c>
      <c r="BP17" s="65">
        <f t="shared" si="26"/>
        <v>19.99999999998181</v>
      </c>
      <c r="BQ17" s="60">
        <v>40512</v>
      </c>
      <c r="BR17" s="65">
        <f t="shared" si="27"/>
        <v>9</v>
      </c>
      <c r="BS17" s="60">
        <v>195</v>
      </c>
      <c r="BT17" s="65">
        <f t="shared" si="42"/>
        <v>20.000000000010232</v>
      </c>
      <c r="BU17" s="60">
        <v>33312</v>
      </c>
      <c r="BV17" s="65">
        <f t="shared" si="29"/>
        <v>27</v>
      </c>
      <c r="BW17" s="60">
        <v>226.41</v>
      </c>
      <c r="BX17" s="65">
        <f t="shared" si="30"/>
        <v>9.9999999999909051</v>
      </c>
      <c r="BY17" s="60">
        <v>51600</v>
      </c>
      <c r="BZ17" s="67">
        <f t="shared" si="31"/>
        <v>17</v>
      </c>
      <c r="CA17" s="60">
        <v>27515.599999999999</v>
      </c>
      <c r="CB17" s="67">
        <f t="shared" si="32"/>
        <v>0</v>
      </c>
      <c r="CC17" s="60">
        <v>11255.6</v>
      </c>
      <c r="CD17" s="67">
        <f t="shared" si="33"/>
        <v>0</v>
      </c>
      <c r="CE17" s="60">
        <v>50954.2</v>
      </c>
      <c r="CF17" s="67">
        <f t="shared" si="34"/>
        <v>0</v>
      </c>
      <c r="CG17" s="60">
        <v>51238.2</v>
      </c>
      <c r="CH17" s="67">
        <f t="shared" si="35"/>
        <v>11.5</v>
      </c>
      <c r="CI17" s="60">
        <v>889422</v>
      </c>
      <c r="CJ17" s="67">
        <f t="shared" si="36"/>
        <v>185</v>
      </c>
      <c r="CK17" s="60">
        <v>632.58000000000004</v>
      </c>
      <c r="CL17" s="64">
        <f t="shared" si="37"/>
        <v>370.00000000000455</v>
      </c>
      <c r="CM17" s="65">
        <f t="shared" si="41"/>
        <v>10.400000000000091</v>
      </c>
      <c r="CN17" s="62">
        <v>0</v>
      </c>
      <c r="CO17" s="62">
        <v>0</v>
      </c>
      <c r="CP17" s="68">
        <v>1624.7</v>
      </c>
      <c r="CQ17" s="67">
        <f t="shared" si="38"/>
        <v>6.4000000000000909</v>
      </c>
      <c r="CR17" s="68">
        <v>10955</v>
      </c>
      <c r="CS17" s="67">
        <f t="shared" si="38"/>
        <v>4</v>
      </c>
      <c r="CT17" s="75">
        <v>3641</v>
      </c>
      <c r="CU17" s="67">
        <f t="shared" si="38"/>
        <v>7</v>
      </c>
      <c r="CV17" s="68">
        <v>10140</v>
      </c>
      <c r="CW17" s="67">
        <f t="shared" si="38"/>
        <v>7</v>
      </c>
    </row>
    <row r="18" spans="1:102" ht="25.5" customHeight="1" thickBot="1" x14ac:dyDescent="0.45">
      <c r="A18" s="63">
        <v>44150</v>
      </c>
      <c r="B18" s="44"/>
      <c r="C18" s="58">
        <v>1.8984000000000001</v>
      </c>
      <c r="D18" s="64">
        <f t="shared" si="0"/>
        <v>1300.0000000000789</v>
      </c>
      <c r="E18" s="58">
        <v>2.8079000000000001</v>
      </c>
      <c r="F18" s="64">
        <f t="shared" si="1"/>
        <v>599.99999999993395</v>
      </c>
      <c r="G18" s="58">
        <v>2.8113000000000001</v>
      </c>
      <c r="H18" s="64">
        <f t="shared" si="2"/>
        <v>1500.0000000000568</v>
      </c>
      <c r="I18" s="58">
        <v>1.3667</v>
      </c>
      <c r="J18" s="64">
        <f t="shared" si="3"/>
        <v>900.0000000001229</v>
      </c>
      <c r="K18" s="58">
        <v>2.1844000000000001</v>
      </c>
      <c r="L18" s="64">
        <f t="shared" si="4"/>
        <v>1900.0000000000127</v>
      </c>
      <c r="M18" s="58">
        <v>1.2801</v>
      </c>
      <c r="N18" s="64">
        <f t="shared" si="5"/>
        <v>499.99999999994492</v>
      </c>
      <c r="O18" s="58">
        <v>12695</v>
      </c>
      <c r="P18" s="67">
        <f t="shared" si="44"/>
        <v>1</v>
      </c>
      <c r="Q18" s="58">
        <v>5992</v>
      </c>
      <c r="R18" s="67">
        <f t="shared" si="6"/>
        <v>3</v>
      </c>
      <c r="S18" s="58">
        <v>865335.4</v>
      </c>
      <c r="T18" s="67">
        <f t="shared" si="7"/>
        <v>58.400000000023283</v>
      </c>
      <c r="U18" s="58">
        <v>354667.8</v>
      </c>
      <c r="V18" s="67">
        <f t="shared" si="8"/>
        <v>46.099999999976717</v>
      </c>
      <c r="W18" s="58">
        <v>347.02</v>
      </c>
      <c r="X18" s="65">
        <f t="shared" si="9"/>
        <v>79.999999999984084</v>
      </c>
      <c r="Y18" s="58">
        <v>2.4567999999999999</v>
      </c>
      <c r="Z18" s="65">
        <f t="shared" si="10"/>
        <v>399.99999999995595</v>
      </c>
      <c r="AA18" s="58">
        <v>339.04</v>
      </c>
      <c r="AB18" s="65">
        <f t="shared" si="11"/>
        <v>350.00000000002274</v>
      </c>
      <c r="AC18" s="58">
        <v>328.24</v>
      </c>
      <c r="AD18" s="65">
        <f t="shared" si="12"/>
        <v>139.99999999998636</v>
      </c>
      <c r="AE18" s="58">
        <v>511.85</v>
      </c>
      <c r="AF18" s="65">
        <f t="shared" si="13"/>
        <v>150.00000000003411</v>
      </c>
      <c r="AG18" s="58">
        <v>1439.6</v>
      </c>
      <c r="AH18" s="67">
        <f t="shared" si="14"/>
        <v>1.0999999999999091</v>
      </c>
      <c r="AI18" s="58">
        <v>486.26</v>
      </c>
      <c r="AJ18" s="65">
        <f t="shared" si="15"/>
        <v>500</v>
      </c>
      <c r="AK18" s="58">
        <v>170.47</v>
      </c>
      <c r="AL18" s="65">
        <f t="shared" si="15"/>
        <v>150.00000000000568</v>
      </c>
      <c r="AM18" s="58">
        <v>168.92</v>
      </c>
      <c r="AN18" s="65">
        <f t="shared" si="15"/>
        <v>159.99999999999659</v>
      </c>
      <c r="AO18" s="58">
        <v>162.66999999999999</v>
      </c>
      <c r="AP18" s="65">
        <f t="shared" si="15"/>
        <v>149.99999999997726</v>
      </c>
      <c r="AQ18" s="58">
        <v>223.29</v>
      </c>
      <c r="AR18" s="65">
        <f t="shared" si="16"/>
        <v>19.99999999998181</v>
      </c>
      <c r="AS18" s="58">
        <v>348.83</v>
      </c>
      <c r="AT18" s="65">
        <f t="shared" si="17"/>
        <v>29.999999999972715</v>
      </c>
      <c r="AU18" s="58">
        <v>269.18</v>
      </c>
      <c r="AV18" s="65">
        <f t="shared" si="18"/>
        <v>30.000000000029559</v>
      </c>
      <c r="AW18" s="58">
        <v>296.49</v>
      </c>
      <c r="AX18" s="65">
        <f t="shared" si="19"/>
        <v>19.99999999998181</v>
      </c>
      <c r="AY18" s="58">
        <v>347.93</v>
      </c>
      <c r="AZ18" s="65">
        <f t="shared" si="20"/>
        <v>30.000000000029559</v>
      </c>
      <c r="BA18" s="58">
        <v>367.57</v>
      </c>
      <c r="BB18" s="65">
        <f t="shared" si="21"/>
        <v>29.999999999972715</v>
      </c>
      <c r="BC18" s="58">
        <v>233.89</v>
      </c>
      <c r="BD18" s="65">
        <f t="shared" si="22"/>
        <v>9.9999999999909051</v>
      </c>
      <c r="BE18" s="59">
        <v>32907</v>
      </c>
      <c r="BF18" s="67">
        <f t="shared" si="39"/>
        <v>37</v>
      </c>
      <c r="BG18" s="60">
        <v>226.64</v>
      </c>
      <c r="BH18" s="65">
        <f t="shared" si="23"/>
        <v>19.99999999998181</v>
      </c>
      <c r="BI18" s="60">
        <v>284.77</v>
      </c>
      <c r="BJ18" s="65">
        <f t="shared" si="40"/>
        <v>9.9999999999909051</v>
      </c>
      <c r="BK18" s="60">
        <v>231.72</v>
      </c>
      <c r="BL18" s="65">
        <f t="shared" si="24"/>
        <v>9.9999999999909051</v>
      </c>
      <c r="BM18" s="60">
        <v>216.54</v>
      </c>
      <c r="BN18" s="65">
        <f t="shared" si="25"/>
        <v>19.99999999998181</v>
      </c>
      <c r="BO18" s="60">
        <v>281.58999999999997</v>
      </c>
      <c r="BP18" s="65">
        <f t="shared" si="26"/>
        <v>19.99999999998181</v>
      </c>
      <c r="BQ18" s="60">
        <v>40524</v>
      </c>
      <c r="BR18" s="65">
        <f t="shared" si="27"/>
        <v>12</v>
      </c>
      <c r="BS18" s="60">
        <v>195.01</v>
      </c>
      <c r="BT18" s="65">
        <f t="shared" si="42"/>
        <v>9.9999999999909051</v>
      </c>
      <c r="BU18" s="60">
        <v>33354</v>
      </c>
      <c r="BV18" s="65">
        <f t="shared" si="29"/>
        <v>42</v>
      </c>
      <c r="BW18" s="60">
        <v>226.43</v>
      </c>
      <c r="BX18" s="65">
        <f t="shared" si="30"/>
        <v>20.000000000010232</v>
      </c>
      <c r="BY18" s="60">
        <v>51618</v>
      </c>
      <c r="BZ18" s="67">
        <f t="shared" si="31"/>
        <v>18</v>
      </c>
      <c r="CA18" s="60">
        <v>27515.599999999999</v>
      </c>
      <c r="CB18" s="67">
        <f t="shared" si="32"/>
        <v>0</v>
      </c>
      <c r="CC18" s="60">
        <v>11255.6</v>
      </c>
      <c r="CD18" s="67">
        <f t="shared" si="33"/>
        <v>0</v>
      </c>
      <c r="CE18" s="60">
        <v>50954.2</v>
      </c>
      <c r="CF18" s="67">
        <f t="shared" si="34"/>
        <v>0</v>
      </c>
      <c r="CG18" s="60">
        <v>51257</v>
      </c>
      <c r="CH18" s="67">
        <f t="shared" si="35"/>
        <v>18.80000000000291</v>
      </c>
      <c r="CI18" s="60">
        <v>889638</v>
      </c>
      <c r="CJ18" s="67">
        <f t="shared" si="36"/>
        <v>216</v>
      </c>
      <c r="CK18" s="60">
        <v>632.98</v>
      </c>
      <c r="CL18" s="64">
        <f t="shared" si="37"/>
        <v>399.99999999997726</v>
      </c>
      <c r="CM18" s="65">
        <f t="shared" si="41"/>
        <v>11.099999999999909</v>
      </c>
      <c r="CN18" s="62">
        <v>0</v>
      </c>
      <c r="CO18" s="62">
        <v>0</v>
      </c>
      <c r="CP18" s="68">
        <v>1630.8</v>
      </c>
      <c r="CQ18" s="67">
        <f t="shared" si="38"/>
        <v>6.0999999999999091</v>
      </c>
      <c r="CR18" s="68">
        <v>10960</v>
      </c>
      <c r="CS18" s="67">
        <f t="shared" si="38"/>
        <v>5</v>
      </c>
      <c r="CT18" s="75">
        <v>3650</v>
      </c>
      <c r="CU18" s="67">
        <f t="shared" si="38"/>
        <v>9</v>
      </c>
      <c r="CV18" s="68">
        <v>10150</v>
      </c>
      <c r="CW18" s="67">
        <f t="shared" si="38"/>
        <v>10</v>
      </c>
    </row>
    <row r="19" spans="1:102" ht="25.5" customHeight="1" thickBot="1" x14ac:dyDescent="0.45">
      <c r="A19" s="63">
        <v>44151</v>
      </c>
      <c r="B19" s="44"/>
      <c r="C19" s="58">
        <v>1.8997999999999999</v>
      </c>
      <c r="D19" s="64">
        <f t="shared" si="0"/>
        <v>1399.9999999998458</v>
      </c>
      <c r="E19" s="58">
        <v>2.8086000000000002</v>
      </c>
      <c r="F19" s="64">
        <f t="shared" si="1"/>
        <v>700.00000000014495</v>
      </c>
      <c r="G19" s="58">
        <v>2.8130000000000002</v>
      </c>
      <c r="H19" s="64">
        <f t="shared" si="2"/>
        <v>1700.0000000000348</v>
      </c>
      <c r="I19" s="58">
        <v>1.3674999999999999</v>
      </c>
      <c r="J19" s="64">
        <f t="shared" si="3"/>
        <v>799.99999999991189</v>
      </c>
      <c r="K19" s="58">
        <v>2.1863999999999999</v>
      </c>
      <c r="L19" s="64">
        <f t="shared" si="4"/>
        <v>1999.9999999997797</v>
      </c>
      <c r="M19" s="58">
        <v>1.2806999999999999</v>
      </c>
      <c r="N19" s="64">
        <f t="shared" si="5"/>
        <v>599.99999999993395</v>
      </c>
      <c r="O19" s="58">
        <v>12696</v>
      </c>
      <c r="P19" s="67">
        <f t="shared" si="44"/>
        <v>1</v>
      </c>
      <c r="Q19" s="58">
        <v>5995</v>
      </c>
      <c r="R19" s="67">
        <f t="shared" si="6"/>
        <v>3</v>
      </c>
      <c r="S19" s="58">
        <v>865597.4</v>
      </c>
      <c r="T19" s="67">
        <f t="shared" si="7"/>
        <v>262</v>
      </c>
      <c r="U19" s="58">
        <v>354843.5</v>
      </c>
      <c r="V19" s="67">
        <f t="shared" si="8"/>
        <v>175.70000000001164</v>
      </c>
      <c r="W19" s="58">
        <v>347.14</v>
      </c>
      <c r="X19" s="65">
        <f t="shared" si="9"/>
        <v>120.00000000000455</v>
      </c>
      <c r="Y19" s="58">
        <v>2.4573</v>
      </c>
      <c r="Z19" s="65">
        <f t="shared" si="10"/>
        <v>500.00000000016701</v>
      </c>
      <c r="AA19" s="58">
        <v>339.15</v>
      </c>
      <c r="AB19" s="65">
        <f t="shared" si="11"/>
        <v>109.9999999999568</v>
      </c>
      <c r="AC19" s="58">
        <v>328.4</v>
      </c>
      <c r="AD19" s="65">
        <f t="shared" si="12"/>
        <v>159.99999999996817</v>
      </c>
      <c r="AE19" s="58">
        <v>512.08000000000004</v>
      </c>
      <c r="AF19" s="65">
        <f t="shared" si="13"/>
        <v>230.00000000001819</v>
      </c>
      <c r="AG19" s="58">
        <v>1440.6</v>
      </c>
      <c r="AH19" s="67">
        <f t="shared" si="14"/>
        <v>1</v>
      </c>
      <c r="AI19" s="58">
        <v>486.73</v>
      </c>
      <c r="AJ19" s="65">
        <f t="shared" si="15"/>
        <v>470.00000000002728</v>
      </c>
      <c r="AK19" s="58">
        <v>170.65</v>
      </c>
      <c r="AL19" s="65">
        <f t="shared" si="15"/>
        <v>180.00000000000682</v>
      </c>
      <c r="AM19" s="58">
        <v>169.09</v>
      </c>
      <c r="AN19" s="65">
        <f t="shared" si="15"/>
        <v>170.00000000001592</v>
      </c>
      <c r="AO19" s="58">
        <v>162.83000000000001</v>
      </c>
      <c r="AP19" s="65">
        <f t="shared" si="15"/>
        <v>160.00000000002501</v>
      </c>
      <c r="AQ19" s="58">
        <v>223.33</v>
      </c>
      <c r="AR19" s="65">
        <f t="shared" si="16"/>
        <v>40.000000000020464</v>
      </c>
      <c r="AS19" s="58">
        <v>348.87</v>
      </c>
      <c r="AT19" s="65">
        <f t="shared" si="17"/>
        <v>40.000000000020464</v>
      </c>
      <c r="AU19" s="58">
        <v>269.20999999999998</v>
      </c>
      <c r="AV19" s="65">
        <f t="shared" si="18"/>
        <v>29.999999999972715</v>
      </c>
      <c r="AW19" s="58">
        <v>296.52</v>
      </c>
      <c r="AX19" s="65">
        <f t="shared" si="19"/>
        <v>29.999999999972715</v>
      </c>
      <c r="AY19" s="58">
        <v>347.96</v>
      </c>
      <c r="AZ19" s="65">
        <f t="shared" si="20"/>
        <v>29.999999999972715</v>
      </c>
      <c r="BA19" s="58">
        <v>367.6</v>
      </c>
      <c r="BB19" s="65">
        <f t="shared" si="21"/>
        <v>30.000000000029559</v>
      </c>
      <c r="BC19" s="58">
        <v>233.91</v>
      </c>
      <c r="BD19" s="65">
        <f t="shared" si="22"/>
        <v>20.000000000010232</v>
      </c>
      <c r="BE19" s="59">
        <v>32935</v>
      </c>
      <c r="BF19" s="67">
        <f t="shared" si="39"/>
        <v>28</v>
      </c>
      <c r="BG19" s="60">
        <v>226.66</v>
      </c>
      <c r="BH19" s="65">
        <f t="shared" si="23"/>
        <v>20.000000000010232</v>
      </c>
      <c r="BI19" s="60">
        <v>284.79000000000002</v>
      </c>
      <c r="BJ19" s="65">
        <f t="shared" si="40"/>
        <v>20.000000000038654</v>
      </c>
      <c r="BK19" s="60">
        <v>231.73</v>
      </c>
      <c r="BL19" s="65">
        <f t="shared" si="24"/>
        <v>9.9999999999909051</v>
      </c>
      <c r="BM19" s="60">
        <v>216.56</v>
      </c>
      <c r="BN19" s="65">
        <f t="shared" si="25"/>
        <v>20.000000000010232</v>
      </c>
      <c r="BO19" s="60">
        <v>281.61</v>
      </c>
      <c r="BP19" s="65">
        <f t="shared" si="26"/>
        <v>20.000000000038654</v>
      </c>
      <c r="BQ19" s="60">
        <v>40536</v>
      </c>
      <c r="BR19" s="65">
        <f t="shared" si="27"/>
        <v>12</v>
      </c>
      <c r="BS19" s="60">
        <v>195.01</v>
      </c>
      <c r="BT19" s="65">
        <f t="shared" si="42"/>
        <v>0</v>
      </c>
      <c r="BU19" s="60">
        <v>33392</v>
      </c>
      <c r="BV19" s="65">
        <f t="shared" si="29"/>
        <v>38</v>
      </c>
      <c r="BW19" s="60">
        <v>226.44</v>
      </c>
      <c r="BX19" s="65">
        <f t="shared" si="30"/>
        <v>9.9999999999909051</v>
      </c>
      <c r="BY19" s="60">
        <v>51646</v>
      </c>
      <c r="BZ19" s="67">
        <f t="shared" si="31"/>
        <v>28</v>
      </c>
      <c r="CA19" s="60">
        <v>27515.599999999999</v>
      </c>
      <c r="CB19" s="67">
        <f t="shared" si="32"/>
        <v>0</v>
      </c>
      <c r="CC19" s="60">
        <v>11255.6</v>
      </c>
      <c r="CD19" s="67">
        <f t="shared" si="33"/>
        <v>0</v>
      </c>
      <c r="CE19" s="60">
        <v>50954.2</v>
      </c>
      <c r="CF19" s="67">
        <f t="shared" si="34"/>
        <v>0</v>
      </c>
      <c r="CG19" s="60">
        <v>51274</v>
      </c>
      <c r="CH19" s="67">
        <f t="shared" si="35"/>
        <v>17</v>
      </c>
      <c r="CI19" s="60">
        <v>889855</v>
      </c>
      <c r="CJ19" s="67">
        <f t="shared" si="36"/>
        <v>217</v>
      </c>
      <c r="CK19" s="60">
        <v>633.41999999999996</v>
      </c>
      <c r="CL19" s="64">
        <f t="shared" si="37"/>
        <v>439.99999999994088</v>
      </c>
      <c r="CM19" s="65">
        <f t="shared" si="41"/>
        <v>19.400000000000091</v>
      </c>
      <c r="CN19" s="62">
        <v>0</v>
      </c>
      <c r="CO19" s="62">
        <v>0</v>
      </c>
      <c r="CP19" s="68">
        <v>1642.2</v>
      </c>
      <c r="CQ19" s="67">
        <f t="shared" si="38"/>
        <v>11.400000000000091</v>
      </c>
      <c r="CR19" s="68">
        <v>10968</v>
      </c>
      <c r="CS19" s="67">
        <f t="shared" si="38"/>
        <v>8</v>
      </c>
      <c r="CT19" s="75">
        <v>3659</v>
      </c>
      <c r="CU19" s="67">
        <f t="shared" si="38"/>
        <v>9</v>
      </c>
      <c r="CV19" s="68">
        <v>10158</v>
      </c>
      <c r="CW19" s="67">
        <f t="shared" si="38"/>
        <v>8</v>
      </c>
    </row>
    <row r="20" spans="1:102" ht="25.5" customHeight="1" thickBot="1" x14ac:dyDescent="0.45">
      <c r="A20" s="63">
        <v>44152</v>
      </c>
      <c r="B20" s="44"/>
      <c r="C20" s="58">
        <v>1.9012</v>
      </c>
      <c r="D20" s="64">
        <f t="shared" si="0"/>
        <v>1400.0000000000678</v>
      </c>
      <c r="E20" s="58">
        <v>2.8092000000000001</v>
      </c>
      <c r="F20" s="64">
        <f t="shared" si="1"/>
        <v>599.99999999993395</v>
      </c>
      <c r="G20" s="58">
        <v>2.8146</v>
      </c>
      <c r="H20" s="64">
        <f t="shared" si="2"/>
        <v>1599.9999999998238</v>
      </c>
      <c r="I20" s="58">
        <v>1.3684000000000001</v>
      </c>
      <c r="J20" s="64">
        <f t="shared" si="3"/>
        <v>900.0000000001229</v>
      </c>
      <c r="K20" s="58">
        <v>2.1882999999999999</v>
      </c>
      <c r="L20" s="64">
        <f t="shared" si="4"/>
        <v>1900.0000000000127</v>
      </c>
      <c r="M20" s="58">
        <v>1.2813000000000001</v>
      </c>
      <c r="N20" s="64">
        <f t="shared" si="5"/>
        <v>600.00000000015598</v>
      </c>
      <c r="O20" s="58">
        <v>12697</v>
      </c>
      <c r="P20" s="67">
        <f t="shared" si="44"/>
        <v>1</v>
      </c>
      <c r="Q20" s="58">
        <v>5997</v>
      </c>
      <c r="R20" s="67">
        <f t="shared" si="6"/>
        <v>2</v>
      </c>
      <c r="S20" s="58">
        <v>865860</v>
      </c>
      <c r="T20" s="67">
        <f t="shared" si="7"/>
        <v>262.59999999997672</v>
      </c>
      <c r="U20" s="58">
        <v>355010.7</v>
      </c>
      <c r="V20" s="67">
        <f t="shared" si="8"/>
        <v>167.20000000001164</v>
      </c>
      <c r="W20" s="58">
        <v>347.22</v>
      </c>
      <c r="X20" s="65">
        <f t="shared" si="9"/>
        <v>80.000000000040927</v>
      </c>
      <c r="Y20" s="58">
        <v>2.4577</v>
      </c>
      <c r="Z20" s="65">
        <f t="shared" si="10"/>
        <v>399.99999999995595</v>
      </c>
      <c r="AA20" s="58">
        <v>339.3</v>
      </c>
      <c r="AB20" s="65">
        <f t="shared" si="11"/>
        <v>150.00000000003411</v>
      </c>
      <c r="AC20" s="58">
        <v>328.54</v>
      </c>
      <c r="AD20" s="65">
        <f t="shared" si="12"/>
        <v>140.0000000000432</v>
      </c>
      <c r="AE20" s="58">
        <v>512.26</v>
      </c>
      <c r="AF20" s="65">
        <f t="shared" si="13"/>
        <v>179.99999999994998</v>
      </c>
      <c r="AG20" s="58">
        <v>1441.7</v>
      </c>
      <c r="AH20" s="67">
        <f t="shared" si="14"/>
        <v>1.1000000000001364</v>
      </c>
      <c r="AI20" s="58">
        <v>487.2</v>
      </c>
      <c r="AJ20" s="65">
        <f t="shared" si="15"/>
        <v>469.99999999997044</v>
      </c>
      <c r="AK20" s="58">
        <v>170.81</v>
      </c>
      <c r="AL20" s="65">
        <f t="shared" si="15"/>
        <v>159.99999999999659</v>
      </c>
      <c r="AM20" s="58">
        <v>169.27</v>
      </c>
      <c r="AN20" s="65">
        <f t="shared" si="15"/>
        <v>180.00000000000682</v>
      </c>
      <c r="AO20" s="58">
        <v>162.99</v>
      </c>
      <c r="AP20" s="65">
        <f t="shared" si="15"/>
        <v>159.99999999999659</v>
      </c>
      <c r="AQ20" s="58">
        <v>223.37</v>
      </c>
      <c r="AR20" s="65">
        <f t="shared" si="16"/>
        <v>39.999999999992042</v>
      </c>
      <c r="AS20" s="58">
        <v>348.9</v>
      </c>
      <c r="AT20" s="65">
        <f t="shared" si="17"/>
        <v>29.999999999972715</v>
      </c>
      <c r="AU20" s="58">
        <v>269.24</v>
      </c>
      <c r="AV20" s="65">
        <f t="shared" si="18"/>
        <v>30.000000000029559</v>
      </c>
      <c r="AW20" s="58">
        <v>296.54000000000002</v>
      </c>
      <c r="AX20" s="65">
        <f t="shared" si="19"/>
        <v>20.000000000038654</v>
      </c>
      <c r="AY20" s="58">
        <v>347.99</v>
      </c>
      <c r="AZ20" s="65">
        <f t="shared" si="20"/>
        <v>30.000000000029559</v>
      </c>
      <c r="BA20" s="58">
        <v>367.62</v>
      </c>
      <c r="BB20" s="65">
        <f t="shared" si="21"/>
        <v>19.99999999998181</v>
      </c>
      <c r="BC20" s="58">
        <v>233.93</v>
      </c>
      <c r="BD20" s="65">
        <f t="shared" si="22"/>
        <v>20.000000000010232</v>
      </c>
      <c r="BE20" s="59">
        <v>32967</v>
      </c>
      <c r="BF20" s="67">
        <f t="shared" si="39"/>
        <v>32</v>
      </c>
      <c r="BG20" s="60">
        <v>226.67</v>
      </c>
      <c r="BH20" s="65">
        <f t="shared" si="23"/>
        <v>9.9999999999909051</v>
      </c>
      <c r="BI20" s="60">
        <v>284.8</v>
      </c>
      <c r="BJ20" s="65">
        <f t="shared" si="40"/>
        <v>9.9999999999909051</v>
      </c>
      <c r="BK20" s="60">
        <v>231.74</v>
      </c>
      <c r="BL20" s="65">
        <f t="shared" si="24"/>
        <v>10.000000000019327</v>
      </c>
      <c r="BM20" s="60">
        <v>216.57</v>
      </c>
      <c r="BN20" s="65">
        <f t="shared" si="25"/>
        <v>9.9999999999909051</v>
      </c>
      <c r="BO20" s="60">
        <v>281.63</v>
      </c>
      <c r="BP20" s="65">
        <f t="shared" si="26"/>
        <v>19.99999999998181</v>
      </c>
      <c r="BQ20" s="60">
        <v>40550</v>
      </c>
      <c r="BR20" s="65">
        <f t="shared" si="27"/>
        <v>14</v>
      </c>
      <c r="BS20" s="60">
        <v>195.03</v>
      </c>
      <c r="BT20" s="65">
        <f t="shared" si="42"/>
        <v>20.000000000010232</v>
      </c>
      <c r="BU20" s="60">
        <v>33430</v>
      </c>
      <c r="BV20" s="65">
        <f t="shared" si="29"/>
        <v>38</v>
      </c>
      <c r="BW20" s="60">
        <v>226.45</v>
      </c>
      <c r="BX20" s="65">
        <f t="shared" si="30"/>
        <v>9.9999999999909051</v>
      </c>
      <c r="BY20" s="60">
        <v>51671</v>
      </c>
      <c r="BZ20" s="67">
        <f t="shared" si="31"/>
        <v>25</v>
      </c>
      <c r="CA20" s="60">
        <v>27515.599999999999</v>
      </c>
      <c r="CB20" s="67">
        <f t="shared" si="32"/>
        <v>0</v>
      </c>
      <c r="CC20" s="60">
        <v>11255.6</v>
      </c>
      <c r="CD20" s="67">
        <f t="shared" si="33"/>
        <v>0</v>
      </c>
      <c r="CE20" s="60">
        <v>50954.2</v>
      </c>
      <c r="CF20" s="67">
        <f t="shared" si="34"/>
        <v>0</v>
      </c>
      <c r="CG20" s="60">
        <v>51290.9</v>
      </c>
      <c r="CH20" s="67">
        <f t="shared" si="35"/>
        <v>16.900000000001455</v>
      </c>
      <c r="CI20" s="60">
        <v>890068</v>
      </c>
      <c r="CJ20" s="67">
        <f t="shared" si="36"/>
        <v>213</v>
      </c>
      <c r="CK20" s="60">
        <v>633.87</v>
      </c>
      <c r="CL20" s="64">
        <f t="shared" si="37"/>
        <v>450.00000000004547</v>
      </c>
      <c r="CM20" s="65">
        <f t="shared" si="41"/>
        <v>16.200000000000045</v>
      </c>
      <c r="CN20" s="62">
        <v>0</v>
      </c>
      <c r="CO20" s="62">
        <v>0</v>
      </c>
      <c r="CP20" s="68">
        <v>1653.4</v>
      </c>
      <c r="CQ20" s="67">
        <f t="shared" si="38"/>
        <v>11.200000000000045</v>
      </c>
      <c r="CR20" s="68">
        <v>10973</v>
      </c>
      <c r="CS20" s="67">
        <f t="shared" si="38"/>
        <v>5</v>
      </c>
      <c r="CT20" s="75">
        <v>3667</v>
      </c>
      <c r="CU20" s="67">
        <f t="shared" si="38"/>
        <v>8</v>
      </c>
      <c r="CV20" s="68">
        <v>10167</v>
      </c>
      <c r="CW20" s="67">
        <f t="shared" si="38"/>
        <v>9</v>
      </c>
    </row>
    <row r="21" spans="1:102" ht="25.5" customHeight="1" thickBot="1" x14ac:dyDescent="0.45">
      <c r="A21" s="63">
        <v>44153</v>
      </c>
      <c r="B21" s="44"/>
      <c r="C21" s="58">
        <v>1.9021999999999999</v>
      </c>
      <c r="D21" s="64">
        <f t="shared" si="0"/>
        <v>999.99999999988984</v>
      </c>
      <c r="E21" s="58">
        <v>2.8096999999999999</v>
      </c>
      <c r="F21" s="64">
        <f t="shared" si="1"/>
        <v>499.99999999972289</v>
      </c>
      <c r="G21" s="58">
        <v>2.8163</v>
      </c>
      <c r="H21" s="64">
        <f t="shared" si="2"/>
        <v>1700.0000000000348</v>
      </c>
      <c r="I21" s="58">
        <v>1.3692</v>
      </c>
      <c r="J21" s="64">
        <f t="shared" si="3"/>
        <v>799.99999999991189</v>
      </c>
      <c r="K21" s="58">
        <v>2.1899000000000002</v>
      </c>
      <c r="L21" s="64">
        <f t="shared" si="4"/>
        <v>1600.0000000002678</v>
      </c>
      <c r="M21" s="58">
        <v>1.2818000000000001</v>
      </c>
      <c r="N21" s="64">
        <f t="shared" si="5"/>
        <v>499.99999999994492</v>
      </c>
      <c r="O21" s="58">
        <v>12698</v>
      </c>
      <c r="P21" s="67">
        <f t="shared" si="44"/>
        <v>1</v>
      </c>
      <c r="Q21" s="58">
        <v>5997</v>
      </c>
      <c r="R21" s="67">
        <f t="shared" si="6"/>
        <v>0</v>
      </c>
      <c r="S21" s="58">
        <v>866076.2</v>
      </c>
      <c r="T21" s="67">
        <f t="shared" si="7"/>
        <v>216.19999999995343</v>
      </c>
      <c r="U21" s="58">
        <v>355136.6</v>
      </c>
      <c r="V21" s="67">
        <f t="shared" si="8"/>
        <v>125.89999999996508</v>
      </c>
      <c r="W21" s="58">
        <v>347.29</v>
      </c>
      <c r="X21" s="65">
        <f t="shared" si="9"/>
        <v>69.999999999993179</v>
      </c>
      <c r="Y21" s="58">
        <v>2.4581</v>
      </c>
      <c r="Z21" s="65">
        <f t="shared" si="10"/>
        <v>399.99999999995595</v>
      </c>
      <c r="AA21" s="58">
        <v>339.43</v>
      </c>
      <c r="AB21" s="65">
        <f t="shared" si="11"/>
        <v>129.99999999999545</v>
      </c>
      <c r="AC21" s="58">
        <v>328.65</v>
      </c>
      <c r="AD21" s="65">
        <f t="shared" si="12"/>
        <v>109.9999999999568</v>
      </c>
      <c r="AE21" s="58">
        <v>512.41999999999996</v>
      </c>
      <c r="AF21" s="65">
        <f t="shared" si="13"/>
        <v>159.99999999996817</v>
      </c>
      <c r="AG21" s="58">
        <v>1442.6</v>
      </c>
      <c r="AH21" s="67">
        <f t="shared" si="14"/>
        <v>0.89999999999986358</v>
      </c>
      <c r="AI21" s="58">
        <v>487.55</v>
      </c>
      <c r="AJ21" s="65">
        <f t="shared" si="15"/>
        <v>350.00000000002274</v>
      </c>
      <c r="AK21" s="58">
        <v>170.9</v>
      </c>
      <c r="AL21" s="65">
        <f t="shared" si="15"/>
        <v>90.000000000003411</v>
      </c>
      <c r="AM21" s="58">
        <v>169.4</v>
      </c>
      <c r="AN21" s="65">
        <f t="shared" si="15"/>
        <v>129.99999999999545</v>
      </c>
      <c r="AO21" s="58">
        <v>163.1</v>
      </c>
      <c r="AP21" s="65">
        <f t="shared" si="15"/>
        <v>109.99999999998522</v>
      </c>
      <c r="AQ21" s="58">
        <v>223.41</v>
      </c>
      <c r="AR21" s="65">
        <f t="shared" si="16"/>
        <v>39.999999999992042</v>
      </c>
      <c r="AS21" s="58">
        <v>348.93</v>
      </c>
      <c r="AT21" s="65">
        <f t="shared" si="17"/>
        <v>30.000000000029559</v>
      </c>
      <c r="AU21" s="58">
        <v>269.26</v>
      </c>
      <c r="AV21" s="65">
        <f t="shared" si="18"/>
        <v>19.99999999998181</v>
      </c>
      <c r="AW21" s="58">
        <v>296.56</v>
      </c>
      <c r="AX21" s="65">
        <f t="shared" si="19"/>
        <v>19.99999999998181</v>
      </c>
      <c r="AY21" s="58">
        <v>348.01</v>
      </c>
      <c r="AZ21" s="65">
        <f t="shared" si="20"/>
        <v>19.99999999998181</v>
      </c>
      <c r="BA21" s="58">
        <v>367.65</v>
      </c>
      <c r="BB21" s="65">
        <f t="shared" si="21"/>
        <v>29.999999999972715</v>
      </c>
      <c r="BC21" s="58">
        <v>233.94</v>
      </c>
      <c r="BD21" s="65">
        <f t="shared" si="22"/>
        <v>9.9999999999909051</v>
      </c>
      <c r="BE21" s="59">
        <v>32991</v>
      </c>
      <c r="BF21" s="67">
        <f t="shared" si="39"/>
        <v>24</v>
      </c>
      <c r="BG21" s="60">
        <v>226.68</v>
      </c>
      <c r="BH21" s="65">
        <f t="shared" si="23"/>
        <v>10.000000000019327</v>
      </c>
      <c r="BI21" s="60">
        <v>284.81</v>
      </c>
      <c r="BJ21" s="65">
        <f t="shared" si="40"/>
        <v>9.9999999999909051</v>
      </c>
      <c r="BK21" s="60">
        <v>231.75</v>
      </c>
      <c r="BL21" s="65">
        <f t="shared" si="24"/>
        <v>9.9999999999909051</v>
      </c>
      <c r="BM21" s="60">
        <v>216.59</v>
      </c>
      <c r="BN21" s="65">
        <f t="shared" si="25"/>
        <v>20.000000000010232</v>
      </c>
      <c r="BO21" s="60">
        <v>281.64999999999998</v>
      </c>
      <c r="BP21" s="65">
        <f t="shared" si="26"/>
        <v>19.99999999998181</v>
      </c>
      <c r="BQ21" s="60">
        <v>40561</v>
      </c>
      <c r="BR21" s="65">
        <f t="shared" si="27"/>
        <v>11</v>
      </c>
      <c r="BS21" s="60">
        <v>195.04</v>
      </c>
      <c r="BT21" s="65">
        <f t="shared" si="42"/>
        <v>9.9999999999909051</v>
      </c>
      <c r="BU21" s="60">
        <v>33447</v>
      </c>
      <c r="BV21" s="65">
        <f t="shared" si="29"/>
        <v>17</v>
      </c>
      <c r="BW21" s="60">
        <v>226.45</v>
      </c>
      <c r="BX21" s="65">
        <f t="shared" si="30"/>
        <v>0</v>
      </c>
      <c r="BY21" s="60">
        <v>51690</v>
      </c>
      <c r="BZ21" s="67">
        <f t="shared" si="31"/>
        <v>19</v>
      </c>
      <c r="CA21" s="60">
        <v>27515.599999999999</v>
      </c>
      <c r="CB21" s="67">
        <f t="shared" si="32"/>
        <v>0</v>
      </c>
      <c r="CC21" s="60">
        <v>11255.6</v>
      </c>
      <c r="CD21" s="67">
        <f t="shared" si="33"/>
        <v>0</v>
      </c>
      <c r="CE21" s="60">
        <v>50954.2</v>
      </c>
      <c r="CF21" s="67">
        <f t="shared" si="34"/>
        <v>0</v>
      </c>
      <c r="CG21" s="60">
        <v>51311.6</v>
      </c>
      <c r="CH21" s="67">
        <f t="shared" si="35"/>
        <v>20.69999999999709</v>
      </c>
      <c r="CI21" s="60">
        <v>890271</v>
      </c>
      <c r="CJ21" s="67">
        <f t="shared" si="36"/>
        <v>203</v>
      </c>
      <c r="CK21" s="60">
        <v>634.36</v>
      </c>
      <c r="CL21" s="64">
        <f t="shared" si="37"/>
        <v>490.00000000000909</v>
      </c>
      <c r="CM21" s="65">
        <f t="shared" si="41"/>
        <v>20.299999999999955</v>
      </c>
      <c r="CN21" s="62">
        <v>0</v>
      </c>
      <c r="CO21" s="62">
        <v>0</v>
      </c>
      <c r="CP21" s="68">
        <v>1668.7</v>
      </c>
      <c r="CQ21" s="67">
        <f t="shared" si="38"/>
        <v>15.299999999999955</v>
      </c>
      <c r="CR21" s="68">
        <v>10978</v>
      </c>
      <c r="CS21" s="67">
        <f t="shared" si="38"/>
        <v>5</v>
      </c>
      <c r="CT21" s="75">
        <v>3675</v>
      </c>
      <c r="CU21" s="67">
        <f t="shared" si="38"/>
        <v>8</v>
      </c>
      <c r="CV21" s="68">
        <v>10174</v>
      </c>
      <c r="CW21" s="67">
        <f t="shared" si="38"/>
        <v>7</v>
      </c>
    </row>
    <row r="22" spans="1:102" ht="25.5" customHeight="1" thickBot="1" x14ac:dyDescent="0.45">
      <c r="A22" s="63">
        <v>44154</v>
      </c>
      <c r="B22" s="44"/>
      <c r="C22" s="58">
        <v>1.9034</v>
      </c>
      <c r="D22" s="64">
        <f t="shared" si="0"/>
        <v>1200.0000000000898</v>
      </c>
      <c r="E22" s="58">
        <v>2.8104</v>
      </c>
      <c r="F22" s="64">
        <f t="shared" si="1"/>
        <v>700.00000000014495</v>
      </c>
      <c r="G22" s="58">
        <v>2.8178000000000001</v>
      </c>
      <c r="H22" s="64">
        <f t="shared" si="2"/>
        <v>1500.0000000000568</v>
      </c>
      <c r="I22" s="58">
        <v>1.3701000000000001</v>
      </c>
      <c r="J22" s="64">
        <f t="shared" si="3"/>
        <v>900.0000000001229</v>
      </c>
      <c r="K22" s="58">
        <v>2.1917</v>
      </c>
      <c r="L22" s="64">
        <f t="shared" si="4"/>
        <v>1799.9999999998017</v>
      </c>
      <c r="M22" s="58">
        <v>1.2823</v>
      </c>
      <c r="N22" s="64">
        <f t="shared" si="5"/>
        <v>499.99999999994492</v>
      </c>
      <c r="O22" s="58">
        <v>12699</v>
      </c>
      <c r="P22" s="67">
        <f t="shared" si="44"/>
        <v>1</v>
      </c>
      <c r="Q22" s="58">
        <v>6003</v>
      </c>
      <c r="R22" s="67">
        <f t="shared" si="6"/>
        <v>6</v>
      </c>
      <c r="S22" s="58">
        <v>866235.6</v>
      </c>
      <c r="T22" s="67">
        <f t="shared" si="7"/>
        <v>159.40000000002328</v>
      </c>
      <c r="U22" s="58">
        <v>355234.9</v>
      </c>
      <c r="V22" s="67">
        <f t="shared" si="8"/>
        <v>98.300000000046566</v>
      </c>
      <c r="W22" s="58">
        <v>347.39</v>
      </c>
      <c r="X22" s="65">
        <f t="shared" si="9"/>
        <v>99.999999999965894</v>
      </c>
      <c r="Y22" s="58">
        <v>2.4586000000000001</v>
      </c>
      <c r="Z22" s="65">
        <f t="shared" si="10"/>
        <v>500.00000000016701</v>
      </c>
      <c r="AA22" s="58">
        <v>339.56</v>
      </c>
      <c r="AB22" s="65">
        <f t="shared" si="11"/>
        <v>129.99999999999545</v>
      </c>
      <c r="AC22" s="58">
        <v>328.78</v>
      </c>
      <c r="AD22" s="65">
        <f t="shared" si="12"/>
        <v>129.99999999999545</v>
      </c>
      <c r="AE22" s="58">
        <v>512.63</v>
      </c>
      <c r="AF22" s="65">
        <f t="shared" si="13"/>
        <v>210.00000000003638</v>
      </c>
      <c r="AG22" s="58">
        <v>1443.6</v>
      </c>
      <c r="AH22" s="67">
        <f t="shared" si="14"/>
        <v>1</v>
      </c>
      <c r="AI22" s="58">
        <v>487.98</v>
      </c>
      <c r="AJ22" s="65">
        <f t="shared" si="15"/>
        <v>430.00000000000682</v>
      </c>
      <c r="AK22" s="58">
        <v>171.02</v>
      </c>
      <c r="AL22" s="65">
        <f t="shared" si="15"/>
        <v>120.00000000000455</v>
      </c>
      <c r="AM22" s="58">
        <v>169.55</v>
      </c>
      <c r="AN22" s="65">
        <f t="shared" si="15"/>
        <v>150.00000000000568</v>
      </c>
      <c r="AO22" s="58">
        <v>163.22</v>
      </c>
      <c r="AP22" s="65">
        <f t="shared" si="15"/>
        <v>120.00000000000455</v>
      </c>
      <c r="AQ22" s="58">
        <v>223.43</v>
      </c>
      <c r="AR22" s="65">
        <f t="shared" si="16"/>
        <v>20.000000000010232</v>
      </c>
      <c r="AS22" s="58">
        <v>348.96</v>
      </c>
      <c r="AT22" s="65">
        <f t="shared" si="17"/>
        <v>29.999999999972715</v>
      </c>
      <c r="AU22" s="58">
        <v>269.29000000000002</v>
      </c>
      <c r="AV22" s="65">
        <f t="shared" si="18"/>
        <v>30.000000000029559</v>
      </c>
      <c r="AW22" s="58">
        <v>296.58999999999997</v>
      </c>
      <c r="AX22" s="65">
        <f t="shared" si="19"/>
        <v>29.999999999972715</v>
      </c>
      <c r="AY22" s="58">
        <v>348.04</v>
      </c>
      <c r="AZ22" s="65">
        <v>367.67</v>
      </c>
      <c r="BA22" s="58">
        <v>367.67</v>
      </c>
      <c r="BB22" s="65">
        <v>233.95</v>
      </c>
      <c r="BC22" s="58">
        <v>233.95</v>
      </c>
      <c r="BD22" s="65">
        <f t="shared" si="22"/>
        <v>9.9999999999909051</v>
      </c>
      <c r="BE22" s="59">
        <v>33022</v>
      </c>
      <c r="BF22" s="67">
        <f t="shared" si="39"/>
        <v>31</v>
      </c>
      <c r="BG22" s="60">
        <v>226.7</v>
      </c>
      <c r="BH22" s="65">
        <f t="shared" si="23"/>
        <v>19.99999999998181</v>
      </c>
      <c r="BI22" s="60">
        <v>284.83999999999997</v>
      </c>
      <c r="BJ22" s="65">
        <f t="shared" si="40"/>
        <v>29.999999999972715</v>
      </c>
      <c r="BK22" s="60">
        <v>231.76</v>
      </c>
      <c r="BL22" s="65">
        <f t="shared" si="24"/>
        <v>9.9999999999909051</v>
      </c>
      <c r="BM22" s="60">
        <v>216.6</v>
      </c>
      <c r="BN22" s="65">
        <f t="shared" si="25"/>
        <v>9.9999999999909051</v>
      </c>
      <c r="BO22" s="60">
        <v>281.67</v>
      </c>
      <c r="BP22" s="65">
        <f t="shared" si="26"/>
        <v>20.000000000038654</v>
      </c>
      <c r="BQ22" s="60">
        <v>40573</v>
      </c>
      <c r="BR22" s="65">
        <f t="shared" si="27"/>
        <v>12</v>
      </c>
      <c r="BS22" s="60">
        <v>195.05</v>
      </c>
      <c r="BT22" s="65">
        <f t="shared" si="42"/>
        <v>10.000000000019327</v>
      </c>
      <c r="BU22" s="60">
        <v>33467</v>
      </c>
      <c r="BV22" s="65">
        <f t="shared" si="29"/>
        <v>20</v>
      </c>
      <c r="BW22" s="60">
        <v>226.48</v>
      </c>
      <c r="BX22" s="65">
        <f t="shared" si="30"/>
        <v>30.000000000001137</v>
      </c>
      <c r="BY22" s="60">
        <v>51710</v>
      </c>
      <c r="BZ22" s="67">
        <f t="shared" si="31"/>
        <v>20</v>
      </c>
      <c r="CA22" s="60">
        <v>27515.599999999999</v>
      </c>
      <c r="CB22" s="67">
        <f t="shared" si="32"/>
        <v>0</v>
      </c>
      <c r="CC22" s="60">
        <v>11255.6</v>
      </c>
      <c r="CD22" s="67">
        <f t="shared" si="33"/>
        <v>0</v>
      </c>
      <c r="CE22" s="60">
        <v>50954.2</v>
      </c>
      <c r="CF22" s="67">
        <f t="shared" si="34"/>
        <v>0</v>
      </c>
      <c r="CG22" s="60">
        <v>51329.4</v>
      </c>
      <c r="CH22" s="67">
        <f t="shared" si="35"/>
        <v>17.80000000000291</v>
      </c>
      <c r="CI22" s="60">
        <v>890482</v>
      </c>
      <c r="CJ22" s="67">
        <f t="shared" si="36"/>
        <v>211</v>
      </c>
      <c r="CK22" s="60">
        <v>634.78</v>
      </c>
      <c r="CL22" s="64">
        <f t="shared" si="37"/>
        <v>419.99999999995907</v>
      </c>
      <c r="CM22" s="65">
        <f t="shared" si="41"/>
        <v>13.299999999999955</v>
      </c>
      <c r="CN22" s="62">
        <v>0</v>
      </c>
      <c r="CO22" s="62">
        <v>0</v>
      </c>
      <c r="CP22" s="68">
        <v>1677</v>
      </c>
      <c r="CQ22" s="67">
        <f t="shared" si="38"/>
        <v>8.2999999999999545</v>
      </c>
      <c r="CR22" s="68">
        <v>10983</v>
      </c>
      <c r="CS22" s="67">
        <f t="shared" si="38"/>
        <v>5</v>
      </c>
      <c r="CT22" s="75">
        <v>3685</v>
      </c>
      <c r="CU22" s="67">
        <f t="shared" si="38"/>
        <v>10</v>
      </c>
      <c r="CV22" s="68">
        <v>10183</v>
      </c>
      <c r="CW22" s="67">
        <f t="shared" si="38"/>
        <v>9</v>
      </c>
    </row>
    <row r="23" spans="1:102" ht="25.5" customHeight="1" thickBot="1" x14ac:dyDescent="0.45">
      <c r="A23" s="63">
        <v>44155</v>
      </c>
      <c r="B23" s="44"/>
      <c r="C23" s="58">
        <v>1.9047000000000001</v>
      </c>
      <c r="D23" s="64">
        <f t="shared" si="0"/>
        <v>1300.0000000000789</v>
      </c>
      <c r="E23" s="58">
        <v>2.8111000000000002</v>
      </c>
      <c r="F23" s="64">
        <f t="shared" si="1"/>
        <v>700.00000000014495</v>
      </c>
      <c r="G23" s="58">
        <v>2.8193999999999999</v>
      </c>
      <c r="H23" s="64">
        <f t="shared" si="2"/>
        <v>1599.9999999998238</v>
      </c>
      <c r="I23" s="58">
        <v>1.371</v>
      </c>
      <c r="J23" s="64">
        <f t="shared" si="3"/>
        <v>899.99999999990087</v>
      </c>
      <c r="K23" s="58">
        <v>2.1934999999999998</v>
      </c>
      <c r="L23" s="64">
        <f t="shared" si="4"/>
        <v>1799.9999999998017</v>
      </c>
      <c r="M23" s="58">
        <v>1.2829999999999999</v>
      </c>
      <c r="N23" s="64">
        <f t="shared" si="5"/>
        <v>699.99999999992292</v>
      </c>
      <c r="O23" s="58">
        <v>12700</v>
      </c>
      <c r="P23" s="67">
        <f t="shared" si="44"/>
        <v>1</v>
      </c>
      <c r="Q23" s="58">
        <v>6006</v>
      </c>
      <c r="R23" s="67">
        <f t="shared" si="6"/>
        <v>3</v>
      </c>
      <c r="S23" s="58">
        <v>866526.6</v>
      </c>
      <c r="T23" s="67">
        <f t="shared" si="7"/>
        <v>291</v>
      </c>
      <c r="U23" s="58">
        <v>355414.9</v>
      </c>
      <c r="V23" s="67">
        <f t="shared" si="8"/>
        <v>180</v>
      </c>
      <c r="W23" s="58">
        <v>347.48</v>
      </c>
      <c r="X23" s="65">
        <f t="shared" si="9"/>
        <v>90.000000000031832</v>
      </c>
      <c r="Y23" s="58">
        <v>2.4590999999999998</v>
      </c>
      <c r="Z23" s="65">
        <f t="shared" si="10"/>
        <v>499.99999999972289</v>
      </c>
      <c r="AA23" s="58">
        <v>339.68</v>
      </c>
      <c r="AB23" s="65">
        <f t="shared" si="11"/>
        <v>120.00000000000455</v>
      </c>
      <c r="AC23" s="58">
        <v>328.94</v>
      </c>
      <c r="AD23" s="65">
        <f t="shared" si="12"/>
        <v>160.00000000002501</v>
      </c>
      <c r="AE23" s="58">
        <v>512.88</v>
      </c>
      <c r="AF23" s="65">
        <f t="shared" si="13"/>
        <v>250</v>
      </c>
      <c r="AG23" s="58">
        <v>1444.6</v>
      </c>
      <c r="AH23" s="67">
        <f t="shared" si="14"/>
        <v>1</v>
      </c>
      <c r="AI23" s="58">
        <v>488.43</v>
      </c>
      <c r="AJ23" s="65">
        <f t="shared" si="15"/>
        <v>449.99999999998863</v>
      </c>
      <c r="AK23" s="58">
        <v>171.19</v>
      </c>
      <c r="AL23" s="65">
        <f t="shared" si="15"/>
        <v>169.99999999998749</v>
      </c>
      <c r="AM23" s="58">
        <v>169.7</v>
      </c>
      <c r="AN23" s="65">
        <f t="shared" si="15"/>
        <v>149.99999999997726</v>
      </c>
      <c r="AO23" s="58">
        <v>163.34</v>
      </c>
      <c r="AP23" s="65">
        <f t="shared" si="15"/>
        <v>120.00000000000455</v>
      </c>
      <c r="AQ23" s="58">
        <v>223.49</v>
      </c>
      <c r="AR23" s="65">
        <f t="shared" si="16"/>
        <v>60.000000000002274</v>
      </c>
      <c r="AS23" s="58">
        <v>348.99</v>
      </c>
      <c r="AT23" s="65">
        <f t="shared" si="17"/>
        <v>30.000000000029559</v>
      </c>
      <c r="AU23" s="58">
        <v>269.32</v>
      </c>
      <c r="AV23" s="65">
        <f t="shared" si="18"/>
        <v>29.999999999972715</v>
      </c>
      <c r="AW23" s="58">
        <v>296.61</v>
      </c>
      <c r="AX23" s="65">
        <f t="shared" si="19"/>
        <v>20.000000000038654</v>
      </c>
      <c r="AY23" s="58">
        <v>348.07</v>
      </c>
      <c r="AZ23" s="65">
        <f t="shared" si="20"/>
        <v>29.999999999972715</v>
      </c>
      <c r="BA23" s="58">
        <v>367.7</v>
      </c>
      <c r="BB23" s="65">
        <f t="shared" si="21"/>
        <v>29.999999999972715</v>
      </c>
      <c r="BC23" s="58">
        <v>233.97</v>
      </c>
      <c r="BD23" s="65">
        <f t="shared" si="22"/>
        <v>20.000000000010232</v>
      </c>
      <c r="BE23" s="59">
        <v>33055</v>
      </c>
      <c r="BF23" s="67">
        <f t="shared" si="39"/>
        <v>33</v>
      </c>
      <c r="BG23" s="60">
        <v>226.71</v>
      </c>
      <c r="BH23" s="65">
        <f t="shared" si="23"/>
        <v>10.000000000019327</v>
      </c>
      <c r="BI23" s="60">
        <v>284.86</v>
      </c>
      <c r="BJ23" s="65">
        <f t="shared" si="40"/>
        <v>20.000000000038654</v>
      </c>
      <c r="BK23" s="60">
        <v>231.76</v>
      </c>
      <c r="BL23" s="65">
        <f t="shared" si="24"/>
        <v>0</v>
      </c>
      <c r="BM23" s="60">
        <v>216.62</v>
      </c>
      <c r="BN23" s="65">
        <f t="shared" si="25"/>
        <v>20.000000000010232</v>
      </c>
      <c r="BO23" s="60">
        <v>281.69</v>
      </c>
      <c r="BP23" s="65">
        <f t="shared" si="26"/>
        <v>19.99999999998181</v>
      </c>
      <c r="BQ23" s="60">
        <v>40586</v>
      </c>
      <c r="BR23" s="65">
        <f t="shared" si="27"/>
        <v>13</v>
      </c>
      <c r="BS23" s="60">
        <v>195.06</v>
      </c>
      <c r="BT23" s="65">
        <f t="shared" si="42"/>
        <v>9.9999999999909051</v>
      </c>
      <c r="BU23" s="60">
        <v>33487</v>
      </c>
      <c r="BV23" s="65">
        <f t="shared" si="29"/>
        <v>20</v>
      </c>
      <c r="BW23" s="60">
        <v>226.5</v>
      </c>
      <c r="BX23" s="65">
        <f t="shared" si="30"/>
        <v>20.000000000010232</v>
      </c>
      <c r="BY23" s="60">
        <v>51729</v>
      </c>
      <c r="BZ23" s="67">
        <f t="shared" si="31"/>
        <v>19</v>
      </c>
      <c r="CA23" s="60">
        <v>27515.599999999999</v>
      </c>
      <c r="CB23" s="67">
        <f t="shared" si="32"/>
        <v>0</v>
      </c>
      <c r="CC23" s="60">
        <v>11255.6</v>
      </c>
      <c r="CD23" s="67">
        <f t="shared" si="33"/>
        <v>0</v>
      </c>
      <c r="CE23" s="60">
        <v>50954.2</v>
      </c>
      <c r="CF23" s="67">
        <f t="shared" si="34"/>
        <v>0</v>
      </c>
      <c r="CG23" s="60">
        <v>51349.599999999999</v>
      </c>
      <c r="CH23" s="67">
        <f t="shared" si="35"/>
        <v>20.19999999999709</v>
      </c>
      <c r="CI23" s="60">
        <v>890698</v>
      </c>
      <c r="CJ23" s="67">
        <f t="shared" si="36"/>
        <v>216</v>
      </c>
      <c r="CK23" s="60">
        <v>635.15</v>
      </c>
      <c r="CL23" s="64">
        <f t="shared" si="37"/>
        <v>370.00000000000455</v>
      </c>
      <c r="CM23" s="65">
        <f t="shared" si="41"/>
        <v>20.299999999999955</v>
      </c>
      <c r="CN23" s="62">
        <v>0</v>
      </c>
      <c r="CO23" s="62">
        <v>0</v>
      </c>
      <c r="CP23" s="68">
        <v>1690.3</v>
      </c>
      <c r="CQ23" s="67">
        <f t="shared" si="38"/>
        <v>13.299999999999955</v>
      </c>
      <c r="CR23" s="68">
        <v>10990</v>
      </c>
      <c r="CS23" s="67">
        <f t="shared" si="38"/>
        <v>7</v>
      </c>
      <c r="CT23" s="75">
        <v>3693</v>
      </c>
      <c r="CU23" s="67">
        <f t="shared" si="38"/>
        <v>8</v>
      </c>
      <c r="CV23" s="68">
        <v>10191</v>
      </c>
      <c r="CW23" s="67">
        <f t="shared" si="38"/>
        <v>8</v>
      </c>
    </row>
    <row r="24" spans="1:102" ht="25.5" customHeight="1" thickBot="1" x14ac:dyDescent="0.45">
      <c r="A24" s="63">
        <v>44156</v>
      </c>
      <c r="B24" s="44"/>
      <c r="C24" s="58">
        <v>1.9058999999999999</v>
      </c>
      <c r="D24" s="64">
        <f t="shared" si="0"/>
        <v>1199.9999999998679</v>
      </c>
      <c r="E24" s="58">
        <v>2.8117000000000001</v>
      </c>
      <c r="F24" s="64">
        <f t="shared" si="1"/>
        <v>599.99999999993395</v>
      </c>
      <c r="G24" s="58">
        <v>2.8212000000000002</v>
      </c>
      <c r="H24" s="64">
        <f t="shared" si="2"/>
        <v>1800.0000000002458</v>
      </c>
      <c r="I24" s="58">
        <v>1.3717999999999999</v>
      </c>
      <c r="J24" s="64">
        <f t="shared" si="3"/>
        <v>799.99999999991189</v>
      </c>
      <c r="K24" s="58">
        <v>2.1953</v>
      </c>
      <c r="L24" s="64">
        <f t="shared" si="4"/>
        <v>1800.0000000002458</v>
      </c>
      <c r="M24" s="58">
        <v>1.2836000000000001</v>
      </c>
      <c r="N24" s="64">
        <f t="shared" si="5"/>
        <v>600.00000000015598</v>
      </c>
      <c r="O24" s="58">
        <v>12701</v>
      </c>
      <c r="P24" s="67">
        <f t="shared" si="44"/>
        <v>1</v>
      </c>
      <c r="Q24" s="58">
        <v>6009</v>
      </c>
      <c r="R24" s="67">
        <f t="shared" si="6"/>
        <v>3</v>
      </c>
      <c r="S24" s="58">
        <v>866737.8</v>
      </c>
      <c r="T24" s="67">
        <f t="shared" si="7"/>
        <v>211.20000000006985</v>
      </c>
      <c r="U24" s="58">
        <v>355553.6</v>
      </c>
      <c r="V24" s="67">
        <f t="shared" si="8"/>
        <v>138.69999999995343</v>
      </c>
      <c r="W24" s="58">
        <v>347.57</v>
      </c>
      <c r="X24" s="65">
        <f t="shared" si="9"/>
        <v>89.999999999974989</v>
      </c>
      <c r="Y24" s="58">
        <v>2.4594999999999998</v>
      </c>
      <c r="Z24" s="65">
        <f t="shared" si="10"/>
        <v>399.99999999995595</v>
      </c>
      <c r="AA24" s="58">
        <v>339.79</v>
      </c>
      <c r="AB24" s="65">
        <f t="shared" si="11"/>
        <v>110.00000000001364</v>
      </c>
      <c r="AC24" s="58">
        <v>329.1</v>
      </c>
      <c r="AD24" s="65">
        <f t="shared" si="12"/>
        <v>160.00000000002501</v>
      </c>
      <c r="AE24" s="58">
        <v>513.09</v>
      </c>
      <c r="AF24" s="65">
        <f t="shared" si="13"/>
        <v>210.00000000003638</v>
      </c>
      <c r="AG24" s="58">
        <v>1445.6</v>
      </c>
      <c r="AH24" s="67">
        <f t="shared" si="14"/>
        <v>1</v>
      </c>
      <c r="AI24" s="58">
        <v>488.88</v>
      </c>
      <c r="AJ24" s="65">
        <f t="shared" si="15"/>
        <v>449.99999999998863</v>
      </c>
      <c r="AK24" s="58">
        <v>171.33</v>
      </c>
      <c r="AL24" s="65">
        <f t="shared" si="15"/>
        <v>140.00000000001478</v>
      </c>
      <c r="AM24" s="58">
        <v>169.84</v>
      </c>
      <c r="AN24" s="65">
        <f t="shared" si="15"/>
        <v>140.00000000001478</v>
      </c>
      <c r="AO24" s="58">
        <v>163.46</v>
      </c>
      <c r="AP24" s="65">
        <f t="shared" si="15"/>
        <v>120.00000000000455</v>
      </c>
      <c r="AQ24" s="58">
        <v>223.51</v>
      </c>
      <c r="AR24" s="65">
        <f t="shared" si="16"/>
        <v>19.99999999998181</v>
      </c>
      <c r="AS24" s="58">
        <v>349.03</v>
      </c>
      <c r="AT24" s="65">
        <f t="shared" si="17"/>
        <v>39.99999999996362</v>
      </c>
      <c r="AU24" s="58">
        <v>269.35000000000002</v>
      </c>
      <c r="AV24" s="65">
        <f t="shared" si="18"/>
        <v>30.000000000029559</v>
      </c>
      <c r="AW24" s="58">
        <v>296.62</v>
      </c>
      <c r="AX24" s="65">
        <f t="shared" si="19"/>
        <v>9.9999999999909051</v>
      </c>
      <c r="AY24" s="58">
        <v>348.09</v>
      </c>
      <c r="AZ24" s="65">
        <f t="shared" si="20"/>
        <v>19.99999999998181</v>
      </c>
      <c r="BA24" s="58">
        <v>367.73</v>
      </c>
      <c r="BB24" s="65">
        <f t="shared" si="21"/>
        <v>30.000000000029559</v>
      </c>
      <c r="BC24" s="58">
        <v>233.99</v>
      </c>
      <c r="BD24" s="65">
        <f t="shared" si="22"/>
        <v>20.000000000010232</v>
      </c>
      <c r="BE24" s="59">
        <v>33080</v>
      </c>
      <c r="BF24" s="67">
        <f t="shared" si="39"/>
        <v>25</v>
      </c>
      <c r="BG24" s="60">
        <v>226.73</v>
      </c>
      <c r="BH24" s="65">
        <f t="shared" si="23"/>
        <v>19.99999999998181</v>
      </c>
      <c r="BI24" s="60">
        <v>284.88</v>
      </c>
      <c r="BJ24" s="65">
        <f t="shared" si="40"/>
        <v>19.99999999998181</v>
      </c>
      <c r="BK24" s="60">
        <v>231.77</v>
      </c>
      <c r="BL24" s="65">
        <f t="shared" si="24"/>
        <v>10.000000000019327</v>
      </c>
      <c r="BM24" s="60">
        <v>216.64</v>
      </c>
      <c r="BN24" s="65">
        <f t="shared" si="25"/>
        <v>19.99999999998181</v>
      </c>
      <c r="BO24" s="60">
        <v>281.70999999999998</v>
      </c>
      <c r="BP24" s="65">
        <f t="shared" si="26"/>
        <v>19.99999999998181</v>
      </c>
      <c r="BQ24" s="60">
        <v>40598</v>
      </c>
      <c r="BR24" s="65">
        <f t="shared" si="27"/>
        <v>12</v>
      </c>
      <c r="BS24" s="60">
        <v>195.08</v>
      </c>
      <c r="BT24" s="65">
        <f t="shared" si="42"/>
        <v>20.000000000010232</v>
      </c>
      <c r="BU24" s="60">
        <v>33507</v>
      </c>
      <c r="BV24" s="65">
        <f t="shared" si="29"/>
        <v>20</v>
      </c>
      <c r="BW24" s="60">
        <v>226.52</v>
      </c>
      <c r="BX24" s="65">
        <f t="shared" si="30"/>
        <v>20.000000000010232</v>
      </c>
      <c r="BY24" s="60">
        <v>51747</v>
      </c>
      <c r="BZ24" s="67">
        <f t="shared" si="31"/>
        <v>18</v>
      </c>
      <c r="CA24" s="60">
        <v>27515.599999999999</v>
      </c>
      <c r="CB24" s="67">
        <f t="shared" si="32"/>
        <v>0</v>
      </c>
      <c r="CC24" s="60">
        <v>11255.6</v>
      </c>
      <c r="CD24" s="67">
        <f t="shared" si="33"/>
        <v>0</v>
      </c>
      <c r="CE24" s="60">
        <v>50954.2</v>
      </c>
      <c r="CF24" s="67">
        <f t="shared" si="34"/>
        <v>0</v>
      </c>
      <c r="CG24" s="60">
        <v>51379.3</v>
      </c>
      <c r="CH24" s="67">
        <f t="shared" si="35"/>
        <v>29.700000000004366</v>
      </c>
      <c r="CI24" s="60">
        <v>890916</v>
      </c>
      <c r="CJ24" s="67">
        <f t="shared" si="36"/>
        <v>218</v>
      </c>
      <c r="CK24" s="60">
        <v>635.66999999999996</v>
      </c>
      <c r="CL24" s="64">
        <f t="shared" si="37"/>
        <v>519.99999999998181</v>
      </c>
      <c r="CM24" s="65">
        <f t="shared" si="41"/>
        <v>26.799999999999955</v>
      </c>
      <c r="CN24" s="62">
        <v>0</v>
      </c>
      <c r="CO24" s="62">
        <v>0</v>
      </c>
      <c r="CP24" s="68">
        <v>1706.1</v>
      </c>
      <c r="CQ24" s="67">
        <f t="shared" si="38"/>
        <v>15.799999999999955</v>
      </c>
      <c r="CR24" s="68">
        <v>11001</v>
      </c>
      <c r="CS24" s="67">
        <f t="shared" si="38"/>
        <v>11</v>
      </c>
      <c r="CT24" s="75">
        <v>3702</v>
      </c>
      <c r="CU24" s="67">
        <f t="shared" si="38"/>
        <v>9</v>
      </c>
      <c r="CV24" s="68">
        <v>10201</v>
      </c>
      <c r="CW24" s="67">
        <f t="shared" si="38"/>
        <v>10</v>
      </c>
    </row>
    <row r="25" spans="1:102" ht="25.5" customHeight="1" thickBot="1" x14ac:dyDescent="0.45">
      <c r="A25" s="63">
        <v>44157</v>
      </c>
      <c r="B25" s="44"/>
      <c r="C25" s="58">
        <v>1.907</v>
      </c>
      <c r="D25" s="64">
        <f t="shared" si="0"/>
        <v>1100.000000000101</v>
      </c>
      <c r="E25" s="58">
        <v>2.8123</v>
      </c>
      <c r="F25" s="64">
        <f t="shared" si="1"/>
        <v>599.99999999993395</v>
      </c>
      <c r="G25" s="58">
        <v>2.8226</v>
      </c>
      <c r="H25" s="64">
        <f t="shared" si="2"/>
        <v>1399.9999999998458</v>
      </c>
      <c r="I25" s="58">
        <v>1.3726</v>
      </c>
      <c r="J25" s="64">
        <f t="shared" si="3"/>
        <v>800.00000000013392</v>
      </c>
      <c r="K25" s="58">
        <v>2.1970000000000001</v>
      </c>
      <c r="L25" s="64">
        <f t="shared" si="4"/>
        <v>1700.0000000000348</v>
      </c>
      <c r="M25" s="58">
        <v>1.2841</v>
      </c>
      <c r="N25" s="64">
        <f t="shared" si="5"/>
        <v>499.99999999994492</v>
      </c>
      <c r="O25" s="58">
        <v>12702</v>
      </c>
      <c r="P25" s="67">
        <f t="shared" si="44"/>
        <v>1</v>
      </c>
      <c r="Q25" s="58">
        <v>6011</v>
      </c>
      <c r="R25" s="67">
        <f t="shared" si="6"/>
        <v>2</v>
      </c>
      <c r="S25" s="58">
        <v>866800.2</v>
      </c>
      <c r="T25" s="67">
        <f t="shared" si="7"/>
        <v>62.399999999906868</v>
      </c>
      <c r="U25" s="58">
        <v>355603.4</v>
      </c>
      <c r="V25" s="67">
        <f t="shared" si="8"/>
        <v>49.800000000046566</v>
      </c>
      <c r="W25" s="58">
        <v>347.66</v>
      </c>
      <c r="X25" s="65">
        <f t="shared" si="9"/>
        <v>90.000000000031832</v>
      </c>
      <c r="Y25" s="58">
        <v>2.4598</v>
      </c>
      <c r="Z25" s="65">
        <f t="shared" si="10"/>
        <v>300.000000000189</v>
      </c>
      <c r="AA25" s="58">
        <v>339.41</v>
      </c>
      <c r="AB25" s="65" t="str">
        <f t="shared" si="11"/>
        <v/>
      </c>
      <c r="AC25" s="58">
        <v>329.22</v>
      </c>
      <c r="AD25" s="65">
        <f t="shared" si="12"/>
        <v>120.00000000000455</v>
      </c>
      <c r="AE25" s="58">
        <v>513.23</v>
      </c>
      <c r="AF25" s="65">
        <f t="shared" si="13"/>
        <v>139.99999999998636</v>
      </c>
      <c r="AG25" s="58">
        <v>1446.4</v>
      </c>
      <c r="AH25" s="67">
        <f t="shared" si="14"/>
        <v>0.8000000000001819</v>
      </c>
      <c r="AI25" s="58">
        <v>489.28</v>
      </c>
      <c r="AJ25" s="65">
        <f t="shared" si="15"/>
        <v>399.99999999997726</v>
      </c>
      <c r="AK25" s="58">
        <v>171.44</v>
      </c>
      <c r="AL25" s="65">
        <f t="shared" si="15"/>
        <v>109.99999999998522</v>
      </c>
      <c r="AM25" s="58">
        <v>169.97</v>
      </c>
      <c r="AN25" s="65">
        <f t="shared" si="15"/>
        <v>129.99999999999545</v>
      </c>
      <c r="AO25" s="58">
        <v>163.55000000000001</v>
      </c>
      <c r="AP25" s="65">
        <f t="shared" si="15"/>
        <v>90.000000000003411</v>
      </c>
      <c r="AQ25" s="58">
        <v>223.53</v>
      </c>
      <c r="AR25" s="65">
        <f t="shared" si="16"/>
        <v>20.000000000010232</v>
      </c>
      <c r="AS25" s="58">
        <v>349.06</v>
      </c>
      <c r="AT25" s="65">
        <f t="shared" si="17"/>
        <v>30.000000000029559</v>
      </c>
      <c r="AU25" s="58">
        <v>269.37</v>
      </c>
      <c r="AV25" s="65">
        <f t="shared" si="18"/>
        <v>19.99999999998181</v>
      </c>
      <c r="AW25" s="58">
        <v>296.63</v>
      </c>
      <c r="AX25" s="65">
        <f t="shared" si="19"/>
        <v>9.9999999999909051</v>
      </c>
      <c r="AY25" s="58">
        <v>348.12</v>
      </c>
      <c r="AZ25" s="65">
        <f t="shared" si="20"/>
        <v>30.000000000029559</v>
      </c>
      <c r="BA25" s="58">
        <v>367.74</v>
      </c>
      <c r="BB25" s="65">
        <f t="shared" si="21"/>
        <v>9.9999999999909051</v>
      </c>
      <c r="BC25" s="58">
        <v>234</v>
      </c>
      <c r="BD25" s="65">
        <f t="shared" si="22"/>
        <v>9.9999999999909051</v>
      </c>
      <c r="BE25" s="59">
        <v>33103</v>
      </c>
      <c r="BF25" s="67">
        <f t="shared" si="39"/>
        <v>23</v>
      </c>
      <c r="BG25" s="60">
        <v>226.75</v>
      </c>
      <c r="BH25" s="65">
        <f t="shared" si="23"/>
        <v>20.000000000010232</v>
      </c>
      <c r="BI25" s="60">
        <v>284.7</v>
      </c>
      <c r="BJ25" s="65" t="str">
        <f t="shared" si="40"/>
        <v/>
      </c>
      <c r="BK25" s="60">
        <v>231.78</v>
      </c>
      <c r="BL25" s="65">
        <f t="shared" si="24"/>
        <v>9.9999999999909051</v>
      </c>
      <c r="BM25" s="60">
        <v>216.65</v>
      </c>
      <c r="BN25" s="65">
        <f t="shared" si="25"/>
        <v>10.000000000019327</v>
      </c>
      <c r="BO25" s="60">
        <v>281.73</v>
      </c>
      <c r="BP25" s="65">
        <f t="shared" si="26"/>
        <v>20.000000000038654</v>
      </c>
      <c r="BQ25" s="60">
        <v>40610</v>
      </c>
      <c r="BR25" s="65">
        <f t="shared" si="27"/>
        <v>12</v>
      </c>
      <c r="BS25" s="60">
        <v>195.09</v>
      </c>
      <c r="BT25" s="65">
        <f t="shared" si="42"/>
        <v>9.9999999999909051</v>
      </c>
      <c r="BU25" s="60">
        <v>33527</v>
      </c>
      <c r="BV25" s="65">
        <f t="shared" si="29"/>
        <v>20</v>
      </c>
      <c r="BW25" s="60">
        <v>226.54</v>
      </c>
      <c r="BX25" s="65">
        <f t="shared" si="30"/>
        <v>19.99999999998181</v>
      </c>
      <c r="BY25" s="60">
        <v>51765</v>
      </c>
      <c r="BZ25" s="67">
        <f t="shared" si="31"/>
        <v>18</v>
      </c>
      <c r="CA25" s="60">
        <v>27515.599999999999</v>
      </c>
      <c r="CB25" s="67">
        <f t="shared" si="32"/>
        <v>0</v>
      </c>
      <c r="CC25" s="60">
        <v>11255.6</v>
      </c>
      <c r="CD25" s="67">
        <f t="shared" si="33"/>
        <v>0</v>
      </c>
      <c r="CE25" s="60">
        <v>50954.2</v>
      </c>
      <c r="CF25" s="67">
        <f t="shared" si="34"/>
        <v>0</v>
      </c>
      <c r="CG25" s="60">
        <v>51403</v>
      </c>
      <c r="CH25" s="67">
        <f t="shared" si="35"/>
        <v>23.69999999999709</v>
      </c>
      <c r="CI25" s="60">
        <v>891111</v>
      </c>
      <c r="CJ25" s="67">
        <f t="shared" si="36"/>
        <v>195</v>
      </c>
      <c r="CK25" s="60">
        <v>636.04999999999995</v>
      </c>
      <c r="CL25" s="64">
        <f t="shared" si="37"/>
        <v>379.99999999999545</v>
      </c>
      <c r="CM25" s="65">
        <f t="shared" si="41"/>
        <v>13</v>
      </c>
      <c r="CN25" s="62">
        <v>0</v>
      </c>
      <c r="CO25" s="62">
        <v>0</v>
      </c>
      <c r="CP25" s="68">
        <v>1713.1</v>
      </c>
      <c r="CQ25" s="67">
        <f t="shared" si="38"/>
        <v>7</v>
      </c>
      <c r="CR25" s="68">
        <v>11007</v>
      </c>
      <c r="CS25" s="67">
        <f t="shared" si="38"/>
        <v>6</v>
      </c>
      <c r="CT25" s="75">
        <v>3710</v>
      </c>
      <c r="CU25" s="67">
        <f t="shared" si="38"/>
        <v>8</v>
      </c>
      <c r="CV25" s="68">
        <v>10209</v>
      </c>
      <c r="CW25" s="67">
        <f t="shared" si="38"/>
        <v>8</v>
      </c>
      <c r="CX25" s="57" t="s">
        <v>148</v>
      </c>
    </row>
    <row r="26" spans="1:102" ht="25.5" customHeight="1" thickBot="1" x14ac:dyDescent="0.45">
      <c r="A26" s="63">
        <v>44158</v>
      </c>
      <c r="B26" s="44"/>
      <c r="C26" s="58">
        <v>1.9085000000000001</v>
      </c>
      <c r="D26" s="64">
        <f t="shared" si="0"/>
        <v>1500.0000000000568</v>
      </c>
      <c r="E26" s="58">
        <v>2.8130000000000002</v>
      </c>
      <c r="F26" s="64">
        <f t="shared" si="1"/>
        <v>700.00000000014495</v>
      </c>
      <c r="G26" s="58">
        <v>2.8243999999999998</v>
      </c>
      <c r="H26" s="64">
        <f t="shared" si="2"/>
        <v>1799.9999999998017</v>
      </c>
      <c r="I26" s="58">
        <v>1.3734999999999999</v>
      </c>
      <c r="J26" s="64">
        <f t="shared" si="3"/>
        <v>899.99999999990087</v>
      </c>
      <c r="K26" s="58">
        <v>2.1989000000000001</v>
      </c>
      <c r="L26" s="64">
        <f t="shared" si="4"/>
        <v>1900.0000000000127</v>
      </c>
      <c r="M26" s="58">
        <v>1.2847</v>
      </c>
      <c r="N26" s="64">
        <f t="shared" si="5"/>
        <v>599.99999999993395</v>
      </c>
      <c r="O26" s="58">
        <v>12703</v>
      </c>
      <c r="P26" s="67">
        <f t="shared" si="44"/>
        <v>1</v>
      </c>
      <c r="Q26" s="58">
        <v>6014</v>
      </c>
      <c r="R26" s="67">
        <f t="shared" si="6"/>
        <v>3</v>
      </c>
      <c r="S26" s="58">
        <v>867171.4</v>
      </c>
      <c r="T26" s="67">
        <f t="shared" si="7"/>
        <v>371.20000000006985</v>
      </c>
      <c r="U26" s="58">
        <v>355765.7</v>
      </c>
      <c r="V26" s="67">
        <f t="shared" si="8"/>
        <v>162.29999999998836</v>
      </c>
      <c r="W26" s="58">
        <v>347.77</v>
      </c>
      <c r="X26" s="65">
        <f t="shared" si="9"/>
        <v>109.9999999999568</v>
      </c>
      <c r="Y26" s="58">
        <v>2.4603000000000002</v>
      </c>
      <c r="Z26" s="65">
        <f t="shared" si="10"/>
        <v>500.00000000016701</v>
      </c>
      <c r="AA26" s="58">
        <v>340.06</v>
      </c>
      <c r="AB26" s="65">
        <f t="shared" si="11"/>
        <v>649.99999999997726</v>
      </c>
      <c r="AC26" s="58">
        <v>329.38</v>
      </c>
      <c r="AD26" s="65">
        <f t="shared" si="12"/>
        <v>159.99999999996817</v>
      </c>
      <c r="AE26" s="58">
        <v>513.45000000000005</v>
      </c>
      <c r="AF26" s="65">
        <f t="shared" si="13"/>
        <v>220.00000000002728</v>
      </c>
      <c r="AG26" s="58">
        <v>1447.5</v>
      </c>
      <c r="AH26" s="67">
        <f t="shared" si="14"/>
        <v>1.0999999999999091</v>
      </c>
      <c r="AI26" s="58">
        <v>489.82</v>
      </c>
      <c r="AJ26" s="65">
        <f t="shared" si="15"/>
        <v>540.00000000002046</v>
      </c>
      <c r="AK26" s="58">
        <v>171.6</v>
      </c>
      <c r="AL26" s="65">
        <f t="shared" si="15"/>
        <v>159.99999999999659</v>
      </c>
      <c r="AM26" s="58">
        <v>170.12</v>
      </c>
      <c r="AN26" s="65">
        <f t="shared" si="15"/>
        <v>150.00000000000568</v>
      </c>
      <c r="AO26" s="58">
        <v>163.68</v>
      </c>
      <c r="AP26" s="65">
        <f t="shared" si="15"/>
        <v>129.99999999999545</v>
      </c>
      <c r="AQ26" s="58">
        <v>223.57</v>
      </c>
      <c r="AR26" s="65">
        <f t="shared" si="16"/>
        <v>39.999999999992042</v>
      </c>
      <c r="AS26" s="58">
        <v>349.09</v>
      </c>
      <c r="AT26" s="65">
        <f t="shared" si="17"/>
        <v>29.999999999972715</v>
      </c>
      <c r="AU26" s="58">
        <v>269.39999999999998</v>
      </c>
      <c r="AV26" s="65">
        <f t="shared" si="18"/>
        <v>29.999999999972715</v>
      </c>
      <c r="AW26" s="58">
        <v>296.66000000000003</v>
      </c>
      <c r="AX26" s="65">
        <f t="shared" si="19"/>
        <v>30.000000000029559</v>
      </c>
      <c r="AY26" s="58">
        <v>348.14</v>
      </c>
      <c r="AZ26" s="65">
        <f t="shared" si="20"/>
        <v>19.99999999998181</v>
      </c>
      <c r="BA26" s="58">
        <v>367.91</v>
      </c>
      <c r="BB26" s="65">
        <f t="shared" si="21"/>
        <v>170.00000000001592</v>
      </c>
      <c r="BC26" s="58">
        <v>234.02</v>
      </c>
      <c r="BD26" s="65">
        <f t="shared" si="22"/>
        <v>20.000000000010232</v>
      </c>
      <c r="BE26" s="59">
        <v>33131</v>
      </c>
      <c r="BF26" s="67">
        <f t="shared" si="39"/>
        <v>28</v>
      </c>
      <c r="BG26" s="60">
        <v>226.15</v>
      </c>
      <c r="BH26" s="65" t="str">
        <f t="shared" si="23"/>
        <v/>
      </c>
      <c r="BI26" s="60">
        <v>284.92</v>
      </c>
      <c r="BJ26" s="65">
        <f t="shared" si="40"/>
        <v>220.00000000002728</v>
      </c>
      <c r="BK26" s="60">
        <v>231.79</v>
      </c>
      <c r="BL26" s="65">
        <f t="shared" si="24"/>
        <v>9.9999999999909051</v>
      </c>
      <c r="BM26" s="60">
        <v>216.67</v>
      </c>
      <c r="BN26" s="65">
        <f t="shared" si="25"/>
        <v>19.99999999998181</v>
      </c>
      <c r="BO26" s="60">
        <v>281.76</v>
      </c>
      <c r="BP26" s="65">
        <f t="shared" si="26"/>
        <v>29.999999999972715</v>
      </c>
      <c r="BQ26" s="60">
        <v>40622</v>
      </c>
      <c r="BR26" s="65">
        <f t="shared" si="27"/>
        <v>12</v>
      </c>
      <c r="BS26" s="60">
        <v>195.1</v>
      </c>
      <c r="BT26" s="65">
        <f t="shared" si="42"/>
        <v>9.9999999999909051</v>
      </c>
      <c r="BU26" s="60">
        <v>33549</v>
      </c>
      <c r="BV26" s="65">
        <f t="shared" si="29"/>
        <v>22</v>
      </c>
      <c r="BW26" s="60">
        <v>226.55</v>
      </c>
      <c r="BX26" s="65">
        <f t="shared" si="30"/>
        <v>10.000000000019327</v>
      </c>
      <c r="BY26" s="60">
        <v>51783</v>
      </c>
      <c r="BZ26" s="67">
        <f t="shared" si="31"/>
        <v>18</v>
      </c>
      <c r="CA26" s="60">
        <v>27515.599999999999</v>
      </c>
      <c r="CB26" s="67">
        <f t="shared" si="32"/>
        <v>0</v>
      </c>
      <c r="CC26" s="60">
        <v>11255.6</v>
      </c>
      <c r="CD26" s="67">
        <f t="shared" si="33"/>
        <v>0</v>
      </c>
      <c r="CE26" s="60">
        <v>50954.2</v>
      </c>
      <c r="CF26" s="67">
        <f t="shared" si="34"/>
        <v>0</v>
      </c>
      <c r="CG26" s="60">
        <v>51435.6</v>
      </c>
      <c r="CH26" s="67">
        <f t="shared" si="35"/>
        <v>32.599999999998545</v>
      </c>
      <c r="CI26" s="60">
        <v>891320</v>
      </c>
      <c r="CJ26" s="67">
        <f t="shared" si="36"/>
        <v>209</v>
      </c>
      <c r="CK26" s="60">
        <v>636.57000000000005</v>
      </c>
      <c r="CL26" s="64">
        <f t="shared" si="37"/>
        <v>520.0000000000955</v>
      </c>
      <c r="CM26" s="65">
        <f t="shared" si="41"/>
        <v>34.5</v>
      </c>
      <c r="CN26" s="62">
        <v>0</v>
      </c>
      <c r="CO26" s="62">
        <v>0</v>
      </c>
      <c r="CP26" s="68">
        <v>1737.6</v>
      </c>
      <c r="CQ26" s="67">
        <f t="shared" si="38"/>
        <v>24.5</v>
      </c>
      <c r="CR26" s="68">
        <v>11017</v>
      </c>
      <c r="CS26" s="67">
        <f t="shared" si="38"/>
        <v>10</v>
      </c>
      <c r="CT26" s="75">
        <v>3721</v>
      </c>
      <c r="CU26" s="67">
        <f t="shared" si="38"/>
        <v>11</v>
      </c>
      <c r="CV26" s="68">
        <v>10242</v>
      </c>
      <c r="CW26" s="67">
        <f t="shared" si="38"/>
        <v>33</v>
      </c>
    </row>
    <row r="27" spans="1:102" ht="25.5" customHeight="1" thickBot="1" x14ac:dyDescent="0.45">
      <c r="A27" s="63">
        <v>44159</v>
      </c>
      <c r="B27" s="44"/>
      <c r="C27" s="58">
        <v>1.9098999999999999</v>
      </c>
      <c r="D27" s="64">
        <f t="shared" si="0"/>
        <v>1399.9999999998458</v>
      </c>
      <c r="E27" s="58">
        <v>2.8136000000000001</v>
      </c>
      <c r="F27" s="64">
        <f t="shared" si="1"/>
        <v>599.99999999993395</v>
      </c>
      <c r="G27" s="58">
        <v>2.8262999999999998</v>
      </c>
      <c r="H27" s="64">
        <f t="shared" si="2"/>
        <v>1900.0000000000127</v>
      </c>
      <c r="I27" s="58">
        <v>1.3744000000000001</v>
      </c>
      <c r="J27" s="64">
        <f t="shared" si="3"/>
        <v>900.0000000001229</v>
      </c>
      <c r="K27" s="58">
        <v>2.2006999999999999</v>
      </c>
      <c r="L27" s="64">
        <f t="shared" si="4"/>
        <v>1799.9999999998017</v>
      </c>
      <c r="M27" s="58">
        <v>1.2853000000000001</v>
      </c>
      <c r="N27" s="64">
        <f t="shared" si="5"/>
        <v>600.00000000015598</v>
      </c>
      <c r="O27" s="58">
        <v>12704</v>
      </c>
      <c r="P27" s="67">
        <f t="shared" si="44"/>
        <v>1</v>
      </c>
      <c r="Q27" s="58">
        <v>6017</v>
      </c>
      <c r="R27" s="67">
        <f t="shared" si="6"/>
        <v>3</v>
      </c>
      <c r="S27" s="58">
        <v>867540.2</v>
      </c>
      <c r="T27" s="67">
        <f t="shared" si="7"/>
        <v>368.79999999993015</v>
      </c>
      <c r="U27" s="58">
        <v>355934.7</v>
      </c>
      <c r="V27" s="67">
        <f t="shared" si="8"/>
        <v>169</v>
      </c>
      <c r="W27" s="58">
        <v>347.86</v>
      </c>
      <c r="X27" s="65">
        <f t="shared" si="9"/>
        <v>90.000000000031832</v>
      </c>
      <c r="Y27" s="58">
        <v>2.4607999999999999</v>
      </c>
      <c r="Z27" s="65">
        <f t="shared" si="10"/>
        <v>499.99999999972289</v>
      </c>
      <c r="AA27" s="58">
        <v>340.2</v>
      </c>
      <c r="AB27" s="65">
        <f t="shared" si="11"/>
        <v>139.99999999998636</v>
      </c>
      <c r="AC27" s="58">
        <v>329.51</v>
      </c>
      <c r="AD27" s="65">
        <f t="shared" si="12"/>
        <v>129.99999999999545</v>
      </c>
      <c r="AE27" s="58">
        <v>513.63</v>
      </c>
      <c r="AF27" s="65">
        <f t="shared" si="13"/>
        <v>179.99999999994998</v>
      </c>
      <c r="AG27" s="58">
        <v>1448.4</v>
      </c>
      <c r="AH27" s="67">
        <f t="shared" si="14"/>
        <v>0.90000000000009095</v>
      </c>
      <c r="AI27" s="58">
        <v>490.24</v>
      </c>
      <c r="AJ27" s="65">
        <f t="shared" si="15"/>
        <v>420.00000000001592</v>
      </c>
      <c r="AK27" s="58">
        <v>171.73</v>
      </c>
      <c r="AL27" s="65">
        <f t="shared" si="15"/>
        <v>129.99999999999545</v>
      </c>
      <c r="AM27" s="58">
        <v>170.25</v>
      </c>
      <c r="AN27" s="65">
        <f t="shared" si="15"/>
        <v>129.99999999999545</v>
      </c>
      <c r="AO27" s="58">
        <v>163.78</v>
      </c>
      <c r="AP27" s="65">
        <f t="shared" si="15"/>
        <v>99.999999999994316</v>
      </c>
      <c r="AQ27" s="58">
        <v>223.68</v>
      </c>
      <c r="AR27" s="65">
        <f t="shared" si="16"/>
        <v>110.00000000001364</v>
      </c>
      <c r="AS27" s="58">
        <v>349.13</v>
      </c>
      <c r="AT27" s="65">
        <f t="shared" si="17"/>
        <v>40.000000000020464</v>
      </c>
      <c r="AU27" s="58">
        <v>269.44</v>
      </c>
      <c r="AV27" s="65">
        <f t="shared" si="18"/>
        <v>40.000000000020464</v>
      </c>
      <c r="AW27" s="58">
        <v>296.69</v>
      </c>
      <c r="AX27" s="65">
        <f t="shared" si="19"/>
        <v>29.999999999972715</v>
      </c>
      <c r="AY27" s="58">
        <v>348.19</v>
      </c>
      <c r="AZ27" s="65">
        <f t="shared" si="20"/>
        <v>50.000000000011369</v>
      </c>
      <c r="BA27" s="58">
        <v>368.02</v>
      </c>
      <c r="BB27" s="65">
        <f t="shared" si="21"/>
        <v>109.9999999999568</v>
      </c>
      <c r="BC27" s="58">
        <v>234.03</v>
      </c>
      <c r="BD27" s="65">
        <f t="shared" si="22"/>
        <v>9.9999999999909051</v>
      </c>
      <c r="BE27" s="59">
        <v>33163</v>
      </c>
      <c r="BF27" s="67">
        <f t="shared" si="39"/>
        <v>32</v>
      </c>
      <c r="BG27" s="60">
        <v>226.48</v>
      </c>
      <c r="BH27" s="65">
        <f t="shared" si="23"/>
        <v>329.99999999998408</v>
      </c>
      <c r="BI27" s="60">
        <v>284.94</v>
      </c>
      <c r="BJ27" s="65">
        <f t="shared" si="40"/>
        <v>19.99999999998181</v>
      </c>
      <c r="BK27" s="60">
        <v>231.8</v>
      </c>
      <c r="BL27" s="65">
        <f t="shared" si="24"/>
        <v>10.000000000019327</v>
      </c>
      <c r="BM27" s="60">
        <v>216.69</v>
      </c>
      <c r="BN27" s="65">
        <f t="shared" si="25"/>
        <v>20.000000000010232</v>
      </c>
      <c r="BO27" s="60">
        <v>281.77999999999997</v>
      </c>
      <c r="BP27" s="65">
        <f t="shared" si="26"/>
        <v>19.99999999998181</v>
      </c>
      <c r="BQ27" s="60">
        <v>40635</v>
      </c>
      <c r="BR27" s="65">
        <f t="shared" si="27"/>
        <v>13</v>
      </c>
      <c r="BS27" s="60">
        <v>195.11</v>
      </c>
      <c r="BT27" s="65">
        <f t="shared" si="42"/>
        <v>10.000000000019327</v>
      </c>
      <c r="BU27" s="60">
        <v>33572</v>
      </c>
      <c r="BV27" s="65">
        <f t="shared" si="29"/>
        <v>23</v>
      </c>
      <c r="BW27" s="60">
        <v>226.57</v>
      </c>
      <c r="BX27" s="65">
        <f t="shared" si="30"/>
        <v>19.99999999998181</v>
      </c>
      <c r="BY27" s="60">
        <v>51800</v>
      </c>
      <c r="BZ27" s="67">
        <f t="shared" si="31"/>
        <v>17</v>
      </c>
      <c r="CA27" s="60">
        <v>27515.599999999999</v>
      </c>
      <c r="CB27" s="67">
        <f t="shared" si="32"/>
        <v>0</v>
      </c>
      <c r="CC27" s="60">
        <v>11255.6</v>
      </c>
      <c r="CD27" s="67">
        <f t="shared" si="33"/>
        <v>0</v>
      </c>
      <c r="CE27" s="60">
        <v>50954.2</v>
      </c>
      <c r="CF27" s="67">
        <f t="shared" si="34"/>
        <v>0</v>
      </c>
      <c r="CG27" s="60">
        <v>51467.1</v>
      </c>
      <c r="CH27" s="67">
        <f t="shared" si="35"/>
        <v>31.5</v>
      </c>
      <c r="CI27" s="60">
        <v>891542</v>
      </c>
      <c r="CJ27" s="67">
        <f t="shared" si="36"/>
        <v>222</v>
      </c>
      <c r="CK27" s="60">
        <v>637.08000000000004</v>
      </c>
      <c r="CL27" s="64">
        <f t="shared" si="37"/>
        <v>509.99999999999091</v>
      </c>
      <c r="CM27" s="65">
        <f t="shared" si="41"/>
        <v>24.200000000000045</v>
      </c>
      <c r="CN27" s="62">
        <v>0</v>
      </c>
      <c r="CO27" s="62">
        <v>0</v>
      </c>
      <c r="CP27" s="68">
        <v>1751.8</v>
      </c>
      <c r="CQ27" s="67">
        <f t="shared" si="38"/>
        <v>14.200000000000045</v>
      </c>
      <c r="CR27" s="68">
        <v>11027</v>
      </c>
      <c r="CS27" s="67">
        <f t="shared" si="38"/>
        <v>10</v>
      </c>
      <c r="CT27" s="75">
        <v>3734</v>
      </c>
      <c r="CU27" s="67">
        <f t="shared" si="38"/>
        <v>13</v>
      </c>
      <c r="CV27" s="68">
        <v>10264</v>
      </c>
      <c r="CW27" s="67">
        <f t="shared" si="38"/>
        <v>22</v>
      </c>
    </row>
    <row r="28" spans="1:102" ht="25.5" customHeight="1" thickBot="1" x14ac:dyDescent="0.45">
      <c r="A28" s="63">
        <v>44160</v>
      </c>
      <c r="B28" s="44"/>
      <c r="C28" s="58">
        <v>1.9113</v>
      </c>
      <c r="D28" s="64">
        <f t="shared" si="0"/>
        <v>1400.0000000000678</v>
      </c>
      <c r="E28" s="58">
        <v>2.8144</v>
      </c>
      <c r="F28" s="64">
        <f t="shared" si="1"/>
        <v>799.99999999991189</v>
      </c>
      <c r="G28" s="58">
        <v>2.8283</v>
      </c>
      <c r="H28" s="64">
        <f t="shared" si="2"/>
        <v>2000.0000000002237</v>
      </c>
      <c r="I28" s="58">
        <v>1.3753</v>
      </c>
      <c r="J28" s="64">
        <f t="shared" si="3"/>
        <v>899.99999999990087</v>
      </c>
      <c r="K28" s="58">
        <v>2.2025000000000001</v>
      </c>
      <c r="L28" s="64">
        <f t="shared" si="4"/>
        <v>1800.0000000002458</v>
      </c>
      <c r="M28" s="58">
        <v>1.2858000000000001</v>
      </c>
      <c r="N28" s="64">
        <f t="shared" si="5"/>
        <v>499.99999999994492</v>
      </c>
      <c r="O28" s="58">
        <v>12705</v>
      </c>
      <c r="P28" s="67">
        <f t="shared" si="44"/>
        <v>1</v>
      </c>
      <c r="Q28" s="58">
        <v>6019</v>
      </c>
      <c r="R28" s="67">
        <f t="shared" si="6"/>
        <v>2</v>
      </c>
      <c r="S28" s="58">
        <v>868009.2</v>
      </c>
      <c r="T28" s="67">
        <f t="shared" si="7"/>
        <v>469</v>
      </c>
      <c r="U28" s="58">
        <v>356148.6</v>
      </c>
      <c r="V28" s="67">
        <f t="shared" si="8"/>
        <v>213.89999999996508</v>
      </c>
      <c r="W28" s="58">
        <v>347.97</v>
      </c>
      <c r="X28" s="65">
        <f t="shared" si="9"/>
        <v>110.00000000001364</v>
      </c>
      <c r="Y28" s="58">
        <v>2.4613</v>
      </c>
      <c r="Z28" s="65">
        <f t="shared" si="10"/>
        <v>500.00000000016701</v>
      </c>
      <c r="AA28" s="58">
        <v>340.34</v>
      </c>
      <c r="AB28" s="65">
        <f t="shared" si="11"/>
        <v>139.99999999998636</v>
      </c>
      <c r="AC28" s="58">
        <v>329.66</v>
      </c>
      <c r="AD28" s="65">
        <f t="shared" si="12"/>
        <v>150.00000000003411</v>
      </c>
      <c r="AE28" s="58">
        <v>513.82000000000005</v>
      </c>
      <c r="AF28" s="65">
        <f t="shared" si="13"/>
        <v>190.00000000005457</v>
      </c>
      <c r="AG28" s="58">
        <v>1449.6</v>
      </c>
      <c r="AH28" s="67">
        <f t="shared" si="14"/>
        <v>1.1999999999998181</v>
      </c>
      <c r="AI28" s="58">
        <v>490.48</v>
      </c>
      <c r="AJ28" s="65">
        <f t="shared" si="15"/>
        <v>240.00000000000909</v>
      </c>
      <c r="AK28" s="58">
        <v>171.9</v>
      </c>
      <c r="AL28" s="65">
        <f t="shared" si="15"/>
        <v>170.00000000001592</v>
      </c>
      <c r="AM28" s="58">
        <v>170.4</v>
      </c>
      <c r="AN28" s="65">
        <f t="shared" si="15"/>
        <v>150.00000000000568</v>
      </c>
      <c r="AO28" s="58">
        <v>163.95</v>
      </c>
      <c r="AP28" s="65">
        <f t="shared" si="15"/>
        <v>169.99999999998749</v>
      </c>
      <c r="AQ28" s="58">
        <v>223.82</v>
      </c>
      <c r="AR28" s="65">
        <f t="shared" si="16"/>
        <v>139.99999999998636</v>
      </c>
      <c r="AS28" s="58">
        <v>349.19</v>
      </c>
      <c r="AT28" s="65">
        <f t="shared" si="17"/>
        <v>60.000000000002274</v>
      </c>
      <c r="AU28" s="58">
        <v>269.48</v>
      </c>
      <c r="AV28" s="65">
        <f t="shared" si="18"/>
        <v>40.000000000020464</v>
      </c>
      <c r="AW28" s="58">
        <v>296.72000000000003</v>
      </c>
      <c r="AX28" s="65">
        <f t="shared" si="19"/>
        <v>30.000000000029559</v>
      </c>
      <c r="AY28" s="58">
        <v>348.22</v>
      </c>
      <c r="AZ28" s="65">
        <f t="shared" si="20"/>
        <v>30.000000000029559</v>
      </c>
      <c r="BA28" s="58">
        <v>368.14</v>
      </c>
      <c r="BB28" s="65">
        <f t="shared" si="21"/>
        <v>120.00000000000455</v>
      </c>
      <c r="BC28" s="58">
        <v>234.05</v>
      </c>
      <c r="BD28" s="65">
        <f t="shared" si="22"/>
        <v>20.000000000010232</v>
      </c>
      <c r="BE28" s="59">
        <v>33187</v>
      </c>
      <c r="BF28" s="67">
        <f t="shared" si="39"/>
        <v>24</v>
      </c>
      <c r="BG28" s="60">
        <v>226.79</v>
      </c>
      <c r="BH28" s="65">
        <f t="shared" si="23"/>
        <v>310.00000000000227</v>
      </c>
      <c r="BI28" s="60">
        <v>284.95999999999998</v>
      </c>
      <c r="BJ28" s="65">
        <f t="shared" si="40"/>
        <v>19.99999999998181</v>
      </c>
      <c r="BK28" s="60">
        <v>231.81</v>
      </c>
      <c r="BL28" s="65">
        <f t="shared" si="24"/>
        <v>9.9999999999909051</v>
      </c>
      <c r="BM28" s="60">
        <v>216.7</v>
      </c>
      <c r="BN28" s="65">
        <f t="shared" si="25"/>
        <v>9.9999999999909051</v>
      </c>
      <c r="BO28" s="60">
        <v>281.8</v>
      </c>
      <c r="BP28" s="65">
        <f t="shared" si="26"/>
        <v>20.000000000038654</v>
      </c>
      <c r="BQ28" s="60">
        <v>40648</v>
      </c>
      <c r="BR28" s="65">
        <f t="shared" si="27"/>
        <v>13</v>
      </c>
      <c r="BS28" s="60">
        <v>195.12</v>
      </c>
      <c r="BT28" s="65">
        <f t="shared" si="42"/>
        <v>9.9999999999909051</v>
      </c>
      <c r="BU28" s="60">
        <v>33599</v>
      </c>
      <c r="BV28" s="65">
        <f t="shared" si="29"/>
        <v>27</v>
      </c>
      <c r="BW28" s="60">
        <v>226.59</v>
      </c>
      <c r="BX28" s="65">
        <f t="shared" si="30"/>
        <v>20.000000000010232</v>
      </c>
      <c r="BY28" s="60">
        <v>51823</v>
      </c>
      <c r="BZ28" s="67">
        <f t="shared" si="31"/>
        <v>23</v>
      </c>
      <c r="CA28" s="60">
        <v>27515.599999999999</v>
      </c>
      <c r="CB28" s="67">
        <f t="shared" si="32"/>
        <v>0</v>
      </c>
      <c r="CC28" s="60">
        <v>11255.6</v>
      </c>
      <c r="CD28" s="67">
        <f t="shared" si="33"/>
        <v>0</v>
      </c>
      <c r="CE28" s="60">
        <v>50954.2</v>
      </c>
      <c r="CF28" s="67">
        <f t="shared" si="34"/>
        <v>0</v>
      </c>
      <c r="CG28" s="60">
        <v>51499.1</v>
      </c>
      <c r="CH28" s="67">
        <f t="shared" si="35"/>
        <v>32</v>
      </c>
      <c r="CI28" s="60">
        <v>891777</v>
      </c>
      <c r="CJ28" s="67">
        <f t="shared" si="36"/>
        <v>235</v>
      </c>
      <c r="CK28" s="60">
        <v>637.63</v>
      </c>
      <c r="CL28" s="64">
        <f t="shared" si="37"/>
        <v>549.99999999995453</v>
      </c>
      <c r="CM28" s="65">
        <f t="shared" si="41"/>
        <v>30.700000000000045</v>
      </c>
      <c r="CN28" s="62">
        <v>0</v>
      </c>
      <c r="CO28" s="62">
        <v>0</v>
      </c>
      <c r="CP28" s="68">
        <v>1772.5</v>
      </c>
      <c r="CQ28" s="67">
        <f t="shared" si="38"/>
        <v>20.700000000000045</v>
      </c>
      <c r="CR28" s="68">
        <v>11037</v>
      </c>
      <c r="CS28" s="67">
        <f t="shared" si="38"/>
        <v>10</v>
      </c>
      <c r="CT28" s="75">
        <v>3747</v>
      </c>
      <c r="CU28" s="67">
        <f t="shared" si="38"/>
        <v>13</v>
      </c>
      <c r="CV28" s="68">
        <v>10291</v>
      </c>
      <c r="CW28" s="67">
        <f t="shared" si="38"/>
        <v>27</v>
      </c>
    </row>
    <row r="29" spans="1:102" ht="25.5" customHeight="1" thickBot="1" x14ac:dyDescent="0.45">
      <c r="A29" s="63">
        <v>44161</v>
      </c>
      <c r="B29" s="44"/>
      <c r="C29" s="58">
        <v>1.9125000000000001</v>
      </c>
      <c r="D29" s="64">
        <f t="shared" si="0"/>
        <v>1200.0000000000898</v>
      </c>
      <c r="E29" s="58">
        <v>2.8151000000000002</v>
      </c>
      <c r="F29" s="64">
        <f t="shared" si="1"/>
        <v>700.00000000014495</v>
      </c>
      <c r="G29" s="58">
        <v>2.8298999999999999</v>
      </c>
      <c r="H29" s="64">
        <f t="shared" si="2"/>
        <v>1599.9999999998238</v>
      </c>
      <c r="I29" s="58">
        <v>1.3761000000000001</v>
      </c>
      <c r="J29" s="64">
        <f t="shared" si="3"/>
        <v>800.00000000013392</v>
      </c>
      <c r="K29" s="58">
        <v>2.2042000000000002</v>
      </c>
      <c r="L29" s="64">
        <f t="shared" si="4"/>
        <v>1700.0000000000348</v>
      </c>
      <c r="M29" s="58">
        <v>1.2863</v>
      </c>
      <c r="N29" s="64">
        <f t="shared" si="5"/>
        <v>499.99999999994492</v>
      </c>
      <c r="O29" s="58">
        <v>12706</v>
      </c>
      <c r="P29" s="67">
        <f t="shared" si="44"/>
        <v>1</v>
      </c>
      <c r="Q29" s="58">
        <v>6022</v>
      </c>
      <c r="R29" s="67">
        <f t="shared" si="6"/>
        <v>3</v>
      </c>
      <c r="S29" s="58">
        <v>868375.6</v>
      </c>
      <c r="T29" s="67">
        <f t="shared" si="7"/>
        <v>366.40000000002328</v>
      </c>
      <c r="U29" s="58">
        <v>356297</v>
      </c>
      <c r="V29" s="67">
        <f t="shared" si="8"/>
        <v>148.40000000002328</v>
      </c>
      <c r="W29" s="58">
        <v>348.06</v>
      </c>
      <c r="X29" s="65">
        <f t="shared" si="9"/>
        <v>89.999999999974989</v>
      </c>
      <c r="Y29" s="58">
        <v>2.4619</v>
      </c>
      <c r="Z29" s="65">
        <f t="shared" si="10"/>
        <v>599.99999999993395</v>
      </c>
      <c r="AA29" s="58">
        <v>340.46</v>
      </c>
      <c r="AB29" s="65">
        <f t="shared" si="11"/>
        <v>120.00000000000455</v>
      </c>
      <c r="AC29" s="58">
        <v>329.77</v>
      </c>
      <c r="AD29" s="65">
        <f t="shared" si="12"/>
        <v>109.9999999999568</v>
      </c>
      <c r="AE29" s="58">
        <v>513.98</v>
      </c>
      <c r="AF29" s="65">
        <f t="shared" si="13"/>
        <v>159.99999999996817</v>
      </c>
      <c r="AG29" s="58">
        <v>1450.5</v>
      </c>
      <c r="AH29" s="67">
        <f t="shared" si="14"/>
        <v>0.90000000000009095</v>
      </c>
      <c r="AI29" s="58">
        <v>490.73</v>
      </c>
      <c r="AJ29" s="65">
        <f t="shared" si="15"/>
        <v>250</v>
      </c>
      <c r="AK29" s="58">
        <v>172.01</v>
      </c>
      <c r="AL29" s="65">
        <f t="shared" si="15"/>
        <v>109.99999999998522</v>
      </c>
      <c r="AM29" s="58">
        <v>170.53</v>
      </c>
      <c r="AN29" s="65">
        <f t="shared" si="15"/>
        <v>129.99999999999545</v>
      </c>
      <c r="AO29" s="58">
        <v>164.06</v>
      </c>
      <c r="AP29" s="65">
        <f t="shared" si="15"/>
        <v>110.00000000001364</v>
      </c>
      <c r="AQ29" s="58">
        <v>223.92</v>
      </c>
      <c r="AR29" s="65">
        <f t="shared" si="16"/>
        <v>99.999999999994316</v>
      </c>
      <c r="AS29" s="58">
        <v>349.26</v>
      </c>
      <c r="AT29" s="65">
        <f t="shared" si="17"/>
        <v>69.999999999993179</v>
      </c>
      <c r="AU29" s="58">
        <v>269.54000000000002</v>
      </c>
      <c r="AV29" s="65">
        <f t="shared" si="18"/>
        <v>60.000000000002274</v>
      </c>
      <c r="AW29" s="58">
        <v>296.82</v>
      </c>
      <c r="AX29" s="65">
        <f t="shared" si="19"/>
        <v>99.999999999965894</v>
      </c>
      <c r="AY29" s="58">
        <v>348.26</v>
      </c>
      <c r="AZ29" s="65">
        <f t="shared" si="20"/>
        <v>39.99999999996362</v>
      </c>
      <c r="BA29" s="58">
        <v>368.22</v>
      </c>
      <c r="BB29" s="65">
        <f t="shared" si="21"/>
        <v>80.000000000040927</v>
      </c>
      <c r="BC29" s="58">
        <v>234.06</v>
      </c>
      <c r="BD29" s="65">
        <f t="shared" si="22"/>
        <v>9.9999999999909051</v>
      </c>
      <c r="BE29" s="59">
        <v>33206</v>
      </c>
      <c r="BF29" s="67">
        <f t="shared" si="39"/>
        <v>19</v>
      </c>
      <c r="BG29" s="60">
        <v>226.8</v>
      </c>
      <c r="BH29" s="65">
        <f t="shared" si="23"/>
        <v>10.000000000019327</v>
      </c>
      <c r="BI29" s="60">
        <v>284.98</v>
      </c>
      <c r="BJ29" s="65">
        <f t="shared" si="40"/>
        <v>20.000000000038654</v>
      </c>
      <c r="BK29" s="60">
        <v>231.82</v>
      </c>
      <c r="BL29" s="65">
        <f t="shared" si="24"/>
        <v>9.9999999999909051</v>
      </c>
      <c r="BM29" s="60">
        <v>216.72</v>
      </c>
      <c r="BN29" s="65">
        <f t="shared" si="25"/>
        <v>20.000000000010232</v>
      </c>
      <c r="BO29" s="60">
        <v>281.82</v>
      </c>
      <c r="BP29" s="65">
        <f t="shared" si="26"/>
        <v>19.99999999998181</v>
      </c>
      <c r="BQ29" s="60">
        <v>40660</v>
      </c>
      <c r="BR29" s="65">
        <f t="shared" si="27"/>
        <v>12</v>
      </c>
      <c r="BS29" s="60">
        <v>195.13</v>
      </c>
      <c r="BT29" s="65">
        <f t="shared" si="42"/>
        <v>9.9999999999909051</v>
      </c>
      <c r="BU29" s="60">
        <v>33620</v>
      </c>
      <c r="BV29" s="65">
        <f t="shared" si="29"/>
        <v>21</v>
      </c>
      <c r="BW29" s="60">
        <v>226.6</v>
      </c>
      <c r="BX29" s="65">
        <f t="shared" si="30"/>
        <v>9.9999999999909051</v>
      </c>
      <c r="BY29" s="60">
        <v>51841</v>
      </c>
      <c r="BZ29" s="67">
        <f t="shared" si="31"/>
        <v>18</v>
      </c>
      <c r="CA29" s="60">
        <v>27515.599999999999</v>
      </c>
      <c r="CB29" s="67">
        <f t="shared" si="32"/>
        <v>0</v>
      </c>
      <c r="CC29" s="60">
        <v>11255.6</v>
      </c>
      <c r="CD29" s="67">
        <f t="shared" si="33"/>
        <v>0</v>
      </c>
      <c r="CE29" s="60">
        <v>50954.2</v>
      </c>
      <c r="CF29" s="67">
        <f t="shared" si="34"/>
        <v>0</v>
      </c>
      <c r="CG29" s="60">
        <v>51518.400000000001</v>
      </c>
      <c r="CH29" s="67">
        <f t="shared" si="35"/>
        <v>19.30000000000291</v>
      </c>
      <c r="CI29" s="60">
        <v>891993</v>
      </c>
      <c r="CJ29" s="67">
        <f t="shared" si="36"/>
        <v>216</v>
      </c>
      <c r="CK29" s="60">
        <v>638</v>
      </c>
      <c r="CL29" s="64">
        <f t="shared" si="37"/>
        <v>370.00000000000455</v>
      </c>
      <c r="CM29" s="65">
        <f t="shared" si="41"/>
        <v>24.099999999999909</v>
      </c>
      <c r="CN29" s="62">
        <v>0</v>
      </c>
      <c r="CO29" s="62">
        <v>0</v>
      </c>
      <c r="CP29" s="68">
        <v>1786.6</v>
      </c>
      <c r="CQ29" s="67">
        <f t="shared" si="38"/>
        <v>14.099999999999909</v>
      </c>
      <c r="CR29" s="68">
        <v>11047</v>
      </c>
      <c r="CS29" s="67">
        <f t="shared" si="38"/>
        <v>10</v>
      </c>
      <c r="CT29" s="75">
        <v>3758</v>
      </c>
      <c r="CU29" s="67">
        <f t="shared" si="38"/>
        <v>11</v>
      </c>
      <c r="CV29" s="68">
        <v>10311</v>
      </c>
      <c r="CW29" s="67">
        <f t="shared" si="38"/>
        <v>20</v>
      </c>
    </row>
    <row r="30" spans="1:102" ht="25.5" customHeight="1" thickBot="1" x14ac:dyDescent="0.45">
      <c r="A30" s="63">
        <v>44162</v>
      </c>
      <c r="B30" s="44"/>
      <c r="C30" s="58">
        <v>1.9139999999999999</v>
      </c>
      <c r="D30" s="64">
        <f t="shared" si="0"/>
        <v>1499.9999999998347</v>
      </c>
      <c r="E30" s="58">
        <v>2.8159000000000001</v>
      </c>
      <c r="F30" s="64">
        <f t="shared" si="1"/>
        <v>799.99999999991189</v>
      </c>
      <c r="G30" s="58">
        <v>2.8319000000000001</v>
      </c>
      <c r="H30" s="64">
        <f t="shared" si="2"/>
        <v>2000.0000000002237</v>
      </c>
      <c r="I30" s="58">
        <v>1.3771</v>
      </c>
      <c r="J30" s="64">
        <f t="shared" si="3"/>
        <v>999.99999999988984</v>
      </c>
      <c r="K30" s="58">
        <v>2.206</v>
      </c>
      <c r="L30" s="64">
        <f t="shared" si="4"/>
        <v>1799.9999999998017</v>
      </c>
      <c r="M30" s="58">
        <v>1.2869999999999999</v>
      </c>
      <c r="N30" s="64">
        <f t="shared" si="5"/>
        <v>699.99999999992292</v>
      </c>
      <c r="O30" s="58">
        <v>12707</v>
      </c>
      <c r="P30" s="67">
        <f t="shared" si="44"/>
        <v>1</v>
      </c>
      <c r="Q30" s="58">
        <v>6024</v>
      </c>
      <c r="R30" s="67">
        <f t="shared" si="6"/>
        <v>2</v>
      </c>
      <c r="S30" s="58">
        <v>868777.2</v>
      </c>
      <c r="T30" s="67">
        <f t="shared" si="7"/>
        <v>401.59999999997672</v>
      </c>
      <c r="U30" s="58">
        <v>356514.5</v>
      </c>
      <c r="V30" s="67">
        <f t="shared" si="8"/>
        <v>217.5</v>
      </c>
      <c r="W30" s="58">
        <v>348.17</v>
      </c>
      <c r="X30" s="65">
        <f t="shared" si="9"/>
        <v>110.00000000001364</v>
      </c>
      <c r="Y30" s="58">
        <v>2.4624999999999999</v>
      </c>
      <c r="Z30" s="65">
        <f t="shared" si="10"/>
        <v>599.99999999993395</v>
      </c>
      <c r="AA30" s="58">
        <v>340.6</v>
      </c>
      <c r="AB30" s="65">
        <f t="shared" si="11"/>
        <v>140.0000000000432</v>
      </c>
      <c r="AC30" s="58">
        <v>329.92</v>
      </c>
      <c r="AD30" s="65">
        <f t="shared" si="12"/>
        <v>150.00000000003411</v>
      </c>
      <c r="AE30" s="58">
        <v>514.20000000000005</v>
      </c>
      <c r="AF30" s="65">
        <f t="shared" si="13"/>
        <v>220.00000000002728</v>
      </c>
      <c r="AG30" s="58">
        <v>1451.7</v>
      </c>
      <c r="AH30" s="67">
        <f t="shared" si="14"/>
        <v>1.2000000000000455</v>
      </c>
      <c r="AI30" s="58">
        <v>490.98</v>
      </c>
      <c r="AJ30" s="65">
        <f t="shared" si="15"/>
        <v>250</v>
      </c>
      <c r="AK30" s="58">
        <v>172.18</v>
      </c>
      <c r="AL30" s="65">
        <f t="shared" si="15"/>
        <v>170.00000000001592</v>
      </c>
      <c r="AM30" s="58">
        <v>170.69</v>
      </c>
      <c r="AN30" s="65">
        <f t="shared" si="15"/>
        <v>159.99999999999659</v>
      </c>
      <c r="AO30" s="58">
        <v>164.2</v>
      </c>
      <c r="AP30" s="65">
        <f t="shared" si="15"/>
        <v>139.99999999998636</v>
      </c>
      <c r="AQ30" s="58">
        <v>224.04</v>
      </c>
      <c r="AR30" s="65">
        <f t="shared" si="16"/>
        <v>120.00000000000455</v>
      </c>
      <c r="AS30" s="58">
        <v>349.35</v>
      </c>
      <c r="AT30" s="65">
        <f t="shared" si="17"/>
        <v>90.000000000031832</v>
      </c>
      <c r="AU30" s="58">
        <v>269.58</v>
      </c>
      <c r="AV30" s="65"/>
      <c r="AW30" s="58">
        <v>296.97000000000003</v>
      </c>
      <c r="AX30" s="65">
        <f t="shared" si="19"/>
        <v>150.00000000003411</v>
      </c>
      <c r="AY30" s="58">
        <v>348.3</v>
      </c>
      <c r="AZ30" s="65">
        <f t="shared" si="20"/>
        <v>40.000000000020464</v>
      </c>
      <c r="BA30" s="58">
        <v>368.32</v>
      </c>
      <c r="BB30" s="65">
        <f t="shared" si="21"/>
        <v>99.999999999965894</v>
      </c>
      <c r="BC30" s="58">
        <v>234.08</v>
      </c>
      <c r="BD30" s="65">
        <f t="shared" si="22"/>
        <v>20.000000000010232</v>
      </c>
      <c r="BE30" s="59">
        <v>33237</v>
      </c>
      <c r="BF30" s="67">
        <f t="shared" si="39"/>
        <v>31</v>
      </c>
      <c r="BG30" s="60">
        <v>226.82</v>
      </c>
      <c r="BH30" s="65">
        <f t="shared" si="23"/>
        <v>19.99999999998181</v>
      </c>
      <c r="BI30" s="60">
        <v>284.99</v>
      </c>
      <c r="BJ30" s="65">
        <f t="shared" si="40"/>
        <v>9.9999999999909051</v>
      </c>
      <c r="BK30" s="60">
        <v>231.83</v>
      </c>
      <c r="BL30" s="65">
        <f t="shared" si="24"/>
        <v>10.000000000019327</v>
      </c>
      <c r="BM30" s="60">
        <v>216.73</v>
      </c>
      <c r="BN30" s="65">
        <f t="shared" si="25"/>
        <v>9.9999999999909051</v>
      </c>
      <c r="BO30" s="60">
        <v>281.83999999999997</v>
      </c>
      <c r="BP30" s="65">
        <f t="shared" si="26"/>
        <v>19.99999999998181</v>
      </c>
      <c r="BQ30" s="60">
        <v>40673</v>
      </c>
      <c r="BR30" s="65">
        <f t="shared" si="27"/>
        <v>13</v>
      </c>
      <c r="BS30" s="60">
        <v>195.15</v>
      </c>
      <c r="BT30" s="65">
        <f t="shared" si="42"/>
        <v>20.000000000010232</v>
      </c>
      <c r="BU30" s="60">
        <v>33649</v>
      </c>
      <c r="BV30" s="65">
        <f t="shared" si="29"/>
        <v>29</v>
      </c>
      <c r="BW30" s="60">
        <v>226.62</v>
      </c>
      <c r="BX30" s="65">
        <f t="shared" si="30"/>
        <v>20.000000000010232</v>
      </c>
      <c r="BY30" s="60">
        <v>51866</v>
      </c>
      <c r="BZ30" s="67">
        <f t="shared" si="31"/>
        <v>25</v>
      </c>
      <c r="CA30" s="60">
        <v>27515.599999999999</v>
      </c>
      <c r="CB30" s="67">
        <f t="shared" si="32"/>
        <v>0</v>
      </c>
      <c r="CC30" s="60">
        <v>11255.6</v>
      </c>
      <c r="CD30" s="67">
        <f t="shared" si="33"/>
        <v>0</v>
      </c>
      <c r="CE30" s="60">
        <v>50954.2</v>
      </c>
      <c r="CF30" s="67">
        <f t="shared" si="34"/>
        <v>0</v>
      </c>
      <c r="CG30" s="60">
        <v>51548.5</v>
      </c>
      <c r="CH30" s="67">
        <f t="shared" si="35"/>
        <v>30.099999999998545</v>
      </c>
      <c r="CI30" s="60">
        <v>892218</v>
      </c>
      <c r="CJ30" s="67">
        <f t="shared" si="36"/>
        <v>225</v>
      </c>
      <c r="CK30" s="60">
        <v>638.55999999999995</v>
      </c>
      <c r="CL30" s="64">
        <f t="shared" si="37"/>
        <v>559.99999999994543</v>
      </c>
      <c r="CM30" s="65">
        <f t="shared" si="41"/>
        <v>32.700000000000045</v>
      </c>
      <c r="CN30" s="62">
        <v>0</v>
      </c>
      <c r="CO30" s="62">
        <v>0</v>
      </c>
      <c r="CP30" s="68">
        <v>1812.3</v>
      </c>
      <c r="CQ30" s="67">
        <f t="shared" si="38"/>
        <v>25.700000000000045</v>
      </c>
      <c r="CR30" s="68">
        <v>11054</v>
      </c>
      <c r="CS30" s="67">
        <f t="shared" si="38"/>
        <v>7</v>
      </c>
      <c r="CT30" s="75">
        <v>3770</v>
      </c>
      <c r="CU30" s="67">
        <f t="shared" si="38"/>
        <v>12</v>
      </c>
      <c r="CV30" s="68">
        <v>10337</v>
      </c>
      <c r="CW30" s="67">
        <f t="shared" si="38"/>
        <v>26</v>
      </c>
    </row>
    <row r="31" spans="1:102" ht="25.5" customHeight="1" thickBot="1" x14ac:dyDescent="0.45">
      <c r="A31" s="63">
        <v>44163</v>
      </c>
      <c r="B31" s="66"/>
      <c r="C31" s="58">
        <v>1.9157</v>
      </c>
      <c r="D31" s="64">
        <f t="shared" si="0"/>
        <v>1700.0000000000348</v>
      </c>
      <c r="E31" s="58">
        <v>2.8168000000000002</v>
      </c>
      <c r="F31" s="64">
        <f t="shared" si="1"/>
        <v>900.0000000001229</v>
      </c>
      <c r="G31" s="58">
        <v>2.8336999999999999</v>
      </c>
      <c r="H31" s="64">
        <f t="shared" si="2"/>
        <v>1799.9999999998017</v>
      </c>
      <c r="I31" s="58">
        <v>1.3781000000000001</v>
      </c>
      <c r="J31" s="64">
        <f t="shared" si="3"/>
        <v>1000.0000000001119</v>
      </c>
      <c r="K31" s="58">
        <v>2.2081</v>
      </c>
      <c r="L31" s="64">
        <f t="shared" si="4"/>
        <v>2099.9999999999909</v>
      </c>
      <c r="M31" s="58">
        <v>1.2876000000000001</v>
      </c>
      <c r="N31" s="64">
        <f t="shared" si="5"/>
        <v>600.00000000015598</v>
      </c>
      <c r="O31" s="58">
        <v>12708</v>
      </c>
      <c r="P31" s="67">
        <f t="shared" si="44"/>
        <v>1</v>
      </c>
      <c r="Q31" s="58">
        <v>6027</v>
      </c>
      <c r="R31" s="67">
        <f t="shared" si="6"/>
        <v>3</v>
      </c>
      <c r="S31" s="58">
        <v>869035</v>
      </c>
      <c r="T31" s="67">
        <f t="shared" si="7"/>
        <v>257.80000000004657</v>
      </c>
      <c r="U31" s="58">
        <v>356634.5</v>
      </c>
      <c r="V31" s="67">
        <f t="shared" si="8"/>
        <v>120</v>
      </c>
      <c r="W31" s="58">
        <v>348.27</v>
      </c>
      <c r="X31" s="65">
        <f t="shared" si="9"/>
        <v>99.999999999965894</v>
      </c>
      <c r="Y31" s="58">
        <v>2.4632000000000001</v>
      </c>
      <c r="Z31" s="65">
        <f t="shared" si="10"/>
        <v>700.00000000014495</v>
      </c>
      <c r="AA31" s="58">
        <v>340.76</v>
      </c>
      <c r="AB31" s="65">
        <f t="shared" si="11"/>
        <v>159.99999999996817</v>
      </c>
      <c r="AC31" s="58">
        <v>330.1</v>
      </c>
      <c r="AD31" s="65">
        <f t="shared" si="12"/>
        <v>180.00000000000682</v>
      </c>
      <c r="AE31" s="58">
        <v>514.38</v>
      </c>
      <c r="AF31" s="65">
        <f t="shared" si="13"/>
        <v>179.99999999994998</v>
      </c>
      <c r="AG31" s="58">
        <v>1452.9</v>
      </c>
      <c r="AH31" s="67">
        <f t="shared" si="14"/>
        <v>1.2000000000000455</v>
      </c>
      <c r="AI31" s="58">
        <v>491.24</v>
      </c>
      <c r="AJ31" s="65">
        <f t="shared" si="15"/>
        <v>259.99999999999091</v>
      </c>
      <c r="AK31" s="58">
        <v>172.37</v>
      </c>
      <c r="AL31" s="65">
        <f t="shared" si="15"/>
        <v>189.99999999999773</v>
      </c>
      <c r="AM31" s="58">
        <v>170.87</v>
      </c>
      <c r="AN31" s="65">
        <f t="shared" si="15"/>
        <v>180.00000000000682</v>
      </c>
      <c r="AO31" s="58">
        <v>164.37</v>
      </c>
      <c r="AP31" s="65">
        <f t="shared" si="15"/>
        <v>170.00000000001592</v>
      </c>
      <c r="AQ31" s="58">
        <v>224.16</v>
      </c>
      <c r="AR31" s="65">
        <f t="shared" si="16"/>
        <v>120.00000000000455</v>
      </c>
      <c r="AS31" s="58">
        <v>349.49</v>
      </c>
      <c r="AT31" s="65">
        <f t="shared" si="17"/>
        <v>139.99999999998636</v>
      </c>
      <c r="AU31" s="58">
        <v>269.68</v>
      </c>
      <c r="AV31" s="65">
        <f t="shared" si="18"/>
        <v>100.00000000002274</v>
      </c>
      <c r="AW31" s="58">
        <v>297.10000000000002</v>
      </c>
      <c r="AX31" s="65">
        <f t="shared" si="19"/>
        <v>129.99999999999545</v>
      </c>
      <c r="AY31" s="58">
        <v>348.43</v>
      </c>
      <c r="AZ31" s="65">
        <f t="shared" si="20"/>
        <v>129.99999999999545</v>
      </c>
      <c r="BA31" s="58">
        <v>368.45</v>
      </c>
      <c r="BB31" s="65">
        <f t="shared" si="21"/>
        <v>129.99999999999545</v>
      </c>
      <c r="BC31" s="58">
        <v>234.1</v>
      </c>
      <c r="BD31" s="65">
        <f t="shared" si="22"/>
        <v>19.99999999998181</v>
      </c>
      <c r="BE31" s="59">
        <v>33266</v>
      </c>
      <c r="BF31" s="67">
        <f t="shared" si="39"/>
        <v>29</v>
      </c>
      <c r="BG31" s="60">
        <v>226.84</v>
      </c>
      <c r="BH31" s="65">
        <f t="shared" si="23"/>
        <v>20.000000000010232</v>
      </c>
      <c r="BI31" s="60">
        <v>285.02</v>
      </c>
      <c r="BJ31" s="65">
        <f t="shared" si="40"/>
        <v>29.999999999972715</v>
      </c>
      <c r="BK31" s="60">
        <v>231.84</v>
      </c>
      <c r="BL31" s="65">
        <f t="shared" si="24"/>
        <v>9.9999999999909051</v>
      </c>
      <c r="BM31" s="60">
        <v>216.75</v>
      </c>
      <c r="BN31" s="65">
        <f t="shared" si="25"/>
        <v>20.000000000010232</v>
      </c>
      <c r="BO31" s="60">
        <v>281.86</v>
      </c>
      <c r="BP31" s="65">
        <f t="shared" si="26"/>
        <v>20.000000000038654</v>
      </c>
      <c r="BQ31" s="60">
        <v>40688</v>
      </c>
      <c r="BR31" s="65">
        <f t="shared" si="27"/>
        <v>15</v>
      </c>
      <c r="BS31" s="60">
        <v>195.16</v>
      </c>
      <c r="BT31" s="65">
        <f t="shared" si="42"/>
        <v>9.9999999999909051</v>
      </c>
      <c r="BU31" s="60">
        <v>33679</v>
      </c>
      <c r="BV31" s="65">
        <f t="shared" si="29"/>
        <v>30</v>
      </c>
      <c r="BW31" s="60">
        <v>226.64</v>
      </c>
      <c r="BX31" s="65">
        <f t="shared" si="30"/>
        <v>19.99999999998181</v>
      </c>
      <c r="BY31" s="60">
        <v>51889</v>
      </c>
      <c r="BZ31" s="67">
        <f t="shared" si="31"/>
        <v>23</v>
      </c>
      <c r="CA31" s="60">
        <v>27515.599999999999</v>
      </c>
      <c r="CB31" s="67">
        <f t="shared" si="32"/>
        <v>0</v>
      </c>
      <c r="CC31" s="60">
        <v>11255.6</v>
      </c>
      <c r="CD31" s="67">
        <f t="shared" si="33"/>
        <v>0</v>
      </c>
      <c r="CE31" s="60">
        <v>50954.2</v>
      </c>
      <c r="CF31" s="67">
        <f t="shared" si="34"/>
        <v>0</v>
      </c>
      <c r="CG31" s="60">
        <v>51583.4</v>
      </c>
      <c r="CH31" s="67">
        <f t="shared" si="35"/>
        <v>34.900000000001455</v>
      </c>
      <c r="CI31" s="60">
        <v>892461</v>
      </c>
      <c r="CJ31" s="67">
        <f t="shared" si="36"/>
        <v>243</v>
      </c>
      <c r="CK31" s="60">
        <v>639.15</v>
      </c>
      <c r="CL31" s="64">
        <f t="shared" si="37"/>
        <v>590.00000000003183</v>
      </c>
      <c r="CM31" s="65">
        <f t="shared" si="41"/>
        <v>33.600000000000136</v>
      </c>
      <c r="CN31" s="62">
        <v>0</v>
      </c>
      <c r="CO31" s="62">
        <v>0</v>
      </c>
      <c r="CP31" s="68">
        <v>1830.9</v>
      </c>
      <c r="CQ31" s="67">
        <f t="shared" si="38"/>
        <v>18.600000000000136</v>
      </c>
      <c r="CR31" s="68">
        <v>11069</v>
      </c>
      <c r="CS31" s="67">
        <f t="shared" si="38"/>
        <v>15</v>
      </c>
      <c r="CT31" s="75">
        <v>3783</v>
      </c>
      <c r="CU31" s="67">
        <f t="shared" si="38"/>
        <v>13</v>
      </c>
      <c r="CV31" s="68">
        <v>10360</v>
      </c>
      <c r="CW31" s="67">
        <f t="shared" si="38"/>
        <v>23</v>
      </c>
    </row>
    <row r="32" spans="1:102" ht="25.5" customHeight="1" thickBot="1" x14ac:dyDescent="0.45">
      <c r="A32" s="63">
        <v>44164</v>
      </c>
      <c r="B32" s="68"/>
      <c r="C32" s="58"/>
      <c r="D32" s="64" t="str">
        <f t="shared" si="0"/>
        <v>0</v>
      </c>
      <c r="E32" s="58"/>
      <c r="F32" s="64" t="str">
        <f t="shared" si="1"/>
        <v>0</v>
      </c>
      <c r="G32" s="58"/>
      <c r="H32" s="64" t="str">
        <f t="shared" si="2"/>
        <v>0</v>
      </c>
      <c r="I32" s="58"/>
      <c r="J32" s="64" t="str">
        <f t="shared" si="3"/>
        <v>0</v>
      </c>
      <c r="K32" s="58"/>
      <c r="L32" s="64" t="str">
        <f t="shared" si="4"/>
        <v>0</v>
      </c>
      <c r="M32" s="58"/>
      <c r="N32" s="64" t="str">
        <f t="shared" si="5"/>
        <v/>
      </c>
      <c r="O32" s="58"/>
      <c r="P32" s="67" t="str">
        <f t="shared" si="44"/>
        <v/>
      </c>
      <c r="Q32" s="58"/>
      <c r="R32" s="67" t="str">
        <f t="shared" si="6"/>
        <v/>
      </c>
      <c r="S32" s="58"/>
      <c r="T32" s="67" t="str">
        <f t="shared" si="7"/>
        <v/>
      </c>
      <c r="U32" s="58"/>
      <c r="V32" s="67" t="str">
        <f t="shared" si="8"/>
        <v/>
      </c>
      <c r="W32" s="58"/>
      <c r="X32" s="65" t="str">
        <f t="shared" si="9"/>
        <v/>
      </c>
      <c r="Y32" s="58"/>
      <c r="Z32" s="65" t="str">
        <f t="shared" si="10"/>
        <v/>
      </c>
      <c r="AA32" s="58"/>
      <c r="AB32" s="65" t="str">
        <f t="shared" si="11"/>
        <v/>
      </c>
      <c r="AC32" s="58"/>
      <c r="AD32" s="65" t="str">
        <f t="shared" si="12"/>
        <v/>
      </c>
      <c r="AE32" s="58"/>
      <c r="AF32" s="65" t="str">
        <f t="shared" si="13"/>
        <v/>
      </c>
      <c r="AG32" s="58"/>
      <c r="AH32" s="67" t="str">
        <f t="shared" si="14"/>
        <v/>
      </c>
      <c r="AI32" s="58"/>
      <c r="AJ32" s="65" t="str">
        <f t="shared" si="15"/>
        <v/>
      </c>
      <c r="AK32" s="58"/>
      <c r="AL32" s="65" t="str">
        <f t="shared" si="15"/>
        <v/>
      </c>
      <c r="AM32" s="58"/>
      <c r="AN32" s="65" t="str">
        <f t="shared" si="15"/>
        <v/>
      </c>
      <c r="AO32" s="58"/>
      <c r="AP32" s="65" t="str">
        <f t="shared" si="15"/>
        <v/>
      </c>
      <c r="AQ32" s="58"/>
      <c r="AR32" s="65" t="str">
        <f t="shared" si="16"/>
        <v/>
      </c>
      <c r="AS32" s="58"/>
      <c r="AT32" s="65" t="str">
        <f t="shared" si="17"/>
        <v/>
      </c>
      <c r="AU32" s="58"/>
      <c r="AV32" s="65" t="str">
        <f t="shared" si="18"/>
        <v/>
      </c>
      <c r="AW32" s="58"/>
      <c r="AX32" s="65" t="str">
        <f t="shared" si="19"/>
        <v/>
      </c>
      <c r="AY32" s="58"/>
      <c r="AZ32" s="65" t="str">
        <f t="shared" si="20"/>
        <v/>
      </c>
      <c r="BA32" s="58"/>
      <c r="BB32" s="65" t="str">
        <f t="shared" si="21"/>
        <v/>
      </c>
      <c r="BC32" s="58"/>
      <c r="BD32" s="65" t="str">
        <f t="shared" si="22"/>
        <v/>
      </c>
      <c r="BE32" s="59"/>
      <c r="BF32" s="67" t="str">
        <f t="shared" si="39"/>
        <v/>
      </c>
      <c r="BG32" s="60"/>
      <c r="BH32" s="65" t="str">
        <f t="shared" si="23"/>
        <v/>
      </c>
      <c r="BI32" s="60"/>
      <c r="BJ32" s="65" t="str">
        <f t="shared" si="40"/>
        <v/>
      </c>
      <c r="BK32" s="60"/>
      <c r="BL32" s="65" t="str">
        <f t="shared" si="24"/>
        <v/>
      </c>
      <c r="BM32" s="60"/>
      <c r="BN32" s="65" t="str">
        <f t="shared" si="25"/>
        <v/>
      </c>
      <c r="BO32" s="60"/>
      <c r="BP32" s="65" t="str">
        <f t="shared" si="26"/>
        <v/>
      </c>
      <c r="BQ32" s="60"/>
      <c r="BR32" s="65" t="str">
        <f t="shared" si="27"/>
        <v/>
      </c>
      <c r="BS32" s="60"/>
      <c r="BT32" s="65" t="str">
        <f t="shared" si="42"/>
        <v/>
      </c>
      <c r="BU32" s="60"/>
      <c r="BV32" s="65" t="str">
        <f t="shared" si="29"/>
        <v/>
      </c>
      <c r="BW32" s="60"/>
      <c r="BX32" s="65" t="str">
        <f t="shared" si="30"/>
        <v/>
      </c>
      <c r="BY32" s="60"/>
      <c r="BZ32" s="67" t="str">
        <f t="shared" si="31"/>
        <v/>
      </c>
      <c r="CA32" s="60"/>
      <c r="CB32" s="67" t="str">
        <f t="shared" si="32"/>
        <v/>
      </c>
      <c r="CC32" s="60"/>
      <c r="CD32" s="67" t="str">
        <f t="shared" si="33"/>
        <v/>
      </c>
      <c r="CE32" s="60"/>
      <c r="CF32" s="67" t="str">
        <f t="shared" si="34"/>
        <v/>
      </c>
      <c r="CG32" s="60"/>
      <c r="CH32" s="67" t="str">
        <f t="shared" si="35"/>
        <v/>
      </c>
      <c r="CI32" s="60"/>
      <c r="CJ32" s="67" t="str">
        <f t="shared" si="36"/>
        <v/>
      </c>
      <c r="CK32" s="60"/>
      <c r="CL32" s="64" t="str">
        <f t="shared" si="37"/>
        <v/>
      </c>
      <c r="CM32" s="65" t="e">
        <f t="shared" si="41"/>
        <v>#VALUE!</v>
      </c>
      <c r="CN32" s="62">
        <v>0</v>
      </c>
      <c r="CO32" s="62">
        <v>0</v>
      </c>
      <c r="CP32" s="68"/>
      <c r="CQ32" s="67" t="str">
        <f t="shared" si="38"/>
        <v/>
      </c>
      <c r="CR32" s="68"/>
      <c r="CS32" s="67" t="str">
        <f t="shared" si="38"/>
        <v/>
      </c>
      <c r="CT32" s="75"/>
      <c r="CU32" s="67" t="str">
        <f t="shared" si="38"/>
        <v/>
      </c>
      <c r="CV32" s="68"/>
      <c r="CW32" s="67" t="str">
        <f t="shared" si="38"/>
        <v/>
      </c>
    </row>
    <row r="33" spans="1:101" ht="25.5" customHeight="1" thickBot="1" x14ac:dyDescent="0.45">
      <c r="A33" s="63">
        <v>44165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/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44166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5">IF((CA34-CA33&lt;0), "",CA34-CA33)</f>
        <v>0</v>
      </c>
      <c r="CC34" s="60"/>
      <c r="CD34" s="67">
        <f t="shared" si="33"/>
        <v>0</v>
      </c>
      <c r="CE34" s="60"/>
      <c r="CF34" s="67">
        <f t="shared" ref="CF34" si="46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4" zoomScaleNormal="100" workbookViewId="0">
      <selection activeCell="R34" sqref="R34:S35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44135</v>
      </c>
      <c r="B7" s="40">
        <v>0</v>
      </c>
      <c r="C7" s="40">
        <v>0</v>
      </c>
      <c r="D7" s="40">
        <v>0</v>
      </c>
      <c r="E7" s="41">
        <v>85</v>
      </c>
      <c r="F7" s="41">
        <v>4775</v>
      </c>
      <c r="G7" s="41">
        <v>85</v>
      </c>
      <c r="H7" s="41">
        <v>1374</v>
      </c>
      <c r="I7" s="41">
        <v>85</v>
      </c>
      <c r="J7" s="41">
        <v>273</v>
      </c>
      <c r="K7" s="42">
        <v>85</v>
      </c>
      <c r="L7" s="42">
        <v>86</v>
      </c>
      <c r="M7" s="42">
        <v>1152</v>
      </c>
      <c r="N7" s="39">
        <v>82</v>
      </c>
      <c r="O7" s="39">
        <v>84</v>
      </c>
      <c r="P7" s="39">
        <v>83</v>
      </c>
      <c r="Q7" s="39">
        <v>2946</v>
      </c>
      <c r="R7" s="78">
        <v>83</v>
      </c>
      <c r="S7" s="78">
        <v>196</v>
      </c>
    </row>
    <row r="8" spans="1:20" x14ac:dyDescent="0.25">
      <c r="A8" s="73">
        <v>44136</v>
      </c>
      <c r="B8" s="40">
        <v>0</v>
      </c>
      <c r="C8" s="40">
        <v>0</v>
      </c>
      <c r="D8" s="40">
        <v>0</v>
      </c>
      <c r="E8" s="41">
        <v>85</v>
      </c>
      <c r="F8" s="41">
        <v>4775</v>
      </c>
      <c r="G8" s="41">
        <v>85</v>
      </c>
      <c r="H8" s="41">
        <v>1374</v>
      </c>
      <c r="I8" s="41">
        <v>85</v>
      </c>
      <c r="J8" s="41">
        <v>273</v>
      </c>
      <c r="K8" s="42">
        <v>85</v>
      </c>
      <c r="L8" s="42">
        <v>86</v>
      </c>
      <c r="M8" s="42">
        <v>1152</v>
      </c>
      <c r="N8" s="39">
        <v>78</v>
      </c>
      <c r="O8" s="39">
        <v>84</v>
      </c>
      <c r="P8" s="39">
        <v>83</v>
      </c>
      <c r="Q8" s="39">
        <v>2951</v>
      </c>
      <c r="R8" s="78">
        <v>83</v>
      </c>
      <c r="S8" s="78">
        <v>196</v>
      </c>
      <c r="T8">
        <f>S8-S7</f>
        <v>0</v>
      </c>
    </row>
    <row r="9" spans="1:20" x14ac:dyDescent="0.25">
      <c r="A9" s="73">
        <v>44137</v>
      </c>
      <c r="B9" s="40">
        <v>0</v>
      </c>
      <c r="C9" s="40">
        <v>0</v>
      </c>
      <c r="D9" s="40">
        <v>0</v>
      </c>
      <c r="E9" s="41">
        <v>85</v>
      </c>
      <c r="F9" s="41">
        <v>4775</v>
      </c>
      <c r="G9" s="41">
        <v>85</v>
      </c>
      <c r="H9" s="41">
        <v>1374</v>
      </c>
      <c r="I9" s="41">
        <v>85</v>
      </c>
      <c r="J9" s="41">
        <v>273</v>
      </c>
      <c r="K9" s="42">
        <v>85</v>
      </c>
      <c r="L9" s="42">
        <v>86</v>
      </c>
      <c r="M9" s="42">
        <v>1152</v>
      </c>
      <c r="N9" s="39">
        <v>75</v>
      </c>
      <c r="O9" s="39">
        <v>84</v>
      </c>
      <c r="P9" s="39">
        <v>83</v>
      </c>
      <c r="Q9" s="39">
        <v>2953</v>
      </c>
      <c r="R9" s="78">
        <v>83</v>
      </c>
      <c r="S9" s="78">
        <v>196</v>
      </c>
      <c r="T9">
        <f t="shared" ref="T9:T39" si="0">S9-S8</f>
        <v>0</v>
      </c>
    </row>
    <row r="10" spans="1:20" x14ac:dyDescent="0.25">
      <c r="A10" s="73">
        <v>44138</v>
      </c>
      <c r="B10" s="40">
        <v>0</v>
      </c>
      <c r="C10" s="40">
        <v>0</v>
      </c>
      <c r="D10" s="40">
        <v>0</v>
      </c>
      <c r="E10" s="41">
        <v>85</v>
      </c>
      <c r="F10" s="41">
        <v>4775</v>
      </c>
      <c r="G10" s="41">
        <v>85</v>
      </c>
      <c r="H10" s="41">
        <v>1374</v>
      </c>
      <c r="I10" s="41">
        <v>85</v>
      </c>
      <c r="J10" s="41">
        <v>273</v>
      </c>
      <c r="K10" s="42">
        <v>85</v>
      </c>
      <c r="L10" s="42">
        <v>86</v>
      </c>
      <c r="M10" s="42">
        <v>1152</v>
      </c>
      <c r="N10" s="39">
        <v>72</v>
      </c>
      <c r="O10" s="39">
        <v>84</v>
      </c>
      <c r="P10" s="39">
        <v>83</v>
      </c>
      <c r="Q10" s="39">
        <v>2955</v>
      </c>
      <c r="R10" s="78">
        <v>83</v>
      </c>
      <c r="S10" s="78">
        <v>196</v>
      </c>
      <c r="T10">
        <f t="shared" si="0"/>
        <v>0</v>
      </c>
    </row>
    <row r="11" spans="1:20" x14ac:dyDescent="0.25">
      <c r="A11" s="73">
        <v>44139</v>
      </c>
      <c r="B11" s="40">
        <v>0</v>
      </c>
      <c r="C11" s="40">
        <v>0</v>
      </c>
      <c r="D11" s="40">
        <v>0</v>
      </c>
      <c r="E11" s="41">
        <v>85</v>
      </c>
      <c r="F11" s="41">
        <v>4775</v>
      </c>
      <c r="G11" s="41">
        <v>85</v>
      </c>
      <c r="H11" s="41">
        <v>1374</v>
      </c>
      <c r="I11" s="41">
        <v>85</v>
      </c>
      <c r="J11" s="41">
        <v>273</v>
      </c>
      <c r="K11" s="42">
        <v>85</v>
      </c>
      <c r="L11" s="42">
        <v>86</v>
      </c>
      <c r="M11" s="42">
        <v>1152</v>
      </c>
      <c r="N11" s="39">
        <v>66</v>
      </c>
      <c r="O11" s="39">
        <v>84</v>
      </c>
      <c r="P11" s="39">
        <v>83</v>
      </c>
      <c r="Q11" s="39">
        <v>2958</v>
      </c>
      <c r="R11" s="78">
        <v>83</v>
      </c>
      <c r="S11" s="78">
        <v>196</v>
      </c>
      <c r="T11">
        <f t="shared" si="0"/>
        <v>0</v>
      </c>
    </row>
    <row r="12" spans="1:20" x14ac:dyDescent="0.25">
      <c r="A12" s="73">
        <v>44140</v>
      </c>
      <c r="B12" s="40">
        <v>0</v>
      </c>
      <c r="C12" s="40">
        <v>0</v>
      </c>
      <c r="D12" s="40">
        <v>0</v>
      </c>
      <c r="E12" s="41">
        <v>85</v>
      </c>
      <c r="F12" s="41">
        <v>4775</v>
      </c>
      <c r="G12" s="41">
        <v>85</v>
      </c>
      <c r="H12" s="41">
        <v>1374</v>
      </c>
      <c r="I12" s="41">
        <v>85</v>
      </c>
      <c r="J12" s="41">
        <v>273</v>
      </c>
      <c r="K12" s="42">
        <v>85</v>
      </c>
      <c r="L12" s="42">
        <v>86</v>
      </c>
      <c r="M12" s="42">
        <v>1152</v>
      </c>
      <c r="N12" s="39">
        <v>64</v>
      </c>
      <c r="O12" s="39">
        <v>84</v>
      </c>
      <c r="P12" s="39">
        <v>83</v>
      </c>
      <c r="Q12" s="39">
        <v>2960</v>
      </c>
      <c r="R12" s="78">
        <v>83</v>
      </c>
      <c r="S12" s="78">
        <v>196</v>
      </c>
      <c r="T12">
        <f t="shared" si="0"/>
        <v>0</v>
      </c>
    </row>
    <row r="13" spans="1:20" x14ac:dyDescent="0.25">
      <c r="A13" s="73">
        <v>44141</v>
      </c>
      <c r="B13" s="40">
        <v>0</v>
      </c>
      <c r="C13" s="40">
        <v>0</v>
      </c>
      <c r="D13" s="40">
        <v>0</v>
      </c>
      <c r="E13" s="41">
        <v>85</v>
      </c>
      <c r="F13" s="41">
        <v>4775</v>
      </c>
      <c r="G13" s="41">
        <v>85</v>
      </c>
      <c r="H13" s="41">
        <v>1374</v>
      </c>
      <c r="I13" s="41">
        <v>85</v>
      </c>
      <c r="J13" s="41">
        <v>273</v>
      </c>
      <c r="K13" s="42">
        <v>85</v>
      </c>
      <c r="L13" s="42">
        <v>86</v>
      </c>
      <c r="M13" s="42">
        <v>1152</v>
      </c>
      <c r="N13" s="39">
        <v>61</v>
      </c>
      <c r="O13" s="39">
        <v>84</v>
      </c>
      <c r="P13" s="39">
        <v>83</v>
      </c>
      <c r="Q13" s="39">
        <v>2963</v>
      </c>
      <c r="R13" s="78">
        <v>83</v>
      </c>
      <c r="S13" s="78">
        <v>196</v>
      </c>
      <c r="T13">
        <f t="shared" si="0"/>
        <v>0</v>
      </c>
    </row>
    <row r="14" spans="1:20" x14ac:dyDescent="0.25">
      <c r="A14" s="73">
        <v>44142</v>
      </c>
      <c r="B14" s="40">
        <v>0</v>
      </c>
      <c r="C14" s="40">
        <v>0</v>
      </c>
      <c r="D14" s="40">
        <v>0</v>
      </c>
      <c r="E14" s="41">
        <v>85</v>
      </c>
      <c r="F14" s="41">
        <v>4775</v>
      </c>
      <c r="G14" s="41">
        <v>85</v>
      </c>
      <c r="H14" s="41">
        <v>1374</v>
      </c>
      <c r="I14" s="41">
        <v>85</v>
      </c>
      <c r="J14" s="41">
        <v>273</v>
      </c>
      <c r="K14" s="42">
        <v>85</v>
      </c>
      <c r="L14" s="42">
        <v>86</v>
      </c>
      <c r="M14" s="42">
        <v>1152</v>
      </c>
      <c r="N14" s="39">
        <v>58</v>
      </c>
      <c r="O14" s="39">
        <v>84</v>
      </c>
      <c r="P14" s="39">
        <v>83</v>
      </c>
      <c r="Q14" s="39">
        <v>2966</v>
      </c>
      <c r="R14" s="78">
        <v>83</v>
      </c>
      <c r="S14" s="78">
        <v>196</v>
      </c>
      <c r="T14">
        <f t="shared" si="0"/>
        <v>0</v>
      </c>
    </row>
    <row r="15" spans="1:20" x14ac:dyDescent="0.25">
      <c r="A15" s="73">
        <v>44143</v>
      </c>
      <c r="B15" s="40">
        <v>0</v>
      </c>
      <c r="C15" s="40">
        <v>0</v>
      </c>
      <c r="D15" s="40">
        <v>0</v>
      </c>
      <c r="E15" s="41">
        <v>85</v>
      </c>
      <c r="F15" s="41">
        <v>4775</v>
      </c>
      <c r="G15" s="41">
        <v>85</v>
      </c>
      <c r="H15" s="41">
        <v>1374</v>
      </c>
      <c r="I15" s="41">
        <v>85</v>
      </c>
      <c r="J15" s="41">
        <v>273</v>
      </c>
      <c r="K15" s="42">
        <v>85</v>
      </c>
      <c r="L15" s="42">
        <v>86</v>
      </c>
      <c r="M15" s="42">
        <v>1152</v>
      </c>
      <c r="N15" s="39">
        <v>55</v>
      </c>
      <c r="O15" s="39">
        <v>84</v>
      </c>
      <c r="P15" s="39">
        <v>83</v>
      </c>
      <c r="Q15" s="39">
        <v>2968</v>
      </c>
      <c r="R15" s="78">
        <v>83</v>
      </c>
      <c r="S15" s="78">
        <v>196</v>
      </c>
      <c r="T15">
        <f t="shared" si="0"/>
        <v>0</v>
      </c>
    </row>
    <row r="16" spans="1:20" x14ac:dyDescent="0.25">
      <c r="A16" s="73">
        <v>44144</v>
      </c>
      <c r="B16" s="40">
        <v>0</v>
      </c>
      <c r="C16" s="40">
        <v>0</v>
      </c>
      <c r="D16" s="40">
        <v>0</v>
      </c>
      <c r="E16" s="41">
        <v>85</v>
      </c>
      <c r="F16" s="41">
        <v>4775</v>
      </c>
      <c r="G16" s="41">
        <v>85</v>
      </c>
      <c r="H16" s="41">
        <v>1374</v>
      </c>
      <c r="I16" s="41">
        <v>85</v>
      </c>
      <c r="J16" s="41">
        <v>273</v>
      </c>
      <c r="K16" s="42">
        <v>85</v>
      </c>
      <c r="L16" s="42">
        <v>86</v>
      </c>
      <c r="M16" s="42">
        <v>1152</v>
      </c>
      <c r="N16" s="39">
        <v>50</v>
      </c>
      <c r="O16" s="39">
        <v>84</v>
      </c>
      <c r="P16" s="39">
        <v>83</v>
      </c>
      <c r="Q16" s="39">
        <v>2972</v>
      </c>
      <c r="R16" s="78">
        <v>83</v>
      </c>
      <c r="S16" s="78">
        <v>196</v>
      </c>
      <c r="T16">
        <f t="shared" si="0"/>
        <v>0</v>
      </c>
    </row>
    <row r="17" spans="1:20" x14ac:dyDescent="0.25">
      <c r="A17" s="73">
        <v>44145</v>
      </c>
      <c r="B17" s="40">
        <v>0</v>
      </c>
      <c r="C17" s="40">
        <v>0</v>
      </c>
      <c r="D17" s="40">
        <v>0</v>
      </c>
      <c r="E17" s="41">
        <v>85</v>
      </c>
      <c r="F17" s="41">
        <v>4775</v>
      </c>
      <c r="G17" s="41">
        <v>85</v>
      </c>
      <c r="H17" s="41">
        <v>1374</v>
      </c>
      <c r="I17" s="41">
        <v>85</v>
      </c>
      <c r="J17" s="41">
        <v>273</v>
      </c>
      <c r="K17" s="42">
        <v>85</v>
      </c>
      <c r="L17" s="42">
        <v>86</v>
      </c>
      <c r="M17" s="42">
        <v>1152</v>
      </c>
      <c r="N17" s="39">
        <v>45</v>
      </c>
      <c r="O17" s="39">
        <v>84</v>
      </c>
      <c r="P17" s="39">
        <v>83</v>
      </c>
      <c r="Q17" s="39">
        <v>2975</v>
      </c>
      <c r="R17" s="78">
        <v>83</v>
      </c>
      <c r="S17" s="78">
        <v>196</v>
      </c>
      <c r="T17">
        <f t="shared" si="0"/>
        <v>0</v>
      </c>
    </row>
    <row r="18" spans="1:20" x14ac:dyDescent="0.25">
      <c r="A18" s="73">
        <v>44146</v>
      </c>
      <c r="B18" s="40">
        <v>0</v>
      </c>
      <c r="C18" s="40">
        <v>0</v>
      </c>
      <c r="D18" s="40">
        <v>0</v>
      </c>
      <c r="E18" s="41">
        <v>85</v>
      </c>
      <c r="F18" s="41">
        <v>4775</v>
      </c>
      <c r="G18" s="41">
        <v>85</v>
      </c>
      <c r="H18" s="41">
        <v>1374</v>
      </c>
      <c r="I18" s="41">
        <v>85</v>
      </c>
      <c r="J18" s="41">
        <v>273</v>
      </c>
      <c r="K18" s="42">
        <v>85</v>
      </c>
      <c r="L18" s="42">
        <v>86</v>
      </c>
      <c r="M18" s="42">
        <v>1152</v>
      </c>
      <c r="N18" s="39">
        <v>42</v>
      </c>
      <c r="O18" s="39">
        <v>84</v>
      </c>
      <c r="P18" s="39">
        <v>83</v>
      </c>
      <c r="Q18" s="39">
        <v>2978</v>
      </c>
      <c r="R18" s="78">
        <v>83</v>
      </c>
      <c r="S18" s="78">
        <v>196</v>
      </c>
      <c r="T18">
        <f t="shared" si="0"/>
        <v>0</v>
      </c>
    </row>
    <row r="19" spans="1:20" x14ac:dyDescent="0.25">
      <c r="A19" s="73">
        <v>44147</v>
      </c>
      <c r="B19" s="40">
        <v>0</v>
      </c>
      <c r="C19" s="40">
        <v>0</v>
      </c>
      <c r="D19" s="40">
        <v>0</v>
      </c>
      <c r="E19" s="41">
        <v>85</v>
      </c>
      <c r="F19" s="41">
        <v>4775</v>
      </c>
      <c r="G19" s="41">
        <v>85</v>
      </c>
      <c r="H19" s="41">
        <v>1374</v>
      </c>
      <c r="I19" s="41">
        <v>85</v>
      </c>
      <c r="J19" s="41">
        <v>273</v>
      </c>
      <c r="K19" s="42">
        <v>85</v>
      </c>
      <c r="L19" s="42">
        <v>86</v>
      </c>
      <c r="M19" s="42">
        <v>1152</v>
      </c>
      <c r="N19" s="39">
        <v>40</v>
      </c>
      <c r="O19" s="39">
        <v>84</v>
      </c>
      <c r="P19" s="39">
        <v>83</v>
      </c>
      <c r="Q19" s="39">
        <v>2981</v>
      </c>
      <c r="R19" s="78">
        <v>83</v>
      </c>
      <c r="S19" s="78">
        <v>196</v>
      </c>
      <c r="T19">
        <f t="shared" si="0"/>
        <v>0</v>
      </c>
    </row>
    <row r="20" spans="1:20" x14ac:dyDescent="0.25">
      <c r="A20" s="73">
        <v>44148</v>
      </c>
      <c r="B20" s="40">
        <v>0</v>
      </c>
      <c r="C20" s="40">
        <v>0</v>
      </c>
      <c r="D20" s="40">
        <v>0</v>
      </c>
      <c r="E20" s="41">
        <v>85</v>
      </c>
      <c r="F20" s="41">
        <v>4775</v>
      </c>
      <c r="G20" s="41">
        <v>85</v>
      </c>
      <c r="H20" s="41">
        <v>1374</v>
      </c>
      <c r="I20" s="41">
        <v>85</v>
      </c>
      <c r="J20" s="41">
        <v>273</v>
      </c>
      <c r="K20" s="42">
        <v>85</v>
      </c>
      <c r="L20" s="42">
        <v>86</v>
      </c>
      <c r="M20" s="42">
        <v>1152</v>
      </c>
      <c r="N20" s="39">
        <v>36</v>
      </c>
      <c r="O20" s="39">
        <v>84</v>
      </c>
      <c r="P20" s="39">
        <v>83</v>
      </c>
      <c r="Q20" s="39">
        <v>2983</v>
      </c>
      <c r="R20" s="78">
        <v>83</v>
      </c>
      <c r="S20" s="78">
        <v>196</v>
      </c>
      <c r="T20">
        <f t="shared" si="0"/>
        <v>0</v>
      </c>
    </row>
    <row r="21" spans="1:20" x14ac:dyDescent="0.25">
      <c r="A21" s="73">
        <v>44149</v>
      </c>
      <c r="B21" s="40">
        <v>0</v>
      </c>
      <c r="C21" s="40">
        <v>0</v>
      </c>
      <c r="D21" s="40">
        <v>0</v>
      </c>
      <c r="E21" s="41">
        <v>85</v>
      </c>
      <c r="F21" s="41">
        <v>4775</v>
      </c>
      <c r="G21" s="41">
        <v>85</v>
      </c>
      <c r="H21" s="41">
        <v>1374</v>
      </c>
      <c r="I21" s="41">
        <v>85</v>
      </c>
      <c r="J21" s="41">
        <v>273</v>
      </c>
      <c r="K21" s="42">
        <v>85</v>
      </c>
      <c r="L21" s="42">
        <v>86</v>
      </c>
      <c r="M21" s="42">
        <v>1152</v>
      </c>
      <c r="N21" s="39">
        <v>32</v>
      </c>
      <c r="O21" s="39">
        <v>84</v>
      </c>
      <c r="P21" s="39">
        <v>83</v>
      </c>
      <c r="Q21" s="39">
        <v>2986</v>
      </c>
      <c r="R21" s="78">
        <v>83</v>
      </c>
      <c r="S21" s="78">
        <v>196</v>
      </c>
      <c r="T21">
        <f t="shared" si="0"/>
        <v>0</v>
      </c>
    </row>
    <row r="22" spans="1:20" x14ac:dyDescent="0.25">
      <c r="A22" s="73">
        <v>44150</v>
      </c>
      <c r="B22" s="40">
        <v>0</v>
      </c>
      <c r="C22" s="40">
        <v>0</v>
      </c>
      <c r="D22" s="40">
        <v>0</v>
      </c>
      <c r="E22" s="41">
        <v>85</v>
      </c>
      <c r="F22" s="41">
        <v>4775</v>
      </c>
      <c r="G22" s="41">
        <v>85</v>
      </c>
      <c r="H22" s="41">
        <v>1374</v>
      </c>
      <c r="I22" s="41">
        <v>85</v>
      </c>
      <c r="J22" s="41">
        <v>273</v>
      </c>
      <c r="K22" s="42">
        <v>85</v>
      </c>
      <c r="L22" s="42">
        <v>86</v>
      </c>
      <c r="M22" s="42">
        <v>1152</v>
      </c>
      <c r="N22" s="39">
        <v>30</v>
      </c>
      <c r="O22" s="39">
        <v>84</v>
      </c>
      <c r="P22" s="39">
        <v>83</v>
      </c>
      <c r="Q22" s="39">
        <v>2987</v>
      </c>
      <c r="R22" s="78">
        <v>83</v>
      </c>
      <c r="S22" s="78">
        <v>196</v>
      </c>
      <c r="T22">
        <f t="shared" si="0"/>
        <v>0</v>
      </c>
    </row>
    <row r="23" spans="1:20" x14ac:dyDescent="0.25">
      <c r="A23" s="73">
        <v>44151</v>
      </c>
      <c r="B23" s="40">
        <v>0</v>
      </c>
      <c r="C23" s="40">
        <v>0</v>
      </c>
      <c r="D23" s="40">
        <v>0</v>
      </c>
      <c r="E23" s="41">
        <v>85</v>
      </c>
      <c r="F23" s="41">
        <v>4775</v>
      </c>
      <c r="G23" s="41">
        <v>85</v>
      </c>
      <c r="H23" s="41">
        <v>1374</v>
      </c>
      <c r="I23" s="41">
        <v>85</v>
      </c>
      <c r="J23" s="41">
        <v>273</v>
      </c>
      <c r="K23" s="42">
        <v>85</v>
      </c>
      <c r="L23" s="42">
        <v>86</v>
      </c>
      <c r="M23" s="42">
        <v>1152</v>
      </c>
      <c r="N23" s="39">
        <v>28</v>
      </c>
      <c r="O23" s="39">
        <v>84</v>
      </c>
      <c r="P23" s="39">
        <v>83</v>
      </c>
      <c r="Q23" s="39">
        <v>2990</v>
      </c>
      <c r="R23" s="78">
        <v>83</v>
      </c>
      <c r="S23" s="78">
        <v>196</v>
      </c>
      <c r="T23">
        <f t="shared" si="0"/>
        <v>0</v>
      </c>
    </row>
    <row r="24" spans="1:20" x14ac:dyDescent="0.25">
      <c r="A24" s="73">
        <v>44152</v>
      </c>
      <c r="B24" s="40">
        <v>0</v>
      </c>
      <c r="C24" s="40">
        <v>0</v>
      </c>
      <c r="D24" s="40">
        <v>0</v>
      </c>
      <c r="E24" s="41">
        <v>85</v>
      </c>
      <c r="F24" s="41">
        <v>4775</v>
      </c>
      <c r="G24" s="41">
        <v>85</v>
      </c>
      <c r="H24" s="41">
        <v>1374</v>
      </c>
      <c r="I24" s="41">
        <v>85</v>
      </c>
      <c r="J24" s="41">
        <v>273</v>
      </c>
      <c r="K24" s="42">
        <v>85</v>
      </c>
      <c r="L24" s="42">
        <v>86</v>
      </c>
      <c r="M24" s="42">
        <v>1152</v>
      </c>
      <c r="N24" s="39">
        <v>24</v>
      </c>
      <c r="O24" s="39">
        <v>84</v>
      </c>
      <c r="P24" s="39">
        <v>83</v>
      </c>
      <c r="Q24" s="39">
        <v>2995</v>
      </c>
      <c r="R24" s="78">
        <v>83</v>
      </c>
      <c r="S24" s="78">
        <v>196</v>
      </c>
      <c r="T24">
        <f t="shared" si="0"/>
        <v>0</v>
      </c>
    </row>
    <row r="25" spans="1:20" x14ac:dyDescent="0.25">
      <c r="A25" s="73">
        <v>44153</v>
      </c>
      <c r="B25" s="40">
        <v>0</v>
      </c>
      <c r="C25" s="40">
        <v>0</v>
      </c>
      <c r="D25" s="40">
        <v>0</v>
      </c>
      <c r="E25" s="41">
        <v>85</v>
      </c>
      <c r="F25" s="41">
        <v>4775</v>
      </c>
      <c r="G25" s="41">
        <v>85</v>
      </c>
      <c r="H25" s="41">
        <v>1374</v>
      </c>
      <c r="I25" s="41">
        <v>85</v>
      </c>
      <c r="J25" s="41">
        <v>273</v>
      </c>
      <c r="K25" s="42">
        <v>85</v>
      </c>
      <c r="L25" s="42">
        <v>86</v>
      </c>
      <c r="M25" s="42">
        <v>1152</v>
      </c>
      <c r="N25" s="39">
        <v>20</v>
      </c>
      <c r="O25" s="39">
        <v>84</v>
      </c>
      <c r="P25" s="39">
        <v>83</v>
      </c>
      <c r="Q25" s="39">
        <v>2997</v>
      </c>
      <c r="R25" s="78">
        <v>83</v>
      </c>
      <c r="S25" s="78">
        <v>196</v>
      </c>
      <c r="T25">
        <f t="shared" si="0"/>
        <v>0</v>
      </c>
    </row>
    <row r="26" spans="1:20" x14ac:dyDescent="0.25">
      <c r="A26" s="73">
        <v>44154</v>
      </c>
      <c r="B26" s="40">
        <v>0</v>
      </c>
      <c r="C26" s="40">
        <v>0</v>
      </c>
      <c r="D26" s="40">
        <v>0</v>
      </c>
      <c r="E26" s="41">
        <v>85</v>
      </c>
      <c r="F26" s="41">
        <v>4775</v>
      </c>
      <c r="G26" s="41">
        <v>85</v>
      </c>
      <c r="H26" s="41">
        <v>1374</v>
      </c>
      <c r="I26" s="41">
        <v>85</v>
      </c>
      <c r="J26" s="41">
        <v>273</v>
      </c>
      <c r="K26" s="42">
        <v>85</v>
      </c>
      <c r="L26" s="42">
        <v>86</v>
      </c>
      <c r="M26" s="42">
        <v>1152</v>
      </c>
      <c r="N26" s="39">
        <v>18</v>
      </c>
      <c r="O26" s="39">
        <v>84</v>
      </c>
      <c r="P26" s="39">
        <v>83</v>
      </c>
      <c r="Q26" s="39">
        <v>2999</v>
      </c>
      <c r="R26" s="78">
        <v>83</v>
      </c>
      <c r="S26" s="78">
        <v>196</v>
      </c>
      <c r="T26">
        <f t="shared" si="0"/>
        <v>0</v>
      </c>
    </row>
    <row r="27" spans="1:20" x14ac:dyDescent="0.25">
      <c r="A27" s="73">
        <v>44155</v>
      </c>
      <c r="B27" s="40">
        <v>0</v>
      </c>
      <c r="C27" s="40">
        <v>0</v>
      </c>
      <c r="D27" s="40">
        <v>0</v>
      </c>
      <c r="E27" s="41">
        <v>85</v>
      </c>
      <c r="F27" s="41">
        <v>4775</v>
      </c>
      <c r="G27" s="41">
        <v>85</v>
      </c>
      <c r="H27" s="41">
        <v>1374</v>
      </c>
      <c r="I27" s="41">
        <v>85</v>
      </c>
      <c r="J27" s="41">
        <v>273</v>
      </c>
      <c r="K27" s="42">
        <v>85</v>
      </c>
      <c r="L27" s="42">
        <v>86</v>
      </c>
      <c r="M27" s="42">
        <v>1152</v>
      </c>
      <c r="N27" s="39">
        <v>16</v>
      </c>
      <c r="O27" s="39">
        <v>84</v>
      </c>
      <c r="P27" s="39">
        <v>83</v>
      </c>
      <c r="Q27" s="39">
        <v>3002</v>
      </c>
      <c r="R27" s="78">
        <v>83</v>
      </c>
      <c r="S27" s="78">
        <v>196</v>
      </c>
      <c r="T27">
        <f t="shared" si="0"/>
        <v>0</v>
      </c>
    </row>
    <row r="28" spans="1:20" x14ac:dyDescent="0.25">
      <c r="A28" s="73">
        <v>44156</v>
      </c>
      <c r="B28" s="40">
        <v>0</v>
      </c>
      <c r="C28" s="40">
        <v>0</v>
      </c>
      <c r="D28" s="40">
        <v>0</v>
      </c>
      <c r="E28" s="41">
        <v>85</v>
      </c>
      <c r="F28" s="41">
        <v>4775</v>
      </c>
      <c r="G28" s="41">
        <v>85</v>
      </c>
      <c r="H28" s="41">
        <v>1374</v>
      </c>
      <c r="I28" s="41">
        <v>85</v>
      </c>
      <c r="J28" s="41">
        <v>273</v>
      </c>
      <c r="K28" s="42">
        <v>85</v>
      </c>
      <c r="L28" s="42">
        <v>86</v>
      </c>
      <c r="M28" s="42">
        <v>1152</v>
      </c>
      <c r="N28" s="39">
        <v>15</v>
      </c>
      <c r="O28" s="39">
        <v>84</v>
      </c>
      <c r="P28" s="39">
        <v>83</v>
      </c>
      <c r="Q28" s="39">
        <v>3004</v>
      </c>
      <c r="R28" s="78">
        <v>83</v>
      </c>
      <c r="S28" s="78">
        <v>196</v>
      </c>
      <c r="T28">
        <f t="shared" si="0"/>
        <v>0</v>
      </c>
    </row>
    <row r="29" spans="1:20" x14ac:dyDescent="0.25">
      <c r="A29" s="73">
        <v>44157</v>
      </c>
      <c r="B29" s="40">
        <v>0</v>
      </c>
      <c r="C29" s="40">
        <v>0</v>
      </c>
      <c r="D29" s="40">
        <v>0</v>
      </c>
      <c r="E29" s="41">
        <v>85</v>
      </c>
      <c r="F29" s="41">
        <v>4775</v>
      </c>
      <c r="G29" s="41">
        <v>85</v>
      </c>
      <c r="H29" s="41">
        <v>1374</v>
      </c>
      <c r="I29" s="41">
        <v>85</v>
      </c>
      <c r="J29" s="41">
        <v>273</v>
      </c>
      <c r="K29" s="42">
        <v>85</v>
      </c>
      <c r="L29" s="42">
        <v>86</v>
      </c>
      <c r="M29" s="42">
        <v>1152</v>
      </c>
      <c r="N29" s="39">
        <v>14</v>
      </c>
      <c r="O29" s="39">
        <v>84</v>
      </c>
      <c r="P29" s="39">
        <v>83</v>
      </c>
      <c r="Q29" s="39">
        <v>3006</v>
      </c>
      <c r="R29" s="78">
        <v>83</v>
      </c>
      <c r="S29" s="78">
        <v>196</v>
      </c>
      <c r="T29">
        <f t="shared" si="0"/>
        <v>0</v>
      </c>
    </row>
    <row r="30" spans="1:20" x14ac:dyDescent="0.25">
      <c r="A30" s="73">
        <v>44158</v>
      </c>
      <c r="B30" s="40">
        <v>0</v>
      </c>
      <c r="C30" s="40">
        <v>0</v>
      </c>
      <c r="D30" s="40">
        <v>0</v>
      </c>
      <c r="E30" s="41">
        <v>85</v>
      </c>
      <c r="F30" s="41">
        <v>4775</v>
      </c>
      <c r="G30" s="41">
        <v>85</v>
      </c>
      <c r="H30" s="41">
        <v>1374</v>
      </c>
      <c r="I30" s="41">
        <v>85</v>
      </c>
      <c r="J30" s="41">
        <v>273</v>
      </c>
      <c r="K30" s="42">
        <v>85</v>
      </c>
      <c r="L30" s="42">
        <v>86</v>
      </c>
      <c r="M30" s="42">
        <v>1152</v>
      </c>
      <c r="N30" s="39">
        <v>1</v>
      </c>
      <c r="O30" s="39">
        <v>84</v>
      </c>
      <c r="P30" s="39">
        <v>83</v>
      </c>
      <c r="Q30" s="39">
        <v>3009</v>
      </c>
      <c r="R30" s="78">
        <v>83</v>
      </c>
      <c r="S30" s="78">
        <v>196</v>
      </c>
      <c r="T30">
        <f t="shared" si="0"/>
        <v>0</v>
      </c>
    </row>
    <row r="31" spans="1:20" x14ac:dyDescent="0.25">
      <c r="A31" s="73">
        <v>44159</v>
      </c>
      <c r="B31" s="40">
        <v>0</v>
      </c>
      <c r="C31" s="40">
        <v>0</v>
      </c>
      <c r="D31" s="40">
        <v>0</v>
      </c>
      <c r="E31" s="41">
        <v>85</v>
      </c>
      <c r="F31" s="41">
        <v>4775</v>
      </c>
      <c r="G31" s="41">
        <v>85</v>
      </c>
      <c r="H31" s="41">
        <v>1374</v>
      </c>
      <c r="I31" s="41">
        <v>85</v>
      </c>
      <c r="J31" s="41">
        <v>273</v>
      </c>
      <c r="K31" s="42">
        <v>85</v>
      </c>
      <c r="L31" s="42">
        <v>86</v>
      </c>
      <c r="M31" s="42">
        <v>1152</v>
      </c>
      <c r="N31" s="39">
        <v>1</v>
      </c>
      <c r="O31" s="39">
        <v>82</v>
      </c>
      <c r="P31" s="39">
        <v>83</v>
      </c>
      <c r="Q31" s="39">
        <v>3012</v>
      </c>
      <c r="R31" s="78">
        <v>83</v>
      </c>
      <c r="S31" s="78">
        <v>196</v>
      </c>
      <c r="T31">
        <f t="shared" si="0"/>
        <v>0</v>
      </c>
    </row>
    <row r="32" spans="1:20" x14ac:dyDescent="0.25">
      <c r="A32" s="73">
        <v>44160</v>
      </c>
      <c r="B32" s="40">
        <v>0</v>
      </c>
      <c r="C32" s="40">
        <v>0</v>
      </c>
      <c r="D32" s="40">
        <v>0</v>
      </c>
      <c r="E32" s="41">
        <v>85</v>
      </c>
      <c r="F32" s="41">
        <v>4775</v>
      </c>
      <c r="G32" s="41">
        <v>85</v>
      </c>
      <c r="H32" s="41">
        <v>1374</v>
      </c>
      <c r="I32" s="41">
        <v>85</v>
      </c>
      <c r="J32" s="41">
        <v>273</v>
      </c>
      <c r="K32" s="42">
        <v>85</v>
      </c>
      <c r="L32" s="42">
        <v>86</v>
      </c>
      <c r="M32" s="42">
        <v>1152</v>
      </c>
      <c r="N32" s="39">
        <v>1</v>
      </c>
      <c r="O32" s="39">
        <v>80</v>
      </c>
      <c r="P32" s="39">
        <v>83</v>
      </c>
      <c r="Q32" s="39">
        <v>3016</v>
      </c>
      <c r="R32" s="78">
        <v>83</v>
      </c>
      <c r="S32" s="78">
        <v>196</v>
      </c>
      <c r="T32">
        <f t="shared" si="0"/>
        <v>0</v>
      </c>
    </row>
    <row r="33" spans="1:20" x14ac:dyDescent="0.25">
      <c r="A33" s="73">
        <v>44161</v>
      </c>
      <c r="B33" s="40">
        <v>0</v>
      </c>
      <c r="C33" s="40">
        <v>0</v>
      </c>
      <c r="D33" s="40">
        <v>0</v>
      </c>
      <c r="E33" s="41">
        <v>85</v>
      </c>
      <c r="F33" s="41">
        <v>4775</v>
      </c>
      <c r="G33" s="41">
        <v>85</v>
      </c>
      <c r="H33" s="41">
        <v>1374</v>
      </c>
      <c r="I33" s="41">
        <v>85</v>
      </c>
      <c r="J33" s="41">
        <v>273</v>
      </c>
      <c r="K33" s="42">
        <v>85</v>
      </c>
      <c r="L33" s="42">
        <v>86</v>
      </c>
      <c r="M33" s="42">
        <v>1152</v>
      </c>
      <c r="N33" s="39">
        <v>1</v>
      </c>
      <c r="O33" s="39">
        <v>76</v>
      </c>
      <c r="P33" s="39">
        <v>83</v>
      </c>
      <c r="Q33" s="39">
        <v>3019</v>
      </c>
      <c r="R33" s="78">
        <v>83</v>
      </c>
      <c r="S33" s="78">
        <v>196</v>
      </c>
      <c r="T33">
        <f t="shared" si="0"/>
        <v>0</v>
      </c>
    </row>
    <row r="34" spans="1:20" x14ac:dyDescent="0.25">
      <c r="A34" s="73">
        <v>44162</v>
      </c>
      <c r="B34" s="40">
        <v>0</v>
      </c>
      <c r="C34" s="40">
        <v>0</v>
      </c>
      <c r="D34" s="40">
        <v>0</v>
      </c>
      <c r="E34" s="41">
        <v>85</v>
      </c>
      <c r="F34" s="41">
        <v>4775</v>
      </c>
      <c r="G34" s="41">
        <v>85</v>
      </c>
      <c r="H34" s="41">
        <v>1374</v>
      </c>
      <c r="I34" s="41">
        <v>85</v>
      </c>
      <c r="J34" s="41">
        <v>273</v>
      </c>
      <c r="K34" s="42">
        <v>85</v>
      </c>
      <c r="L34" s="42">
        <v>86</v>
      </c>
      <c r="M34" s="42">
        <v>1152</v>
      </c>
      <c r="N34" s="39">
        <v>1</v>
      </c>
      <c r="O34" s="39">
        <v>71</v>
      </c>
      <c r="P34" s="39">
        <v>83</v>
      </c>
      <c r="Q34" s="39">
        <v>3023</v>
      </c>
      <c r="R34" s="78">
        <v>83</v>
      </c>
      <c r="S34" s="78">
        <v>196</v>
      </c>
      <c r="T34">
        <f t="shared" si="0"/>
        <v>0</v>
      </c>
    </row>
    <row r="35" spans="1:20" x14ac:dyDescent="0.25">
      <c r="A35" s="73">
        <v>44163</v>
      </c>
      <c r="B35" s="40">
        <v>0</v>
      </c>
      <c r="C35" s="40">
        <v>0</v>
      </c>
      <c r="D35" s="40">
        <v>0</v>
      </c>
      <c r="E35" s="41">
        <v>85</v>
      </c>
      <c r="F35" s="41">
        <v>4775</v>
      </c>
      <c r="G35" s="41">
        <v>85</v>
      </c>
      <c r="H35" s="41">
        <v>1374</v>
      </c>
      <c r="I35" s="41">
        <v>85</v>
      </c>
      <c r="J35" s="41">
        <v>273</v>
      </c>
      <c r="K35" s="42">
        <v>85</v>
      </c>
      <c r="L35" s="42">
        <v>86</v>
      </c>
      <c r="M35" s="42">
        <v>1152</v>
      </c>
      <c r="N35" s="39">
        <v>1</v>
      </c>
      <c r="O35" s="39">
        <v>65</v>
      </c>
      <c r="P35" s="39">
        <v>83</v>
      </c>
      <c r="Q35" s="39">
        <v>3027</v>
      </c>
      <c r="R35" s="78">
        <v>83</v>
      </c>
      <c r="S35" s="78">
        <v>196</v>
      </c>
      <c r="T35">
        <f t="shared" si="0"/>
        <v>0</v>
      </c>
    </row>
    <row r="36" spans="1:20" x14ac:dyDescent="0.25">
      <c r="A36" s="73">
        <v>44164</v>
      </c>
      <c r="B36" s="40">
        <v>0</v>
      </c>
      <c r="C36" s="40">
        <v>0</v>
      </c>
      <c r="D36" s="40">
        <v>0</v>
      </c>
      <c r="E36" s="41">
        <v>85</v>
      </c>
      <c r="F36" s="41">
        <v>4775</v>
      </c>
      <c r="G36" s="41">
        <v>85</v>
      </c>
      <c r="H36" s="41">
        <v>1374</v>
      </c>
      <c r="I36" s="41">
        <v>85</v>
      </c>
      <c r="J36" s="41">
        <v>273</v>
      </c>
      <c r="K36" s="42">
        <v>85</v>
      </c>
      <c r="L36" s="42">
        <v>86</v>
      </c>
      <c r="M36" s="42">
        <v>1152</v>
      </c>
      <c r="N36" s="39"/>
      <c r="O36" s="39"/>
      <c r="P36" s="39"/>
      <c r="Q36" s="39"/>
      <c r="R36" s="78"/>
      <c r="S36" s="78"/>
      <c r="T36">
        <f t="shared" si="0"/>
        <v>-196</v>
      </c>
    </row>
    <row r="37" spans="1:20" x14ac:dyDescent="0.25">
      <c r="A37" s="73">
        <v>44165</v>
      </c>
      <c r="B37" s="40">
        <v>0</v>
      </c>
      <c r="C37" s="40">
        <v>0</v>
      </c>
      <c r="D37" s="40">
        <v>0</v>
      </c>
      <c r="E37" s="41">
        <v>85</v>
      </c>
      <c r="F37" s="41">
        <v>4775</v>
      </c>
      <c r="G37" s="41">
        <v>85</v>
      </c>
      <c r="H37" s="41">
        <v>1374</v>
      </c>
      <c r="I37" s="41">
        <v>85</v>
      </c>
      <c r="J37" s="41">
        <v>273</v>
      </c>
      <c r="K37" s="42">
        <v>85</v>
      </c>
      <c r="L37" s="42">
        <v>86</v>
      </c>
      <c r="M37" s="42">
        <v>1152</v>
      </c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44166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44167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Vijay Kumar</cp:lastModifiedBy>
  <dcterms:created xsi:type="dcterms:W3CDTF">2019-08-14T08:16:24Z</dcterms:created>
  <dcterms:modified xsi:type="dcterms:W3CDTF">2020-11-29T10:34:31Z</dcterms:modified>
</cp:coreProperties>
</file>