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ering" sheetId="2" r:id="rId2"/>
    <sheet name="HOTEL" sheetId="3" r:id="rId3"/>
    <sheet name="submeter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 l="1"/>
  <c r="K29" i="2"/>
  <c r="K30" i="2"/>
  <c r="K31" i="2"/>
  <c r="K32" i="2"/>
  <c r="Y40" i="3" l="1"/>
  <c r="U39" i="3"/>
  <c r="P39" i="3"/>
  <c r="I32" i="2" s="1"/>
  <c r="N39" i="3"/>
  <c r="H39" i="3"/>
  <c r="G32" i="2" s="1"/>
  <c r="F39" i="3"/>
  <c r="F32" i="2" s="1"/>
  <c r="D39" i="3"/>
  <c r="V38" i="3"/>
  <c r="U38" i="3"/>
  <c r="P38" i="3"/>
  <c r="I31" i="2" s="1"/>
  <c r="N38" i="3"/>
  <c r="H31" i="2" s="1"/>
  <c r="H38" i="3"/>
  <c r="G31" i="2" s="1"/>
  <c r="F38" i="3"/>
  <c r="F31" i="2" s="1"/>
  <c r="D38" i="3"/>
  <c r="E31" i="2" s="1"/>
  <c r="U37" i="3"/>
  <c r="P37" i="3"/>
  <c r="I30" i="2" s="1"/>
  <c r="N37" i="3"/>
  <c r="H37" i="3"/>
  <c r="G30" i="2" s="1"/>
  <c r="F37" i="3"/>
  <c r="F30" i="2" s="1"/>
  <c r="D37" i="3"/>
  <c r="E30" i="2" s="1"/>
  <c r="U36" i="3"/>
  <c r="P36" i="3"/>
  <c r="I29" i="2" s="1"/>
  <c r="N36" i="3"/>
  <c r="H29" i="2" s="1"/>
  <c r="G29" i="1" s="1"/>
  <c r="H36" i="3"/>
  <c r="G29" i="2" s="1"/>
  <c r="F36" i="3"/>
  <c r="F29" i="2" s="1"/>
  <c r="D36" i="3"/>
  <c r="E29" i="2" s="1"/>
  <c r="E29" i="1" s="1"/>
  <c r="U35" i="3"/>
  <c r="P35" i="3"/>
  <c r="N35" i="3"/>
  <c r="H35" i="3"/>
  <c r="G28" i="2" s="1"/>
  <c r="F35" i="3"/>
  <c r="F28" i="2" s="1"/>
  <c r="D35" i="3"/>
  <c r="E28" i="2" s="1"/>
  <c r="U34" i="3"/>
  <c r="V34" i="3" s="1"/>
  <c r="P34" i="3"/>
  <c r="N34" i="3"/>
  <c r="H27" i="2" s="1"/>
  <c r="H34" i="3"/>
  <c r="G27" i="2" s="1"/>
  <c r="F34" i="3"/>
  <c r="F27" i="2" s="1"/>
  <c r="D34" i="3"/>
  <c r="E27" i="2" s="1"/>
  <c r="U33" i="3"/>
  <c r="P33" i="3"/>
  <c r="I26" i="2" s="1"/>
  <c r="N33" i="3"/>
  <c r="H33" i="3"/>
  <c r="G26" i="2" s="1"/>
  <c r="F33" i="3"/>
  <c r="F26" i="2" s="1"/>
  <c r="D33" i="3"/>
  <c r="E26" i="2" s="1"/>
  <c r="U32" i="3"/>
  <c r="V32" i="3" s="1"/>
  <c r="P32" i="3"/>
  <c r="I25" i="2" s="1"/>
  <c r="N32" i="3"/>
  <c r="H25" i="2" s="1"/>
  <c r="G25" i="1" s="1"/>
  <c r="H32" i="3"/>
  <c r="G25" i="2" s="1"/>
  <c r="F32" i="3"/>
  <c r="F25" i="2" s="1"/>
  <c r="D32" i="3"/>
  <c r="E25" i="2" s="1"/>
  <c r="V31" i="3"/>
  <c r="U31" i="3"/>
  <c r="P31" i="3"/>
  <c r="N31" i="3"/>
  <c r="H24" i="2" s="1"/>
  <c r="H31" i="3"/>
  <c r="G24" i="2" s="1"/>
  <c r="F31" i="3"/>
  <c r="F24" i="2" s="1"/>
  <c r="D31" i="3"/>
  <c r="E24" i="2" s="1"/>
  <c r="U30" i="3"/>
  <c r="P30" i="3"/>
  <c r="I23" i="2" s="1"/>
  <c r="N30" i="3"/>
  <c r="H30" i="3"/>
  <c r="G23" i="2" s="1"/>
  <c r="F30" i="3"/>
  <c r="F23" i="2" s="1"/>
  <c r="D30" i="3"/>
  <c r="E23" i="2" s="1"/>
  <c r="U29" i="3"/>
  <c r="V29" i="3" s="1"/>
  <c r="P29" i="3"/>
  <c r="I22" i="2" s="1"/>
  <c r="N29" i="3"/>
  <c r="H22" i="2" s="1"/>
  <c r="G22" i="1" s="1"/>
  <c r="H29" i="3"/>
  <c r="G22" i="2" s="1"/>
  <c r="F29" i="3"/>
  <c r="F22" i="2" s="1"/>
  <c r="D29" i="3"/>
  <c r="E22" i="2" s="1"/>
  <c r="U28" i="3"/>
  <c r="P28" i="3"/>
  <c r="I21" i="2" s="1"/>
  <c r="N28" i="3"/>
  <c r="H28" i="3"/>
  <c r="G21" i="2" s="1"/>
  <c r="F28" i="3"/>
  <c r="F21" i="2" s="1"/>
  <c r="D28" i="3"/>
  <c r="E21" i="2" s="1"/>
  <c r="U27" i="3"/>
  <c r="V27" i="3" s="1"/>
  <c r="P27" i="3"/>
  <c r="I20" i="2" s="1"/>
  <c r="N27" i="3"/>
  <c r="H20" i="2" s="1"/>
  <c r="G20" i="1" s="1"/>
  <c r="H27" i="3"/>
  <c r="G20" i="2" s="1"/>
  <c r="F27" i="3"/>
  <c r="F20" i="2" s="1"/>
  <c r="D27" i="3"/>
  <c r="E20" i="2" s="1"/>
  <c r="U26" i="3"/>
  <c r="P26" i="3"/>
  <c r="N26" i="3"/>
  <c r="H26" i="3"/>
  <c r="G19" i="2" s="1"/>
  <c r="F26" i="3"/>
  <c r="F19" i="2" s="1"/>
  <c r="D26" i="3"/>
  <c r="E19" i="2" s="1"/>
  <c r="U25" i="3"/>
  <c r="P25" i="3"/>
  <c r="I18" i="2" s="1"/>
  <c r="N25" i="3"/>
  <c r="H18" i="2" s="1"/>
  <c r="H25" i="3"/>
  <c r="G18" i="2" s="1"/>
  <c r="F25" i="3"/>
  <c r="F18" i="2" s="1"/>
  <c r="D25" i="3"/>
  <c r="E18" i="2" s="1"/>
  <c r="U24" i="3"/>
  <c r="P24" i="3"/>
  <c r="I17" i="2" s="1"/>
  <c r="N24" i="3"/>
  <c r="H17" i="2" s="1"/>
  <c r="H24" i="3"/>
  <c r="G17" i="2" s="1"/>
  <c r="F24" i="3"/>
  <c r="F17" i="2" s="1"/>
  <c r="D24" i="3"/>
  <c r="E17" i="2" s="1"/>
  <c r="U23" i="3"/>
  <c r="P23" i="3"/>
  <c r="N23" i="3"/>
  <c r="H16" i="2" s="1"/>
  <c r="H23" i="3"/>
  <c r="G16" i="2" s="1"/>
  <c r="F23" i="3"/>
  <c r="F16" i="2" s="1"/>
  <c r="D23" i="3"/>
  <c r="E16" i="2" s="1"/>
  <c r="U22" i="3"/>
  <c r="P22" i="3"/>
  <c r="I15" i="2" s="1"/>
  <c r="N22" i="3"/>
  <c r="H15" i="2" s="1"/>
  <c r="H22" i="3"/>
  <c r="G15" i="2" s="1"/>
  <c r="F22" i="3"/>
  <c r="F15" i="2" s="1"/>
  <c r="D22" i="3"/>
  <c r="E15" i="2" s="1"/>
  <c r="V21" i="3"/>
  <c r="U21" i="3"/>
  <c r="P21" i="3"/>
  <c r="I14" i="2" s="1"/>
  <c r="N21" i="3"/>
  <c r="H14" i="2" s="1"/>
  <c r="H21" i="3"/>
  <c r="G14" i="2" s="1"/>
  <c r="F21" i="3"/>
  <c r="F14" i="2" s="1"/>
  <c r="D21" i="3"/>
  <c r="E14" i="2" s="1"/>
  <c r="U20" i="3"/>
  <c r="P20" i="3"/>
  <c r="I13" i="2" s="1"/>
  <c r="N20" i="3"/>
  <c r="H13" i="2" s="1"/>
  <c r="H20" i="3"/>
  <c r="G13" i="2" s="1"/>
  <c r="F20" i="3"/>
  <c r="F13" i="2" s="1"/>
  <c r="D20" i="3"/>
  <c r="E13" i="2" s="1"/>
  <c r="E13" i="1" s="1"/>
  <c r="U19" i="3"/>
  <c r="P19" i="3"/>
  <c r="I12" i="2" s="1"/>
  <c r="N19" i="3"/>
  <c r="H12" i="2" s="1"/>
  <c r="H19" i="3"/>
  <c r="G12" i="2" s="1"/>
  <c r="F19" i="3"/>
  <c r="F12" i="2" s="1"/>
  <c r="D19" i="3"/>
  <c r="E12" i="2" s="1"/>
  <c r="U18" i="3"/>
  <c r="P18" i="3"/>
  <c r="I11" i="2" s="1"/>
  <c r="N18" i="3"/>
  <c r="H11" i="2" s="1"/>
  <c r="G11" i="1" s="1"/>
  <c r="H18" i="3"/>
  <c r="G11" i="2" s="1"/>
  <c r="F18" i="3"/>
  <c r="F11" i="2" s="1"/>
  <c r="D18" i="3"/>
  <c r="E11" i="2" s="1"/>
  <c r="E11" i="1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P17" i="3"/>
  <c r="I10" i="2" s="1"/>
  <c r="N17" i="3"/>
  <c r="H10" i="2" s="1"/>
  <c r="H17" i="3"/>
  <c r="G10" i="2" s="1"/>
  <c r="F17" i="3"/>
  <c r="F10" i="2" s="1"/>
  <c r="D17" i="3"/>
  <c r="E10" i="2" s="1"/>
  <c r="U16" i="3"/>
  <c r="P16" i="3"/>
  <c r="I9" i="2" s="1"/>
  <c r="N16" i="3"/>
  <c r="H9" i="2" s="1"/>
  <c r="H16" i="3"/>
  <c r="G9" i="2" s="1"/>
  <c r="F16" i="3"/>
  <c r="F9" i="2" s="1"/>
  <c r="D16" i="3"/>
  <c r="E9" i="2" s="1"/>
  <c r="U15" i="3"/>
  <c r="P15" i="3"/>
  <c r="I8" i="2" s="1"/>
  <c r="N15" i="3"/>
  <c r="H8" i="2" s="1"/>
  <c r="H15" i="3"/>
  <c r="G8" i="2" s="1"/>
  <c r="F15" i="3"/>
  <c r="F8" i="2" s="1"/>
  <c r="D15" i="3"/>
  <c r="E8" i="2" s="1"/>
  <c r="U14" i="3"/>
  <c r="P14" i="3"/>
  <c r="I7" i="2" s="1"/>
  <c r="N14" i="3"/>
  <c r="H7" i="2" s="1"/>
  <c r="H14" i="3"/>
  <c r="G7" i="2" s="1"/>
  <c r="F14" i="3"/>
  <c r="F7" i="2" s="1"/>
  <c r="D14" i="3"/>
  <c r="E7" i="2" s="1"/>
  <c r="U13" i="3"/>
  <c r="P13" i="3"/>
  <c r="I6" i="2" s="1"/>
  <c r="N13" i="3"/>
  <c r="H6" i="2" s="1"/>
  <c r="H13" i="3"/>
  <c r="G6" i="2" s="1"/>
  <c r="F13" i="3"/>
  <c r="F6" i="2" s="1"/>
  <c r="D13" i="3"/>
  <c r="E6" i="2" s="1"/>
  <c r="U12" i="3"/>
  <c r="P12" i="3"/>
  <c r="I5" i="2" s="1"/>
  <c r="N12" i="3"/>
  <c r="H5" i="2" s="1"/>
  <c r="H12" i="3"/>
  <c r="G5" i="2" s="1"/>
  <c r="F12" i="3"/>
  <c r="F5" i="2" s="1"/>
  <c r="D12" i="3"/>
  <c r="E5" i="2" s="1"/>
  <c r="U11" i="3"/>
  <c r="P11" i="3"/>
  <c r="I4" i="2" s="1"/>
  <c r="N11" i="3"/>
  <c r="H4" i="2" s="1"/>
  <c r="H11" i="3"/>
  <c r="G4" i="2" s="1"/>
  <c r="F11" i="3"/>
  <c r="F4" i="2" s="1"/>
  <c r="D11" i="3"/>
  <c r="E4" i="2" s="1"/>
  <c r="U10" i="3"/>
  <c r="P10" i="3"/>
  <c r="I3" i="2" s="1"/>
  <c r="N10" i="3"/>
  <c r="H3" i="2" s="1"/>
  <c r="H10" i="3"/>
  <c r="G3" i="2" s="1"/>
  <c r="F10" i="3"/>
  <c r="F3" i="2" s="1"/>
  <c r="D10" i="3"/>
  <c r="B10" i="3"/>
  <c r="B11" i="3" s="1"/>
  <c r="B12" i="3" s="1"/>
  <c r="B13" i="3" s="1"/>
  <c r="B14" i="3" s="1"/>
  <c r="B15" i="3" s="1"/>
  <c r="B16" i="3" s="1"/>
  <c r="U9" i="3"/>
  <c r="P9" i="3"/>
  <c r="I2" i="2" s="1"/>
  <c r="N9" i="3"/>
  <c r="H2" i="2" s="1"/>
  <c r="H9" i="3"/>
  <c r="G2" i="2" s="1"/>
  <c r="F9" i="3"/>
  <c r="F2" i="2" s="1"/>
  <c r="D9" i="3"/>
  <c r="E2" i="2" s="1"/>
  <c r="U6" i="3"/>
  <c r="V6" i="3" s="1"/>
  <c r="P6" i="3"/>
  <c r="N6" i="3"/>
  <c r="Q6" i="3" s="1"/>
  <c r="R6" i="3" s="1"/>
  <c r="H6" i="3"/>
  <c r="B6" i="3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G2" i="1" l="1"/>
  <c r="G3" i="1"/>
  <c r="G5" i="1"/>
  <c r="G7" i="1"/>
  <c r="G9" i="1"/>
  <c r="V11" i="3"/>
  <c r="I4" i="1"/>
  <c r="J4" i="2"/>
  <c r="V13" i="3"/>
  <c r="I6" i="1"/>
  <c r="J6" i="2"/>
  <c r="V17" i="3"/>
  <c r="I10" i="1"/>
  <c r="J10" i="2"/>
  <c r="V15" i="3"/>
  <c r="I8" i="1"/>
  <c r="J8" i="2"/>
  <c r="V10" i="3"/>
  <c r="I3" i="1"/>
  <c r="J3" i="2"/>
  <c r="V12" i="3"/>
  <c r="I5" i="1"/>
  <c r="J5" i="2"/>
  <c r="V14" i="3"/>
  <c r="I7" i="1"/>
  <c r="J7" i="2"/>
  <c r="V16" i="3"/>
  <c r="I9" i="1"/>
  <c r="J9" i="2"/>
  <c r="I2" i="1"/>
  <c r="J2" i="2"/>
  <c r="V18" i="3"/>
  <c r="I11" i="1"/>
  <c r="J11" i="2"/>
  <c r="G4" i="1"/>
  <c r="G6" i="1"/>
  <c r="G8" i="1"/>
  <c r="G10" i="1"/>
  <c r="G15" i="1"/>
  <c r="G17" i="1"/>
  <c r="G12" i="1"/>
  <c r="G14" i="1"/>
  <c r="R10" i="3"/>
  <c r="R14" i="3"/>
  <c r="Q16" i="3"/>
  <c r="R13" i="3"/>
  <c r="E21" i="1"/>
  <c r="E23" i="1"/>
  <c r="E30" i="1"/>
  <c r="E5" i="1"/>
  <c r="E7" i="1"/>
  <c r="E9" i="1"/>
  <c r="E16" i="1"/>
  <c r="E18" i="1"/>
  <c r="E27" i="1"/>
  <c r="E2" i="1"/>
  <c r="E4" i="1"/>
  <c r="E6" i="1"/>
  <c r="E8" i="1"/>
  <c r="E10" i="1"/>
  <c r="E19" i="1"/>
  <c r="I10" i="3"/>
  <c r="K10" i="3" s="1"/>
  <c r="E3" i="2"/>
  <c r="E3" i="1" s="1"/>
  <c r="I24" i="1"/>
  <c r="J24" i="2"/>
  <c r="J27" i="2"/>
  <c r="I27" i="1"/>
  <c r="V37" i="3"/>
  <c r="J30" i="2"/>
  <c r="I30" i="1"/>
  <c r="I25" i="1"/>
  <c r="J25" i="2"/>
  <c r="V35" i="3"/>
  <c r="I28" i="1"/>
  <c r="J28" i="2"/>
  <c r="I29" i="1"/>
  <c r="J29" i="2"/>
  <c r="V39" i="3"/>
  <c r="I32" i="1"/>
  <c r="J32" i="2"/>
  <c r="V30" i="3"/>
  <c r="J23" i="2"/>
  <c r="I23" i="1"/>
  <c r="V33" i="3"/>
  <c r="J26" i="2"/>
  <c r="I26" i="1"/>
  <c r="V36" i="3"/>
  <c r="J31" i="2"/>
  <c r="I31" i="1"/>
  <c r="R31" i="3"/>
  <c r="I24" i="2"/>
  <c r="Q34" i="3"/>
  <c r="I27" i="2"/>
  <c r="G27" i="1" s="1"/>
  <c r="G31" i="1"/>
  <c r="G24" i="1"/>
  <c r="R35" i="3"/>
  <c r="I28" i="2"/>
  <c r="Q39" i="3"/>
  <c r="H32" i="2"/>
  <c r="G32" i="1" s="1"/>
  <c r="Q30" i="3"/>
  <c r="Q33" i="3"/>
  <c r="H26" i="2"/>
  <c r="G26" i="1" s="1"/>
  <c r="R39" i="3"/>
  <c r="Q35" i="3"/>
  <c r="H28" i="2"/>
  <c r="G28" i="1" s="1"/>
  <c r="Q38" i="3"/>
  <c r="R30" i="3"/>
  <c r="H23" i="2"/>
  <c r="G23" i="1" s="1"/>
  <c r="R32" i="3"/>
  <c r="Q37" i="3"/>
  <c r="H30" i="2"/>
  <c r="G30" i="1" s="1"/>
  <c r="E25" i="1"/>
  <c r="E26" i="1"/>
  <c r="E31" i="1"/>
  <c r="I35" i="3"/>
  <c r="K35" i="3" s="1"/>
  <c r="I34" i="3"/>
  <c r="K34" i="3" s="1"/>
  <c r="E24" i="1"/>
  <c r="E28" i="1"/>
  <c r="I39" i="3"/>
  <c r="K39" i="3" s="1"/>
  <c r="X39" i="3" s="1"/>
  <c r="Z39" i="3" s="1"/>
  <c r="E32" i="2"/>
  <c r="E32" i="1" s="1"/>
  <c r="J16" i="2"/>
  <c r="I16" i="1"/>
  <c r="V26" i="3"/>
  <c r="I19" i="1"/>
  <c r="J19" i="2"/>
  <c r="V20" i="3"/>
  <c r="I13" i="1"/>
  <c r="J13" i="2"/>
  <c r="V23" i="3"/>
  <c r="I18" i="1"/>
  <c r="J18" i="2"/>
  <c r="V28" i="3"/>
  <c r="I21" i="1"/>
  <c r="J21" i="2"/>
  <c r="V22" i="3"/>
  <c r="I15" i="1"/>
  <c r="J15" i="2"/>
  <c r="V25" i="3"/>
  <c r="J20" i="2"/>
  <c r="I20" i="1"/>
  <c r="V19" i="3"/>
  <c r="J12" i="2"/>
  <c r="I12" i="1"/>
  <c r="I14" i="1"/>
  <c r="J14" i="2"/>
  <c r="V24" i="3"/>
  <c r="I17" i="1"/>
  <c r="J17" i="2"/>
  <c r="I22" i="1"/>
  <c r="J22" i="2"/>
  <c r="G16" i="1"/>
  <c r="G13" i="1"/>
  <c r="R23" i="3"/>
  <c r="I16" i="2"/>
  <c r="G18" i="1"/>
  <c r="Q26" i="3"/>
  <c r="I19" i="2"/>
  <c r="R27" i="3"/>
  <c r="R24" i="3"/>
  <c r="R26" i="3"/>
  <c r="H19" i="2"/>
  <c r="G19" i="1" s="1"/>
  <c r="R28" i="3"/>
  <c r="H21" i="2"/>
  <c r="G21" i="1" s="1"/>
  <c r="E22" i="1"/>
  <c r="E15" i="1"/>
  <c r="E20" i="1"/>
  <c r="E12" i="1"/>
  <c r="E14" i="1"/>
  <c r="E17" i="1"/>
  <c r="I27" i="3"/>
  <c r="K27" i="3" s="1"/>
  <c r="X27" i="3" s="1"/>
  <c r="Z27" i="3" s="1"/>
  <c r="Q10" i="3"/>
  <c r="Q12" i="3"/>
  <c r="Q14" i="3"/>
  <c r="R19" i="3"/>
  <c r="I11" i="3"/>
  <c r="K11" i="3" s="1"/>
  <c r="I15" i="3"/>
  <c r="K15" i="3" s="1"/>
  <c r="C40" i="3"/>
  <c r="I12" i="3"/>
  <c r="K12" i="3" s="1"/>
  <c r="I16" i="3"/>
  <c r="K16" i="3" s="1"/>
  <c r="I19" i="3"/>
  <c r="K19" i="3" s="1"/>
  <c r="Q20" i="3"/>
  <c r="Q25" i="3"/>
  <c r="Q29" i="3"/>
  <c r="R34" i="3"/>
  <c r="R38" i="3"/>
  <c r="Q11" i="3"/>
  <c r="Q13" i="3"/>
  <c r="Q15" i="3"/>
  <c r="Q19" i="3"/>
  <c r="Q18" i="3"/>
  <c r="Q22" i="3"/>
  <c r="Q27" i="3"/>
  <c r="Q31" i="3"/>
  <c r="R36" i="3"/>
  <c r="R9" i="3"/>
  <c r="R12" i="3"/>
  <c r="R15" i="3"/>
  <c r="R21" i="3"/>
  <c r="R22" i="3"/>
  <c r="Q28" i="3"/>
  <c r="R29" i="3"/>
  <c r="Q36" i="3"/>
  <c r="R37" i="3"/>
  <c r="X34" i="3"/>
  <c r="Z34" i="3" s="1"/>
  <c r="R20" i="3"/>
  <c r="R11" i="3"/>
  <c r="R16" i="3"/>
  <c r="R18" i="3"/>
  <c r="Q24" i="3"/>
  <c r="R25" i="3"/>
  <c r="Q32" i="3"/>
  <c r="R33" i="3"/>
  <c r="I13" i="3"/>
  <c r="K13" i="3" s="1"/>
  <c r="I14" i="3"/>
  <c r="K14" i="3" s="1"/>
  <c r="I24" i="3"/>
  <c r="K24" i="3" s="1"/>
  <c r="X24" i="3" s="1"/>
  <c r="Z24" i="3" s="1"/>
  <c r="I25" i="3"/>
  <c r="K25" i="3" s="1"/>
  <c r="I32" i="3"/>
  <c r="K32" i="3" s="1"/>
  <c r="X32" i="3" s="1"/>
  <c r="Z32" i="3" s="1"/>
  <c r="I33" i="3"/>
  <c r="K33" i="3" s="1"/>
  <c r="I22" i="3"/>
  <c r="K22" i="3" s="1"/>
  <c r="X22" i="3" s="1"/>
  <c r="Z22" i="3" s="1"/>
  <c r="I23" i="3"/>
  <c r="K23" i="3" s="1"/>
  <c r="I30" i="3"/>
  <c r="K30" i="3" s="1"/>
  <c r="I31" i="3"/>
  <c r="K31" i="3" s="1"/>
  <c r="I38" i="3"/>
  <c r="K38" i="3" s="1"/>
  <c r="I21" i="3"/>
  <c r="K21" i="3" s="1"/>
  <c r="I28" i="3"/>
  <c r="K28" i="3" s="1"/>
  <c r="I29" i="3"/>
  <c r="K29" i="3" s="1"/>
  <c r="I36" i="3"/>
  <c r="K36" i="3" s="1"/>
  <c r="X36" i="3" s="1"/>
  <c r="Z36" i="3" s="1"/>
  <c r="I37" i="3"/>
  <c r="K37" i="3" s="1"/>
  <c r="E40" i="3"/>
  <c r="I9" i="3"/>
  <c r="T40" i="3"/>
  <c r="V9" i="3"/>
  <c r="I17" i="3"/>
  <c r="K17" i="3" s="1"/>
  <c r="G40" i="3"/>
  <c r="I18" i="3"/>
  <c r="K18" i="3" s="1"/>
  <c r="Q21" i="3"/>
  <c r="I26" i="3"/>
  <c r="K26" i="3" s="1"/>
  <c r="R17" i="3"/>
  <c r="O40" i="3"/>
  <c r="K6" i="3"/>
  <c r="X6" i="3" s="1"/>
  <c r="Z6" i="3" s="1"/>
  <c r="J6" i="3"/>
  <c r="M40" i="3"/>
  <c r="Q9" i="3"/>
  <c r="Q17" i="3"/>
  <c r="I20" i="3"/>
  <c r="K20" i="3" s="1"/>
  <c r="Q23" i="3"/>
  <c r="X15" i="3" l="1"/>
  <c r="Z15" i="3" s="1"/>
  <c r="X23" i="3"/>
  <c r="Z23" i="3" s="1"/>
  <c r="X14" i="3"/>
  <c r="Z14" i="3" s="1"/>
  <c r="X12" i="3"/>
  <c r="Z12" i="3" s="1"/>
  <c r="X10" i="3"/>
  <c r="Z10" i="3" s="1"/>
  <c r="X30" i="3"/>
  <c r="Z30" i="3" s="1"/>
  <c r="X13" i="3"/>
  <c r="Z13" i="3" s="1"/>
  <c r="X35" i="3"/>
  <c r="Z35" i="3" s="1"/>
  <c r="X16" i="3"/>
  <c r="Z16" i="3" s="1"/>
  <c r="X11" i="3"/>
  <c r="Z11" i="3" s="1"/>
  <c r="V40" i="3"/>
  <c r="X31" i="3"/>
  <c r="Z31" i="3" s="1"/>
  <c r="X38" i="3"/>
  <c r="Z38" i="3" s="1"/>
  <c r="X29" i="3"/>
  <c r="Z29" i="3" s="1"/>
  <c r="X26" i="3"/>
  <c r="Z26" i="3" s="1"/>
  <c r="X28" i="3"/>
  <c r="Z28" i="3" s="1"/>
  <c r="X20" i="3"/>
  <c r="Z20" i="3" s="1"/>
  <c r="X21" i="3"/>
  <c r="Z21" i="3" s="1"/>
  <c r="X25" i="3"/>
  <c r="Z25" i="3" s="1"/>
  <c r="R40" i="3"/>
  <c r="X19" i="3"/>
  <c r="Z19" i="3" s="1"/>
  <c r="X17" i="3"/>
  <c r="Z17" i="3" s="1"/>
  <c r="X37" i="3"/>
  <c r="Z37" i="3" s="1"/>
  <c r="X33" i="3"/>
  <c r="Z33" i="3" s="1"/>
  <c r="X18" i="3"/>
  <c r="Z18" i="3" s="1"/>
  <c r="Q40" i="3"/>
  <c r="K9" i="3"/>
  <c r="I40" i="3"/>
  <c r="K40" i="3" l="1"/>
  <c r="X9" i="3"/>
  <c r="Z9" i="3" l="1"/>
  <c r="Z40" i="3" s="1"/>
  <c r="X40" i="3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<sst xmlns="http://schemas.openxmlformats.org/spreadsheetml/2006/main" count="310" uniqueCount="123">
  <si>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</si>
  <si>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</si>
  <si>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</si>
  <si>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</si>
  <si>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</si>
  <si>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</si>
  <si>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</si>
  <si>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</si>
  <si>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</si>
  <si>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</si>
  <si>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</si>
  <si>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</si>
  <si>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</si>
  <si>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</si>
  <si>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</si>
  <si>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</si>
  <si>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</si>
  <si>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</si>
  <si>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</si>
  <si>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</si>
  <si>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</si>
  <si>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</si>
  <si>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</si>
  <si>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</si>
  <si>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</si>
  <si>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</si>
  <si>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</si>
  <si>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</si>
  <si>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</si>
  <si>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</si>
  <si>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</si>
  <si>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</si>
  <si>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</si>
  <si>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</si>
  <si>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</si>
  <si>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</si>
  <si>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</si>
  <si>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</si>
  <si>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</si>
  <si>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</si>
  <si>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</si>
  <si>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</si>
  <si>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</si>
  <si>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</si>
  <si>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</si>
  <si>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</si>
  <si>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</si>
  <si>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</si>
  <si>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</si>
  <si>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</si>
  <si>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</si>
  <si>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</si>
  <si>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</si>
  <si>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</si>
  <si>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</si>
  <si>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</si>
  <si>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</si>
  <si>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</si>
  <si>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</si>
  <si>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</si>
  <si>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</si>
  <si>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</si>
  <si>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</si>
  <si>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</si>
  <si>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</si>
  <si>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</si>
  <si>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</si>
  <si>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</si>
  <si>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</si>
  <si>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</si>
  <si>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</si>
  <si>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</si>
  <si>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</si>
  <si>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</si>
  <si>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</si>
  <si>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</si>
  <si>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</si>
  <si>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</si>
  <si>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</si>
  <si>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</si>
  <si>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</si>
  <si>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</si>
  <si>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</si>
  <si>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</si>
  <si>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</si>
  <si>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</si>
  <si>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</si>
  <si>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</si>
  <si>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</si>
  <si>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</si>
  <si>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</si>
  <si>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</si>
  <si>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</si>
  <si>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</si>
  <si>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</si>
  <si>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</si>
  <si>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</si>
  <si>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</si>
  <si>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</si>
  <si>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</si>
  <si>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</si>
  <si>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</si>
  <si>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</si>
  <si>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</si>
  <si>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</si>
  <si>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</si>
  <si>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</si>
  <si>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</si>
  <si>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</si>
  <si>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</si>
  <si>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</si>
  <si>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</si>
  <si>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</si>
  <si>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</si>
  <si>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</si>
  <si>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</si>
  <si>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MA</t>
  </si>
  <si>
    <t>ME</t>
  </si>
  <si>
    <t>J</t>
  </si>
  <si>
    <t>V</t>
  </si>
  <si>
    <t>S</t>
  </si>
  <si>
    <t>L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</si>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</sst>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color rgb="FF0070C0"/>
      <name val="Arial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6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7" fillId="0" borderId="0" xfId="0" applyFont="1"/>
    <xf numFmtId="0" fontId="0" fillId="0" borderId="0" xfId="0" applyAlignment="1">
      <alignment horizontal="right"/>
    </xf>
    <xf numFmtId="164" fontId="6" fillId="5" borderId="0" xfId="0" applyNumberFormat="1" applyFont="1" applyFill="1" applyAlignment="1">
      <alignment horizontal="center"/>
    </xf>
    <xf numFmtId="164" fontId="18" fillId="5" borderId="14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8" fillId="5" borderId="14" xfId="0" applyNumberFormat="1" applyFont="1" applyFill="1" applyBorder="1" applyAlignment="1">
      <alignment vertical="center"/>
    </xf>
    <xf numFmtId="164" fontId="20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horizontal="right" vertical="center"/>
    </xf>
    <xf numFmtId="164" fontId="18" fillId="5" borderId="0" xfId="0" applyNumberFormat="1" applyFont="1" applyFill="1" applyAlignment="1">
      <alignment vertical="center"/>
    </xf>
    <xf numFmtId="164" fontId="19" fillId="0" borderId="17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21" fillId="0" borderId="18" xfId="0" applyNumberFormat="1" applyFont="1" applyBorder="1" applyAlignment="1" applyProtection="1">
      <alignment horizontal="center"/>
      <protection locked="0" hidden="1"/>
    </xf>
    <xf numFmtId="164" fontId="18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2" fillId="0" borderId="0" xfId="0" applyFont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25" xfId="0" applyFont="1" applyFill="1" applyBorder="1" applyAlignment="1">
      <alignment horizontal="right" vertical="center"/>
    </xf>
    <xf numFmtId="0" fontId="25" fillId="11" borderId="2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3" fontId="27" fillId="0" borderId="15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8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8" fillId="0" borderId="0" xfId="0" applyFont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65" fontId="29" fillId="0" borderId="29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9" fillId="12" borderId="15" xfId="0" applyNumberFormat="1" applyFont="1" applyFill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5" fontId="19" fillId="12" borderId="14" xfId="0" applyNumberFormat="1" applyFont="1" applyFill="1" applyBorder="1" applyAlignment="1">
      <alignment horizontal="center"/>
    </xf>
    <xf numFmtId="3" fontId="21" fillId="0" borderId="15" xfId="0" applyNumberFormat="1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3" fontId="21" fillId="0" borderId="17" xfId="0" applyNumberFormat="1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 vertical="center"/>
    </xf>
    <xf numFmtId="3" fontId="28" fillId="0" borderId="8" xfId="0" applyNumberFormat="1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165" fontId="19" fillId="12" borderId="30" xfId="0" applyNumberFormat="1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3" fontId="28" fillId="0" borderId="2" xfId="0" applyNumberFormat="1" applyFont="1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14" xfId="0" applyNumberFormat="1" applyFont="1" applyFill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0" fontId="25" fillId="11" borderId="0" xfId="0" applyFont="1" applyFill="1" applyAlignment="1">
      <alignment horizontal="center" vertical="center"/>
    </xf>
    <xf numFmtId="3" fontId="19" fillId="0" borderId="0" xfId="0" applyNumberFormat="1" applyFont="1" applyBorder="1" applyAlignment="1">
      <alignment horizontal="center"/>
    </xf>
    <xf numFmtId="3" fontId="19" fillId="0" borderId="16" xfId="0" applyNumberFormat="1" applyFont="1" applyFill="1" applyBorder="1" applyAlignment="1">
      <alignment horizontal="center"/>
    </xf>
    <xf numFmtId="3" fontId="21" fillId="0" borderId="0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3" fontId="28" fillId="0" borderId="6" xfId="0" applyNumberFormat="1" applyFont="1" applyBorder="1" applyAlignment="1">
      <alignment vertical="center"/>
    </xf>
    <xf numFmtId="3" fontId="30" fillId="0" borderId="6" xfId="0" applyNumberFormat="1" applyFont="1" applyBorder="1" applyAlignment="1">
      <alignment horizontal="right" vertical="center"/>
    </xf>
    <xf numFmtId="4" fontId="31" fillId="0" borderId="6" xfId="0" applyNumberFormat="1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3" fontId="32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horizontal="center" vertical="center"/>
    </xf>
    <xf numFmtId="1" fontId="31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165" fontId="31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3" fontId="28" fillId="0" borderId="22" xfId="0" applyNumberFormat="1" applyFont="1" applyBorder="1" applyAlignment="1">
      <alignment horizontal="center" vertical="center"/>
    </xf>
    <xf numFmtId="3" fontId="28" fillId="0" borderId="32" xfId="0" applyNumberFormat="1" applyFont="1" applyBorder="1" applyAlignment="1">
      <alignment horizontal="center" vertical="center"/>
    </xf>
    <xf numFmtId="3" fontId="28" fillId="0" borderId="33" xfId="0" applyNumberFormat="1" applyFont="1" applyBorder="1" applyAlignment="1">
      <alignment horizontal="center" vertical="center"/>
    </xf>
    <xf numFmtId="3" fontId="28" fillId="0" borderId="26" xfId="0" applyNumberFormat="1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  <row r="36">
          <cell r="AY36">
            <v>49083</v>
          </cell>
        </row>
        <row r="37">
          <cell r="AY37">
            <v>49113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C3" sqref="C3:C32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7</v>
      </c>
      <c r="D2" s="7">
        <v>2020</v>
      </c>
      <c r="E2" s="9">
        <f>submetering!E2+submetering!F2+submetering!G2</f>
        <v>9707</v>
      </c>
      <c r="F2" s="7">
        <v>0.251</v>
      </c>
      <c r="G2" s="9">
        <f>submetering!H2+submetering!I2</f>
        <v>607</v>
      </c>
      <c r="H2" s="7">
        <v>0.57181599999999999</v>
      </c>
      <c r="I2" s="9">
        <f>HOTEL!U9</f>
        <v>288</v>
      </c>
      <c r="J2" s="7">
        <v>2.855</v>
      </c>
      <c r="K2" s="7">
        <f>HOTEL!Y9</f>
        <v>9</v>
      </c>
    </row>
    <row r="3" spans="1:11" s="12" customFormat="1" x14ac:dyDescent="0.25">
      <c r="A3" s="7" t="s">
        <v>11</v>
      </c>
      <c r="B3" s="11">
        <f>B2+1</f>
        <v>2</v>
      </c>
      <c r="C3" s="8">
        <v>7</v>
      </c>
      <c r="D3" s="7">
        <v>2020</v>
      </c>
      <c r="E3" s="9">
        <f>submetering!E3+submetering!F3+submetering!G3</f>
        <v>11096</v>
      </c>
      <c r="F3" s="7">
        <v>0.251</v>
      </c>
      <c r="G3" s="9">
        <f>submetering!H3+submetering!I3</f>
        <v>644</v>
      </c>
      <c r="H3" s="7">
        <v>0.57181599999999999</v>
      </c>
      <c r="I3" s="9">
        <f>HOTEL!U10</f>
        <v>43</v>
      </c>
      <c r="J3" s="7">
        <v>2.855</v>
      </c>
      <c r="K3" s="7">
        <f>HOTEL!Y10</f>
        <v>10</v>
      </c>
    </row>
    <row r="4" spans="1:11" s="12" customFormat="1" x14ac:dyDescent="0.25">
      <c r="A4" s="7" t="s">
        <v>11</v>
      </c>
      <c r="B4" s="11">
        <f t="shared" ref="B4:B32" si="0">B3+1</f>
        <v>3</v>
      </c>
      <c r="C4" s="8">
        <v>7</v>
      </c>
      <c r="D4" s="7">
        <v>2020</v>
      </c>
      <c r="E4" s="9">
        <f>submetering!E4+submetering!F4+submetering!G4</f>
        <v>11499</v>
      </c>
      <c r="F4" s="7">
        <v>0.251</v>
      </c>
      <c r="G4" s="9">
        <f>submetering!H4+submetering!I4</f>
        <v>656</v>
      </c>
      <c r="H4" s="7">
        <v>0.57181599999999999</v>
      </c>
      <c r="I4" s="9">
        <f>HOTEL!U11</f>
        <v>92</v>
      </c>
      <c r="J4" s="7">
        <v>2.855</v>
      </c>
      <c r="K4" s="7">
        <f>HOTEL!Y11</f>
        <v>18</v>
      </c>
    </row>
    <row r="5" spans="1:11" s="12" customFormat="1" x14ac:dyDescent="0.25">
      <c r="A5" s="7" t="s">
        <v>11</v>
      </c>
      <c r="B5" s="11">
        <f t="shared" si="0"/>
        <v>4</v>
      </c>
      <c r="C5" s="8">
        <v>7</v>
      </c>
      <c r="D5" s="7">
        <v>2020</v>
      </c>
      <c r="E5" s="9">
        <f>submetering!E5+submetering!F5+submetering!G5</f>
        <v>11570</v>
      </c>
      <c r="F5" s="7">
        <v>0.251</v>
      </c>
      <c r="G5" s="9">
        <f>submetering!H5+submetering!I5</f>
        <v>909</v>
      </c>
      <c r="H5" s="7">
        <v>0.57181599999999999</v>
      </c>
      <c r="I5" s="9">
        <f>HOTEL!U12</f>
        <v>376</v>
      </c>
      <c r="J5" s="7">
        <v>2.855</v>
      </c>
      <c r="K5" s="7">
        <f>HOTEL!Y12</f>
        <v>19</v>
      </c>
    </row>
    <row r="6" spans="1:11" s="12" customFormat="1" x14ac:dyDescent="0.25">
      <c r="A6" s="7" t="s">
        <v>11</v>
      </c>
      <c r="B6" s="11">
        <f t="shared" si="0"/>
        <v>5</v>
      </c>
      <c r="C6" s="8">
        <v>7</v>
      </c>
      <c r="D6" s="7">
        <v>2020</v>
      </c>
      <c r="E6" s="9">
        <f>submetering!E6+submetering!F6+submetering!G6</f>
        <v>9869</v>
      </c>
      <c r="F6" s="7">
        <v>0.251</v>
      </c>
      <c r="G6" s="9">
        <f>submetering!H6+submetering!I6</f>
        <v>718</v>
      </c>
      <c r="H6" s="7">
        <v>0.57181599999999999</v>
      </c>
      <c r="I6" s="9">
        <f>HOTEL!U13</f>
        <v>200</v>
      </c>
      <c r="J6" s="7">
        <v>2.855</v>
      </c>
      <c r="K6" s="7">
        <f>HOTEL!Y13</f>
        <v>21</v>
      </c>
    </row>
    <row r="7" spans="1:11" s="12" customFormat="1" x14ac:dyDescent="0.25">
      <c r="A7" s="7" t="s">
        <v>11</v>
      </c>
      <c r="B7" s="11">
        <f t="shared" si="0"/>
        <v>6</v>
      </c>
      <c r="C7" s="8">
        <v>7</v>
      </c>
      <c r="D7" s="7">
        <v>2020</v>
      </c>
      <c r="E7" s="9">
        <f>submetering!E7+submetering!F7+submetering!G7</f>
        <v>10455</v>
      </c>
      <c r="F7" s="7">
        <v>0.251</v>
      </c>
      <c r="G7" s="9">
        <f>submetering!H7+submetering!I7</f>
        <v>826</v>
      </c>
      <c r="H7" s="7">
        <v>0.57181599999999999</v>
      </c>
      <c r="I7" s="9">
        <f>HOTEL!U14</f>
        <v>348</v>
      </c>
      <c r="J7" s="7">
        <v>2.855</v>
      </c>
      <c r="K7" s="7">
        <f>HOTEL!Y14</f>
        <v>19</v>
      </c>
    </row>
    <row r="8" spans="1:11" s="12" customFormat="1" x14ac:dyDescent="0.25">
      <c r="A8" s="7" t="s">
        <v>11</v>
      </c>
      <c r="B8" s="11">
        <f t="shared" si="0"/>
        <v>7</v>
      </c>
      <c r="C8" s="8">
        <v>7</v>
      </c>
      <c r="D8" s="7">
        <v>2020</v>
      </c>
      <c r="E8" s="9">
        <f>submetering!E8+submetering!F8+submetering!G8</f>
        <v>10538</v>
      </c>
      <c r="F8" s="7">
        <v>0.251</v>
      </c>
      <c r="G8" s="9">
        <f>submetering!H8+submetering!I8</f>
        <v>776</v>
      </c>
      <c r="H8" s="7">
        <v>0.57181599999999999</v>
      </c>
      <c r="I8" s="9">
        <f>HOTEL!U15</f>
        <v>426</v>
      </c>
      <c r="J8" s="7">
        <v>2.855</v>
      </c>
      <c r="K8" s="7">
        <f>HOTEL!Y15</f>
        <v>28</v>
      </c>
    </row>
    <row r="9" spans="1:11" s="12" customFormat="1" x14ac:dyDescent="0.25">
      <c r="A9" s="7" t="s">
        <v>11</v>
      </c>
      <c r="B9" s="11">
        <f t="shared" si="0"/>
        <v>8</v>
      </c>
      <c r="C9" s="8">
        <v>7</v>
      </c>
      <c r="D9" s="7">
        <v>2020</v>
      </c>
      <c r="E9" s="9">
        <f>submetering!E9+submetering!F9+submetering!G9</f>
        <v>0</v>
      </c>
      <c r="F9" s="7">
        <v>0.251</v>
      </c>
      <c r="G9" s="9">
        <f>submetering!H9+submetering!I9</f>
        <v>0</v>
      </c>
      <c r="H9" s="7">
        <v>0.57181599999999999</v>
      </c>
      <c r="I9" s="9" t="str">
        <f>HOTEL!U16</f>
        <v>0</v>
      </c>
      <c r="J9" s="7">
        <v>2.855</v>
      </c>
      <c r="K9" s="7">
        <f>HOTEL!Y16</f>
        <v>0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7</v>
      </c>
      <c r="D10" s="7">
        <v>2020</v>
      </c>
      <c r="E10" s="9">
        <f>submetering!E10+submetering!F10+submetering!G10</f>
        <v>0</v>
      </c>
      <c r="F10" s="7">
        <v>0.251</v>
      </c>
      <c r="G10" s="9">
        <f>submetering!H10+submetering!I10</f>
        <v>0</v>
      </c>
      <c r="H10" s="7">
        <v>0.57181599999999999</v>
      </c>
      <c r="I10" s="9">
        <f>HOTEL!U17</f>
        <v>0</v>
      </c>
      <c r="J10" s="7">
        <v>2.855</v>
      </c>
      <c r="K10" s="7">
        <f>HOTEL!Y17</f>
        <v>0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7</v>
      </c>
      <c r="D11" s="7">
        <v>2020</v>
      </c>
      <c r="E11" s="9">
        <f>submetering!E11+submetering!F11+submetering!G11</f>
        <v>0</v>
      </c>
      <c r="F11" s="7">
        <v>0.251</v>
      </c>
      <c r="G11" s="9">
        <f>submetering!H11+submetering!I11</f>
        <v>0</v>
      </c>
      <c r="H11" s="7">
        <v>0.57181599999999999</v>
      </c>
      <c r="I11" s="9">
        <f>HOTEL!U18</f>
        <v>0</v>
      </c>
      <c r="J11" s="7">
        <v>2.855</v>
      </c>
      <c r="K11" s="7">
        <f>HOTEL!Y18</f>
        <v>0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7</v>
      </c>
      <c r="D12" s="7">
        <v>2020</v>
      </c>
      <c r="E12" s="9">
        <f>submetering!E12+submetering!F12+submetering!G12</f>
        <v>0</v>
      </c>
      <c r="F12" s="7">
        <v>0.251</v>
      </c>
      <c r="G12" s="9">
        <f>submetering!H12+submetering!I12</f>
        <v>0</v>
      </c>
      <c r="H12" s="7">
        <v>0.57181599999999999</v>
      </c>
      <c r="I12" s="9">
        <f>HOTEL!U19</f>
        <v>0</v>
      </c>
      <c r="J12" s="7">
        <v>2.855</v>
      </c>
      <c r="K12" s="7">
        <f>HOTEL!Y19</f>
        <v>0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7</v>
      </c>
      <c r="D13" s="7">
        <v>2020</v>
      </c>
      <c r="E13" s="9">
        <f>submetering!E13+submetering!F13+submetering!G13</f>
        <v>0</v>
      </c>
      <c r="F13" s="7">
        <v>0.251</v>
      </c>
      <c r="G13" s="9">
        <f>submetering!H13+submetering!I13</f>
        <v>0</v>
      </c>
      <c r="H13" s="7">
        <v>0.57181599999999999</v>
      </c>
      <c r="I13" s="9">
        <f>HOTEL!U20</f>
        <v>0</v>
      </c>
      <c r="J13" s="7">
        <v>2.855</v>
      </c>
      <c r="K13" s="7">
        <f>HOTEL!Y20</f>
        <v>0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7</v>
      </c>
      <c r="D14" s="7">
        <v>2020</v>
      </c>
      <c r="E14" s="9">
        <f>submetering!E14+submetering!F14+submetering!G14</f>
        <v>0</v>
      </c>
      <c r="F14" s="7">
        <v>0.251</v>
      </c>
      <c r="G14" s="9">
        <f>submetering!H14+submetering!I14</f>
        <v>0</v>
      </c>
      <c r="H14" s="7">
        <v>0.57181599999999999</v>
      </c>
      <c r="I14" s="9">
        <f>HOTEL!U21</f>
        <v>0</v>
      </c>
      <c r="J14" s="7">
        <v>2.855</v>
      </c>
      <c r="K14" s="7">
        <f>HOTEL!Y21</f>
        <v>0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7</v>
      </c>
      <c r="D15" s="7">
        <v>2020</v>
      </c>
      <c r="E15" s="9">
        <f>submetering!E15+submetering!F15+submetering!G15</f>
        <v>0</v>
      </c>
      <c r="F15" s="7">
        <v>0.251</v>
      </c>
      <c r="G15" s="9">
        <f>submetering!H15+submetering!I15</f>
        <v>0</v>
      </c>
      <c r="H15" s="7">
        <v>0.57181599999999999</v>
      </c>
      <c r="I15" s="9">
        <f>HOTEL!U22</f>
        <v>0</v>
      </c>
      <c r="J15" s="7">
        <v>2.855</v>
      </c>
      <c r="K15" s="7">
        <f>HOTEL!Y22</f>
        <v>0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7</v>
      </c>
      <c r="D16" s="7">
        <v>2020</v>
      </c>
      <c r="E16" s="9">
        <f>submetering!E16+submetering!F16+submetering!G16</f>
        <v>0</v>
      </c>
      <c r="F16" s="7">
        <v>0.251</v>
      </c>
      <c r="G16" s="9">
        <f>submetering!H16+submetering!I16</f>
        <v>0</v>
      </c>
      <c r="H16" s="7">
        <v>0.57181599999999999</v>
      </c>
      <c r="I16" s="9">
        <f>HOTEL!U23</f>
        <v>0</v>
      </c>
      <c r="J16" s="7">
        <v>2.855</v>
      </c>
      <c r="K16" s="7">
        <f>HOTEL!Y23</f>
        <v>0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7</v>
      </c>
      <c r="D17" s="7">
        <v>2020</v>
      </c>
      <c r="E17" s="9">
        <f>submetering!E17+submetering!F17+submetering!G17</f>
        <v>0</v>
      </c>
      <c r="F17" s="7">
        <v>0.251</v>
      </c>
      <c r="G17" s="9">
        <f>submetering!H17+submetering!I17</f>
        <v>0</v>
      </c>
      <c r="H17" s="7">
        <v>0.57181599999999999</v>
      </c>
      <c r="I17" s="9">
        <f>HOTEL!U24</f>
        <v>0</v>
      </c>
      <c r="J17" s="7">
        <v>2.855</v>
      </c>
      <c r="K17" s="7">
        <f>HOTEL!Y24</f>
        <v>0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7</v>
      </c>
      <c r="D18" s="7">
        <v>2020</v>
      </c>
      <c r="E18" s="9">
        <f>submetering!E18+submetering!F18+submetering!G18</f>
        <v>0</v>
      </c>
      <c r="F18" s="7">
        <v>0.251</v>
      </c>
      <c r="G18" s="9">
        <f>submetering!H18+submetering!I18</f>
        <v>0</v>
      </c>
      <c r="H18" s="7">
        <v>0.57181599999999999</v>
      </c>
      <c r="I18" s="9">
        <f>HOTEL!U25</f>
        <v>0</v>
      </c>
      <c r="J18" s="7">
        <v>2.855</v>
      </c>
      <c r="K18" s="7">
        <f>HOTEL!Y25</f>
        <v>0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7</v>
      </c>
      <c r="D19" s="7">
        <v>2020</v>
      </c>
      <c r="E19" s="9">
        <f>submetering!E19+submetering!F19+submetering!G19</f>
        <v>0</v>
      </c>
      <c r="F19" s="7">
        <v>0.251</v>
      </c>
      <c r="G19" s="9">
        <f>submetering!H19+submetering!I19</f>
        <v>0</v>
      </c>
      <c r="H19" s="7">
        <v>0.57181599999999999</v>
      </c>
      <c r="I19" s="9">
        <f>HOTEL!U26</f>
        <v>0</v>
      </c>
      <c r="J19" s="7">
        <v>2.855</v>
      </c>
      <c r="K19" s="7">
        <f>HOTEL!Y26</f>
        <v>0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7</v>
      </c>
      <c r="D20" s="7">
        <v>2020</v>
      </c>
      <c r="E20" s="9">
        <f>submetering!E20+submetering!F20+submetering!G20</f>
        <v>0</v>
      </c>
      <c r="F20" s="7">
        <v>0.251</v>
      </c>
      <c r="G20" s="9">
        <f>submetering!H20+submetering!I20</f>
        <v>0</v>
      </c>
      <c r="H20" s="7">
        <v>0.57181599999999999</v>
      </c>
      <c r="I20" s="9">
        <f>HOTEL!U27</f>
        <v>0</v>
      </c>
      <c r="J20" s="7">
        <v>2.855</v>
      </c>
      <c r="K20" s="7">
        <f>HOTEL!Y27</f>
        <v>0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7</v>
      </c>
      <c r="D21" s="7">
        <v>2020</v>
      </c>
      <c r="E21" s="9">
        <f>submetering!E21+submetering!F21+submetering!G21</f>
        <v>0</v>
      </c>
      <c r="F21" s="7">
        <v>0.251</v>
      </c>
      <c r="G21" s="9">
        <f>submetering!H21+submetering!I21</f>
        <v>0</v>
      </c>
      <c r="H21" s="7">
        <v>0.57181599999999999</v>
      </c>
      <c r="I21" s="9">
        <f>HOTEL!U28</f>
        <v>0</v>
      </c>
      <c r="J21" s="7">
        <v>2.855</v>
      </c>
      <c r="K21" s="7">
        <f>HOTEL!Y28</f>
        <v>0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7</v>
      </c>
      <c r="D22" s="7">
        <v>2020</v>
      </c>
      <c r="E22" s="9">
        <f>submetering!E22+submetering!F22+submetering!G22</f>
        <v>0</v>
      </c>
      <c r="F22" s="7">
        <v>0.251</v>
      </c>
      <c r="G22" s="9">
        <f>submetering!H22+submetering!I22</f>
        <v>0</v>
      </c>
      <c r="H22" s="7">
        <v>0.57181599999999999</v>
      </c>
      <c r="I22" s="9">
        <f>HOTEL!U29</f>
        <v>0</v>
      </c>
      <c r="J22" s="7">
        <v>2.855</v>
      </c>
      <c r="K22" s="7">
        <f>HOTEL!Y29</f>
        <v>0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7</v>
      </c>
      <c r="D23" s="7">
        <v>2020</v>
      </c>
      <c r="E23" s="9">
        <f>submetering!E23+submetering!F23+submetering!G23</f>
        <v>0</v>
      </c>
      <c r="F23" s="7">
        <v>0.251</v>
      </c>
      <c r="G23" s="9">
        <f>submetering!H23+submetering!I23</f>
        <v>0</v>
      </c>
      <c r="H23" s="7">
        <v>0.57181599999999999</v>
      </c>
      <c r="I23" s="9">
        <f>HOTEL!U30</f>
        <v>0</v>
      </c>
      <c r="J23" s="7">
        <v>2.855</v>
      </c>
      <c r="K23" s="7">
        <f>HOTEL!Y30</f>
        <v>0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7</v>
      </c>
      <c r="D24" s="7">
        <v>2020</v>
      </c>
      <c r="E24" s="9">
        <f>submetering!E24+submetering!F24+submetering!G24</f>
        <v>0</v>
      </c>
      <c r="F24" s="7">
        <v>0.251</v>
      </c>
      <c r="G24" s="9">
        <f>submetering!H24+submetering!I24</f>
        <v>0</v>
      </c>
      <c r="H24" s="7">
        <v>0.57181599999999999</v>
      </c>
      <c r="I24" s="9">
        <f>HOTEL!U31</f>
        <v>0</v>
      </c>
      <c r="J24" s="7">
        <v>2.855</v>
      </c>
      <c r="K24" s="7">
        <f>HOTEL!Y31</f>
        <v>0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7</v>
      </c>
      <c r="D25" s="7">
        <v>2020</v>
      </c>
      <c r="E25" s="9">
        <f>submetering!E25+submetering!F25+submetering!G25</f>
        <v>0</v>
      </c>
      <c r="F25" s="7">
        <v>0.251</v>
      </c>
      <c r="G25" s="9">
        <f>submetering!H25+submetering!I25</f>
        <v>0</v>
      </c>
      <c r="H25" s="7">
        <v>0.57181599999999999</v>
      </c>
      <c r="I25" s="9">
        <f>HOTEL!U32</f>
        <v>0</v>
      </c>
      <c r="J25" s="7">
        <v>2.855</v>
      </c>
      <c r="K25" s="7">
        <f>HOTEL!Y32</f>
        <v>0</v>
      </c>
    </row>
    <row r="26" spans="1:11" s="12" customFormat="1" x14ac:dyDescent="0.25">
      <c r="A26" s="7" t="s">
        <v>11</v>
      </c>
      <c r="B26" s="11">
        <f>B25+1</f>
        <v>25</v>
      </c>
      <c r="C26" s="8">
        <v>7</v>
      </c>
      <c r="D26" s="7">
        <v>2020</v>
      </c>
      <c r="E26" s="9">
        <f>submetering!E26+submetering!F26+submetering!G26</f>
        <v>0</v>
      </c>
      <c r="F26" s="7">
        <v>0.251</v>
      </c>
      <c r="G26" s="9">
        <f>submetering!H26+submetering!I26</f>
        <v>0</v>
      </c>
      <c r="H26" s="7">
        <v>0.57181599999999999</v>
      </c>
      <c r="I26" s="9">
        <f>HOTEL!U33</f>
        <v>0</v>
      </c>
      <c r="J26" s="7">
        <v>2.855</v>
      </c>
      <c r="K26" s="7">
        <f>HOTEL!Y33</f>
        <v>0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7</v>
      </c>
      <c r="D27" s="7">
        <v>2020</v>
      </c>
      <c r="E27" s="9">
        <f>submetering!E27+submetering!F27+submetering!G27</f>
        <v>0</v>
      </c>
      <c r="F27" s="7">
        <v>0.251</v>
      </c>
      <c r="G27" s="9">
        <f>submetering!H27+submetering!I27</f>
        <v>0</v>
      </c>
      <c r="H27" s="7">
        <v>0.57181599999999999</v>
      </c>
      <c r="I27" s="9">
        <f>HOTEL!U34</f>
        <v>0</v>
      </c>
      <c r="J27" s="7">
        <v>2.855</v>
      </c>
      <c r="K27" s="7">
        <f>HOTEL!Y34</f>
        <v>0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7</v>
      </c>
      <c r="D28" s="7">
        <v>2020</v>
      </c>
      <c r="E28" s="9">
        <f>submetering!E28+submetering!F28+submetering!G28</f>
        <v>0</v>
      </c>
      <c r="F28" s="7">
        <v>0.251</v>
      </c>
      <c r="G28" s="9">
        <f>submetering!H28+submetering!I28</f>
        <v>0</v>
      </c>
      <c r="H28" s="7">
        <v>0.57181599999999999</v>
      </c>
      <c r="I28" s="9">
        <f>HOTEL!U35</f>
        <v>0</v>
      </c>
      <c r="J28" s="7">
        <v>2.855</v>
      </c>
      <c r="K28" s="7">
        <f>HOTEL!Y35</f>
        <v>0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7</v>
      </c>
      <c r="D29" s="7">
        <v>2020</v>
      </c>
      <c r="E29" s="9">
        <f>submetering!E29+submetering!F29+submetering!G29</f>
        <v>0</v>
      </c>
      <c r="F29" s="7">
        <v>0.251</v>
      </c>
      <c r="G29" s="9">
        <f>submetering!H29+submetering!I29</f>
        <v>0</v>
      </c>
      <c r="H29" s="7">
        <v>0.57181599999999999</v>
      </c>
      <c r="I29" s="9">
        <f>HOTEL!U36</f>
        <v>0</v>
      </c>
      <c r="J29" s="7">
        <v>2.855</v>
      </c>
      <c r="K29" s="7">
        <f>HOTEL!Y36</f>
        <v>0</v>
      </c>
    </row>
    <row r="30" spans="1:11" s="12" customFormat="1" x14ac:dyDescent="0.25">
      <c r="A30" s="7" t="s">
        <v>11</v>
      </c>
      <c r="B30" s="11">
        <f t="shared" si="0"/>
        <v>29</v>
      </c>
      <c r="C30" s="8">
        <v>7</v>
      </c>
      <c r="D30" s="7">
        <v>2020</v>
      </c>
      <c r="E30" s="9">
        <f>submetering!E30+submetering!F30+submetering!G30</f>
        <v>0</v>
      </c>
      <c r="F30" s="7">
        <v>0.251</v>
      </c>
      <c r="G30" s="9">
        <f>submetering!H30+submetering!I30</f>
        <v>0</v>
      </c>
      <c r="H30" s="7">
        <v>0.57181599999999999</v>
      </c>
      <c r="I30" s="9">
        <f>HOTEL!U37</f>
        <v>0</v>
      </c>
      <c r="J30" s="7">
        <v>2.855</v>
      </c>
      <c r="K30" s="7">
        <f>HOTEL!Y37</f>
        <v>0</v>
      </c>
    </row>
    <row r="31" spans="1:11" s="10" customFormat="1" x14ac:dyDescent="0.25">
      <c r="A31" s="7" t="s">
        <v>11</v>
      </c>
      <c r="B31" s="11">
        <f t="shared" si="0"/>
        <v>30</v>
      </c>
      <c r="C31" s="8">
        <v>7</v>
      </c>
      <c r="D31" s="7">
        <v>2020</v>
      </c>
      <c r="E31" s="9">
        <f>submetering!E31+submetering!F31+submetering!G31</f>
        <v>0</v>
      </c>
      <c r="F31" s="7">
        <v>0.251</v>
      </c>
      <c r="G31" s="9">
        <f>submetering!H31+submetering!I31</f>
        <v>0</v>
      </c>
      <c r="H31" s="7">
        <v>0.57181599999999999</v>
      </c>
      <c r="I31" s="9">
        <f>HOTEL!U38</f>
        <v>0</v>
      </c>
      <c r="J31" s="7">
        <v>2.855</v>
      </c>
      <c r="K31" s="7">
        <f>HOTEL!Y38</f>
        <v>0</v>
      </c>
    </row>
    <row r="32" spans="1:11" s="10" customFormat="1" x14ac:dyDescent="0.25">
      <c r="A32" s="7" t="s">
        <v>11</v>
      </c>
      <c r="B32" s="11">
        <f t="shared" si="0"/>
        <v>31</v>
      </c>
      <c r="C32" s="8">
        <v>7</v>
      </c>
      <c r="D32" s="7">
        <v>2020</v>
      </c>
      <c r="E32" s="9">
        <f>submetering!E32+submetering!F32+submetering!G32</f>
        <v>0</v>
      </c>
      <c r="F32" s="7">
        <v>0.251</v>
      </c>
      <c r="G32" s="9">
        <f>submetering!H32+submetering!I32</f>
        <v>0</v>
      </c>
      <c r="H32" s="7">
        <v>0.57181599999999999</v>
      </c>
      <c r="I32" s="9">
        <f>HOTEL!U39</f>
        <v>0</v>
      </c>
      <c r="J32" s="7">
        <v>2.855</v>
      </c>
      <c r="K32" s="7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9"/>
  <sheetViews>
    <sheetView workbookViewId="0">
      <selection activeCell="M14" sqref="M14"/>
    </sheetView>
  </sheetViews>
  <sheetFormatPr defaultColWidth="11.5703125" defaultRowHeight="15" x14ac:dyDescent="0.25"/>
  <cols>
    <col min="1" max="1" width="12.28515625" style="6" customWidth="1"/>
    <col min="2" max="3" width="11.5703125" style="13"/>
    <col min="4" max="4" width="13.42578125" style="13" customWidth="1"/>
    <col min="5" max="9" width="12.5703125" style="16" customWidth="1"/>
    <col min="10" max="10" width="11.5703125" style="16"/>
    <col min="11" max="11" width="11.5703125" style="13"/>
    <col min="82" max="82" width="13.42578125" customWidth="1"/>
    <col min="257" max="257" width="12.28515625" customWidth="1"/>
    <col min="260" max="260" width="13.42578125" customWidth="1"/>
    <col min="261" max="265" width="12.5703125" customWidth="1"/>
    <col min="338" max="338" width="13.42578125" customWidth="1"/>
    <col min="513" max="513" width="12.28515625" customWidth="1"/>
    <col min="516" max="516" width="13.42578125" customWidth="1"/>
    <col min="517" max="521" width="12.5703125" customWidth="1"/>
    <col min="594" max="594" width="13.42578125" customWidth="1"/>
    <col min="769" max="769" width="12.28515625" customWidth="1"/>
    <col min="772" max="772" width="13.42578125" customWidth="1"/>
    <col min="773" max="777" width="12.5703125" customWidth="1"/>
    <col min="850" max="850" width="13.42578125" customWidth="1"/>
    <col min="1025" max="1025" width="12.28515625" customWidth="1"/>
    <col min="1028" max="1028" width="13.42578125" customWidth="1"/>
    <col min="1029" max="1033" width="12.5703125" customWidth="1"/>
    <col min="1106" max="1106" width="13.42578125" customWidth="1"/>
    <col min="1281" max="1281" width="12.28515625" customWidth="1"/>
    <col min="1284" max="1284" width="13.42578125" customWidth="1"/>
    <col min="1285" max="1289" width="12.5703125" customWidth="1"/>
    <col min="1362" max="1362" width="13.42578125" customWidth="1"/>
    <col min="1537" max="1537" width="12.28515625" customWidth="1"/>
    <col min="1540" max="1540" width="13.42578125" customWidth="1"/>
    <col min="1541" max="1545" width="12.5703125" customWidth="1"/>
    <col min="1618" max="1618" width="13.42578125" customWidth="1"/>
    <col min="1793" max="1793" width="12.28515625" customWidth="1"/>
    <col min="1796" max="1796" width="13.42578125" customWidth="1"/>
    <col min="1797" max="1801" width="12.5703125" customWidth="1"/>
    <col min="1874" max="1874" width="13.42578125" customWidth="1"/>
    <col min="2049" max="2049" width="12.28515625" customWidth="1"/>
    <col min="2052" max="2052" width="13.42578125" customWidth="1"/>
    <col min="2053" max="2057" width="12.5703125" customWidth="1"/>
    <col min="2130" max="2130" width="13.42578125" customWidth="1"/>
    <col min="2305" max="2305" width="12.28515625" customWidth="1"/>
    <col min="2308" max="2308" width="13.42578125" customWidth="1"/>
    <col min="2309" max="2313" width="12.5703125" customWidth="1"/>
    <col min="2386" max="2386" width="13.42578125" customWidth="1"/>
    <col min="2561" max="2561" width="12.28515625" customWidth="1"/>
    <col min="2564" max="2564" width="13.42578125" customWidth="1"/>
    <col min="2565" max="2569" width="12.5703125" customWidth="1"/>
    <col min="2642" max="2642" width="13.42578125" customWidth="1"/>
    <col min="2817" max="2817" width="12.28515625" customWidth="1"/>
    <col min="2820" max="2820" width="13.42578125" customWidth="1"/>
    <col min="2821" max="2825" width="12.5703125" customWidth="1"/>
    <col min="2898" max="2898" width="13.42578125" customWidth="1"/>
    <col min="3073" max="3073" width="12.28515625" customWidth="1"/>
    <col min="3076" max="3076" width="13.42578125" customWidth="1"/>
    <col min="3077" max="3081" width="12.5703125" customWidth="1"/>
    <col min="3154" max="3154" width="13.42578125" customWidth="1"/>
    <col min="3329" max="3329" width="12.28515625" customWidth="1"/>
    <col min="3332" max="3332" width="13.42578125" customWidth="1"/>
    <col min="3333" max="3337" width="12.5703125" customWidth="1"/>
    <col min="3410" max="3410" width="13.42578125" customWidth="1"/>
    <col min="3585" max="3585" width="12.28515625" customWidth="1"/>
    <col min="3588" max="3588" width="13.42578125" customWidth="1"/>
    <col min="3589" max="3593" width="12.5703125" customWidth="1"/>
    <col min="3666" max="3666" width="13.42578125" customWidth="1"/>
    <col min="3841" max="3841" width="12.28515625" customWidth="1"/>
    <col min="3844" max="3844" width="13.42578125" customWidth="1"/>
    <col min="3845" max="3849" width="12.5703125" customWidth="1"/>
    <col min="3922" max="3922" width="13.42578125" customWidth="1"/>
    <col min="4097" max="4097" width="12.28515625" customWidth="1"/>
    <col min="4100" max="4100" width="13.42578125" customWidth="1"/>
    <col min="4101" max="4105" width="12.5703125" customWidth="1"/>
    <col min="4178" max="4178" width="13.42578125" customWidth="1"/>
    <col min="4353" max="4353" width="12.28515625" customWidth="1"/>
    <col min="4356" max="4356" width="13.42578125" customWidth="1"/>
    <col min="4357" max="4361" width="12.5703125" customWidth="1"/>
    <col min="4434" max="4434" width="13.42578125" customWidth="1"/>
    <col min="4609" max="4609" width="12.28515625" customWidth="1"/>
    <col min="4612" max="4612" width="13.42578125" customWidth="1"/>
    <col min="4613" max="4617" width="12.5703125" customWidth="1"/>
    <col min="4690" max="4690" width="13.42578125" customWidth="1"/>
    <col min="4865" max="4865" width="12.28515625" customWidth="1"/>
    <col min="4868" max="4868" width="13.42578125" customWidth="1"/>
    <col min="4869" max="4873" width="12.5703125" customWidth="1"/>
    <col min="4946" max="4946" width="13.42578125" customWidth="1"/>
    <col min="5121" max="5121" width="12.28515625" customWidth="1"/>
    <col min="5124" max="5124" width="13.42578125" customWidth="1"/>
    <col min="5125" max="5129" width="12.5703125" customWidth="1"/>
    <col min="5202" max="5202" width="13.42578125" customWidth="1"/>
    <col min="5377" max="5377" width="12.28515625" customWidth="1"/>
    <col min="5380" max="5380" width="13.42578125" customWidth="1"/>
    <col min="5381" max="5385" width="12.5703125" customWidth="1"/>
    <col min="5458" max="5458" width="13.42578125" customWidth="1"/>
    <col min="5633" max="5633" width="12.28515625" customWidth="1"/>
    <col min="5636" max="5636" width="13.42578125" customWidth="1"/>
    <col min="5637" max="5641" width="12.5703125" customWidth="1"/>
    <col min="5714" max="5714" width="13.42578125" customWidth="1"/>
    <col min="5889" max="5889" width="12.28515625" customWidth="1"/>
    <col min="5892" max="5892" width="13.42578125" customWidth="1"/>
    <col min="5893" max="5897" width="12.5703125" customWidth="1"/>
    <col min="5970" max="5970" width="13.42578125" customWidth="1"/>
    <col min="6145" max="6145" width="12.28515625" customWidth="1"/>
    <col min="6148" max="6148" width="13.42578125" customWidth="1"/>
    <col min="6149" max="6153" width="12.5703125" customWidth="1"/>
    <col min="6226" max="6226" width="13.42578125" customWidth="1"/>
    <col min="6401" max="6401" width="12.28515625" customWidth="1"/>
    <col min="6404" max="6404" width="13.42578125" customWidth="1"/>
    <col min="6405" max="6409" width="12.5703125" customWidth="1"/>
    <col min="6482" max="6482" width="13.42578125" customWidth="1"/>
    <col min="6657" max="6657" width="12.28515625" customWidth="1"/>
    <col min="6660" max="6660" width="13.42578125" customWidth="1"/>
    <col min="6661" max="6665" width="12.5703125" customWidth="1"/>
    <col min="6738" max="6738" width="13.42578125" customWidth="1"/>
    <col min="6913" max="6913" width="12.28515625" customWidth="1"/>
    <col min="6916" max="6916" width="13.42578125" customWidth="1"/>
    <col min="6917" max="6921" width="12.5703125" customWidth="1"/>
    <col min="6994" max="6994" width="13.42578125" customWidth="1"/>
    <col min="7169" max="7169" width="12.28515625" customWidth="1"/>
    <col min="7172" max="7172" width="13.42578125" customWidth="1"/>
    <col min="7173" max="7177" width="12.5703125" customWidth="1"/>
    <col min="7250" max="7250" width="13.42578125" customWidth="1"/>
    <col min="7425" max="7425" width="12.28515625" customWidth="1"/>
    <col min="7428" max="7428" width="13.42578125" customWidth="1"/>
    <col min="7429" max="7433" width="12.5703125" customWidth="1"/>
    <col min="7506" max="7506" width="13.42578125" customWidth="1"/>
    <col min="7681" max="7681" width="12.28515625" customWidth="1"/>
    <col min="7684" max="7684" width="13.42578125" customWidth="1"/>
    <col min="7685" max="7689" width="12.5703125" customWidth="1"/>
    <col min="7762" max="7762" width="13.42578125" customWidth="1"/>
    <col min="7937" max="7937" width="12.28515625" customWidth="1"/>
    <col min="7940" max="7940" width="13.42578125" customWidth="1"/>
    <col min="7941" max="7945" width="12.5703125" customWidth="1"/>
    <col min="8018" max="8018" width="13.42578125" customWidth="1"/>
    <col min="8193" max="8193" width="12.28515625" customWidth="1"/>
    <col min="8196" max="8196" width="13.42578125" customWidth="1"/>
    <col min="8197" max="8201" width="12.5703125" customWidth="1"/>
    <col min="8274" max="8274" width="13.42578125" customWidth="1"/>
    <col min="8449" max="8449" width="12.28515625" customWidth="1"/>
    <col min="8452" max="8452" width="13.42578125" customWidth="1"/>
    <col min="8453" max="8457" width="12.5703125" customWidth="1"/>
    <col min="8530" max="8530" width="13.42578125" customWidth="1"/>
    <col min="8705" max="8705" width="12.28515625" customWidth="1"/>
    <col min="8708" max="8708" width="13.42578125" customWidth="1"/>
    <col min="8709" max="8713" width="12.5703125" customWidth="1"/>
    <col min="8786" max="8786" width="13.42578125" customWidth="1"/>
    <col min="8961" max="8961" width="12.28515625" customWidth="1"/>
    <col min="8964" max="8964" width="13.42578125" customWidth="1"/>
    <col min="8965" max="8969" width="12.5703125" customWidth="1"/>
    <col min="9042" max="9042" width="13.42578125" customWidth="1"/>
    <col min="9217" max="9217" width="12.28515625" customWidth="1"/>
    <col min="9220" max="9220" width="13.42578125" customWidth="1"/>
    <col min="9221" max="9225" width="12.5703125" customWidth="1"/>
    <col min="9298" max="9298" width="13.42578125" customWidth="1"/>
    <col min="9473" max="9473" width="12.28515625" customWidth="1"/>
    <col min="9476" max="9476" width="13.42578125" customWidth="1"/>
    <col min="9477" max="9481" width="12.5703125" customWidth="1"/>
    <col min="9554" max="9554" width="13.42578125" customWidth="1"/>
    <col min="9729" max="9729" width="12.28515625" customWidth="1"/>
    <col min="9732" max="9732" width="13.42578125" customWidth="1"/>
    <col min="9733" max="9737" width="12.5703125" customWidth="1"/>
    <col min="9810" max="9810" width="13.42578125" customWidth="1"/>
    <col min="9985" max="9985" width="12.28515625" customWidth="1"/>
    <col min="9988" max="9988" width="13.42578125" customWidth="1"/>
    <col min="9989" max="9993" width="12.5703125" customWidth="1"/>
    <col min="10066" max="10066" width="13.42578125" customWidth="1"/>
    <col min="10241" max="10241" width="12.28515625" customWidth="1"/>
    <col min="10244" max="10244" width="13.42578125" customWidth="1"/>
    <col min="10245" max="10249" width="12.5703125" customWidth="1"/>
    <col min="10322" max="10322" width="13.42578125" customWidth="1"/>
    <col min="10497" max="10497" width="12.28515625" customWidth="1"/>
    <col min="10500" max="10500" width="13.42578125" customWidth="1"/>
    <col min="10501" max="10505" width="12.5703125" customWidth="1"/>
    <col min="10578" max="10578" width="13.42578125" customWidth="1"/>
    <col min="10753" max="10753" width="12.28515625" customWidth="1"/>
    <col min="10756" max="10756" width="13.42578125" customWidth="1"/>
    <col min="10757" max="10761" width="12.5703125" customWidth="1"/>
    <col min="10834" max="10834" width="13.42578125" customWidth="1"/>
    <col min="11009" max="11009" width="12.28515625" customWidth="1"/>
    <col min="11012" max="11012" width="13.42578125" customWidth="1"/>
    <col min="11013" max="11017" width="12.5703125" customWidth="1"/>
    <col min="11090" max="11090" width="13.42578125" customWidth="1"/>
    <col min="11265" max="11265" width="12.28515625" customWidth="1"/>
    <col min="11268" max="11268" width="13.42578125" customWidth="1"/>
    <col min="11269" max="11273" width="12.5703125" customWidth="1"/>
    <col min="11346" max="11346" width="13.42578125" customWidth="1"/>
    <col min="11521" max="11521" width="12.28515625" customWidth="1"/>
    <col min="11524" max="11524" width="13.42578125" customWidth="1"/>
    <col min="11525" max="11529" width="12.5703125" customWidth="1"/>
    <col min="11602" max="11602" width="13.42578125" customWidth="1"/>
    <col min="11777" max="11777" width="12.28515625" customWidth="1"/>
    <col min="11780" max="11780" width="13.42578125" customWidth="1"/>
    <col min="11781" max="11785" width="12.5703125" customWidth="1"/>
    <col min="11858" max="11858" width="13.42578125" customWidth="1"/>
    <col min="12033" max="12033" width="12.28515625" customWidth="1"/>
    <col min="12036" max="12036" width="13.42578125" customWidth="1"/>
    <col min="12037" max="12041" width="12.5703125" customWidth="1"/>
    <col min="12114" max="12114" width="13.42578125" customWidth="1"/>
    <col min="12289" max="12289" width="12.28515625" customWidth="1"/>
    <col min="12292" max="12292" width="13.42578125" customWidth="1"/>
    <col min="12293" max="12297" width="12.5703125" customWidth="1"/>
    <col min="12370" max="12370" width="13.42578125" customWidth="1"/>
    <col min="12545" max="12545" width="12.28515625" customWidth="1"/>
    <col min="12548" max="12548" width="13.42578125" customWidth="1"/>
    <col min="12549" max="12553" width="12.5703125" customWidth="1"/>
    <col min="12626" max="12626" width="13.42578125" customWidth="1"/>
    <col min="12801" max="12801" width="12.28515625" customWidth="1"/>
    <col min="12804" max="12804" width="13.42578125" customWidth="1"/>
    <col min="12805" max="12809" width="12.5703125" customWidth="1"/>
    <col min="12882" max="12882" width="13.42578125" customWidth="1"/>
    <col min="13057" max="13057" width="12.28515625" customWidth="1"/>
    <col min="13060" max="13060" width="13.42578125" customWidth="1"/>
    <col min="13061" max="13065" width="12.5703125" customWidth="1"/>
    <col min="13138" max="13138" width="13.42578125" customWidth="1"/>
    <col min="13313" max="13313" width="12.28515625" customWidth="1"/>
    <col min="13316" max="13316" width="13.42578125" customWidth="1"/>
    <col min="13317" max="13321" width="12.5703125" customWidth="1"/>
    <col min="13394" max="13394" width="13.42578125" customWidth="1"/>
    <col min="13569" max="13569" width="12.28515625" customWidth="1"/>
    <col min="13572" max="13572" width="13.42578125" customWidth="1"/>
    <col min="13573" max="13577" width="12.5703125" customWidth="1"/>
    <col min="13650" max="13650" width="13.42578125" customWidth="1"/>
    <col min="13825" max="13825" width="12.28515625" customWidth="1"/>
    <col min="13828" max="13828" width="13.42578125" customWidth="1"/>
    <col min="13829" max="13833" width="12.5703125" customWidth="1"/>
    <col min="13906" max="13906" width="13.42578125" customWidth="1"/>
    <col min="14081" max="14081" width="12.28515625" customWidth="1"/>
    <col min="14084" max="14084" width="13.42578125" customWidth="1"/>
    <col min="14085" max="14089" width="12.5703125" customWidth="1"/>
    <col min="14162" max="14162" width="13.42578125" customWidth="1"/>
    <col min="14337" max="14337" width="12.28515625" customWidth="1"/>
    <col min="14340" max="14340" width="13.42578125" customWidth="1"/>
    <col min="14341" max="14345" width="12.5703125" customWidth="1"/>
    <col min="14418" max="14418" width="13.42578125" customWidth="1"/>
    <col min="14593" max="14593" width="12.28515625" customWidth="1"/>
    <col min="14596" max="14596" width="13.42578125" customWidth="1"/>
    <col min="14597" max="14601" width="12.5703125" customWidth="1"/>
    <col min="14674" max="14674" width="13.42578125" customWidth="1"/>
    <col min="14849" max="14849" width="12.28515625" customWidth="1"/>
    <col min="14852" max="14852" width="13.42578125" customWidth="1"/>
    <col min="14853" max="14857" width="12.5703125" customWidth="1"/>
    <col min="14930" max="14930" width="13.42578125" customWidth="1"/>
    <col min="15105" max="15105" width="12.28515625" customWidth="1"/>
    <col min="15108" max="15108" width="13.42578125" customWidth="1"/>
    <col min="15109" max="15113" width="12.5703125" customWidth="1"/>
    <col min="15186" max="15186" width="13.42578125" customWidth="1"/>
    <col min="15361" max="15361" width="12.28515625" customWidth="1"/>
    <col min="15364" max="15364" width="13.42578125" customWidth="1"/>
    <col min="15365" max="15369" width="12.5703125" customWidth="1"/>
    <col min="15442" max="15442" width="13.42578125" customWidth="1"/>
    <col min="15617" max="15617" width="12.28515625" customWidth="1"/>
    <col min="15620" max="15620" width="13.42578125" customWidth="1"/>
    <col min="15621" max="15625" width="12.5703125" customWidth="1"/>
    <col min="15698" max="15698" width="13.42578125" customWidth="1"/>
    <col min="15873" max="15873" width="12.28515625" customWidth="1"/>
    <col min="15876" max="15876" width="13.42578125" customWidth="1"/>
    <col min="15877" max="15881" width="12.5703125" customWidth="1"/>
    <col min="15954" max="15954" width="13.42578125" customWidth="1"/>
    <col min="16129" max="16129" width="12.28515625" customWidth="1"/>
    <col min="16132" max="16132" width="13.42578125" customWidth="1"/>
    <col min="16133" max="16137" width="12.5703125" customWidth="1"/>
    <col min="16210" max="16210" width="13.42578125" customWidth="1"/>
  </cols>
  <sheetData>
    <row r="1" spans="1:95" s="6" customFormat="1" ht="75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  <c r="CP1" s="28"/>
      <c r="CQ1" s="28"/>
    </row>
    <row r="2" spans="1:95" x14ac:dyDescent="0.25">
      <c r="A2" t="s">
        <v>11</v>
      </c>
      <c r="B2" s="13">
        <v>1</v>
      </c>
      <c r="C2" s="13">
        <v>7</v>
      </c>
      <c r="D2" s="13">
        <v>2020</v>
      </c>
      <c r="E2" s="16">
        <f>HOTEL!D9</f>
        <v>3332</v>
      </c>
      <c r="F2" s="16">
        <f>HOTEL!F9</f>
        <v>3295</v>
      </c>
      <c r="G2" s="16">
        <f>HOTEL!H9</f>
        <v>3080</v>
      </c>
      <c r="H2" s="16">
        <f>HOTEL!N9</f>
        <v>93</v>
      </c>
      <c r="I2" s="16">
        <f>HOTEL!P9</f>
        <v>514</v>
      </c>
      <c r="J2" s="16">
        <f>HOTEL!U9</f>
        <v>288</v>
      </c>
      <c r="K2" s="16">
        <f>HOTEL!Y9</f>
        <v>9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>
        <f>IF(([1]Submeters!AY8-[1]Submeters!AY6)&lt;0,"0",[1]Submeters!AY8-[1]Submeters!AY6)</f>
        <v>389</v>
      </c>
      <c r="BJ2" s="29">
        <f>IF(([1]Submeters!AZ8-[1]Submeters!AZ6)&lt;0,"0",[1]Submeters!AZ8-[1]Submeters!AZ6)</f>
        <v>0</v>
      </c>
      <c r="BK2" s="29">
        <f>IF(([1]Submeters!BA8-[1]Submeters!BA6)&lt;0,"0",[1]Submeters!BA8-[1]Submeters!BA6)</f>
        <v>0</v>
      </c>
      <c r="BL2" s="29">
        <f>IF(([1]Submeters!BB8-[1]Submeters!BB6)&lt;0,"0",[1]Submeters!BB8-[1]Submeters!BB6)</f>
        <v>0</v>
      </c>
      <c r="BM2" s="29">
        <f>IF(([1]Submeters!BC8-[1]Submeters!BC6)&lt;0,"0",[1]Submeters!BC8-[1]Submeters!BC6)</f>
        <v>0</v>
      </c>
      <c r="BN2" s="29">
        <f>IF(([1]Submeters!BD8-[1]Submeters!BD6)&lt;0,"0",[1]Submeters!BD8-[1]Submeters!BD6)</f>
        <v>0</v>
      </c>
      <c r="BO2" s="29">
        <f>IF(([1]Submeters!BE8-[1]Submeters!BE6)&lt;0,"0",[1]Submeters!BE8-[1]Submeters!BE6)</f>
        <v>0</v>
      </c>
      <c r="BP2" s="29">
        <f>IF(([1]Submeters!BF8-[1]Submeters!BF6)&lt;0,"0",[1]Submeters!BF8-[1]Submeters!BF6)</f>
        <v>0</v>
      </c>
      <c r="BQ2" s="29">
        <f>IF(([1]Submeters!BG8-[1]Submeters!BG6)&lt;0,"0",[1]Submeters!BG8-[1]Submeters!BG6)</f>
        <v>0</v>
      </c>
      <c r="BR2" s="29">
        <f>IF(([1]Submeters!BH8-[1]Submeters!BH6)&lt;0,"0",[1]Submeters!BH8-[1]Submeters!BH6)</f>
        <v>0</v>
      </c>
      <c r="BS2" s="29">
        <f>IF(([1]Submeters!BI8-[1]Submeters!BI6)&lt;0,"0",[1]Submeters!BI8-[1]Submeters!BI6)</f>
        <v>0</v>
      </c>
      <c r="BT2" s="29">
        <f>IF(([1]Submeters!BJ8-[1]Submeters!BJ6)&lt;0,"0",[1]Submeters!BJ8-[1]Submeters!BJ6)</f>
        <v>0</v>
      </c>
      <c r="BU2" s="29">
        <f>IF(([1]Submeters!BK8-[1]Submeters!BK6)&lt;0,"0",[1]Submeters!BK8-[1]Submeters!BK6)</f>
        <v>0</v>
      </c>
      <c r="BV2" s="29">
        <f>IF(([1]Submeters!BL8-[1]Submeters!BL6)&lt;0,"0",[1]Submeters!BL8-[1]Submeters!BL6)</f>
        <v>0</v>
      </c>
      <c r="BW2" s="29">
        <f>IF(([1]Submeters!BM8-[1]Submeters!BM6)&lt;0,"0",[1]Submeters!BM8-[1]Submeters!BM6)</f>
        <v>0</v>
      </c>
      <c r="BX2" s="29">
        <f>IF(([1]Submeters!BN8-[1]Submeters!BN6)&lt;0,"0",[1]Submeters!BN8-[1]Submeters!BN6)</f>
        <v>0</v>
      </c>
      <c r="BY2" s="29">
        <f>IF(([1]Submeters!BO8-[1]Submeters!BO6)&lt;0,"0",[1]Submeters!BO8-[1]Submeters!BO6)</f>
        <v>0</v>
      </c>
      <c r="BZ2" s="29">
        <f>IF(([1]Submeters!BP8-[1]Submeters!BP6)&lt;0,"0",[1]Submeters!BP8-[1]Submeters!BP6)</f>
        <v>0</v>
      </c>
      <c r="CA2" s="29">
        <f>IF(([1]Submeters!BQ8-[1]Submeters!BQ6)&lt;0,"0",[1]Submeters!BQ8-[1]Submeters!BQ6)</f>
        <v>0</v>
      </c>
      <c r="CB2" s="29">
        <f>IF(([1]Submeters!BR8-[1]Submeters!BR6)&lt;0,"0",[1]Submeters!BR8-[1]Submeters!BR6)</f>
        <v>0</v>
      </c>
      <c r="CC2" s="29">
        <f>IF(([1]Submeters!BS8-[1]Submeters!BS6)&lt;0,"0",[1]Submeters!BS8-[1]Submeters!BS6)</f>
        <v>0</v>
      </c>
      <c r="CD2" s="29">
        <f>IF(([1]Submeters!BT8-[1]Submeters!BT6)&lt;0,"0",[1]Submeters!BT8-[1]Submeters!BT6)</f>
        <v>0</v>
      </c>
      <c r="CE2" s="29">
        <f>IF(([1]Submeters!BU8-[1]Submeters!BU6)&lt;0,"0",[1]Submeters!BU8-[1]Submeters!BU6)</f>
        <v>0</v>
      </c>
      <c r="CF2" s="29">
        <f>IF(([1]Submeters!BV8-[1]Submeters!BV6)&lt;0,"0",[1]Submeters!BV8-[1]Submeters!BV6)</f>
        <v>0</v>
      </c>
      <c r="CG2" s="29">
        <f>IF(([1]Submeters!BW8-[1]Submeters!BW6)&lt;0,"0",[1]Submeters!BW8-[1]Submeters!BW6)</f>
        <v>0</v>
      </c>
      <c r="CH2" s="29">
        <f>IF(([1]Submeters!BX8-[1]Submeters!BX6)&lt;0,"0",[1]Submeters!BX8-[1]Submeters!BX6)</f>
        <v>0</v>
      </c>
      <c r="CI2" s="29">
        <f>IF(([1]Submeters!BY8-[1]Submeters!BY6)&lt;0,"0",[1]Submeters!BY8-[1]Submeters!BY6)</f>
        <v>0</v>
      </c>
      <c r="CJ2" s="29">
        <f>IF(([1]Submeters!BZ8-[1]Submeters!BZ6)&lt;0,"0",[1]Submeters!BZ8-[1]Submeters!BZ6)</f>
        <v>0</v>
      </c>
      <c r="CK2" s="29">
        <f>IF(([1]Submeters!CA8-[1]Submeters!CA6)&lt;0,"0",[1]Submeters!CA8-[1]Submeters!CA6)</f>
        <v>0</v>
      </c>
      <c r="CL2" s="29">
        <f>IF(([1]Submeters!CB8-[1]Submeters!CB6)&lt;0,"0",[1]Submeters!CB8-[1]Submeters!CB6)</f>
        <v>0</v>
      </c>
      <c r="CM2" s="29">
        <f>IF(([1]Submeters!CC8-[1]Submeters!CC6)&lt;0,"0",[1]Submeters!CC8-[1]Submeters!CC6)</f>
        <v>0</v>
      </c>
      <c r="CN2" s="29">
        <f>IF(([1]Submeters!CD8-[1]Submeters!CD6)&lt;0,"0",[1]Submeters!CD8-[1]Submeters!CD6)</f>
        <v>0</v>
      </c>
      <c r="CO2" s="29">
        <f>IF(([1]Submeters!CE8-[1]Submeters!CE6)&lt;0,"0",[1]Submeters!CE8-[1]Submeters!CE6)</f>
        <v>0</v>
      </c>
    </row>
    <row r="3" spans="1:95" x14ac:dyDescent="0.25">
      <c r="A3" t="s">
        <v>11</v>
      </c>
      <c r="B3" s="13">
        <f>B2+1</f>
        <v>2</v>
      </c>
      <c r="C3" s="13">
        <v>7</v>
      </c>
      <c r="D3" s="13">
        <v>2020</v>
      </c>
      <c r="E3" s="16">
        <f>HOTEL!D10</f>
        <v>3807</v>
      </c>
      <c r="F3" s="16">
        <f>HOTEL!F10</f>
        <v>3750</v>
      </c>
      <c r="G3" s="16">
        <f>HOTEL!H10</f>
        <v>3539</v>
      </c>
      <c r="H3" s="16">
        <f>HOTEL!N10</f>
        <v>105</v>
      </c>
      <c r="I3" s="16">
        <f>HOTEL!P10</f>
        <v>539</v>
      </c>
      <c r="J3" s="16">
        <f>HOTEL!U10</f>
        <v>43</v>
      </c>
      <c r="K3" s="16">
        <f>HOTEL!Y10</f>
        <v>10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>
        <f>IF(([1]Submeters!AY9-[1]Submeters!AY8)&lt;0,"0",[1]Submeters!AY9-[1]Submeters!AY8)</f>
        <v>328</v>
      </c>
      <c r="BJ3" s="29">
        <f>IF(([1]Submeters!AZ9-[1]Submeters!AZ8)&lt;0,"0",[1]Submeters!AZ9-[1]Submeters!AZ8)</f>
        <v>0</v>
      </c>
      <c r="BK3" s="29">
        <f>IF(([1]Submeters!BA9-[1]Submeters!BA8)&lt;0,"0",[1]Submeters!BA9-[1]Submeters!BA8)</f>
        <v>0</v>
      </c>
      <c r="BL3" s="29">
        <f>IF(([1]Submeters!BB9-[1]Submeters!BB8)&lt;0,"0",[1]Submeters!BB9-[1]Submeters!BB8)</f>
        <v>0</v>
      </c>
      <c r="BM3" s="29">
        <f>IF(([1]Submeters!BC9-[1]Submeters!BC8)&lt;0,"0",[1]Submeters!BC9-[1]Submeters!BC8)</f>
        <v>0</v>
      </c>
      <c r="BN3" s="29">
        <f>IF(([1]Submeters!BD9-[1]Submeters!BD8)&lt;0,"0",[1]Submeters!BD9-[1]Submeters!BD8)</f>
        <v>0</v>
      </c>
      <c r="BO3" s="29">
        <f>IF(([1]Submeters!BE9-[1]Submeters!BE8)&lt;0,"0",[1]Submeters!BE9-[1]Submeters!BE8)</f>
        <v>0</v>
      </c>
      <c r="BP3" s="29">
        <f>IF(([1]Submeters!BF9-[1]Submeters!BF8)&lt;0,"0",[1]Submeters!BF9-[1]Submeters!BF8)</f>
        <v>0</v>
      </c>
      <c r="BQ3" s="29">
        <f>IF(([1]Submeters!BG9-[1]Submeters!BG8)&lt;0,"0",[1]Submeters!BG9-[1]Submeters!BG8)</f>
        <v>0</v>
      </c>
      <c r="BR3" s="29">
        <f>IF(([1]Submeters!BH9-[1]Submeters!BH8)&lt;0,"0",[1]Submeters!BH9-[1]Submeters!BH8)</f>
        <v>0</v>
      </c>
      <c r="BS3" s="29">
        <f>IF(([1]Submeters!BI9-[1]Submeters!BI8)&lt;0,"0",[1]Submeters!BI9-[1]Submeters!BI8)</f>
        <v>0</v>
      </c>
      <c r="BT3" s="29">
        <f>IF(([1]Submeters!BJ9-[1]Submeters!BJ8)&lt;0,"0",[1]Submeters!BJ9-[1]Submeters!BJ8)</f>
        <v>0</v>
      </c>
      <c r="BU3" s="29">
        <f>IF(([1]Submeters!BK9-[1]Submeters!BK8)&lt;0,"0",[1]Submeters!BK9-[1]Submeters!BK8)</f>
        <v>0</v>
      </c>
      <c r="BV3" s="29">
        <f>IF(([1]Submeters!BL9-[1]Submeters!BL8)&lt;0,"0",[1]Submeters!BL9-[1]Submeters!BL8)</f>
        <v>0</v>
      </c>
      <c r="BW3" s="29">
        <f>IF(([1]Submeters!BM9-[1]Submeters!BM8)&lt;0,"0",[1]Submeters!BM9-[1]Submeters!BM8)</f>
        <v>0</v>
      </c>
      <c r="BX3" s="29">
        <f>IF(([1]Submeters!BN9-[1]Submeters!BN8)&lt;0,"0",[1]Submeters!BN9-[1]Submeters!BN8)</f>
        <v>0</v>
      </c>
      <c r="BY3" s="29">
        <f>IF(([1]Submeters!BO9-[1]Submeters!BO8)&lt;0,"0",[1]Submeters!BO9-[1]Submeters!BO8)</f>
        <v>0</v>
      </c>
      <c r="BZ3" s="29">
        <f>IF(([1]Submeters!BP9-[1]Submeters!BP8)&lt;0,"0",[1]Submeters!BP9-[1]Submeters!BP8)</f>
        <v>0</v>
      </c>
      <c r="CA3" s="29">
        <f>IF(([1]Submeters!BQ9-[1]Submeters!BQ8)&lt;0,"0",[1]Submeters!BQ9-[1]Submeters!BQ8)</f>
        <v>0</v>
      </c>
      <c r="CB3" s="29">
        <f>IF(([1]Submeters!BR9-[1]Submeters!BR8)&lt;0,"0",[1]Submeters!BR9-[1]Submeters!BR8)</f>
        <v>0</v>
      </c>
      <c r="CC3" s="29">
        <f>IF(([1]Submeters!BS9-[1]Submeters!BS8)&lt;0,"0",[1]Submeters!BS9-[1]Submeters!BS8)</f>
        <v>0</v>
      </c>
      <c r="CD3" s="29">
        <f>IF(([1]Submeters!BT9-[1]Submeters!BT8)&lt;0,"0",[1]Submeters!BT9-[1]Submeters!BT8)</f>
        <v>0</v>
      </c>
      <c r="CE3" s="29">
        <f>IF(([1]Submeters!BU9-[1]Submeters!BU8)&lt;0,"0",[1]Submeters!BU9-[1]Submeters!BU8)</f>
        <v>0</v>
      </c>
      <c r="CF3" s="29">
        <f>IF(([1]Submeters!BV9-[1]Submeters!BV8)&lt;0,"0",[1]Submeters!BV9-[1]Submeters!BV8)</f>
        <v>0</v>
      </c>
      <c r="CG3" s="29">
        <f>IF(([1]Submeters!BW9-[1]Submeters!BW8)&lt;0,"0",[1]Submeters!BW9-[1]Submeters!BW8)</f>
        <v>0</v>
      </c>
      <c r="CH3" s="29">
        <f>IF(([1]Submeters!BX9-[1]Submeters!BX8)&lt;0,"0",[1]Submeters!BX9-[1]Submeters!BX8)</f>
        <v>0</v>
      </c>
      <c r="CI3" s="29">
        <f>IF(([1]Submeters!BY9-[1]Submeters!BY8)&lt;0,"0",[1]Submeters!BY9-[1]Submeters!BY8)</f>
        <v>0</v>
      </c>
      <c r="CJ3" s="29">
        <f>IF(([1]Submeters!BZ9-[1]Submeters!BZ8)&lt;0,"0",[1]Submeters!BZ9-[1]Submeters!BZ8)</f>
        <v>0</v>
      </c>
      <c r="CK3" s="29">
        <f>IF(([1]Submeters!CA9-[1]Submeters!CA8)&lt;0,"0",[1]Submeters!CA9-[1]Submeters!CA8)</f>
        <v>0</v>
      </c>
      <c r="CL3" s="29">
        <f>IF(([1]Submeters!CB9-[1]Submeters!CB8)&lt;0,"0",[1]Submeters!CB9-[1]Submeters!CB8)</f>
        <v>0</v>
      </c>
      <c r="CM3" s="29">
        <f>IF(([1]Submeters!CC9-[1]Submeters!CC8)&lt;0,"0",[1]Submeters!CC9-[1]Submeters!CC8)</f>
        <v>0</v>
      </c>
      <c r="CN3" s="29">
        <f>IF(([1]Submeters!CD9-[1]Submeters!CD8)&lt;0,"0",[1]Submeters!CD9-[1]Submeters!CD8)</f>
        <v>0</v>
      </c>
      <c r="CO3" s="29">
        <f>IF(([1]Submeters!CE9-[1]Submeters!CE8)&lt;0,"0",[1]Submeters!CE9-[1]Submeters!CE8)</f>
        <v>0</v>
      </c>
    </row>
    <row r="4" spans="1:95" x14ac:dyDescent="0.25">
      <c r="A4" t="s">
        <v>11</v>
      </c>
      <c r="B4" s="13">
        <f t="shared" ref="B4:B32" si="0">B3+1</f>
        <v>3</v>
      </c>
      <c r="C4" s="13">
        <v>7</v>
      </c>
      <c r="D4" s="13">
        <v>2020</v>
      </c>
      <c r="E4" s="16">
        <f>HOTEL!D11</f>
        <v>3938</v>
      </c>
      <c r="F4" s="16">
        <f>HOTEL!F11</f>
        <v>3876</v>
      </c>
      <c r="G4" s="16">
        <f>HOTEL!H11</f>
        <v>3685</v>
      </c>
      <c r="H4" s="16">
        <f>HOTEL!N11</f>
        <v>106</v>
      </c>
      <c r="I4" s="16">
        <f>HOTEL!P11</f>
        <v>550</v>
      </c>
      <c r="J4" s="16">
        <f>HOTEL!U11</f>
        <v>92</v>
      </c>
      <c r="K4" s="16">
        <f>HOTEL!Y11</f>
        <v>18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>
        <f>IF(([1]Submeters!AY10-[1]Submeters!AY9)&lt;0,"0",[1]Submeters!AY10-[1]Submeters!AY9)</f>
        <v>318</v>
      </c>
      <c r="BJ4" s="29">
        <f>IF(([1]Submeters!AZ10-[1]Submeters!AZ9)&lt;0,"0",[1]Submeters!AZ10-[1]Submeters!AZ9)</f>
        <v>0</v>
      </c>
      <c r="BK4" s="29">
        <f>IF(([1]Submeters!BA10-[1]Submeters!BA9)&lt;0,"0",[1]Submeters!BA10-[1]Submeters!BA9)</f>
        <v>0</v>
      </c>
      <c r="BL4" s="29">
        <f>IF(([1]Submeters!BB10-[1]Submeters!BB9)&lt;0,"0",[1]Submeters!BB10-[1]Submeters!BB9)</f>
        <v>0</v>
      </c>
      <c r="BM4" s="29">
        <f>IF(([1]Submeters!BC10-[1]Submeters!BC9)&lt;0,"0",[1]Submeters!BC10-[1]Submeters!BC9)</f>
        <v>0</v>
      </c>
      <c r="BN4" s="29">
        <f>IF(([1]Submeters!BD10-[1]Submeters!BD9)&lt;0,"0",[1]Submeters!BD10-[1]Submeters!BD9)</f>
        <v>0</v>
      </c>
      <c r="BO4" s="29">
        <f>IF(([1]Submeters!BE10-[1]Submeters!BE9)&lt;0,"0",[1]Submeters!BE10-[1]Submeters!BE9)</f>
        <v>0</v>
      </c>
      <c r="BP4" s="29">
        <f>IF(([1]Submeters!BF10-[1]Submeters!BF9)&lt;0,"0",[1]Submeters!BF10-[1]Submeters!BF9)</f>
        <v>0</v>
      </c>
      <c r="BQ4" s="29">
        <f>IF(([1]Submeters!BG10-[1]Submeters!BG9)&lt;0,"0",[1]Submeters!BG10-[1]Submeters!BG9)</f>
        <v>0</v>
      </c>
      <c r="BR4" s="29">
        <f>IF(([1]Submeters!BH10-[1]Submeters!BH9)&lt;0,"0",[1]Submeters!BH10-[1]Submeters!BH9)</f>
        <v>0</v>
      </c>
      <c r="BS4" s="29">
        <f>IF(([1]Submeters!BI10-[1]Submeters!BI9)&lt;0,"0",[1]Submeters!BI10-[1]Submeters!BI9)</f>
        <v>0</v>
      </c>
      <c r="BT4" s="29">
        <f>IF(([1]Submeters!BJ10-[1]Submeters!BJ9)&lt;0,"0",[1]Submeters!BJ10-[1]Submeters!BJ9)</f>
        <v>0</v>
      </c>
      <c r="BU4" s="29">
        <f>IF(([1]Submeters!BK10-[1]Submeters!BK9)&lt;0,"0",[1]Submeters!BK10-[1]Submeters!BK9)</f>
        <v>0</v>
      </c>
      <c r="BV4" s="29">
        <f>IF(([1]Submeters!BL10-[1]Submeters!BL9)&lt;0,"0",[1]Submeters!BL10-[1]Submeters!BL9)</f>
        <v>0</v>
      </c>
      <c r="BW4" s="29">
        <f>IF(([1]Submeters!BM10-[1]Submeters!BM9)&lt;0,"0",[1]Submeters!BM10-[1]Submeters!BM9)</f>
        <v>0</v>
      </c>
      <c r="BX4" s="29">
        <f>IF(([1]Submeters!BN10-[1]Submeters!BN9)&lt;0,"0",[1]Submeters!BN10-[1]Submeters!BN9)</f>
        <v>0</v>
      </c>
      <c r="BY4" s="29">
        <f>IF(([1]Submeters!BO10-[1]Submeters!BO9)&lt;0,"0",[1]Submeters!BO10-[1]Submeters!BO9)</f>
        <v>0</v>
      </c>
      <c r="BZ4" s="29">
        <f>IF(([1]Submeters!BP10-[1]Submeters!BP9)&lt;0,"0",[1]Submeters!BP10-[1]Submeters!BP9)</f>
        <v>0</v>
      </c>
      <c r="CA4" s="29">
        <f>IF(([1]Submeters!BQ10-[1]Submeters!BQ9)&lt;0,"0",[1]Submeters!BQ10-[1]Submeters!BQ9)</f>
        <v>0</v>
      </c>
      <c r="CB4" s="29">
        <f>IF(([1]Submeters!BR10-[1]Submeters!BR9)&lt;0,"0",[1]Submeters!BR10-[1]Submeters!BR9)</f>
        <v>0</v>
      </c>
      <c r="CC4" s="29">
        <f>IF(([1]Submeters!BS10-[1]Submeters!BS9)&lt;0,"0",[1]Submeters!BS10-[1]Submeters!BS9)</f>
        <v>0</v>
      </c>
      <c r="CD4" s="29">
        <f>IF(([1]Submeters!BT10-[1]Submeters!BT9)&lt;0,"0",[1]Submeters!BT10-[1]Submeters!BT9)</f>
        <v>0</v>
      </c>
      <c r="CE4" s="29">
        <f>IF(([1]Submeters!BU10-[1]Submeters!BU9)&lt;0,"0",[1]Submeters!BU10-[1]Submeters!BU9)</f>
        <v>0</v>
      </c>
      <c r="CF4" s="29">
        <f>IF(([1]Submeters!BV10-[1]Submeters!BV9)&lt;0,"0",[1]Submeters!BV10-[1]Submeters!BV9)</f>
        <v>0</v>
      </c>
      <c r="CG4" s="29">
        <f>IF(([1]Submeters!BW10-[1]Submeters!BW9)&lt;0,"0",[1]Submeters!BW10-[1]Submeters!BW9)</f>
        <v>0</v>
      </c>
      <c r="CH4" s="29">
        <f>IF(([1]Submeters!BX10-[1]Submeters!BX9)&lt;0,"0",[1]Submeters!BX10-[1]Submeters!BX9)</f>
        <v>0</v>
      </c>
      <c r="CI4" s="29">
        <f>IF(([1]Submeters!BY10-[1]Submeters!BY9)&lt;0,"0",[1]Submeters!BY10-[1]Submeters!BY9)</f>
        <v>0</v>
      </c>
      <c r="CJ4" s="29">
        <f>IF(([1]Submeters!BZ10-[1]Submeters!BZ9)&lt;0,"0",[1]Submeters!BZ10-[1]Submeters!BZ9)</f>
        <v>0</v>
      </c>
      <c r="CK4" s="29">
        <f>IF(([1]Submeters!CA10-[1]Submeters!CA9)&lt;0,"0",[1]Submeters!CA10-[1]Submeters!CA9)</f>
        <v>0</v>
      </c>
      <c r="CL4" s="29">
        <f>IF(([1]Submeters!CB10-[1]Submeters!CB9)&lt;0,"0",[1]Submeters!CB10-[1]Submeters!CB9)</f>
        <v>0</v>
      </c>
      <c r="CM4" s="29">
        <f>IF(([1]Submeters!CC10-[1]Submeters!CC9)&lt;0,"0",[1]Submeters!CC10-[1]Submeters!CC9)</f>
        <v>0</v>
      </c>
      <c r="CN4" s="29">
        <f>IF(([1]Submeters!CD10-[1]Submeters!CD9)&lt;0,"0",[1]Submeters!CD10-[1]Submeters!CD9)</f>
        <v>0</v>
      </c>
      <c r="CO4" s="29">
        <f>IF(([1]Submeters!CE10-[1]Submeters!CE9)&lt;0,"0",[1]Submeters!CE10-[1]Submeters!CE9)</f>
        <v>0</v>
      </c>
    </row>
    <row r="5" spans="1:95" x14ac:dyDescent="0.25">
      <c r="A5" t="s">
        <v>11</v>
      </c>
      <c r="B5" s="13">
        <f t="shared" si="0"/>
        <v>4</v>
      </c>
      <c r="C5" s="13">
        <v>7</v>
      </c>
      <c r="D5" s="13">
        <v>2020</v>
      </c>
      <c r="E5" s="16">
        <f>HOTEL!D12</f>
        <v>3959</v>
      </c>
      <c r="F5" s="16">
        <f>HOTEL!F12</f>
        <v>3916</v>
      </c>
      <c r="G5" s="16">
        <f>HOTEL!H12</f>
        <v>3695</v>
      </c>
      <c r="H5" s="16">
        <f>HOTEL!N12</f>
        <v>103</v>
      </c>
      <c r="I5" s="16">
        <f>HOTEL!P12</f>
        <v>806</v>
      </c>
      <c r="J5" s="16">
        <f>HOTEL!U12</f>
        <v>376</v>
      </c>
      <c r="K5" s="16">
        <f>HOTEL!Y12</f>
        <v>19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>
        <f>IF(([1]Submeters!AY11-[1]Submeters!AY10)&lt;0,"0",[1]Submeters!AY11-[1]Submeters!AY10)</f>
        <v>264</v>
      </c>
      <c r="BJ5" s="29">
        <f>IF(([1]Submeters!AZ11-[1]Submeters!AZ10)&lt;0,"0",[1]Submeters!AZ11-[1]Submeters!AZ10)</f>
        <v>0</v>
      </c>
      <c r="BK5" s="29">
        <f>IF(([1]Submeters!BA11-[1]Submeters!BA10)&lt;0,"0",[1]Submeters!BA11-[1]Submeters!BA10)</f>
        <v>0</v>
      </c>
      <c r="BL5" s="29">
        <f>IF(([1]Submeters!BB11-[1]Submeters!BB10)&lt;0,"0",[1]Submeters!BB11-[1]Submeters!BB10)</f>
        <v>0</v>
      </c>
      <c r="BM5" s="29">
        <f>IF(([1]Submeters!BC11-[1]Submeters!BC10)&lt;0,"0",[1]Submeters!BC11-[1]Submeters!BC10)</f>
        <v>0</v>
      </c>
      <c r="BN5" s="29">
        <f>IF(([1]Submeters!BD11-[1]Submeters!BD10)&lt;0,"0",[1]Submeters!BD11-[1]Submeters!BD10)</f>
        <v>0</v>
      </c>
      <c r="BO5" s="29">
        <f>IF(([1]Submeters!BE11-[1]Submeters!BE10)&lt;0,"0",[1]Submeters!BE11-[1]Submeters!BE10)</f>
        <v>0</v>
      </c>
      <c r="BP5" s="29">
        <f>IF(([1]Submeters!BF11-[1]Submeters!BF10)&lt;0,"0",[1]Submeters!BF11-[1]Submeters!BF10)</f>
        <v>0</v>
      </c>
      <c r="BQ5" s="29">
        <f>IF(([1]Submeters!BG11-[1]Submeters!BG10)&lt;0,"0",[1]Submeters!BG11-[1]Submeters!BG10)</f>
        <v>0</v>
      </c>
      <c r="BR5" s="29">
        <f>IF(([1]Submeters!BH11-[1]Submeters!BH10)&lt;0,"0",[1]Submeters!BH11-[1]Submeters!BH10)</f>
        <v>0</v>
      </c>
      <c r="BS5" s="29">
        <f>IF(([1]Submeters!BI11-[1]Submeters!BI10)&lt;0,"0",[1]Submeters!BI11-[1]Submeters!BI10)</f>
        <v>0</v>
      </c>
      <c r="BT5" s="29">
        <f>IF(([1]Submeters!BJ11-[1]Submeters!BJ10)&lt;0,"0",[1]Submeters!BJ11-[1]Submeters!BJ10)</f>
        <v>0</v>
      </c>
      <c r="BU5" s="29">
        <f>IF(([1]Submeters!BK11-[1]Submeters!BK10)&lt;0,"0",[1]Submeters!BK11-[1]Submeters!BK10)</f>
        <v>0</v>
      </c>
      <c r="BV5" s="29">
        <f>IF(([1]Submeters!BL11-[1]Submeters!BL10)&lt;0,"0",[1]Submeters!BL11-[1]Submeters!BL10)</f>
        <v>0</v>
      </c>
      <c r="BW5" s="29">
        <f>IF(([1]Submeters!BM11-[1]Submeters!BM10)&lt;0,"0",[1]Submeters!BM11-[1]Submeters!BM10)</f>
        <v>0</v>
      </c>
      <c r="BX5" s="29">
        <f>IF(([1]Submeters!BN11-[1]Submeters!BN10)&lt;0,"0",[1]Submeters!BN11-[1]Submeters!BN10)</f>
        <v>0</v>
      </c>
      <c r="BY5" s="29">
        <f>IF(([1]Submeters!BO11-[1]Submeters!BO10)&lt;0,"0",[1]Submeters!BO11-[1]Submeters!BO10)</f>
        <v>0</v>
      </c>
      <c r="BZ5" s="29">
        <f>IF(([1]Submeters!BP11-[1]Submeters!BP10)&lt;0,"0",[1]Submeters!BP11-[1]Submeters!BP10)</f>
        <v>0</v>
      </c>
      <c r="CA5" s="29">
        <f>IF(([1]Submeters!BQ11-[1]Submeters!BQ10)&lt;0,"0",[1]Submeters!BQ11-[1]Submeters!BQ10)</f>
        <v>0</v>
      </c>
      <c r="CB5" s="29">
        <f>IF(([1]Submeters!BR11-[1]Submeters!BR10)&lt;0,"0",[1]Submeters!BR11-[1]Submeters!BR10)</f>
        <v>0</v>
      </c>
      <c r="CC5" s="29">
        <f>IF(([1]Submeters!BS11-[1]Submeters!BS10)&lt;0,"0",[1]Submeters!BS11-[1]Submeters!BS10)</f>
        <v>0</v>
      </c>
      <c r="CD5" s="29">
        <f>IF(([1]Submeters!BT11-[1]Submeters!BT10)&lt;0,"0",[1]Submeters!BT11-[1]Submeters!BT10)</f>
        <v>0</v>
      </c>
      <c r="CE5" s="29">
        <f>IF(([1]Submeters!BU11-[1]Submeters!BU10)&lt;0,"0",[1]Submeters!BU11-[1]Submeters!BU10)</f>
        <v>0</v>
      </c>
      <c r="CF5" s="29">
        <f>IF(([1]Submeters!BV11-[1]Submeters!BV10)&lt;0,"0",[1]Submeters!BV11-[1]Submeters!BV10)</f>
        <v>0</v>
      </c>
      <c r="CG5" s="29">
        <f>IF(([1]Submeters!BW11-[1]Submeters!BW10)&lt;0,"0",[1]Submeters!BW11-[1]Submeters!BW10)</f>
        <v>0</v>
      </c>
      <c r="CH5" s="29">
        <f>IF(([1]Submeters!BX11-[1]Submeters!BX10)&lt;0,"0",[1]Submeters!BX11-[1]Submeters!BX10)</f>
        <v>0</v>
      </c>
      <c r="CI5" s="29">
        <f>IF(([1]Submeters!BY11-[1]Submeters!BY10)&lt;0,"0",[1]Submeters!BY11-[1]Submeters!BY10)</f>
        <v>0</v>
      </c>
      <c r="CJ5" s="29">
        <f>IF(([1]Submeters!BZ11-[1]Submeters!BZ10)&lt;0,"0",[1]Submeters!BZ11-[1]Submeters!BZ10)</f>
        <v>0</v>
      </c>
      <c r="CK5" s="29">
        <f>IF(([1]Submeters!CA11-[1]Submeters!CA10)&lt;0,"0",[1]Submeters!CA11-[1]Submeters!CA10)</f>
        <v>0</v>
      </c>
      <c r="CL5" s="29">
        <f>IF(([1]Submeters!CB11-[1]Submeters!CB10)&lt;0,"0",[1]Submeters!CB11-[1]Submeters!CB10)</f>
        <v>0</v>
      </c>
      <c r="CM5" s="29">
        <f>IF(([1]Submeters!CC11-[1]Submeters!CC10)&lt;0,"0",[1]Submeters!CC11-[1]Submeters!CC10)</f>
        <v>0</v>
      </c>
      <c r="CN5" s="29">
        <f>IF(([1]Submeters!CD11-[1]Submeters!CD10)&lt;0,"0",[1]Submeters!CD11-[1]Submeters!CD10)</f>
        <v>0</v>
      </c>
      <c r="CO5" s="29">
        <f>IF(([1]Submeters!CE11-[1]Submeters!CE10)&lt;0,"0",[1]Submeters!CE11-[1]Submeters!CE10)</f>
        <v>0</v>
      </c>
    </row>
    <row r="6" spans="1:95" x14ac:dyDescent="0.25">
      <c r="A6" t="s">
        <v>11</v>
      </c>
      <c r="B6" s="13">
        <f t="shared" si="0"/>
        <v>5</v>
      </c>
      <c r="C6" s="13">
        <v>7</v>
      </c>
      <c r="D6" s="13">
        <v>2020</v>
      </c>
      <c r="E6" s="16">
        <f>HOTEL!D13</f>
        <v>3365</v>
      </c>
      <c r="F6" s="16">
        <f>HOTEL!F13</f>
        <v>3361</v>
      </c>
      <c r="G6" s="16">
        <f>HOTEL!H13</f>
        <v>3143</v>
      </c>
      <c r="H6" s="16">
        <f>HOTEL!N13</f>
        <v>111</v>
      </c>
      <c r="I6" s="16">
        <f>HOTEL!P13</f>
        <v>607</v>
      </c>
      <c r="J6" s="16">
        <f>HOTEL!U13</f>
        <v>200</v>
      </c>
      <c r="K6" s="16">
        <f>HOTEL!Y13</f>
        <v>21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>
        <f>IF(([1]Submeters!AY12-[1]Submeters!AY11)&lt;0,"0",[1]Submeters!AY12-[1]Submeters!AY11)</f>
        <v>349</v>
      </c>
      <c r="BJ6" s="29">
        <f>IF(([1]Submeters!AZ12-[1]Submeters!AZ11)&lt;0,"0",[1]Submeters!AZ12-[1]Submeters!AZ11)</f>
        <v>0</v>
      </c>
      <c r="BK6" s="29">
        <f>IF(([1]Submeters!BA12-[1]Submeters!BA11)&lt;0,"0",[1]Submeters!BA12-[1]Submeters!BA11)</f>
        <v>0</v>
      </c>
      <c r="BL6" s="29">
        <f>IF(([1]Submeters!BB12-[1]Submeters!BB11)&lt;0,"0",[1]Submeters!BB12-[1]Submeters!BB11)</f>
        <v>0</v>
      </c>
      <c r="BM6" s="29">
        <f>IF(([1]Submeters!BC12-[1]Submeters!BC11)&lt;0,"0",[1]Submeters!BC12-[1]Submeters!BC11)</f>
        <v>0</v>
      </c>
      <c r="BN6" s="29">
        <f>IF(([1]Submeters!BD12-[1]Submeters!BD11)&lt;0,"0",[1]Submeters!BD12-[1]Submeters!BD11)</f>
        <v>0</v>
      </c>
      <c r="BO6" s="29">
        <f>IF(([1]Submeters!BE12-[1]Submeters!BE11)&lt;0,"0",[1]Submeters!BE12-[1]Submeters!BE11)</f>
        <v>0</v>
      </c>
      <c r="BP6" s="29">
        <f>IF(([1]Submeters!BF12-[1]Submeters!BF11)&lt;0,"0",[1]Submeters!BF12-[1]Submeters!BF11)</f>
        <v>0</v>
      </c>
      <c r="BQ6" s="29">
        <f>IF(([1]Submeters!BG12-[1]Submeters!BG11)&lt;0,"0",[1]Submeters!BG12-[1]Submeters!BG11)</f>
        <v>0</v>
      </c>
      <c r="BR6" s="29">
        <f>IF(([1]Submeters!BH12-[1]Submeters!BH11)&lt;0,"0",[1]Submeters!BH12-[1]Submeters!BH11)</f>
        <v>0</v>
      </c>
      <c r="BS6" s="29">
        <f>IF(([1]Submeters!BI12-[1]Submeters!BI11)&lt;0,"0",[1]Submeters!BI12-[1]Submeters!BI11)</f>
        <v>0</v>
      </c>
      <c r="BT6" s="29">
        <f>IF(([1]Submeters!BJ12-[1]Submeters!BJ11)&lt;0,"0",[1]Submeters!BJ12-[1]Submeters!BJ11)</f>
        <v>0</v>
      </c>
      <c r="BU6" s="29">
        <f>IF(([1]Submeters!BK12-[1]Submeters!BK11)&lt;0,"0",[1]Submeters!BK12-[1]Submeters!BK11)</f>
        <v>0</v>
      </c>
      <c r="BV6" s="29">
        <f>IF(([1]Submeters!BL12-[1]Submeters!BL11)&lt;0,"0",[1]Submeters!BL12-[1]Submeters!BL11)</f>
        <v>0</v>
      </c>
      <c r="BW6" s="29">
        <f>IF(([1]Submeters!BM12-[1]Submeters!BM11)&lt;0,"0",[1]Submeters!BM12-[1]Submeters!BM11)</f>
        <v>0</v>
      </c>
      <c r="BX6" s="29">
        <f>IF(([1]Submeters!BN12-[1]Submeters!BN11)&lt;0,"0",[1]Submeters!BN12-[1]Submeters!BN11)</f>
        <v>0</v>
      </c>
      <c r="BY6" s="29">
        <f>IF(([1]Submeters!BO12-[1]Submeters!BO11)&lt;0,"0",[1]Submeters!BO12-[1]Submeters!BO11)</f>
        <v>0</v>
      </c>
      <c r="BZ6" s="29">
        <f>IF(([1]Submeters!BP12-[1]Submeters!BP11)&lt;0,"0",[1]Submeters!BP12-[1]Submeters!BP11)</f>
        <v>0</v>
      </c>
      <c r="CA6" s="29">
        <f>IF(([1]Submeters!BQ12-[1]Submeters!BQ11)&lt;0,"0",[1]Submeters!BQ12-[1]Submeters!BQ11)</f>
        <v>0</v>
      </c>
      <c r="CB6" s="29">
        <f>IF(([1]Submeters!BR12-[1]Submeters!BR11)&lt;0,"0",[1]Submeters!BR12-[1]Submeters!BR11)</f>
        <v>0</v>
      </c>
      <c r="CC6" s="29">
        <f>IF(([1]Submeters!BS12-[1]Submeters!BS11)&lt;0,"0",[1]Submeters!BS12-[1]Submeters!BS11)</f>
        <v>0</v>
      </c>
      <c r="CD6" s="29">
        <f>IF(([1]Submeters!BT12-[1]Submeters!BT11)&lt;0,"0",[1]Submeters!BT12-[1]Submeters!BT11)</f>
        <v>0</v>
      </c>
      <c r="CE6" s="29">
        <f>IF(([1]Submeters!BU12-[1]Submeters!BU11)&lt;0,"0",[1]Submeters!BU12-[1]Submeters!BU11)</f>
        <v>0</v>
      </c>
      <c r="CF6" s="29">
        <f>IF(([1]Submeters!BV12-[1]Submeters!BV11)&lt;0,"0",[1]Submeters!BV12-[1]Submeters!BV11)</f>
        <v>0</v>
      </c>
      <c r="CG6" s="29">
        <f>IF(([1]Submeters!BW12-[1]Submeters!BW11)&lt;0,"0",[1]Submeters!BW12-[1]Submeters!BW11)</f>
        <v>0</v>
      </c>
      <c r="CH6" s="29">
        <f>IF(([1]Submeters!BX12-[1]Submeters!BX11)&lt;0,"0",[1]Submeters!BX12-[1]Submeters!BX11)</f>
        <v>0</v>
      </c>
      <c r="CI6" s="29">
        <f>IF(([1]Submeters!BY12-[1]Submeters!BY11)&lt;0,"0",[1]Submeters!BY12-[1]Submeters!BY11)</f>
        <v>0</v>
      </c>
      <c r="CJ6" s="29">
        <f>IF(([1]Submeters!BZ12-[1]Submeters!BZ11)&lt;0,"0",[1]Submeters!BZ12-[1]Submeters!BZ11)</f>
        <v>0</v>
      </c>
      <c r="CK6" s="29">
        <f>IF(([1]Submeters!CA12-[1]Submeters!CA11)&lt;0,"0",[1]Submeters!CA12-[1]Submeters!CA11)</f>
        <v>0</v>
      </c>
      <c r="CL6" s="29">
        <f>IF(([1]Submeters!CB12-[1]Submeters!CB11)&lt;0,"0",[1]Submeters!CB12-[1]Submeters!CB11)</f>
        <v>0</v>
      </c>
      <c r="CM6" s="29">
        <f>IF(([1]Submeters!CC12-[1]Submeters!CC11)&lt;0,"0",[1]Submeters!CC12-[1]Submeters!CC11)</f>
        <v>0</v>
      </c>
      <c r="CN6" s="29">
        <f>IF(([1]Submeters!CD12-[1]Submeters!CD11)&lt;0,"0",[1]Submeters!CD12-[1]Submeters!CD11)</f>
        <v>0</v>
      </c>
      <c r="CO6" s="29">
        <f>IF(([1]Submeters!CE12-[1]Submeters!CE11)&lt;0,"0",[1]Submeters!CE12-[1]Submeters!CE11)</f>
        <v>0</v>
      </c>
    </row>
    <row r="7" spans="1:95" x14ac:dyDescent="0.25">
      <c r="A7" t="s">
        <v>11</v>
      </c>
      <c r="B7" s="13">
        <f t="shared" si="0"/>
        <v>6</v>
      </c>
      <c r="C7" s="13">
        <v>7</v>
      </c>
      <c r="D7" s="13">
        <v>2020</v>
      </c>
      <c r="E7" s="16">
        <f>HOTEL!D14</f>
        <v>3582</v>
      </c>
      <c r="F7" s="16">
        <f>HOTEL!F14</f>
        <v>3544</v>
      </c>
      <c r="G7" s="16">
        <f>HOTEL!H14</f>
        <v>3329</v>
      </c>
      <c r="H7" s="16">
        <f>HOTEL!N14</f>
        <v>101</v>
      </c>
      <c r="I7" s="16">
        <f>HOTEL!P14</f>
        <v>725</v>
      </c>
      <c r="J7" s="16">
        <f>HOTEL!U14</f>
        <v>348</v>
      </c>
      <c r="K7" s="16">
        <f>HOTEL!Y14</f>
        <v>19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>
        <f>IF(([1]Submeters!AY13-[1]Submeters!AY12)&lt;0,"0",[1]Submeters!AY13-[1]Submeters!AY12)</f>
        <v>285</v>
      </c>
      <c r="BJ7" s="29">
        <f>IF(([1]Submeters!AZ13-[1]Submeters!AZ12)&lt;0,"0",[1]Submeters!AZ13-[1]Submeters!AZ12)</f>
        <v>0</v>
      </c>
      <c r="BK7" s="29">
        <f>IF(([1]Submeters!BA13-[1]Submeters!BA12)&lt;0,"0",[1]Submeters!BA13-[1]Submeters!BA12)</f>
        <v>0</v>
      </c>
      <c r="BL7" s="29">
        <f>IF(([1]Submeters!BB13-[1]Submeters!BB12)&lt;0,"0",[1]Submeters!BB13-[1]Submeters!BB12)</f>
        <v>0</v>
      </c>
      <c r="BM7" s="29">
        <f>IF(([1]Submeters!BC13-[1]Submeters!BC12)&lt;0,"0",[1]Submeters!BC13-[1]Submeters!BC12)</f>
        <v>0</v>
      </c>
      <c r="BN7" s="29">
        <f>IF(([1]Submeters!BD13-[1]Submeters!BD12)&lt;0,"0",[1]Submeters!BD13-[1]Submeters!BD12)</f>
        <v>0</v>
      </c>
      <c r="BO7" s="29">
        <f>IF(([1]Submeters!BE13-[1]Submeters!BE12)&lt;0,"0",[1]Submeters!BE13-[1]Submeters!BE12)</f>
        <v>0</v>
      </c>
      <c r="BP7" s="29">
        <f>IF(([1]Submeters!BF13-[1]Submeters!BF12)&lt;0,"0",[1]Submeters!BF13-[1]Submeters!BF12)</f>
        <v>0</v>
      </c>
      <c r="BQ7" s="29">
        <f>IF(([1]Submeters!BG13-[1]Submeters!BG12)&lt;0,"0",[1]Submeters!BG13-[1]Submeters!BG12)</f>
        <v>0</v>
      </c>
      <c r="BR7" s="29">
        <f>IF(([1]Submeters!BH13-[1]Submeters!BH12)&lt;0,"0",[1]Submeters!BH13-[1]Submeters!BH12)</f>
        <v>0</v>
      </c>
      <c r="BS7" s="29">
        <f>IF(([1]Submeters!BI13-[1]Submeters!BI12)&lt;0,"0",[1]Submeters!BI13-[1]Submeters!BI12)</f>
        <v>0</v>
      </c>
      <c r="BT7" s="29">
        <f>IF(([1]Submeters!BJ13-[1]Submeters!BJ12)&lt;0,"0",[1]Submeters!BJ13-[1]Submeters!BJ12)</f>
        <v>0</v>
      </c>
      <c r="BU7" s="29">
        <f>IF(([1]Submeters!BK13-[1]Submeters!BK12)&lt;0,"0",[1]Submeters!BK13-[1]Submeters!BK12)</f>
        <v>0</v>
      </c>
      <c r="BV7" s="29">
        <f>IF(([1]Submeters!BL13-[1]Submeters!BL12)&lt;0,"0",[1]Submeters!BL13-[1]Submeters!BL12)</f>
        <v>0</v>
      </c>
      <c r="BW7" s="29">
        <f>IF(([1]Submeters!BM13-[1]Submeters!BM12)&lt;0,"0",[1]Submeters!BM13-[1]Submeters!BM12)</f>
        <v>0</v>
      </c>
      <c r="BX7" s="29">
        <f>IF(([1]Submeters!BN13-[1]Submeters!BN12)&lt;0,"0",[1]Submeters!BN13-[1]Submeters!BN12)</f>
        <v>0</v>
      </c>
      <c r="BY7" s="29">
        <f>IF(([1]Submeters!BO13-[1]Submeters!BO12)&lt;0,"0",[1]Submeters!BO13-[1]Submeters!BO12)</f>
        <v>0</v>
      </c>
      <c r="BZ7" s="29">
        <f>IF(([1]Submeters!BP13-[1]Submeters!BP12)&lt;0,"0",[1]Submeters!BP13-[1]Submeters!BP12)</f>
        <v>0</v>
      </c>
      <c r="CA7" s="29">
        <f>IF(([1]Submeters!BQ13-[1]Submeters!BQ12)&lt;0,"0",[1]Submeters!BQ13-[1]Submeters!BQ12)</f>
        <v>0</v>
      </c>
      <c r="CB7" s="29">
        <f>IF(([1]Submeters!BR13-[1]Submeters!BR12)&lt;0,"0",[1]Submeters!BR13-[1]Submeters!BR12)</f>
        <v>0</v>
      </c>
      <c r="CC7" s="29">
        <f>IF(([1]Submeters!BS13-[1]Submeters!BS12)&lt;0,"0",[1]Submeters!BS13-[1]Submeters!BS12)</f>
        <v>0</v>
      </c>
      <c r="CD7" s="29">
        <f>IF(([1]Submeters!BT13-[1]Submeters!BT12)&lt;0,"0",[1]Submeters!BT13-[1]Submeters!BT12)</f>
        <v>0</v>
      </c>
      <c r="CE7" s="29">
        <f>IF(([1]Submeters!BU13-[1]Submeters!BU12)&lt;0,"0",[1]Submeters!BU13-[1]Submeters!BU12)</f>
        <v>0</v>
      </c>
      <c r="CF7" s="29">
        <f>IF(([1]Submeters!BV13-[1]Submeters!BV12)&lt;0,"0",[1]Submeters!BV13-[1]Submeters!BV12)</f>
        <v>0</v>
      </c>
      <c r="CG7" s="29">
        <f>IF(([1]Submeters!BW13-[1]Submeters!BW12)&lt;0,"0",[1]Submeters!BW13-[1]Submeters!BW12)</f>
        <v>0</v>
      </c>
      <c r="CH7" s="29">
        <f>IF(([1]Submeters!BX13-[1]Submeters!BX12)&lt;0,"0",[1]Submeters!BX13-[1]Submeters!BX12)</f>
        <v>0</v>
      </c>
      <c r="CI7" s="29">
        <f>IF(([1]Submeters!BY13-[1]Submeters!BY12)&lt;0,"0",[1]Submeters!BY13-[1]Submeters!BY12)</f>
        <v>0</v>
      </c>
      <c r="CJ7" s="29">
        <f>IF(([1]Submeters!BZ13-[1]Submeters!BZ12)&lt;0,"0",[1]Submeters!BZ13-[1]Submeters!BZ12)</f>
        <v>0</v>
      </c>
      <c r="CK7" s="29">
        <f>IF(([1]Submeters!CA13-[1]Submeters!CA12)&lt;0,"0",[1]Submeters!CA13-[1]Submeters!CA12)</f>
        <v>0</v>
      </c>
      <c r="CL7" s="29">
        <f>IF(([1]Submeters!CB13-[1]Submeters!CB12)&lt;0,"0",[1]Submeters!CB13-[1]Submeters!CB12)</f>
        <v>0</v>
      </c>
      <c r="CM7" s="29">
        <f>IF(([1]Submeters!CC13-[1]Submeters!CC12)&lt;0,"0",[1]Submeters!CC13-[1]Submeters!CC12)</f>
        <v>0</v>
      </c>
      <c r="CN7" s="29">
        <f>IF(([1]Submeters!CD13-[1]Submeters!CD12)&lt;0,"0",[1]Submeters!CD13-[1]Submeters!CD12)</f>
        <v>0</v>
      </c>
      <c r="CO7" s="29">
        <f>IF(([1]Submeters!CE13-[1]Submeters!CE12)&lt;0,"0",[1]Submeters!CE13-[1]Submeters!CE12)</f>
        <v>0</v>
      </c>
    </row>
    <row r="8" spans="1:95" x14ac:dyDescent="0.25">
      <c r="A8" t="s">
        <v>11</v>
      </c>
      <c r="B8" s="13">
        <f t="shared" si="0"/>
        <v>7</v>
      </c>
      <c r="C8" s="13">
        <v>7</v>
      </c>
      <c r="D8" s="13">
        <v>2020</v>
      </c>
      <c r="E8" s="16">
        <f>HOTEL!D15</f>
        <v>3574</v>
      </c>
      <c r="F8" s="16">
        <f>HOTEL!F15</f>
        <v>3577</v>
      </c>
      <c r="G8" s="16">
        <f>HOTEL!H15</f>
        <v>3387</v>
      </c>
      <c r="H8" s="16">
        <f>HOTEL!N15</f>
        <v>75</v>
      </c>
      <c r="I8" s="16">
        <f>HOTEL!P15</f>
        <v>701</v>
      </c>
      <c r="J8" s="16">
        <f>HOTEL!U15</f>
        <v>426</v>
      </c>
      <c r="K8" s="16">
        <f>HOTEL!Y15</f>
        <v>28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>
        <f>IF(([1]Submeters!AY14-[1]Submeters!AY13)&lt;0,"0",[1]Submeters!AY14-[1]Submeters!AY13)</f>
        <v>367</v>
      </c>
      <c r="BJ8" s="29">
        <f>IF(([1]Submeters!AZ14-[1]Submeters!AZ13)&lt;0,"0",[1]Submeters!AZ14-[1]Submeters!AZ13)</f>
        <v>0</v>
      </c>
      <c r="BK8" s="29">
        <f>IF(([1]Submeters!BA14-[1]Submeters!BA13)&lt;0,"0",[1]Submeters!BA14-[1]Submeters!BA13)</f>
        <v>0</v>
      </c>
      <c r="BL8" s="29">
        <f>IF(([1]Submeters!BB14-[1]Submeters!BB13)&lt;0,"0",[1]Submeters!BB14-[1]Submeters!BB13)</f>
        <v>0</v>
      </c>
      <c r="BM8" s="29">
        <f>IF(([1]Submeters!BC14-[1]Submeters!BC13)&lt;0,"0",[1]Submeters!BC14-[1]Submeters!BC13)</f>
        <v>0</v>
      </c>
      <c r="BN8" s="29">
        <f>IF(([1]Submeters!BD14-[1]Submeters!BD13)&lt;0,"0",[1]Submeters!BD14-[1]Submeters!BD13)</f>
        <v>0</v>
      </c>
      <c r="BO8" s="29">
        <f>IF(([1]Submeters!BE14-[1]Submeters!BE13)&lt;0,"0",[1]Submeters!BE14-[1]Submeters!BE13)</f>
        <v>0</v>
      </c>
      <c r="BP8" s="29">
        <f>IF(([1]Submeters!BF14-[1]Submeters!BF13)&lt;0,"0",[1]Submeters!BF14-[1]Submeters!BF13)</f>
        <v>0</v>
      </c>
      <c r="BQ8" s="29">
        <f>IF(([1]Submeters!BG14-[1]Submeters!BG13)&lt;0,"0",[1]Submeters!BG14-[1]Submeters!BG13)</f>
        <v>0</v>
      </c>
      <c r="BR8" s="29">
        <f>IF(([1]Submeters!BH14-[1]Submeters!BH13)&lt;0,"0",[1]Submeters!BH14-[1]Submeters!BH13)</f>
        <v>0</v>
      </c>
      <c r="BS8" s="29">
        <f>IF(([1]Submeters!BI14-[1]Submeters!BI13)&lt;0,"0",[1]Submeters!BI14-[1]Submeters!BI13)</f>
        <v>0</v>
      </c>
      <c r="BT8" s="29">
        <f>IF(([1]Submeters!BJ14-[1]Submeters!BJ13)&lt;0,"0",[1]Submeters!BJ14-[1]Submeters!BJ13)</f>
        <v>0</v>
      </c>
      <c r="BU8" s="29">
        <f>IF(([1]Submeters!BK14-[1]Submeters!BK13)&lt;0,"0",[1]Submeters!BK14-[1]Submeters!BK13)</f>
        <v>0</v>
      </c>
      <c r="BV8" s="29">
        <f>IF(([1]Submeters!BL14-[1]Submeters!BL13)&lt;0,"0",[1]Submeters!BL14-[1]Submeters!BL13)</f>
        <v>0</v>
      </c>
      <c r="BW8" s="29">
        <f>IF(([1]Submeters!BM14-[1]Submeters!BM13)&lt;0,"0",[1]Submeters!BM14-[1]Submeters!BM13)</f>
        <v>0</v>
      </c>
      <c r="BX8" s="29">
        <f>IF(([1]Submeters!BN14-[1]Submeters!BN13)&lt;0,"0",[1]Submeters!BN14-[1]Submeters!BN13)</f>
        <v>0</v>
      </c>
      <c r="BY8" s="29">
        <f>IF(([1]Submeters!BO14-[1]Submeters!BO13)&lt;0,"0",[1]Submeters!BO14-[1]Submeters!BO13)</f>
        <v>0</v>
      </c>
      <c r="BZ8" s="29">
        <f>IF(([1]Submeters!BP14-[1]Submeters!BP13)&lt;0,"0",[1]Submeters!BP14-[1]Submeters!BP13)</f>
        <v>0</v>
      </c>
      <c r="CA8" s="29">
        <f>IF(([1]Submeters!BQ14-[1]Submeters!BQ13)&lt;0,"0",[1]Submeters!BQ14-[1]Submeters!BQ13)</f>
        <v>0</v>
      </c>
      <c r="CB8" s="29">
        <f>IF(([1]Submeters!BR14-[1]Submeters!BR13)&lt;0,"0",[1]Submeters!BR14-[1]Submeters!BR13)</f>
        <v>0</v>
      </c>
      <c r="CC8" s="29">
        <f>IF(([1]Submeters!BS14-[1]Submeters!BS13)&lt;0,"0",[1]Submeters!BS14-[1]Submeters!BS13)</f>
        <v>0</v>
      </c>
      <c r="CD8" s="29">
        <f>IF(([1]Submeters!BT14-[1]Submeters!BT13)&lt;0,"0",[1]Submeters!BT14-[1]Submeters!BT13)</f>
        <v>0</v>
      </c>
      <c r="CE8" s="29">
        <f>IF(([1]Submeters!BU14-[1]Submeters!BU13)&lt;0,"0",[1]Submeters!BU14-[1]Submeters!BU13)</f>
        <v>0</v>
      </c>
      <c r="CF8" s="29">
        <f>IF(([1]Submeters!BV14-[1]Submeters!BV13)&lt;0,"0",[1]Submeters!BV14-[1]Submeters!BV13)</f>
        <v>0</v>
      </c>
      <c r="CG8" s="29">
        <f>IF(([1]Submeters!BW14-[1]Submeters!BW13)&lt;0,"0",[1]Submeters!BW14-[1]Submeters!BW13)</f>
        <v>0</v>
      </c>
      <c r="CH8" s="29">
        <f>IF(([1]Submeters!BX14-[1]Submeters!BX13)&lt;0,"0",[1]Submeters!BX14-[1]Submeters!BX13)</f>
        <v>0</v>
      </c>
      <c r="CI8" s="29">
        <f>IF(([1]Submeters!BY14-[1]Submeters!BY13)&lt;0,"0",[1]Submeters!BY14-[1]Submeters!BY13)</f>
        <v>0</v>
      </c>
      <c r="CJ8" s="29">
        <f>IF(([1]Submeters!BZ14-[1]Submeters!BZ13)&lt;0,"0",[1]Submeters!BZ14-[1]Submeters!BZ13)</f>
        <v>0</v>
      </c>
      <c r="CK8" s="29">
        <f>IF(([1]Submeters!CA14-[1]Submeters!CA13)&lt;0,"0",[1]Submeters!CA14-[1]Submeters!CA13)</f>
        <v>0</v>
      </c>
      <c r="CL8" s="29">
        <f>IF(([1]Submeters!CB14-[1]Submeters!CB13)&lt;0,"0",[1]Submeters!CB14-[1]Submeters!CB13)</f>
        <v>0</v>
      </c>
      <c r="CM8" s="29">
        <f>IF(([1]Submeters!CC14-[1]Submeters!CC13)&lt;0,"0",[1]Submeters!CC14-[1]Submeters!CC13)</f>
        <v>0</v>
      </c>
      <c r="CN8" s="29">
        <f>IF(([1]Submeters!CD14-[1]Submeters!CD13)&lt;0,"0",[1]Submeters!CD14-[1]Submeters!CD13)</f>
        <v>0</v>
      </c>
      <c r="CO8" s="29">
        <f>IF(([1]Submeters!CE14-[1]Submeters!CE13)&lt;0,"0",[1]Submeters!CE14-[1]Submeters!CE13)</f>
        <v>0</v>
      </c>
    </row>
    <row r="9" spans="1:95" x14ac:dyDescent="0.25">
      <c r="A9" t="s">
        <v>11</v>
      </c>
      <c r="B9" s="13">
        <f t="shared" si="0"/>
        <v>8</v>
      </c>
      <c r="C9" s="13">
        <v>7</v>
      </c>
      <c r="D9" s="13">
        <v>2020</v>
      </c>
      <c r="E9" s="16" t="str">
        <f>HOTEL!D16</f>
        <v>0</v>
      </c>
      <c r="F9" s="16" t="str">
        <f>HOTEL!F16</f>
        <v>0</v>
      </c>
      <c r="G9" s="16" t="str">
        <f>HOTEL!H16</f>
        <v>0</v>
      </c>
      <c r="H9" s="16" t="str">
        <f>HOTEL!N16</f>
        <v>0</v>
      </c>
      <c r="I9" s="16" t="str">
        <f>HOTEL!P16</f>
        <v>0</v>
      </c>
      <c r="J9" s="16" t="str">
        <f>HOTEL!U16</f>
        <v>0</v>
      </c>
      <c r="K9" s="16">
        <f>HOTEL!Y16</f>
        <v>0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>
        <f>IF(([1]Submeters!AY15-[1]Submeters!AY14)&lt;0,"0",[1]Submeters!AY15-[1]Submeters!AY14)</f>
        <v>196</v>
      </c>
      <c r="BJ9" s="29">
        <f>IF(([1]Submeters!AZ15-[1]Submeters!AZ14)&lt;0,"0",[1]Submeters!AZ15-[1]Submeters!AZ14)</f>
        <v>0</v>
      </c>
      <c r="BK9" s="29">
        <f>IF(([1]Submeters!BA15-[1]Submeters!BA14)&lt;0,"0",[1]Submeters!BA15-[1]Submeters!BA14)</f>
        <v>0</v>
      </c>
      <c r="BL9" s="29">
        <f>IF(([1]Submeters!BB15-[1]Submeters!BB14)&lt;0,"0",[1]Submeters!BB15-[1]Submeters!BB14)</f>
        <v>0</v>
      </c>
      <c r="BM9" s="29">
        <f>IF(([1]Submeters!BC15-[1]Submeters!BC14)&lt;0,"0",[1]Submeters!BC15-[1]Submeters!BC14)</f>
        <v>0</v>
      </c>
      <c r="BN9" s="29">
        <f>IF(([1]Submeters!BD15-[1]Submeters!BD14)&lt;0,"0",[1]Submeters!BD15-[1]Submeters!BD14)</f>
        <v>0</v>
      </c>
      <c r="BO9" s="29">
        <f>IF(([1]Submeters!BE15-[1]Submeters!BE14)&lt;0,"0",[1]Submeters!BE15-[1]Submeters!BE14)</f>
        <v>0</v>
      </c>
      <c r="BP9" s="29">
        <f>IF(([1]Submeters!BF15-[1]Submeters!BF14)&lt;0,"0",[1]Submeters!BF15-[1]Submeters!BF14)</f>
        <v>0</v>
      </c>
      <c r="BQ9" s="29">
        <f>IF(([1]Submeters!BG15-[1]Submeters!BG14)&lt;0,"0",[1]Submeters!BG15-[1]Submeters!BG14)</f>
        <v>0</v>
      </c>
      <c r="BR9" s="29">
        <f>IF(([1]Submeters!BH15-[1]Submeters!BH14)&lt;0,"0",[1]Submeters!BH15-[1]Submeters!BH14)</f>
        <v>0</v>
      </c>
      <c r="BS9" s="29">
        <f>IF(([1]Submeters!BI15-[1]Submeters!BI14)&lt;0,"0",[1]Submeters!BI15-[1]Submeters!BI14)</f>
        <v>0</v>
      </c>
      <c r="BT9" s="29">
        <f>IF(([1]Submeters!BJ15-[1]Submeters!BJ14)&lt;0,"0",[1]Submeters!BJ15-[1]Submeters!BJ14)</f>
        <v>0</v>
      </c>
      <c r="BU9" s="29">
        <f>IF(([1]Submeters!BK15-[1]Submeters!BK14)&lt;0,"0",[1]Submeters!BK15-[1]Submeters!BK14)</f>
        <v>0</v>
      </c>
      <c r="BV9" s="29">
        <f>IF(([1]Submeters!BL15-[1]Submeters!BL14)&lt;0,"0",[1]Submeters!BL15-[1]Submeters!BL14)</f>
        <v>0</v>
      </c>
      <c r="BW9" s="29">
        <f>IF(([1]Submeters!BM15-[1]Submeters!BM14)&lt;0,"0",[1]Submeters!BM15-[1]Submeters!BM14)</f>
        <v>0</v>
      </c>
      <c r="BX9" s="29">
        <f>IF(([1]Submeters!BN15-[1]Submeters!BN14)&lt;0,"0",[1]Submeters!BN15-[1]Submeters!BN14)</f>
        <v>0</v>
      </c>
      <c r="BY9" s="29">
        <f>IF(([1]Submeters!BO15-[1]Submeters!BO14)&lt;0,"0",[1]Submeters!BO15-[1]Submeters!BO14)</f>
        <v>0</v>
      </c>
      <c r="BZ9" s="29">
        <f>IF(([1]Submeters!BP15-[1]Submeters!BP14)&lt;0,"0",[1]Submeters!BP15-[1]Submeters!BP14)</f>
        <v>0</v>
      </c>
      <c r="CA9" s="29">
        <f>IF(([1]Submeters!BQ15-[1]Submeters!BQ14)&lt;0,"0",[1]Submeters!BQ15-[1]Submeters!BQ14)</f>
        <v>0</v>
      </c>
      <c r="CB9" s="29">
        <f>IF(([1]Submeters!BR15-[1]Submeters!BR14)&lt;0,"0",[1]Submeters!BR15-[1]Submeters!BR14)</f>
        <v>0</v>
      </c>
      <c r="CC9" s="29">
        <f>IF(([1]Submeters!BS15-[1]Submeters!BS14)&lt;0,"0",[1]Submeters!BS15-[1]Submeters!BS14)</f>
        <v>0</v>
      </c>
      <c r="CD9" s="29">
        <f>IF(([1]Submeters!BT15-[1]Submeters!BT14)&lt;0,"0",[1]Submeters!BT15-[1]Submeters!BT14)</f>
        <v>0</v>
      </c>
      <c r="CE9" s="29">
        <f>IF(([1]Submeters!BU15-[1]Submeters!BU14)&lt;0,"0",[1]Submeters!BU15-[1]Submeters!BU14)</f>
        <v>0</v>
      </c>
      <c r="CF9" s="29">
        <f>IF(([1]Submeters!BV15-[1]Submeters!BV14)&lt;0,"0",[1]Submeters!BV15-[1]Submeters!BV14)</f>
        <v>0</v>
      </c>
      <c r="CG9" s="29">
        <f>IF(([1]Submeters!BW15-[1]Submeters!BW14)&lt;0,"0",[1]Submeters!BW15-[1]Submeters!BW14)</f>
        <v>0</v>
      </c>
      <c r="CH9" s="29">
        <f>IF(([1]Submeters!BX15-[1]Submeters!BX14)&lt;0,"0",[1]Submeters!BX15-[1]Submeters!BX14)</f>
        <v>0</v>
      </c>
      <c r="CI9" s="29">
        <f>IF(([1]Submeters!BY15-[1]Submeters!BY14)&lt;0,"0",[1]Submeters!BY15-[1]Submeters!BY14)</f>
        <v>0</v>
      </c>
      <c r="CJ9" s="29">
        <f>IF(([1]Submeters!BZ15-[1]Submeters!BZ14)&lt;0,"0",[1]Submeters!BZ15-[1]Submeters!BZ14)</f>
        <v>0</v>
      </c>
      <c r="CK9" s="29">
        <f>IF(([1]Submeters!CA15-[1]Submeters!CA14)&lt;0,"0",[1]Submeters!CA15-[1]Submeters!CA14)</f>
        <v>0</v>
      </c>
      <c r="CL9" s="29">
        <f>IF(([1]Submeters!CB15-[1]Submeters!CB14)&lt;0,"0",[1]Submeters!CB15-[1]Submeters!CB14)</f>
        <v>0</v>
      </c>
      <c r="CM9" s="29">
        <f>IF(([1]Submeters!CC15-[1]Submeters!CC14)&lt;0,"0",[1]Submeters!CC15-[1]Submeters!CC14)</f>
        <v>0</v>
      </c>
      <c r="CN9" s="29">
        <f>IF(([1]Submeters!CD15-[1]Submeters!CD14)&lt;0,"0",[1]Submeters!CD15-[1]Submeters!CD14)</f>
        <v>0</v>
      </c>
      <c r="CO9" s="29">
        <f>IF(([1]Submeters!CE15-[1]Submeters!CE14)&lt;0,"0",[1]Submeters!CE15-[1]Submeters!CE14)</f>
        <v>0</v>
      </c>
    </row>
    <row r="10" spans="1:95" x14ac:dyDescent="0.25">
      <c r="A10" t="s">
        <v>11</v>
      </c>
      <c r="B10" s="13">
        <f t="shared" si="0"/>
        <v>9</v>
      </c>
      <c r="C10" s="13">
        <v>7</v>
      </c>
      <c r="D10" s="13">
        <v>2020</v>
      </c>
      <c r="E10" s="16">
        <f>HOTEL!D17</f>
        <v>0</v>
      </c>
      <c r="F10" s="16">
        <f>HOTEL!F17</f>
        <v>0</v>
      </c>
      <c r="G10" s="16">
        <f>HOTEL!H17</f>
        <v>0</v>
      </c>
      <c r="H10" s="16">
        <f>HOTEL!N17</f>
        <v>0</v>
      </c>
      <c r="I10" s="16">
        <f>HOTEL!P17</f>
        <v>0</v>
      </c>
      <c r="J10" s="16">
        <f>HOTEL!U17</f>
        <v>0</v>
      </c>
      <c r="K10" s="16">
        <f>HOTEL!Y17</f>
        <v>0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>
        <f>IF(([1]Submeters!AY16-[1]Submeters!AY15)&lt;0,"0",[1]Submeters!AY16-[1]Submeters!AY15)</f>
        <v>226</v>
      </c>
      <c r="BJ10" s="29">
        <f>IF(([1]Submeters!AZ16-[1]Submeters!AZ15)&lt;0,"0",[1]Submeters!AZ16-[1]Submeters!AZ15)</f>
        <v>0</v>
      </c>
      <c r="BK10" s="29">
        <f>IF(([1]Submeters!BA16-[1]Submeters!BA15)&lt;0,"0",[1]Submeters!BA16-[1]Submeters!BA15)</f>
        <v>0</v>
      </c>
      <c r="BL10" s="29">
        <f>IF(([1]Submeters!BB16-[1]Submeters!BB15)&lt;0,"0",[1]Submeters!BB16-[1]Submeters!BB15)</f>
        <v>0</v>
      </c>
      <c r="BM10" s="29">
        <f>IF(([1]Submeters!BC16-[1]Submeters!BC15)&lt;0,"0",[1]Submeters!BC16-[1]Submeters!BC15)</f>
        <v>0</v>
      </c>
      <c r="BN10" s="29">
        <f>IF(([1]Submeters!BD16-[1]Submeters!BD15)&lt;0,"0",[1]Submeters!BD16-[1]Submeters!BD15)</f>
        <v>0</v>
      </c>
      <c r="BO10" s="29">
        <f>IF(([1]Submeters!BE16-[1]Submeters!BE15)&lt;0,"0",[1]Submeters!BE16-[1]Submeters!BE15)</f>
        <v>0</v>
      </c>
      <c r="BP10" s="29">
        <f>IF(([1]Submeters!BF16-[1]Submeters!BF15)&lt;0,"0",[1]Submeters!BF16-[1]Submeters!BF15)</f>
        <v>0</v>
      </c>
      <c r="BQ10" s="29">
        <f>IF(([1]Submeters!BG16-[1]Submeters!BG15)&lt;0,"0",[1]Submeters!BG16-[1]Submeters!BG15)</f>
        <v>0</v>
      </c>
      <c r="BR10" s="29">
        <f>IF(([1]Submeters!BH16-[1]Submeters!BH15)&lt;0,"0",[1]Submeters!BH16-[1]Submeters!BH15)</f>
        <v>0</v>
      </c>
      <c r="BS10" s="29">
        <f>IF(([1]Submeters!BI16-[1]Submeters!BI15)&lt;0,"0",[1]Submeters!BI16-[1]Submeters!BI15)</f>
        <v>0</v>
      </c>
      <c r="BT10" s="29">
        <f>IF(([1]Submeters!BJ16-[1]Submeters!BJ15)&lt;0,"0",[1]Submeters!BJ16-[1]Submeters!BJ15)</f>
        <v>0</v>
      </c>
      <c r="BU10" s="29">
        <f>IF(([1]Submeters!BK16-[1]Submeters!BK15)&lt;0,"0",[1]Submeters!BK16-[1]Submeters!BK15)</f>
        <v>0</v>
      </c>
      <c r="BV10" s="29">
        <f>IF(([1]Submeters!BL16-[1]Submeters!BL15)&lt;0,"0",[1]Submeters!BL16-[1]Submeters!BL15)</f>
        <v>0</v>
      </c>
      <c r="BW10" s="29">
        <f>IF(([1]Submeters!BM16-[1]Submeters!BM15)&lt;0,"0",[1]Submeters!BM16-[1]Submeters!BM15)</f>
        <v>0</v>
      </c>
      <c r="BX10" s="29">
        <f>IF(([1]Submeters!BN16-[1]Submeters!BN15)&lt;0,"0",[1]Submeters!BN16-[1]Submeters!BN15)</f>
        <v>0</v>
      </c>
      <c r="BY10" s="29">
        <f>IF(([1]Submeters!BO16-[1]Submeters!BO15)&lt;0,"0",[1]Submeters!BO16-[1]Submeters!BO15)</f>
        <v>0</v>
      </c>
      <c r="BZ10" s="29">
        <f>IF(([1]Submeters!BP16-[1]Submeters!BP15)&lt;0,"0",[1]Submeters!BP16-[1]Submeters!BP15)</f>
        <v>0</v>
      </c>
      <c r="CA10" s="29">
        <f>IF(([1]Submeters!BQ16-[1]Submeters!BQ15)&lt;0,"0",[1]Submeters!BQ16-[1]Submeters!BQ15)</f>
        <v>0</v>
      </c>
      <c r="CB10" s="29">
        <f>IF(([1]Submeters!BR16-[1]Submeters!BR15)&lt;0,"0",[1]Submeters!BR16-[1]Submeters!BR15)</f>
        <v>0</v>
      </c>
      <c r="CC10" s="29">
        <f>IF(([1]Submeters!BS16-[1]Submeters!BS15)&lt;0,"0",[1]Submeters!BS16-[1]Submeters!BS15)</f>
        <v>0</v>
      </c>
      <c r="CD10" s="29">
        <f>IF(([1]Submeters!BT16-[1]Submeters!BT15)&lt;0,"0",[1]Submeters!BT16-[1]Submeters!BT15)</f>
        <v>0</v>
      </c>
      <c r="CE10" s="29">
        <f>IF(([1]Submeters!BU16-[1]Submeters!BU15)&lt;0,"0",[1]Submeters!BU16-[1]Submeters!BU15)</f>
        <v>0</v>
      </c>
      <c r="CF10" s="29">
        <f>IF(([1]Submeters!BV16-[1]Submeters!BV15)&lt;0,"0",[1]Submeters!BV16-[1]Submeters!BV15)</f>
        <v>0</v>
      </c>
      <c r="CG10" s="29">
        <f>IF(([1]Submeters!BW16-[1]Submeters!BW15)&lt;0,"0",[1]Submeters!BW16-[1]Submeters!BW15)</f>
        <v>0</v>
      </c>
      <c r="CH10" s="29">
        <f>IF(([1]Submeters!BX16-[1]Submeters!BX15)&lt;0,"0",[1]Submeters!BX16-[1]Submeters!BX15)</f>
        <v>0</v>
      </c>
      <c r="CI10" s="29">
        <f>IF(([1]Submeters!BY16-[1]Submeters!BY15)&lt;0,"0",[1]Submeters!BY16-[1]Submeters!BY15)</f>
        <v>0</v>
      </c>
      <c r="CJ10" s="29">
        <f>IF(([1]Submeters!BZ16-[1]Submeters!BZ15)&lt;0,"0",[1]Submeters!BZ16-[1]Submeters!BZ15)</f>
        <v>0</v>
      </c>
      <c r="CK10" s="29">
        <f>IF(([1]Submeters!CA16-[1]Submeters!CA15)&lt;0,"0",[1]Submeters!CA16-[1]Submeters!CA15)</f>
        <v>0</v>
      </c>
      <c r="CL10" s="29">
        <f>IF(([1]Submeters!CB16-[1]Submeters!CB15)&lt;0,"0",[1]Submeters!CB16-[1]Submeters!CB15)</f>
        <v>0</v>
      </c>
      <c r="CM10" s="29">
        <f>IF(([1]Submeters!CC16-[1]Submeters!CC15)&lt;0,"0",[1]Submeters!CC16-[1]Submeters!CC15)</f>
        <v>0</v>
      </c>
      <c r="CN10" s="29">
        <f>IF(([1]Submeters!CD16-[1]Submeters!CD15)&lt;0,"0",[1]Submeters!CD16-[1]Submeters!CD15)</f>
        <v>0</v>
      </c>
      <c r="CO10" s="29">
        <f>IF(([1]Submeters!CE16-[1]Submeters!CE15)&lt;0,"0",[1]Submeters!CE16-[1]Submeters!CE15)</f>
        <v>0</v>
      </c>
    </row>
    <row r="11" spans="1:95" x14ac:dyDescent="0.25">
      <c r="A11" t="s">
        <v>11</v>
      </c>
      <c r="B11" s="13">
        <f t="shared" si="0"/>
        <v>10</v>
      </c>
      <c r="C11" s="13">
        <v>7</v>
      </c>
      <c r="D11" s="13">
        <v>2020</v>
      </c>
      <c r="E11" s="16">
        <f>HOTEL!D18</f>
        <v>0</v>
      </c>
      <c r="F11" s="16">
        <f>HOTEL!F18</f>
        <v>0</v>
      </c>
      <c r="G11" s="16">
        <f>HOTEL!H18</f>
        <v>0</v>
      </c>
      <c r="H11" s="16">
        <f>HOTEL!N18</f>
        <v>0</v>
      </c>
      <c r="I11" s="16">
        <f>HOTEL!P18</f>
        <v>0</v>
      </c>
      <c r="J11" s="16">
        <f>HOTEL!U18</f>
        <v>0</v>
      </c>
      <c r="K11" s="16">
        <f>HOTEL!Y18</f>
        <v>0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>
        <f>IF(([1]Submeters!AY17-[1]Submeters!AY16)&lt;0,"0",[1]Submeters!AY17-[1]Submeters!AY16)</f>
        <v>300</v>
      </c>
      <c r="BJ11" s="29">
        <f>IF(([1]Submeters!AZ17-[1]Submeters!AZ16)&lt;0,"0",[1]Submeters!AZ17-[1]Submeters!AZ16)</f>
        <v>0</v>
      </c>
      <c r="BK11" s="29">
        <f>IF(([1]Submeters!BA17-[1]Submeters!BA16)&lt;0,"0",[1]Submeters!BA17-[1]Submeters!BA16)</f>
        <v>0</v>
      </c>
      <c r="BL11" s="29">
        <f>IF(([1]Submeters!BB17-[1]Submeters!BB16)&lt;0,"0",[1]Submeters!BB17-[1]Submeters!BB16)</f>
        <v>0</v>
      </c>
      <c r="BM11" s="29">
        <f>IF(([1]Submeters!BC17-[1]Submeters!BC16)&lt;0,"0",[1]Submeters!BC17-[1]Submeters!BC16)</f>
        <v>0</v>
      </c>
      <c r="BN11" s="29">
        <f>IF(([1]Submeters!BD17-[1]Submeters!BD16)&lt;0,"0",[1]Submeters!BD17-[1]Submeters!BD16)</f>
        <v>0</v>
      </c>
      <c r="BO11" s="29">
        <f>IF(([1]Submeters!BE17-[1]Submeters!BE16)&lt;0,"0",[1]Submeters!BE17-[1]Submeters!BE16)</f>
        <v>0</v>
      </c>
      <c r="BP11" s="29">
        <f>IF(([1]Submeters!BF17-[1]Submeters!BF16)&lt;0,"0",[1]Submeters!BF17-[1]Submeters!BF16)</f>
        <v>0</v>
      </c>
      <c r="BQ11" s="29">
        <f>IF(([1]Submeters!BG17-[1]Submeters!BG16)&lt;0,"0",[1]Submeters!BG17-[1]Submeters!BG16)</f>
        <v>0</v>
      </c>
      <c r="BR11" s="29">
        <f>IF(([1]Submeters!BH17-[1]Submeters!BH16)&lt;0,"0",[1]Submeters!BH17-[1]Submeters!BH16)</f>
        <v>0</v>
      </c>
      <c r="BS11" s="29">
        <f>IF(([1]Submeters!BI17-[1]Submeters!BI16)&lt;0,"0",[1]Submeters!BI17-[1]Submeters!BI16)</f>
        <v>0</v>
      </c>
      <c r="BT11" s="29">
        <f>IF(([1]Submeters!BJ17-[1]Submeters!BJ16)&lt;0,"0",[1]Submeters!BJ17-[1]Submeters!BJ16)</f>
        <v>0</v>
      </c>
      <c r="BU11" s="29">
        <f>IF(([1]Submeters!BK17-[1]Submeters!BK16)&lt;0,"0",[1]Submeters!BK17-[1]Submeters!BK16)</f>
        <v>0</v>
      </c>
      <c r="BV11" s="29">
        <f>IF(([1]Submeters!BL17-[1]Submeters!BL16)&lt;0,"0",[1]Submeters!BL17-[1]Submeters!BL16)</f>
        <v>0</v>
      </c>
      <c r="BW11" s="29">
        <f>IF(([1]Submeters!BM17-[1]Submeters!BM16)&lt;0,"0",[1]Submeters!BM17-[1]Submeters!BM16)</f>
        <v>0</v>
      </c>
      <c r="BX11" s="29">
        <f>IF(([1]Submeters!BN17-[1]Submeters!BN16)&lt;0,"0",[1]Submeters!BN17-[1]Submeters!BN16)</f>
        <v>0</v>
      </c>
      <c r="BY11" s="29">
        <f>IF(([1]Submeters!BO17-[1]Submeters!BO16)&lt;0,"0",[1]Submeters!BO17-[1]Submeters!BO16)</f>
        <v>0</v>
      </c>
      <c r="BZ11" s="29">
        <f>IF(([1]Submeters!BP17-[1]Submeters!BP16)&lt;0,"0",[1]Submeters!BP17-[1]Submeters!BP16)</f>
        <v>0</v>
      </c>
      <c r="CA11" s="29">
        <f>IF(([1]Submeters!BQ17-[1]Submeters!BQ16)&lt;0,"0",[1]Submeters!BQ17-[1]Submeters!BQ16)</f>
        <v>0</v>
      </c>
      <c r="CB11" s="29">
        <f>IF(([1]Submeters!BR17-[1]Submeters!BR16)&lt;0,"0",[1]Submeters!BR17-[1]Submeters!BR16)</f>
        <v>0</v>
      </c>
      <c r="CC11" s="29">
        <f>IF(([1]Submeters!BS17-[1]Submeters!BS16)&lt;0,"0",[1]Submeters!BS17-[1]Submeters!BS16)</f>
        <v>0</v>
      </c>
      <c r="CD11" s="29">
        <f>IF(([1]Submeters!BT17-[1]Submeters!BT16)&lt;0,"0",[1]Submeters!BT17-[1]Submeters!BT16)</f>
        <v>0</v>
      </c>
      <c r="CE11" s="29">
        <f>IF(([1]Submeters!BU17-[1]Submeters!BU16)&lt;0,"0",[1]Submeters!BU17-[1]Submeters!BU16)</f>
        <v>0</v>
      </c>
      <c r="CF11" s="29">
        <f>IF(([1]Submeters!BV17-[1]Submeters!BV16)&lt;0,"0",[1]Submeters!BV17-[1]Submeters!BV16)</f>
        <v>0</v>
      </c>
      <c r="CG11" s="29">
        <f>IF(([1]Submeters!BW17-[1]Submeters!BW16)&lt;0,"0",[1]Submeters!BW17-[1]Submeters!BW16)</f>
        <v>0</v>
      </c>
      <c r="CH11" s="29">
        <f>IF(([1]Submeters!BX17-[1]Submeters!BX16)&lt;0,"0",[1]Submeters!BX17-[1]Submeters!BX16)</f>
        <v>0</v>
      </c>
      <c r="CI11" s="29">
        <f>IF(([1]Submeters!BY17-[1]Submeters!BY16)&lt;0,"0",[1]Submeters!BY17-[1]Submeters!BY16)</f>
        <v>0</v>
      </c>
      <c r="CJ11" s="29">
        <f>IF(([1]Submeters!BZ17-[1]Submeters!BZ16)&lt;0,"0",[1]Submeters!BZ17-[1]Submeters!BZ16)</f>
        <v>0</v>
      </c>
      <c r="CK11" s="29">
        <f>IF(([1]Submeters!CA17-[1]Submeters!CA16)&lt;0,"0",[1]Submeters!CA17-[1]Submeters!CA16)</f>
        <v>0</v>
      </c>
      <c r="CL11" s="29">
        <f>IF(([1]Submeters!CB17-[1]Submeters!CB16)&lt;0,"0",[1]Submeters!CB17-[1]Submeters!CB16)</f>
        <v>0</v>
      </c>
      <c r="CM11" s="29">
        <f>IF(([1]Submeters!CC17-[1]Submeters!CC16)&lt;0,"0",[1]Submeters!CC17-[1]Submeters!CC16)</f>
        <v>0</v>
      </c>
      <c r="CN11" s="29">
        <f>IF(([1]Submeters!CD17-[1]Submeters!CD16)&lt;0,"0",[1]Submeters!CD17-[1]Submeters!CD16)</f>
        <v>0</v>
      </c>
      <c r="CO11" s="29">
        <f>IF(([1]Submeters!CE17-[1]Submeters!CE16)&lt;0,"0",[1]Submeters!CE17-[1]Submeters!CE16)</f>
        <v>0</v>
      </c>
    </row>
    <row r="12" spans="1:95" x14ac:dyDescent="0.25">
      <c r="A12" t="s">
        <v>11</v>
      </c>
      <c r="B12" s="13">
        <f t="shared" si="0"/>
        <v>11</v>
      </c>
      <c r="C12" s="13">
        <v>7</v>
      </c>
      <c r="D12" s="13">
        <v>2020</v>
      </c>
      <c r="E12" s="16">
        <f>HOTEL!D19</f>
        <v>0</v>
      </c>
      <c r="F12" s="16">
        <f>HOTEL!F19</f>
        <v>0</v>
      </c>
      <c r="G12" s="16">
        <f>HOTEL!H19</f>
        <v>0</v>
      </c>
      <c r="H12" s="16">
        <f>HOTEL!N19</f>
        <v>0</v>
      </c>
      <c r="I12" s="16">
        <f>HOTEL!P19</f>
        <v>0</v>
      </c>
      <c r="J12" s="16">
        <f>HOTEL!U19</f>
        <v>0</v>
      </c>
      <c r="K12" s="16">
        <f>HOTEL!Y19</f>
        <v>0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>
        <f>IF(([1]Submeters!AY18-[1]Submeters!AY17)&lt;0,"0",[1]Submeters!AY18-[1]Submeters!AY17)</f>
        <v>277</v>
      </c>
      <c r="BJ12" s="29">
        <f>IF(([1]Submeters!AZ18-[1]Submeters!AZ17)&lt;0,"0",[1]Submeters!AZ18-[1]Submeters!AZ17)</f>
        <v>0</v>
      </c>
      <c r="BK12" s="29">
        <f>IF(([1]Submeters!BA18-[1]Submeters!BA17)&lt;0,"0",[1]Submeters!BA18-[1]Submeters!BA17)</f>
        <v>0</v>
      </c>
      <c r="BL12" s="29">
        <f>IF(([1]Submeters!BB18-[1]Submeters!BB17)&lt;0,"0",[1]Submeters!BB18-[1]Submeters!BB17)</f>
        <v>0</v>
      </c>
      <c r="BM12" s="29">
        <f>IF(([1]Submeters!BC18-[1]Submeters!BC17)&lt;0,"0",[1]Submeters!BC18-[1]Submeters!BC17)</f>
        <v>0</v>
      </c>
      <c r="BN12" s="29">
        <f>IF(([1]Submeters!BD18-[1]Submeters!BD17)&lt;0,"0",[1]Submeters!BD18-[1]Submeters!BD17)</f>
        <v>0</v>
      </c>
      <c r="BO12" s="29">
        <f>IF(([1]Submeters!BE18-[1]Submeters!BE17)&lt;0,"0",[1]Submeters!BE18-[1]Submeters!BE17)</f>
        <v>0</v>
      </c>
      <c r="BP12" s="29">
        <f>IF(([1]Submeters!BF18-[1]Submeters!BF17)&lt;0,"0",[1]Submeters!BF18-[1]Submeters!BF17)</f>
        <v>0</v>
      </c>
      <c r="BQ12" s="29">
        <f>IF(([1]Submeters!BG18-[1]Submeters!BG17)&lt;0,"0",[1]Submeters!BG18-[1]Submeters!BG17)</f>
        <v>0</v>
      </c>
      <c r="BR12" s="29">
        <f>IF(([1]Submeters!BH18-[1]Submeters!BH17)&lt;0,"0",[1]Submeters!BH18-[1]Submeters!BH17)</f>
        <v>0</v>
      </c>
      <c r="BS12" s="29">
        <f>IF(([1]Submeters!BI18-[1]Submeters!BI17)&lt;0,"0",[1]Submeters!BI18-[1]Submeters!BI17)</f>
        <v>0</v>
      </c>
      <c r="BT12" s="29">
        <f>IF(([1]Submeters!BJ18-[1]Submeters!BJ17)&lt;0,"0",[1]Submeters!BJ18-[1]Submeters!BJ17)</f>
        <v>0</v>
      </c>
      <c r="BU12" s="29">
        <f>IF(([1]Submeters!BK18-[1]Submeters!BK17)&lt;0,"0",[1]Submeters!BK18-[1]Submeters!BK17)</f>
        <v>0</v>
      </c>
      <c r="BV12" s="29">
        <f>IF(([1]Submeters!BL18-[1]Submeters!BL17)&lt;0,"0",[1]Submeters!BL18-[1]Submeters!BL17)</f>
        <v>0</v>
      </c>
      <c r="BW12" s="29">
        <f>IF(([1]Submeters!BM18-[1]Submeters!BM17)&lt;0,"0",[1]Submeters!BM18-[1]Submeters!BM17)</f>
        <v>0</v>
      </c>
      <c r="BX12" s="29">
        <f>IF(([1]Submeters!BN18-[1]Submeters!BN17)&lt;0,"0",[1]Submeters!BN18-[1]Submeters!BN17)</f>
        <v>0</v>
      </c>
      <c r="BY12" s="29">
        <f>IF(([1]Submeters!BO18-[1]Submeters!BO17)&lt;0,"0",[1]Submeters!BO18-[1]Submeters!BO17)</f>
        <v>0</v>
      </c>
      <c r="BZ12" s="29">
        <f>IF(([1]Submeters!BP18-[1]Submeters!BP17)&lt;0,"0",[1]Submeters!BP18-[1]Submeters!BP17)</f>
        <v>0</v>
      </c>
      <c r="CA12" s="29">
        <f>IF(([1]Submeters!BQ18-[1]Submeters!BQ17)&lt;0,"0",[1]Submeters!BQ18-[1]Submeters!BQ17)</f>
        <v>0</v>
      </c>
      <c r="CB12" s="29">
        <f>IF(([1]Submeters!BR18-[1]Submeters!BR17)&lt;0,"0",[1]Submeters!BR18-[1]Submeters!BR17)</f>
        <v>0</v>
      </c>
      <c r="CC12" s="29">
        <f>IF(([1]Submeters!BS18-[1]Submeters!BS17)&lt;0,"0",[1]Submeters!BS18-[1]Submeters!BS17)</f>
        <v>0</v>
      </c>
      <c r="CD12" s="29">
        <f>IF(([1]Submeters!BT18-[1]Submeters!BT17)&lt;0,"0",[1]Submeters!BT18-[1]Submeters!BT17)</f>
        <v>0</v>
      </c>
      <c r="CE12" s="29">
        <f>IF(([1]Submeters!BU18-[1]Submeters!BU17)&lt;0,"0",[1]Submeters!BU18-[1]Submeters!BU17)</f>
        <v>0</v>
      </c>
      <c r="CF12" s="29">
        <f>IF(([1]Submeters!BV18-[1]Submeters!BV17)&lt;0,"0",[1]Submeters!BV18-[1]Submeters!BV17)</f>
        <v>0</v>
      </c>
      <c r="CG12" s="29">
        <f>IF(([1]Submeters!BW18-[1]Submeters!BW17)&lt;0,"0",[1]Submeters!BW18-[1]Submeters!BW17)</f>
        <v>0</v>
      </c>
      <c r="CH12" s="29">
        <f>IF(([1]Submeters!BX18-[1]Submeters!BX17)&lt;0,"0",[1]Submeters!BX18-[1]Submeters!BX17)</f>
        <v>0</v>
      </c>
      <c r="CI12" s="29">
        <f>IF(([1]Submeters!BY18-[1]Submeters!BY17)&lt;0,"0",[1]Submeters!BY18-[1]Submeters!BY17)</f>
        <v>0</v>
      </c>
      <c r="CJ12" s="29">
        <f>IF(([1]Submeters!BZ18-[1]Submeters!BZ17)&lt;0,"0",[1]Submeters!BZ18-[1]Submeters!BZ17)</f>
        <v>0</v>
      </c>
      <c r="CK12" s="29">
        <f>IF(([1]Submeters!CA18-[1]Submeters!CA17)&lt;0,"0",[1]Submeters!CA18-[1]Submeters!CA17)</f>
        <v>0</v>
      </c>
      <c r="CL12" s="29">
        <f>IF(([1]Submeters!CB18-[1]Submeters!CB17)&lt;0,"0",[1]Submeters!CB18-[1]Submeters!CB17)</f>
        <v>0</v>
      </c>
      <c r="CM12" s="29">
        <f>IF(([1]Submeters!CC18-[1]Submeters!CC17)&lt;0,"0",[1]Submeters!CC18-[1]Submeters!CC17)</f>
        <v>0</v>
      </c>
      <c r="CN12" s="29">
        <f>IF(([1]Submeters!CD18-[1]Submeters!CD17)&lt;0,"0",[1]Submeters!CD18-[1]Submeters!CD17)</f>
        <v>0</v>
      </c>
      <c r="CO12" s="29">
        <f>IF(([1]Submeters!CE18-[1]Submeters!CE17)&lt;0,"0",[1]Submeters!CE18-[1]Submeters!CE17)</f>
        <v>0</v>
      </c>
    </row>
    <row r="13" spans="1:95" x14ac:dyDescent="0.25">
      <c r="A13" t="s">
        <v>11</v>
      </c>
      <c r="B13" s="13">
        <f t="shared" si="0"/>
        <v>12</v>
      </c>
      <c r="C13" s="13">
        <v>7</v>
      </c>
      <c r="D13" s="13">
        <v>2020</v>
      </c>
      <c r="E13" s="16">
        <f>HOTEL!D20</f>
        <v>0</v>
      </c>
      <c r="F13" s="16">
        <f>HOTEL!F20</f>
        <v>0</v>
      </c>
      <c r="G13" s="16">
        <f>HOTEL!H20</f>
        <v>0</v>
      </c>
      <c r="H13" s="16">
        <f>HOTEL!N20</f>
        <v>0</v>
      </c>
      <c r="I13" s="16">
        <f>HOTEL!P20</f>
        <v>0</v>
      </c>
      <c r="J13" s="16">
        <f>HOTEL!U20</f>
        <v>0</v>
      </c>
      <c r="K13" s="16">
        <f>HOTEL!Y20</f>
        <v>0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>
        <f>IF(([1]Submeters!AY19-[1]Submeters!AY18)&lt;0,"0",[1]Submeters!AY19-[1]Submeters!AY18)</f>
        <v>293</v>
      </c>
      <c r="BJ13" s="29">
        <f>IF(([1]Submeters!AZ19-[1]Submeters!AZ18)&lt;0,"0",[1]Submeters!AZ19-[1]Submeters!AZ18)</f>
        <v>0</v>
      </c>
      <c r="BK13" s="29">
        <f>IF(([1]Submeters!BA19-[1]Submeters!BA18)&lt;0,"0",[1]Submeters!BA19-[1]Submeters!BA18)</f>
        <v>0</v>
      </c>
      <c r="BL13" s="29">
        <f>IF(([1]Submeters!BB19-[1]Submeters!BB18)&lt;0,"0",[1]Submeters!BB19-[1]Submeters!BB18)</f>
        <v>0</v>
      </c>
      <c r="BM13" s="29">
        <f>IF(([1]Submeters!BC19-[1]Submeters!BC18)&lt;0,"0",[1]Submeters!BC19-[1]Submeters!BC18)</f>
        <v>0</v>
      </c>
      <c r="BN13" s="29">
        <f>IF(([1]Submeters!BD19-[1]Submeters!BD18)&lt;0,"0",[1]Submeters!BD19-[1]Submeters!BD18)</f>
        <v>0</v>
      </c>
      <c r="BO13" s="29">
        <f>IF(([1]Submeters!BE19-[1]Submeters!BE18)&lt;0,"0",[1]Submeters!BE19-[1]Submeters!BE18)</f>
        <v>0</v>
      </c>
      <c r="BP13" s="29">
        <f>IF(([1]Submeters!BF19-[1]Submeters!BF18)&lt;0,"0",[1]Submeters!BF19-[1]Submeters!BF18)</f>
        <v>0</v>
      </c>
      <c r="BQ13" s="29">
        <f>IF(([1]Submeters!BG19-[1]Submeters!BG18)&lt;0,"0",[1]Submeters!BG19-[1]Submeters!BG18)</f>
        <v>0</v>
      </c>
      <c r="BR13" s="29">
        <f>IF(([1]Submeters!BH19-[1]Submeters!BH18)&lt;0,"0",[1]Submeters!BH19-[1]Submeters!BH18)</f>
        <v>0</v>
      </c>
      <c r="BS13" s="29">
        <f>IF(([1]Submeters!BI19-[1]Submeters!BI18)&lt;0,"0",[1]Submeters!BI19-[1]Submeters!BI18)</f>
        <v>0</v>
      </c>
      <c r="BT13" s="29">
        <f>IF(([1]Submeters!BJ19-[1]Submeters!BJ18)&lt;0,"0",[1]Submeters!BJ19-[1]Submeters!BJ18)</f>
        <v>0</v>
      </c>
      <c r="BU13" s="29">
        <f>IF(([1]Submeters!BK19-[1]Submeters!BK18)&lt;0,"0",[1]Submeters!BK19-[1]Submeters!BK18)</f>
        <v>0</v>
      </c>
      <c r="BV13" s="29">
        <f>IF(([1]Submeters!BL19-[1]Submeters!BL18)&lt;0,"0",[1]Submeters!BL19-[1]Submeters!BL18)</f>
        <v>0</v>
      </c>
      <c r="BW13" s="29">
        <f>IF(([1]Submeters!BM19-[1]Submeters!BM18)&lt;0,"0",[1]Submeters!BM19-[1]Submeters!BM18)</f>
        <v>0</v>
      </c>
      <c r="BX13" s="29">
        <f>IF(([1]Submeters!BN19-[1]Submeters!BN18)&lt;0,"0",[1]Submeters!BN19-[1]Submeters!BN18)</f>
        <v>0</v>
      </c>
      <c r="BY13" s="29">
        <f>IF(([1]Submeters!BO19-[1]Submeters!BO18)&lt;0,"0",[1]Submeters!BO19-[1]Submeters!BO18)</f>
        <v>0</v>
      </c>
      <c r="BZ13" s="29">
        <f>IF(([1]Submeters!BP19-[1]Submeters!BP18)&lt;0,"0",[1]Submeters!BP19-[1]Submeters!BP18)</f>
        <v>0</v>
      </c>
      <c r="CA13" s="29">
        <f>IF(([1]Submeters!BQ19-[1]Submeters!BQ18)&lt;0,"0",[1]Submeters!BQ19-[1]Submeters!BQ18)</f>
        <v>0</v>
      </c>
      <c r="CB13" s="29">
        <f>IF(([1]Submeters!BR19-[1]Submeters!BR18)&lt;0,"0",[1]Submeters!BR19-[1]Submeters!BR18)</f>
        <v>0</v>
      </c>
      <c r="CC13" s="29">
        <f>IF(([1]Submeters!BS19-[1]Submeters!BS18)&lt;0,"0",[1]Submeters!BS19-[1]Submeters!BS18)</f>
        <v>0</v>
      </c>
      <c r="CD13" s="29">
        <f>IF(([1]Submeters!BT19-[1]Submeters!BT18)&lt;0,"0",[1]Submeters!BT19-[1]Submeters!BT18)</f>
        <v>0</v>
      </c>
      <c r="CE13" s="29">
        <f>IF(([1]Submeters!BU19-[1]Submeters!BU18)&lt;0,"0",[1]Submeters!BU19-[1]Submeters!BU18)</f>
        <v>0</v>
      </c>
      <c r="CF13" s="29">
        <f>IF(([1]Submeters!BV19-[1]Submeters!BV18)&lt;0,"0",[1]Submeters!BV19-[1]Submeters!BV18)</f>
        <v>0</v>
      </c>
      <c r="CG13" s="29">
        <f>IF(([1]Submeters!BW19-[1]Submeters!BW18)&lt;0,"0",[1]Submeters!BW19-[1]Submeters!BW18)</f>
        <v>0</v>
      </c>
      <c r="CH13" s="29">
        <f>IF(([1]Submeters!BX19-[1]Submeters!BX18)&lt;0,"0",[1]Submeters!BX19-[1]Submeters!BX18)</f>
        <v>0</v>
      </c>
      <c r="CI13" s="29">
        <f>IF(([1]Submeters!BY19-[1]Submeters!BY18)&lt;0,"0",[1]Submeters!BY19-[1]Submeters!BY18)</f>
        <v>0</v>
      </c>
      <c r="CJ13" s="29">
        <f>IF(([1]Submeters!BZ19-[1]Submeters!BZ18)&lt;0,"0",[1]Submeters!BZ19-[1]Submeters!BZ18)</f>
        <v>0</v>
      </c>
      <c r="CK13" s="29">
        <f>IF(([1]Submeters!CA19-[1]Submeters!CA18)&lt;0,"0",[1]Submeters!CA19-[1]Submeters!CA18)</f>
        <v>0</v>
      </c>
      <c r="CL13" s="29">
        <f>IF(([1]Submeters!CB19-[1]Submeters!CB18)&lt;0,"0",[1]Submeters!CB19-[1]Submeters!CB18)</f>
        <v>0</v>
      </c>
      <c r="CM13" s="29">
        <f>IF(([1]Submeters!CC19-[1]Submeters!CC18)&lt;0,"0",[1]Submeters!CC19-[1]Submeters!CC18)</f>
        <v>0</v>
      </c>
      <c r="CN13" s="29">
        <f>IF(([1]Submeters!CD19-[1]Submeters!CD18)&lt;0,"0",[1]Submeters!CD19-[1]Submeters!CD18)</f>
        <v>0</v>
      </c>
      <c r="CO13" s="29">
        <f>IF(([1]Submeters!CE19-[1]Submeters!CE18)&lt;0,"0",[1]Submeters!CE19-[1]Submeters!CE18)</f>
        <v>0</v>
      </c>
    </row>
    <row r="14" spans="1:95" x14ac:dyDescent="0.25">
      <c r="A14" t="s">
        <v>11</v>
      </c>
      <c r="B14" s="13">
        <f t="shared" si="0"/>
        <v>13</v>
      </c>
      <c r="C14" s="13">
        <v>7</v>
      </c>
      <c r="D14" s="13">
        <v>2020</v>
      </c>
      <c r="E14" s="16">
        <f>HOTEL!D21</f>
        <v>0</v>
      </c>
      <c r="F14" s="16">
        <f>HOTEL!F21</f>
        <v>0</v>
      </c>
      <c r="G14" s="16">
        <f>HOTEL!H21</f>
        <v>0</v>
      </c>
      <c r="H14" s="16">
        <f>HOTEL!N21</f>
        <v>0</v>
      </c>
      <c r="I14" s="16">
        <f>HOTEL!P21</f>
        <v>0</v>
      </c>
      <c r="J14" s="16">
        <f>HOTEL!U21</f>
        <v>0</v>
      </c>
      <c r="K14" s="16">
        <f>HOTEL!Y21</f>
        <v>0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>
        <f>IF(([1]Submeters!AY20-[1]Submeters!AY19)&lt;0,"0",[1]Submeters!AY20-[1]Submeters!AY19)</f>
        <v>438</v>
      </c>
      <c r="BJ14" s="29">
        <f>IF(([1]Submeters!AZ20-[1]Submeters!AZ19)&lt;0,"0",[1]Submeters!AZ20-[1]Submeters!AZ19)</f>
        <v>0</v>
      </c>
      <c r="BK14" s="29">
        <f>IF(([1]Submeters!BA20-[1]Submeters!BA19)&lt;0,"0",[1]Submeters!BA20-[1]Submeters!BA19)</f>
        <v>0</v>
      </c>
      <c r="BL14" s="29">
        <f>IF(([1]Submeters!BB20-[1]Submeters!BB19)&lt;0,"0",[1]Submeters!BB20-[1]Submeters!BB19)</f>
        <v>0</v>
      </c>
      <c r="BM14" s="29">
        <f>IF(([1]Submeters!BC20-[1]Submeters!BC19)&lt;0,"0",[1]Submeters!BC20-[1]Submeters!BC19)</f>
        <v>0</v>
      </c>
      <c r="BN14" s="29">
        <f>IF(([1]Submeters!BD20-[1]Submeters!BD19)&lt;0,"0",[1]Submeters!BD20-[1]Submeters!BD19)</f>
        <v>0</v>
      </c>
      <c r="BO14" s="29">
        <f>IF(([1]Submeters!BE20-[1]Submeters!BE19)&lt;0,"0",[1]Submeters!BE20-[1]Submeters!BE19)</f>
        <v>0</v>
      </c>
      <c r="BP14" s="29">
        <f>IF(([1]Submeters!BF20-[1]Submeters!BF19)&lt;0,"0",[1]Submeters!BF20-[1]Submeters!BF19)</f>
        <v>0</v>
      </c>
      <c r="BQ14" s="29">
        <f>IF(([1]Submeters!BG20-[1]Submeters!BG19)&lt;0,"0",[1]Submeters!BG20-[1]Submeters!BG19)</f>
        <v>0</v>
      </c>
      <c r="BR14" s="29">
        <f>IF(([1]Submeters!BH20-[1]Submeters!BH19)&lt;0,"0",[1]Submeters!BH20-[1]Submeters!BH19)</f>
        <v>0</v>
      </c>
      <c r="BS14" s="29">
        <f>IF(([1]Submeters!BI20-[1]Submeters!BI19)&lt;0,"0",[1]Submeters!BI20-[1]Submeters!BI19)</f>
        <v>0</v>
      </c>
      <c r="BT14" s="29">
        <f>IF(([1]Submeters!BJ20-[1]Submeters!BJ19)&lt;0,"0",[1]Submeters!BJ20-[1]Submeters!BJ19)</f>
        <v>0</v>
      </c>
      <c r="BU14" s="29">
        <f>IF(([1]Submeters!BK20-[1]Submeters!BK19)&lt;0,"0",[1]Submeters!BK20-[1]Submeters!BK19)</f>
        <v>0</v>
      </c>
      <c r="BV14" s="29">
        <f>IF(([1]Submeters!BL20-[1]Submeters!BL19)&lt;0,"0",[1]Submeters!BL20-[1]Submeters!BL19)</f>
        <v>0</v>
      </c>
      <c r="BW14" s="29">
        <f>IF(([1]Submeters!BM20-[1]Submeters!BM19)&lt;0,"0",[1]Submeters!BM20-[1]Submeters!BM19)</f>
        <v>0</v>
      </c>
      <c r="BX14" s="29">
        <f>IF(([1]Submeters!BN20-[1]Submeters!BN19)&lt;0,"0",[1]Submeters!BN20-[1]Submeters!BN19)</f>
        <v>0</v>
      </c>
      <c r="BY14" s="29">
        <f>IF(([1]Submeters!BO20-[1]Submeters!BO19)&lt;0,"0",[1]Submeters!BO20-[1]Submeters!BO19)</f>
        <v>0</v>
      </c>
      <c r="BZ14" s="29">
        <f>IF(([1]Submeters!BP20-[1]Submeters!BP19)&lt;0,"0",[1]Submeters!BP20-[1]Submeters!BP19)</f>
        <v>0</v>
      </c>
      <c r="CA14" s="29">
        <f>IF(([1]Submeters!BQ20-[1]Submeters!BQ19)&lt;0,"0",[1]Submeters!BQ20-[1]Submeters!BQ19)</f>
        <v>0</v>
      </c>
      <c r="CB14" s="29">
        <f>IF(([1]Submeters!BR20-[1]Submeters!BR19)&lt;0,"0",[1]Submeters!BR20-[1]Submeters!BR19)</f>
        <v>0</v>
      </c>
      <c r="CC14" s="29">
        <f>IF(([1]Submeters!BS20-[1]Submeters!BS19)&lt;0,"0",[1]Submeters!BS20-[1]Submeters!BS19)</f>
        <v>0</v>
      </c>
      <c r="CD14" s="29">
        <f>IF(([1]Submeters!BT20-[1]Submeters!BT19)&lt;0,"0",[1]Submeters!BT20-[1]Submeters!BT19)</f>
        <v>0</v>
      </c>
      <c r="CE14" s="29">
        <f>IF(([1]Submeters!BU20-[1]Submeters!BU19)&lt;0,"0",[1]Submeters!BU20-[1]Submeters!BU19)</f>
        <v>0</v>
      </c>
      <c r="CF14" s="29">
        <f>IF(([1]Submeters!BV20-[1]Submeters!BV19)&lt;0,"0",[1]Submeters!BV20-[1]Submeters!BV19)</f>
        <v>0</v>
      </c>
      <c r="CG14" s="29">
        <f>IF(([1]Submeters!BW20-[1]Submeters!BW19)&lt;0,"0",[1]Submeters!BW20-[1]Submeters!BW19)</f>
        <v>0</v>
      </c>
      <c r="CH14" s="29">
        <f>IF(([1]Submeters!BX20-[1]Submeters!BX19)&lt;0,"0",[1]Submeters!BX20-[1]Submeters!BX19)</f>
        <v>0</v>
      </c>
      <c r="CI14" s="29">
        <f>IF(([1]Submeters!BY20-[1]Submeters!BY19)&lt;0,"0",[1]Submeters!BY20-[1]Submeters!BY19)</f>
        <v>0</v>
      </c>
      <c r="CJ14" s="29">
        <f>IF(([1]Submeters!BZ20-[1]Submeters!BZ19)&lt;0,"0",[1]Submeters!BZ20-[1]Submeters!BZ19)</f>
        <v>0</v>
      </c>
      <c r="CK14" s="29">
        <f>IF(([1]Submeters!CA20-[1]Submeters!CA19)&lt;0,"0",[1]Submeters!CA20-[1]Submeters!CA19)</f>
        <v>0</v>
      </c>
      <c r="CL14" s="29">
        <f>IF(([1]Submeters!CB20-[1]Submeters!CB19)&lt;0,"0",[1]Submeters!CB20-[1]Submeters!CB19)</f>
        <v>0</v>
      </c>
      <c r="CM14" s="29">
        <f>IF(([1]Submeters!CC20-[1]Submeters!CC19)&lt;0,"0",[1]Submeters!CC20-[1]Submeters!CC19)</f>
        <v>0</v>
      </c>
      <c r="CN14" s="29">
        <f>IF(([1]Submeters!CD20-[1]Submeters!CD19)&lt;0,"0",[1]Submeters!CD20-[1]Submeters!CD19)</f>
        <v>0</v>
      </c>
      <c r="CO14" s="29">
        <f>IF(([1]Submeters!CE20-[1]Submeters!CE19)&lt;0,"0",[1]Submeters!CE20-[1]Submeters!CE19)</f>
        <v>0</v>
      </c>
    </row>
    <row r="15" spans="1:95" x14ac:dyDescent="0.25">
      <c r="A15" t="s">
        <v>11</v>
      </c>
      <c r="B15" s="13">
        <f t="shared" si="0"/>
        <v>14</v>
      </c>
      <c r="C15" s="13">
        <v>7</v>
      </c>
      <c r="D15" s="13">
        <v>2020</v>
      </c>
      <c r="E15" s="16">
        <f>HOTEL!D22</f>
        <v>0</v>
      </c>
      <c r="F15" s="16">
        <f>HOTEL!F22</f>
        <v>0</v>
      </c>
      <c r="G15" s="16">
        <f>HOTEL!H22</f>
        <v>0</v>
      </c>
      <c r="H15" s="16">
        <f>HOTEL!N22</f>
        <v>0</v>
      </c>
      <c r="I15" s="16">
        <f>HOTEL!P22</f>
        <v>0</v>
      </c>
      <c r="J15" s="16">
        <f>HOTEL!U22</f>
        <v>0</v>
      </c>
      <c r="K15" s="16">
        <f>HOTEL!Y22</f>
        <v>0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>
        <f>IF(([1]Submeters!AY21-[1]Submeters!AY20)&lt;0,"0",[1]Submeters!AY21-[1]Submeters!AY20)</f>
        <v>470</v>
      </c>
      <c r="BJ15" s="29">
        <f>IF(([1]Submeters!AZ21-[1]Submeters!AZ20)&lt;0,"0",[1]Submeters!AZ21-[1]Submeters!AZ20)</f>
        <v>0</v>
      </c>
      <c r="BK15" s="29">
        <f>IF(([1]Submeters!BA21-[1]Submeters!BA20)&lt;0,"0",[1]Submeters!BA21-[1]Submeters!BA20)</f>
        <v>0</v>
      </c>
      <c r="BL15" s="29">
        <f>IF(([1]Submeters!BB21-[1]Submeters!BB20)&lt;0,"0",[1]Submeters!BB21-[1]Submeters!BB20)</f>
        <v>0</v>
      </c>
      <c r="BM15" s="29">
        <f>IF(([1]Submeters!BC21-[1]Submeters!BC20)&lt;0,"0",[1]Submeters!BC21-[1]Submeters!BC20)</f>
        <v>0</v>
      </c>
      <c r="BN15" s="29">
        <f>IF(([1]Submeters!BD21-[1]Submeters!BD20)&lt;0,"0",[1]Submeters!BD21-[1]Submeters!BD20)</f>
        <v>0</v>
      </c>
      <c r="BO15" s="29">
        <f>IF(([1]Submeters!BE21-[1]Submeters!BE20)&lt;0,"0",[1]Submeters!BE21-[1]Submeters!BE20)</f>
        <v>0</v>
      </c>
      <c r="BP15" s="29">
        <f>IF(([1]Submeters!BF21-[1]Submeters!BF20)&lt;0,"0",[1]Submeters!BF21-[1]Submeters!BF20)</f>
        <v>0</v>
      </c>
      <c r="BQ15" s="29">
        <f>IF(([1]Submeters!BG21-[1]Submeters!BG20)&lt;0,"0",[1]Submeters!BG21-[1]Submeters!BG20)</f>
        <v>0</v>
      </c>
      <c r="BR15" s="29">
        <f>IF(([1]Submeters!BH21-[1]Submeters!BH20)&lt;0,"0",[1]Submeters!BH21-[1]Submeters!BH20)</f>
        <v>0</v>
      </c>
      <c r="BS15" s="29">
        <f>IF(([1]Submeters!BI21-[1]Submeters!BI20)&lt;0,"0",[1]Submeters!BI21-[1]Submeters!BI20)</f>
        <v>0</v>
      </c>
      <c r="BT15" s="29">
        <f>IF(([1]Submeters!BJ21-[1]Submeters!BJ20)&lt;0,"0",[1]Submeters!BJ21-[1]Submeters!BJ20)</f>
        <v>0</v>
      </c>
      <c r="BU15" s="29">
        <f>IF(([1]Submeters!BK21-[1]Submeters!BK20)&lt;0,"0",[1]Submeters!BK21-[1]Submeters!BK20)</f>
        <v>0</v>
      </c>
      <c r="BV15" s="29">
        <f>IF(([1]Submeters!BL21-[1]Submeters!BL20)&lt;0,"0",[1]Submeters!BL21-[1]Submeters!BL20)</f>
        <v>0</v>
      </c>
      <c r="BW15" s="29">
        <f>IF(([1]Submeters!BM21-[1]Submeters!BM20)&lt;0,"0",[1]Submeters!BM21-[1]Submeters!BM20)</f>
        <v>0</v>
      </c>
      <c r="BX15" s="29">
        <f>IF(([1]Submeters!BN21-[1]Submeters!BN20)&lt;0,"0",[1]Submeters!BN21-[1]Submeters!BN20)</f>
        <v>0</v>
      </c>
      <c r="BY15" s="29">
        <f>IF(([1]Submeters!BO21-[1]Submeters!BO20)&lt;0,"0",[1]Submeters!BO21-[1]Submeters!BO20)</f>
        <v>0</v>
      </c>
      <c r="BZ15" s="29">
        <f>IF(([1]Submeters!BP21-[1]Submeters!BP20)&lt;0,"0",[1]Submeters!BP21-[1]Submeters!BP20)</f>
        <v>0</v>
      </c>
      <c r="CA15" s="29">
        <f>IF(([1]Submeters!BQ21-[1]Submeters!BQ20)&lt;0,"0",[1]Submeters!BQ21-[1]Submeters!BQ20)</f>
        <v>0</v>
      </c>
      <c r="CB15" s="29">
        <f>IF(([1]Submeters!BR21-[1]Submeters!BR20)&lt;0,"0",[1]Submeters!BR21-[1]Submeters!BR20)</f>
        <v>0</v>
      </c>
      <c r="CC15" s="29">
        <f>IF(([1]Submeters!BS21-[1]Submeters!BS20)&lt;0,"0",[1]Submeters!BS21-[1]Submeters!BS20)</f>
        <v>0</v>
      </c>
      <c r="CD15" s="29">
        <f>IF(([1]Submeters!BT21-[1]Submeters!BT20)&lt;0,"0",[1]Submeters!BT21-[1]Submeters!BT20)</f>
        <v>0</v>
      </c>
      <c r="CE15" s="29">
        <f>IF(([1]Submeters!BU21-[1]Submeters!BU20)&lt;0,"0",[1]Submeters!BU21-[1]Submeters!BU20)</f>
        <v>0</v>
      </c>
      <c r="CF15" s="29">
        <f>IF(([1]Submeters!BV21-[1]Submeters!BV20)&lt;0,"0",[1]Submeters!BV21-[1]Submeters!BV20)</f>
        <v>0</v>
      </c>
      <c r="CG15" s="29">
        <f>IF(([1]Submeters!BW21-[1]Submeters!BW20)&lt;0,"0",[1]Submeters!BW21-[1]Submeters!BW20)</f>
        <v>0</v>
      </c>
      <c r="CH15" s="29">
        <f>IF(([1]Submeters!BX21-[1]Submeters!BX20)&lt;0,"0",[1]Submeters!BX21-[1]Submeters!BX20)</f>
        <v>0</v>
      </c>
      <c r="CI15" s="29">
        <f>IF(([1]Submeters!BY21-[1]Submeters!BY20)&lt;0,"0",[1]Submeters!BY21-[1]Submeters!BY20)</f>
        <v>0</v>
      </c>
      <c r="CJ15" s="29">
        <f>IF(([1]Submeters!BZ21-[1]Submeters!BZ20)&lt;0,"0",[1]Submeters!BZ21-[1]Submeters!BZ20)</f>
        <v>0</v>
      </c>
      <c r="CK15" s="29">
        <f>IF(([1]Submeters!CA21-[1]Submeters!CA20)&lt;0,"0",[1]Submeters!CA21-[1]Submeters!CA20)</f>
        <v>0</v>
      </c>
      <c r="CL15" s="29">
        <f>IF(([1]Submeters!CB21-[1]Submeters!CB20)&lt;0,"0",[1]Submeters!CB21-[1]Submeters!CB20)</f>
        <v>0</v>
      </c>
      <c r="CM15" s="29">
        <f>IF(([1]Submeters!CC21-[1]Submeters!CC20)&lt;0,"0",[1]Submeters!CC21-[1]Submeters!CC20)</f>
        <v>0</v>
      </c>
      <c r="CN15" s="29">
        <f>IF(([1]Submeters!CD21-[1]Submeters!CD20)&lt;0,"0",[1]Submeters!CD21-[1]Submeters!CD20)</f>
        <v>0</v>
      </c>
      <c r="CO15" s="29">
        <f>IF(([1]Submeters!CE21-[1]Submeters!CE20)&lt;0,"0",[1]Submeters!CE21-[1]Submeters!CE20)</f>
        <v>0</v>
      </c>
    </row>
    <row r="16" spans="1:95" x14ac:dyDescent="0.25">
      <c r="A16" t="s">
        <v>11</v>
      </c>
      <c r="B16" s="13">
        <f t="shared" si="0"/>
        <v>15</v>
      </c>
      <c r="C16" s="13">
        <v>7</v>
      </c>
      <c r="D16" s="13">
        <v>2020</v>
      </c>
      <c r="E16" s="16">
        <f>HOTEL!D23</f>
        <v>0</v>
      </c>
      <c r="F16" s="16">
        <f>HOTEL!F23</f>
        <v>0</v>
      </c>
      <c r="G16" s="16">
        <f>HOTEL!H23</f>
        <v>0</v>
      </c>
      <c r="H16" s="16">
        <f>HOTEL!N23</f>
        <v>0</v>
      </c>
      <c r="I16" s="16">
        <f>HOTEL!P23</f>
        <v>0</v>
      </c>
      <c r="J16" s="16">
        <f>HOTEL!U23</f>
        <v>0</v>
      </c>
      <c r="K16" s="16">
        <f>HOTEL!Y23</f>
        <v>0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>
        <f>IF(([1]Submeters!AY22-[1]Submeters!AY21)&lt;0,"0",[1]Submeters!AY22-[1]Submeters!AY21)</f>
        <v>320</v>
      </c>
      <c r="BJ16" s="29">
        <f>IF(([1]Submeters!AZ22-[1]Submeters!AZ21)&lt;0,"0",[1]Submeters!AZ22-[1]Submeters!AZ21)</f>
        <v>0</v>
      </c>
      <c r="BK16" s="29">
        <f>IF(([1]Submeters!BA22-[1]Submeters!BA21)&lt;0,"0",[1]Submeters!BA22-[1]Submeters!BA21)</f>
        <v>0</v>
      </c>
      <c r="BL16" s="29">
        <f>IF(([1]Submeters!BB22-[1]Submeters!BB21)&lt;0,"0",[1]Submeters!BB22-[1]Submeters!BB21)</f>
        <v>0</v>
      </c>
      <c r="BM16" s="29">
        <f>IF(([1]Submeters!BC22-[1]Submeters!BC21)&lt;0,"0",[1]Submeters!BC22-[1]Submeters!BC21)</f>
        <v>0</v>
      </c>
      <c r="BN16" s="29">
        <f>IF(([1]Submeters!BD22-[1]Submeters!BD21)&lt;0,"0",[1]Submeters!BD22-[1]Submeters!BD21)</f>
        <v>0</v>
      </c>
      <c r="BO16" s="29">
        <f>IF(([1]Submeters!BE22-[1]Submeters!BE21)&lt;0,"0",[1]Submeters!BE22-[1]Submeters!BE21)</f>
        <v>0</v>
      </c>
      <c r="BP16" s="29">
        <f>IF(([1]Submeters!BF22-[1]Submeters!BF21)&lt;0,"0",[1]Submeters!BF22-[1]Submeters!BF21)</f>
        <v>0</v>
      </c>
      <c r="BQ16" s="29">
        <f>IF(([1]Submeters!BG22-[1]Submeters!BG21)&lt;0,"0",[1]Submeters!BG22-[1]Submeters!BG21)</f>
        <v>0</v>
      </c>
      <c r="BR16" s="29">
        <f>IF(([1]Submeters!BH22-[1]Submeters!BH21)&lt;0,"0",[1]Submeters!BH22-[1]Submeters!BH21)</f>
        <v>0</v>
      </c>
      <c r="BS16" s="29">
        <f>IF(([1]Submeters!BI22-[1]Submeters!BI21)&lt;0,"0",[1]Submeters!BI22-[1]Submeters!BI21)</f>
        <v>0</v>
      </c>
      <c r="BT16" s="29">
        <f>IF(([1]Submeters!BJ22-[1]Submeters!BJ21)&lt;0,"0",[1]Submeters!BJ22-[1]Submeters!BJ21)</f>
        <v>0</v>
      </c>
      <c r="BU16" s="29">
        <f>IF(([1]Submeters!BK22-[1]Submeters!BK21)&lt;0,"0",[1]Submeters!BK22-[1]Submeters!BK21)</f>
        <v>0</v>
      </c>
      <c r="BV16" s="29">
        <f>IF(([1]Submeters!BL22-[1]Submeters!BL21)&lt;0,"0",[1]Submeters!BL22-[1]Submeters!BL21)</f>
        <v>0</v>
      </c>
      <c r="BW16" s="29">
        <f>IF(([1]Submeters!BM22-[1]Submeters!BM21)&lt;0,"0",[1]Submeters!BM22-[1]Submeters!BM21)</f>
        <v>0</v>
      </c>
      <c r="BX16" s="29">
        <f>IF(([1]Submeters!BN22-[1]Submeters!BN21)&lt;0,"0",[1]Submeters!BN22-[1]Submeters!BN21)</f>
        <v>0</v>
      </c>
      <c r="BY16" s="29">
        <f>IF(([1]Submeters!BO22-[1]Submeters!BO21)&lt;0,"0",[1]Submeters!BO22-[1]Submeters!BO21)</f>
        <v>0</v>
      </c>
      <c r="BZ16" s="29">
        <f>IF(([1]Submeters!BP22-[1]Submeters!BP21)&lt;0,"0",[1]Submeters!BP22-[1]Submeters!BP21)</f>
        <v>0</v>
      </c>
      <c r="CA16" s="29">
        <f>IF(([1]Submeters!BQ22-[1]Submeters!BQ21)&lt;0,"0",[1]Submeters!BQ22-[1]Submeters!BQ21)</f>
        <v>0</v>
      </c>
      <c r="CB16" s="29">
        <f>IF(([1]Submeters!BR22-[1]Submeters!BR21)&lt;0,"0",[1]Submeters!BR22-[1]Submeters!BR21)</f>
        <v>0</v>
      </c>
      <c r="CC16" s="29">
        <f>IF(([1]Submeters!BS22-[1]Submeters!BS21)&lt;0,"0",[1]Submeters!BS22-[1]Submeters!BS21)</f>
        <v>0</v>
      </c>
      <c r="CD16" s="29">
        <f>IF(([1]Submeters!BT22-[1]Submeters!BT21)&lt;0,"0",[1]Submeters!BT22-[1]Submeters!BT21)</f>
        <v>0</v>
      </c>
      <c r="CE16" s="29">
        <f>IF(([1]Submeters!BU22-[1]Submeters!BU21)&lt;0,"0",[1]Submeters!BU22-[1]Submeters!BU21)</f>
        <v>0</v>
      </c>
      <c r="CF16" s="29">
        <f>IF(([1]Submeters!BV22-[1]Submeters!BV21)&lt;0,"0",[1]Submeters!BV22-[1]Submeters!BV21)</f>
        <v>0</v>
      </c>
      <c r="CG16" s="29">
        <f>IF(([1]Submeters!BW22-[1]Submeters!BW21)&lt;0,"0",[1]Submeters!BW22-[1]Submeters!BW21)</f>
        <v>0</v>
      </c>
      <c r="CH16" s="29">
        <f>IF(([1]Submeters!BX22-[1]Submeters!BX21)&lt;0,"0",[1]Submeters!BX22-[1]Submeters!BX21)</f>
        <v>0</v>
      </c>
      <c r="CI16" s="29">
        <f>IF(([1]Submeters!BY22-[1]Submeters!BY21)&lt;0,"0",[1]Submeters!BY22-[1]Submeters!BY21)</f>
        <v>0</v>
      </c>
      <c r="CJ16" s="29">
        <f>IF(([1]Submeters!BZ22-[1]Submeters!BZ21)&lt;0,"0",[1]Submeters!BZ22-[1]Submeters!BZ21)</f>
        <v>0</v>
      </c>
      <c r="CK16" s="29">
        <f>IF(([1]Submeters!CA22-[1]Submeters!CA21)&lt;0,"0",[1]Submeters!CA22-[1]Submeters!CA21)</f>
        <v>0</v>
      </c>
      <c r="CL16" s="29">
        <f>IF(([1]Submeters!CB22-[1]Submeters!CB21)&lt;0,"0",[1]Submeters!CB22-[1]Submeters!CB21)</f>
        <v>0</v>
      </c>
      <c r="CM16" s="29">
        <f>IF(([1]Submeters!CC22-[1]Submeters!CC21)&lt;0,"0",[1]Submeters!CC22-[1]Submeters!CC21)</f>
        <v>0</v>
      </c>
      <c r="CN16" s="29">
        <f>IF(([1]Submeters!CD22-[1]Submeters!CD21)&lt;0,"0",[1]Submeters!CD22-[1]Submeters!CD21)</f>
        <v>0</v>
      </c>
      <c r="CO16" s="29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7</v>
      </c>
      <c r="D17" s="13">
        <v>2020</v>
      </c>
      <c r="E17" s="16">
        <f>HOTEL!D24</f>
        <v>0</v>
      </c>
      <c r="F17" s="16">
        <f>HOTEL!F24</f>
        <v>0</v>
      </c>
      <c r="G17" s="16">
        <f>HOTEL!H24</f>
        <v>0</v>
      </c>
      <c r="H17" s="16">
        <f>HOTEL!N24</f>
        <v>0</v>
      </c>
      <c r="I17" s="16">
        <f>HOTEL!P24</f>
        <v>0</v>
      </c>
      <c r="J17" s="16">
        <f>HOTEL!U24</f>
        <v>0</v>
      </c>
      <c r="K17" s="16">
        <f>HOTEL!Y24</f>
        <v>0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>
        <f>IF(([1]Submeters!AY23-[1]Submeters!AY22)&lt;0,"0",[1]Submeters!AY23-[1]Submeters!AY22)</f>
        <v>268</v>
      </c>
      <c r="BJ17" s="29">
        <f>IF(([1]Submeters!AZ23-[1]Submeters!AZ22)&lt;0,"0",[1]Submeters!AZ23-[1]Submeters!AZ22)</f>
        <v>0</v>
      </c>
      <c r="BK17" s="29">
        <f>IF(([1]Submeters!BA23-[1]Submeters!BA22)&lt;0,"0",[1]Submeters!BA23-[1]Submeters!BA22)</f>
        <v>0</v>
      </c>
      <c r="BL17" s="29">
        <f>IF(([1]Submeters!BB23-[1]Submeters!BB22)&lt;0,"0",[1]Submeters!BB23-[1]Submeters!BB22)</f>
        <v>0</v>
      </c>
      <c r="BM17" s="29">
        <f>IF(([1]Submeters!BC23-[1]Submeters!BC22)&lt;0,"0",[1]Submeters!BC23-[1]Submeters!BC22)</f>
        <v>0</v>
      </c>
      <c r="BN17" s="29">
        <f>IF(([1]Submeters!BD23-[1]Submeters!BD22)&lt;0,"0",[1]Submeters!BD23-[1]Submeters!BD22)</f>
        <v>0</v>
      </c>
      <c r="BO17" s="29">
        <f>IF(([1]Submeters!BE23-[1]Submeters!BE22)&lt;0,"0",[1]Submeters!BE23-[1]Submeters!BE22)</f>
        <v>0</v>
      </c>
      <c r="BP17" s="29">
        <f>IF(([1]Submeters!BF23-[1]Submeters!BF22)&lt;0,"0",[1]Submeters!BF23-[1]Submeters!BF22)</f>
        <v>0</v>
      </c>
      <c r="BQ17" s="29">
        <f>IF(([1]Submeters!BG23-[1]Submeters!BG22)&lt;0,"0",[1]Submeters!BG23-[1]Submeters!BG22)</f>
        <v>0</v>
      </c>
      <c r="BR17" s="29">
        <f>IF(([1]Submeters!BH23-[1]Submeters!BH22)&lt;0,"0",[1]Submeters!BH23-[1]Submeters!BH22)</f>
        <v>0</v>
      </c>
      <c r="BS17" s="29">
        <f>IF(([1]Submeters!BI23-[1]Submeters!BI22)&lt;0,"0",[1]Submeters!BI23-[1]Submeters!BI22)</f>
        <v>0</v>
      </c>
      <c r="BT17" s="29">
        <f>IF(([1]Submeters!BJ23-[1]Submeters!BJ22)&lt;0,"0",[1]Submeters!BJ23-[1]Submeters!BJ22)</f>
        <v>0</v>
      </c>
      <c r="BU17" s="29">
        <f>IF(([1]Submeters!BK23-[1]Submeters!BK22)&lt;0,"0",[1]Submeters!BK23-[1]Submeters!BK22)</f>
        <v>0</v>
      </c>
      <c r="BV17" s="29">
        <f>IF(([1]Submeters!BL23-[1]Submeters!BL22)&lt;0,"0",[1]Submeters!BL23-[1]Submeters!BL22)</f>
        <v>0</v>
      </c>
      <c r="BW17" s="29">
        <f>IF(([1]Submeters!BM23-[1]Submeters!BM22)&lt;0,"0",[1]Submeters!BM23-[1]Submeters!BM22)</f>
        <v>0</v>
      </c>
      <c r="BX17" s="29">
        <f>IF(([1]Submeters!BN23-[1]Submeters!BN22)&lt;0,"0",[1]Submeters!BN23-[1]Submeters!BN22)</f>
        <v>0</v>
      </c>
      <c r="BY17" s="29">
        <f>IF(([1]Submeters!BO23-[1]Submeters!BO22)&lt;0,"0",[1]Submeters!BO23-[1]Submeters!BO22)</f>
        <v>0</v>
      </c>
      <c r="BZ17" s="29">
        <f>IF(([1]Submeters!BP23-[1]Submeters!BP22)&lt;0,"0",[1]Submeters!BP23-[1]Submeters!BP22)</f>
        <v>0</v>
      </c>
      <c r="CA17" s="29">
        <f>IF(([1]Submeters!BQ23-[1]Submeters!BQ22)&lt;0,"0",[1]Submeters!BQ23-[1]Submeters!BQ22)</f>
        <v>0</v>
      </c>
      <c r="CB17" s="29">
        <f>IF(([1]Submeters!BR23-[1]Submeters!BR22)&lt;0,"0",[1]Submeters!BR23-[1]Submeters!BR22)</f>
        <v>0</v>
      </c>
      <c r="CC17" s="29">
        <f>IF(([1]Submeters!BS23-[1]Submeters!BS22)&lt;0,"0",[1]Submeters!BS23-[1]Submeters!BS22)</f>
        <v>0</v>
      </c>
      <c r="CD17" s="29">
        <f>IF(([1]Submeters!BT23-[1]Submeters!BT22)&lt;0,"0",[1]Submeters!BT23-[1]Submeters!BT22)</f>
        <v>0</v>
      </c>
      <c r="CE17" s="29">
        <f>IF(([1]Submeters!BU23-[1]Submeters!BU22)&lt;0,"0",[1]Submeters!BU23-[1]Submeters!BU22)</f>
        <v>0</v>
      </c>
      <c r="CF17" s="29">
        <f>IF(([1]Submeters!BV23-[1]Submeters!BV22)&lt;0,"0",[1]Submeters!BV23-[1]Submeters!BV22)</f>
        <v>0</v>
      </c>
      <c r="CG17" s="29">
        <f>IF(([1]Submeters!BW23-[1]Submeters!BW22)&lt;0,"0",[1]Submeters!BW23-[1]Submeters!BW22)</f>
        <v>0</v>
      </c>
      <c r="CH17" s="29">
        <f>IF(([1]Submeters!BX23-[1]Submeters!BX22)&lt;0,"0",[1]Submeters!BX23-[1]Submeters!BX22)</f>
        <v>0</v>
      </c>
      <c r="CI17" s="29">
        <f>IF(([1]Submeters!BY23-[1]Submeters!BY22)&lt;0,"0",[1]Submeters!BY23-[1]Submeters!BY22)</f>
        <v>0</v>
      </c>
      <c r="CJ17" s="29">
        <f>IF(([1]Submeters!BZ23-[1]Submeters!BZ22)&lt;0,"0",[1]Submeters!BZ23-[1]Submeters!BZ22)</f>
        <v>0</v>
      </c>
      <c r="CK17" s="29">
        <f>IF(([1]Submeters!CA23-[1]Submeters!CA22)&lt;0,"0",[1]Submeters!CA23-[1]Submeters!CA22)</f>
        <v>0</v>
      </c>
      <c r="CL17" s="29">
        <f>IF(([1]Submeters!CB23-[1]Submeters!CB22)&lt;0,"0",[1]Submeters!CB23-[1]Submeters!CB22)</f>
        <v>0</v>
      </c>
      <c r="CM17" s="29">
        <f>IF(([1]Submeters!CC23-[1]Submeters!CC22)&lt;0,"0",[1]Submeters!CC23-[1]Submeters!CC22)</f>
        <v>0</v>
      </c>
      <c r="CN17" s="29">
        <f>IF(([1]Submeters!CD23-[1]Submeters!CD22)&lt;0,"0",[1]Submeters!CD23-[1]Submeters!CD22)</f>
        <v>0</v>
      </c>
      <c r="CO17" s="29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7</v>
      </c>
      <c r="D18" s="13">
        <v>2020</v>
      </c>
      <c r="E18" s="16">
        <f>HOTEL!D25</f>
        <v>0</v>
      </c>
      <c r="F18" s="16">
        <f>HOTEL!F25</f>
        <v>0</v>
      </c>
      <c r="G18" s="16">
        <f>HOTEL!H25</f>
        <v>0</v>
      </c>
      <c r="H18" s="16">
        <f>HOTEL!N25</f>
        <v>0</v>
      </c>
      <c r="I18" s="16">
        <f>HOTEL!P25</f>
        <v>0</v>
      </c>
      <c r="J18" s="16">
        <f>HOTEL!U25</f>
        <v>0</v>
      </c>
      <c r="K18" s="16">
        <f>HOTEL!Y25</f>
        <v>0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>
        <f>IF(([1]Submeters!AY24-[1]Submeters!AY23)&lt;0,"0",[1]Submeters!AY24-[1]Submeters!AY23)</f>
        <v>225</v>
      </c>
      <c r="BJ18" s="29">
        <f>IF(([1]Submeters!AZ24-[1]Submeters!AZ23)&lt;0,"0",[1]Submeters!AZ24-[1]Submeters!AZ23)</f>
        <v>0</v>
      </c>
      <c r="BK18" s="29">
        <f>IF(([1]Submeters!BA24-[1]Submeters!BA23)&lt;0,"0",[1]Submeters!BA24-[1]Submeters!BA23)</f>
        <v>0</v>
      </c>
      <c r="BL18" s="29">
        <f>IF(([1]Submeters!BB24-[1]Submeters!BB23)&lt;0,"0",[1]Submeters!BB24-[1]Submeters!BB23)</f>
        <v>0</v>
      </c>
      <c r="BM18" s="29">
        <f>IF(([1]Submeters!BC24-[1]Submeters!BC23)&lt;0,"0",[1]Submeters!BC24-[1]Submeters!BC23)</f>
        <v>0</v>
      </c>
      <c r="BN18" s="29">
        <f>IF(([1]Submeters!BD24-[1]Submeters!BD23)&lt;0,"0",[1]Submeters!BD24-[1]Submeters!BD23)</f>
        <v>0</v>
      </c>
      <c r="BO18" s="29">
        <f>IF(([1]Submeters!BE24-[1]Submeters!BE23)&lt;0,"0",[1]Submeters!BE24-[1]Submeters!BE23)</f>
        <v>0</v>
      </c>
      <c r="BP18" s="29">
        <f>IF(([1]Submeters!BF24-[1]Submeters!BF23)&lt;0,"0",[1]Submeters!BF24-[1]Submeters!BF23)</f>
        <v>0</v>
      </c>
      <c r="BQ18" s="29">
        <f>IF(([1]Submeters!BG24-[1]Submeters!BG23)&lt;0,"0",[1]Submeters!BG24-[1]Submeters!BG23)</f>
        <v>0</v>
      </c>
      <c r="BR18" s="29">
        <f>IF(([1]Submeters!BH24-[1]Submeters!BH23)&lt;0,"0",[1]Submeters!BH24-[1]Submeters!BH23)</f>
        <v>0</v>
      </c>
      <c r="BS18" s="29">
        <f>IF(([1]Submeters!BI24-[1]Submeters!BI23)&lt;0,"0",[1]Submeters!BI24-[1]Submeters!BI23)</f>
        <v>0</v>
      </c>
      <c r="BT18" s="29">
        <f>IF(([1]Submeters!BJ24-[1]Submeters!BJ23)&lt;0,"0",[1]Submeters!BJ24-[1]Submeters!BJ23)</f>
        <v>0</v>
      </c>
      <c r="BU18" s="29">
        <f>IF(([1]Submeters!BK24-[1]Submeters!BK23)&lt;0,"0",[1]Submeters!BK24-[1]Submeters!BK23)</f>
        <v>0</v>
      </c>
      <c r="BV18" s="29">
        <f>IF(([1]Submeters!BL24-[1]Submeters!BL23)&lt;0,"0",[1]Submeters!BL24-[1]Submeters!BL23)</f>
        <v>0</v>
      </c>
      <c r="BW18" s="29">
        <f>IF(([1]Submeters!BM24-[1]Submeters!BM23)&lt;0,"0",[1]Submeters!BM24-[1]Submeters!BM23)</f>
        <v>0</v>
      </c>
      <c r="BX18" s="29">
        <f>IF(([1]Submeters!BN24-[1]Submeters!BN23)&lt;0,"0",[1]Submeters!BN24-[1]Submeters!BN23)</f>
        <v>0</v>
      </c>
      <c r="BY18" s="29">
        <f>IF(([1]Submeters!BO24-[1]Submeters!BO23)&lt;0,"0",[1]Submeters!BO24-[1]Submeters!BO23)</f>
        <v>0</v>
      </c>
      <c r="BZ18" s="29">
        <f>IF(([1]Submeters!BP24-[1]Submeters!BP23)&lt;0,"0",[1]Submeters!BP24-[1]Submeters!BP23)</f>
        <v>0</v>
      </c>
      <c r="CA18" s="29">
        <f>IF(([1]Submeters!BQ24-[1]Submeters!BQ23)&lt;0,"0",[1]Submeters!BQ24-[1]Submeters!BQ23)</f>
        <v>0</v>
      </c>
      <c r="CB18" s="29">
        <f>IF(([1]Submeters!BR24-[1]Submeters!BR23)&lt;0,"0",[1]Submeters!BR24-[1]Submeters!BR23)</f>
        <v>0</v>
      </c>
      <c r="CC18" s="29">
        <f>IF(([1]Submeters!BS24-[1]Submeters!BS23)&lt;0,"0",[1]Submeters!BS24-[1]Submeters!BS23)</f>
        <v>0</v>
      </c>
      <c r="CD18" s="29">
        <f>IF(([1]Submeters!BT24-[1]Submeters!BT23)&lt;0,"0",[1]Submeters!BT24-[1]Submeters!BT23)</f>
        <v>0</v>
      </c>
      <c r="CE18" s="29">
        <f>IF(([1]Submeters!BU24-[1]Submeters!BU23)&lt;0,"0",[1]Submeters!BU24-[1]Submeters!BU23)</f>
        <v>0</v>
      </c>
      <c r="CF18" s="29">
        <f>IF(([1]Submeters!BV24-[1]Submeters!BV23)&lt;0,"0",[1]Submeters!BV24-[1]Submeters!BV23)</f>
        <v>0</v>
      </c>
      <c r="CG18" s="29">
        <f>IF(([1]Submeters!BW24-[1]Submeters!BW23)&lt;0,"0",[1]Submeters!BW24-[1]Submeters!BW23)</f>
        <v>0</v>
      </c>
      <c r="CH18" s="29">
        <f>IF(([1]Submeters!BX24-[1]Submeters!BX23)&lt;0,"0",[1]Submeters!BX24-[1]Submeters!BX23)</f>
        <v>0</v>
      </c>
      <c r="CI18" s="29">
        <f>IF(([1]Submeters!BY24-[1]Submeters!BY23)&lt;0,"0",[1]Submeters!BY24-[1]Submeters!BY23)</f>
        <v>0</v>
      </c>
      <c r="CJ18" s="29">
        <f>IF(([1]Submeters!BZ24-[1]Submeters!BZ23)&lt;0,"0",[1]Submeters!BZ24-[1]Submeters!BZ23)</f>
        <v>0</v>
      </c>
      <c r="CK18" s="29">
        <f>IF(([1]Submeters!CA24-[1]Submeters!CA23)&lt;0,"0",[1]Submeters!CA24-[1]Submeters!CA23)</f>
        <v>0</v>
      </c>
      <c r="CL18" s="29">
        <f>IF(([1]Submeters!CB24-[1]Submeters!CB23)&lt;0,"0",[1]Submeters!CB24-[1]Submeters!CB23)</f>
        <v>0</v>
      </c>
      <c r="CM18" s="29">
        <f>IF(([1]Submeters!CC24-[1]Submeters!CC23)&lt;0,"0",[1]Submeters!CC24-[1]Submeters!CC23)</f>
        <v>0</v>
      </c>
      <c r="CN18" s="29">
        <f>IF(([1]Submeters!CD24-[1]Submeters!CD23)&lt;0,"0",[1]Submeters!CD24-[1]Submeters!CD23)</f>
        <v>0</v>
      </c>
      <c r="CO18" s="29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7</v>
      </c>
      <c r="D19" s="13">
        <v>2020</v>
      </c>
      <c r="E19" s="16">
        <f>HOTEL!D26</f>
        <v>0</v>
      </c>
      <c r="F19" s="16">
        <f>HOTEL!F26</f>
        <v>0</v>
      </c>
      <c r="G19" s="16">
        <f>HOTEL!H26</f>
        <v>0</v>
      </c>
      <c r="H19" s="16">
        <f>HOTEL!N26</f>
        <v>0</v>
      </c>
      <c r="I19" s="16">
        <f>HOTEL!P26</f>
        <v>0</v>
      </c>
      <c r="J19" s="16">
        <f>HOTEL!U26</f>
        <v>0</v>
      </c>
      <c r="K19" s="16">
        <f>HOTEL!Y26</f>
        <v>0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>
        <f>IF(([1]Submeters!AY25-[1]Submeters!AY24)&lt;0,"0",[1]Submeters!AY25-[1]Submeters!AY24)</f>
        <v>320</v>
      </c>
      <c r="BJ19" s="29">
        <f>IF(([1]Submeters!AZ25-[1]Submeters!AZ24)&lt;0,"0",[1]Submeters!AZ25-[1]Submeters!AZ24)</f>
        <v>0</v>
      </c>
      <c r="BK19" s="29">
        <f>IF(([1]Submeters!BA25-[1]Submeters!BA24)&lt;0,"0",[1]Submeters!BA25-[1]Submeters!BA24)</f>
        <v>0</v>
      </c>
      <c r="BL19" s="29">
        <f>IF(([1]Submeters!BB25-[1]Submeters!BB24)&lt;0,"0",[1]Submeters!BB25-[1]Submeters!BB24)</f>
        <v>0</v>
      </c>
      <c r="BM19" s="29">
        <f>IF(([1]Submeters!BC25-[1]Submeters!BC24)&lt;0,"0",[1]Submeters!BC25-[1]Submeters!BC24)</f>
        <v>0</v>
      </c>
      <c r="BN19" s="29">
        <f>IF(([1]Submeters!BD25-[1]Submeters!BD24)&lt;0,"0",[1]Submeters!BD25-[1]Submeters!BD24)</f>
        <v>0</v>
      </c>
      <c r="BO19" s="29">
        <f>IF(([1]Submeters!BE25-[1]Submeters!BE24)&lt;0,"0",[1]Submeters!BE25-[1]Submeters!BE24)</f>
        <v>0</v>
      </c>
      <c r="BP19" s="29">
        <f>IF(([1]Submeters!BF25-[1]Submeters!BF24)&lt;0,"0",[1]Submeters!BF25-[1]Submeters!BF24)</f>
        <v>0</v>
      </c>
      <c r="BQ19" s="29">
        <f>IF(([1]Submeters!BG25-[1]Submeters!BG24)&lt;0,"0",[1]Submeters!BG25-[1]Submeters!BG24)</f>
        <v>0</v>
      </c>
      <c r="BR19" s="29">
        <f>IF(([1]Submeters!BH25-[1]Submeters!BH24)&lt;0,"0",[1]Submeters!BH25-[1]Submeters!BH24)</f>
        <v>0</v>
      </c>
      <c r="BS19" s="29">
        <f>IF(([1]Submeters!BI25-[1]Submeters!BI24)&lt;0,"0",[1]Submeters!BI25-[1]Submeters!BI24)</f>
        <v>0</v>
      </c>
      <c r="BT19" s="29">
        <f>IF(([1]Submeters!BJ25-[1]Submeters!BJ24)&lt;0,"0",[1]Submeters!BJ25-[1]Submeters!BJ24)</f>
        <v>0</v>
      </c>
      <c r="BU19" s="29">
        <f>IF(([1]Submeters!BK25-[1]Submeters!BK24)&lt;0,"0",[1]Submeters!BK25-[1]Submeters!BK24)</f>
        <v>0</v>
      </c>
      <c r="BV19" s="29">
        <f>IF(([1]Submeters!BL25-[1]Submeters!BL24)&lt;0,"0",[1]Submeters!BL25-[1]Submeters!BL24)</f>
        <v>0</v>
      </c>
      <c r="BW19" s="29">
        <f>IF(([1]Submeters!BM25-[1]Submeters!BM24)&lt;0,"0",[1]Submeters!BM25-[1]Submeters!BM24)</f>
        <v>0</v>
      </c>
      <c r="BX19" s="29">
        <f>IF(([1]Submeters!BN25-[1]Submeters!BN24)&lt;0,"0",[1]Submeters!BN25-[1]Submeters!BN24)</f>
        <v>0</v>
      </c>
      <c r="BY19" s="29">
        <f>IF(([1]Submeters!BO25-[1]Submeters!BO24)&lt;0,"0",[1]Submeters!BO25-[1]Submeters!BO24)</f>
        <v>0</v>
      </c>
      <c r="BZ19" s="29">
        <f>IF(([1]Submeters!BP25-[1]Submeters!BP24)&lt;0,"0",[1]Submeters!BP25-[1]Submeters!BP24)</f>
        <v>0</v>
      </c>
      <c r="CA19" s="29">
        <f>IF(([1]Submeters!BQ25-[1]Submeters!BQ24)&lt;0,"0",[1]Submeters!BQ25-[1]Submeters!BQ24)</f>
        <v>0</v>
      </c>
      <c r="CB19" s="29">
        <f>IF(([1]Submeters!BR25-[1]Submeters!BR24)&lt;0,"0",[1]Submeters!BR25-[1]Submeters!BR24)</f>
        <v>0</v>
      </c>
      <c r="CC19" s="29">
        <f>IF(([1]Submeters!BS25-[1]Submeters!BS24)&lt;0,"0",[1]Submeters!BS25-[1]Submeters!BS24)</f>
        <v>0</v>
      </c>
      <c r="CD19" s="29">
        <f>IF(([1]Submeters!BT25-[1]Submeters!BT24)&lt;0,"0",[1]Submeters!BT25-[1]Submeters!BT24)</f>
        <v>0</v>
      </c>
      <c r="CE19" s="29">
        <f>IF(([1]Submeters!BU25-[1]Submeters!BU24)&lt;0,"0",[1]Submeters!BU25-[1]Submeters!BU24)</f>
        <v>0</v>
      </c>
      <c r="CF19" s="29">
        <f>IF(([1]Submeters!BV25-[1]Submeters!BV24)&lt;0,"0",[1]Submeters!BV25-[1]Submeters!BV24)</f>
        <v>0</v>
      </c>
      <c r="CG19" s="29">
        <f>IF(([1]Submeters!BW25-[1]Submeters!BW24)&lt;0,"0",[1]Submeters!BW25-[1]Submeters!BW24)</f>
        <v>0</v>
      </c>
      <c r="CH19" s="29">
        <f>IF(([1]Submeters!BX25-[1]Submeters!BX24)&lt;0,"0",[1]Submeters!BX25-[1]Submeters!BX24)</f>
        <v>0</v>
      </c>
      <c r="CI19" s="29">
        <f>IF(([1]Submeters!BY25-[1]Submeters!BY24)&lt;0,"0",[1]Submeters!BY25-[1]Submeters!BY24)</f>
        <v>0</v>
      </c>
      <c r="CJ19" s="29">
        <f>IF(([1]Submeters!BZ25-[1]Submeters!BZ24)&lt;0,"0",[1]Submeters!BZ25-[1]Submeters!BZ24)</f>
        <v>0</v>
      </c>
      <c r="CK19" s="29">
        <f>IF(([1]Submeters!CA25-[1]Submeters!CA24)&lt;0,"0",[1]Submeters!CA25-[1]Submeters!CA24)</f>
        <v>0</v>
      </c>
      <c r="CL19" s="29">
        <f>IF(([1]Submeters!CB25-[1]Submeters!CB24)&lt;0,"0",[1]Submeters!CB25-[1]Submeters!CB24)</f>
        <v>0</v>
      </c>
      <c r="CM19" s="29">
        <f>IF(([1]Submeters!CC25-[1]Submeters!CC24)&lt;0,"0",[1]Submeters!CC25-[1]Submeters!CC24)</f>
        <v>0</v>
      </c>
      <c r="CN19" s="29">
        <f>IF(([1]Submeters!CD25-[1]Submeters!CD24)&lt;0,"0",[1]Submeters!CD25-[1]Submeters!CD24)</f>
        <v>0</v>
      </c>
      <c r="CO19" s="29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7</v>
      </c>
      <c r="D20" s="13">
        <v>2020</v>
      </c>
      <c r="E20" s="16">
        <f>HOTEL!D27</f>
        <v>0</v>
      </c>
      <c r="F20" s="16">
        <f>HOTEL!F27</f>
        <v>0</v>
      </c>
      <c r="G20" s="16">
        <f>HOTEL!H27</f>
        <v>0</v>
      </c>
      <c r="H20" s="16">
        <f>HOTEL!N27</f>
        <v>0</v>
      </c>
      <c r="I20" s="16">
        <f>HOTEL!P27</f>
        <v>0</v>
      </c>
      <c r="J20" s="16">
        <f>HOTEL!U27</f>
        <v>0</v>
      </c>
      <c r="K20" s="16">
        <f>HOTEL!Y27</f>
        <v>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>
        <f>IF(([1]Submeters!AY26-[1]Submeters!AY25)&lt;0,"0",[1]Submeters!AY26-[1]Submeters!AY25)</f>
        <v>318</v>
      </c>
      <c r="BJ20" s="29">
        <f>IF(([1]Submeters!AZ26-[1]Submeters!AZ25)&lt;0,"0",[1]Submeters!AZ26-[1]Submeters!AZ25)</f>
        <v>0</v>
      </c>
      <c r="BK20" s="29">
        <f>IF(([1]Submeters!BA26-[1]Submeters!BA25)&lt;0,"0",[1]Submeters!BA26-[1]Submeters!BA25)</f>
        <v>0</v>
      </c>
      <c r="BL20" s="29">
        <f>IF(([1]Submeters!BB26-[1]Submeters!BB25)&lt;0,"0",[1]Submeters!BB26-[1]Submeters!BB25)</f>
        <v>0</v>
      </c>
      <c r="BM20" s="29">
        <f>IF(([1]Submeters!BC26-[1]Submeters!BC25)&lt;0,"0",[1]Submeters!BC26-[1]Submeters!BC25)</f>
        <v>0</v>
      </c>
      <c r="BN20" s="29">
        <f>IF(([1]Submeters!BD26-[1]Submeters!BD25)&lt;0,"0",[1]Submeters!BD26-[1]Submeters!BD25)</f>
        <v>0</v>
      </c>
      <c r="BO20" s="29">
        <f>IF(([1]Submeters!BE26-[1]Submeters!BE25)&lt;0,"0",[1]Submeters!BE26-[1]Submeters!BE25)</f>
        <v>0</v>
      </c>
      <c r="BP20" s="29">
        <f>IF(([1]Submeters!BF26-[1]Submeters!BF25)&lt;0,"0",[1]Submeters!BF26-[1]Submeters!BF25)</f>
        <v>0</v>
      </c>
      <c r="BQ20" s="29">
        <f>IF(([1]Submeters!BG26-[1]Submeters!BG25)&lt;0,"0",[1]Submeters!BG26-[1]Submeters!BG25)</f>
        <v>0</v>
      </c>
      <c r="BR20" s="29">
        <f>IF(([1]Submeters!BH26-[1]Submeters!BH25)&lt;0,"0",[1]Submeters!BH26-[1]Submeters!BH25)</f>
        <v>0</v>
      </c>
      <c r="BS20" s="29">
        <f>IF(([1]Submeters!BI26-[1]Submeters!BI25)&lt;0,"0",[1]Submeters!BI26-[1]Submeters!BI25)</f>
        <v>0</v>
      </c>
      <c r="BT20" s="29">
        <f>IF(([1]Submeters!BJ26-[1]Submeters!BJ25)&lt;0,"0",[1]Submeters!BJ26-[1]Submeters!BJ25)</f>
        <v>0</v>
      </c>
      <c r="BU20" s="29">
        <f>IF(([1]Submeters!BK26-[1]Submeters!BK25)&lt;0,"0",[1]Submeters!BK26-[1]Submeters!BK25)</f>
        <v>0</v>
      </c>
      <c r="BV20" s="29">
        <f>IF(([1]Submeters!BL26-[1]Submeters!BL25)&lt;0,"0",[1]Submeters!BL26-[1]Submeters!BL25)</f>
        <v>0</v>
      </c>
      <c r="BW20" s="29">
        <f>IF(([1]Submeters!BM26-[1]Submeters!BM25)&lt;0,"0",[1]Submeters!BM26-[1]Submeters!BM25)</f>
        <v>0</v>
      </c>
      <c r="BX20" s="29">
        <f>IF(([1]Submeters!BN26-[1]Submeters!BN25)&lt;0,"0",[1]Submeters!BN26-[1]Submeters!BN25)</f>
        <v>0</v>
      </c>
      <c r="BY20" s="29">
        <f>IF(([1]Submeters!BO26-[1]Submeters!BO25)&lt;0,"0",[1]Submeters!BO26-[1]Submeters!BO25)</f>
        <v>0</v>
      </c>
      <c r="BZ20" s="29">
        <f>IF(([1]Submeters!BP26-[1]Submeters!BP25)&lt;0,"0",[1]Submeters!BP26-[1]Submeters!BP25)</f>
        <v>0</v>
      </c>
      <c r="CA20" s="29">
        <f>IF(([1]Submeters!BQ26-[1]Submeters!BQ25)&lt;0,"0",[1]Submeters!BQ26-[1]Submeters!BQ25)</f>
        <v>0</v>
      </c>
      <c r="CB20" s="29">
        <f>IF(([1]Submeters!BR26-[1]Submeters!BR25)&lt;0,"0",[1]Submeters!BR26-[1]Submeters!BR25)</f>
        <v>0</v>
      </c>
      <c r="CC20" s="29">
        <f>IF(([1]Submeters!BS26-[1]Submeters!BS25)&lt;0,"0",[1]Submeters!BS26-[1]Submeters!BS25)</f>
        <v>0</v>
      </c>
      <c r="CD20" s="29">
        <f>IF(([1]Submeters!BT26-[1]Submeters!BT25)&lt;0,"0",[1]Submeters!BT26-[1]Submeters!BT25)</f>
        <v>0</v>
      </c>
      <c r="CE20" s="29">
        <f>IF(([1]Submeters!BU26-[1]Submeters!BU25)&lt;0,"0",[1]Submeters!BU26-[1]Submeters!BU25)</f>
        <v>0</v>
      </c>
      <c r="CF20" s="29">
        <f>IF(([1]Submeters!BV26-[1]Submeters!BV25)&lt;0,"0",[1]Submeters!BV26-[1]Submeters!BV25)</f>
        <v>0</v>
      </c>
      <c r="CG20" s="29">
        <f>IF(([1]Submeters!BW26-[1]Submeters!BW25)&lt;0,"0",[1]Submeters!BW26-[1]Submeters!BW25)</f>
        <v>0</v>
      </c>
      <c r="CH20" s="29">
        <f>IF(([1]Submeters!BX26-[1]Submeters!BX25)&lt;0,"0",[1]Submeters!BX26-[1]Submeters!BX25)</f>
        <v>0</v>
      </c>
      <c r="CI20" s="29">
        <f>IF(([1]Submeters!BY26-[1]Submeters!BY25)&lt;0,"0",[1]Submeters!BY26-[1]Submeters!BY25)</f>
        <v>0</v>
      </c>
      <c r="CJ20" s="29">
        <f>IF(([1]Submeters!BZ26-[1]Submeters!BZ25)&lt;0,"0",[1]Submeters!BZ26-[1]Submeters!BZ25)</f>
        <v>0</v>
      </c>
      <c r="CK20" s="29">
        <f>IF(([1]Submeters!CA26-[1]Submeters!CA25)&lt;0,"0",[1]Submeters!CA26-[1]Submeters!CA25)</f>
        <v>0</v>
      </c>
      <c r="CL20" s="29">
        <f>IF(([1]Submeters!CB26-[1]Submeters!CB25)&lt;0,"0",[1]Submeters!CB26-[1]Submeters!CB25)</f>
        <v>0</v>
      </c>
      <c r="CM20" s="29">
        <f>IF(([1]Submeters!CC26-[1]Submeters!CC25)&lt;0,"0",[1]Submeters!CC26-[1]Submeters!CC25)</f>
        <v>0</v>
      </c>
      <c r="CN20" s="29">
        <f>IF(([1]Submeters!CD26-[1]Submeters!CD25)&lt;0,"0",[1]Submeters!CD26-[1]Submeters!CD25)</f>
        <v>0</v>
      </c>
      <c r="CO20" s="29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7</v>
      </c>
      <c r="D21" s="13">
        <v>2020</v>
      </c>
      <c r="E21" s="16">
        <f>HOTEL!D28</f>
        <v>0</v>
      </c>
      <c r="F21" s="16">
        <f>HOTEL!F28</f>
        <v>0</v>
      </c>
      <c r="G21" s="16">
        <f>HOTEL!H28</f>
        <v>0</v>
      </c>
      <c r="H21" s="16">
        <f>HOTEL!N28</f>
        <v>0</v>
      </c>
      <c r="I21" s="16">
        <f>HOTEL!P28</f>
        <v>0</v>
      </c>
      <c r="J21" s="16">
        <f>HOTEL!U28</f>
        <v>0</v>
      </c>
      <c r="K21" s="16">
        <f>HOTEL!Y28</f>
        <v>0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 t="str">
        <f>IF(([1]Submeters!AY27-[1]Submeters!AY26)&lt;0,"0",[1]Submeters!AY27-[1]Submeters!AY26)</f>
        <v>0</v>
      </c>
      <c r="BJ21" s="29">
        <f>IF(([1]Submeters!AZ27-[1]Submeters!AZ26)&lt;0,"0",[1]Submeters!AZ27-[1]Submeters!AZ26)</f>
        <v>0</v>
      </c>
      <c r="BK21" s="29">
        <f>IF(([1]Submeters!BA27-[1]Submeters!BA26)&lt;0,"0",[1]Submeters!BA27-[1]Submeters!BA26)</f>
        <v>0</v>
      </c>
      <c r="BL21" s="29">
        <f>IF(([1]Submeters!BB27-[1]Submeters!BB26)&lt;0,"0",[1]Submeters!BB27-[1]Submeters!BB26)</f>
        <v>0</v>
      </c>
      <c r="BM21" s="29">
        <f>IF(([1]Submeters!BC27-[1]Submeters!BC26)&lt;0,"0",[1]Submeters!BC27-[1]Submeters!BC26)</f>
        <v>0</v>
      </c>
      <c r="BN21" s="29">
        <f>IF(([1]Submeters!BD27-[1]Submeters!BD26)&lt;0,"0",[1]Submeters!BD27-[1]Submeters!BD26)</f>
        <v>0</v>
      </c>
      <c r="BO21" s="29">
        <f>IF(([1]Submeters!BE27-[1]Submeters!BE26)&lt;0,"0",[1]Submeters!BE27-[1]Submeters!BE26)</f>
        <v>0</v>
      </c>
      <c r="BP21" s="29">
        <f>IF(([1]Submeters!BF27-[1]Submeters!BF26)&lt;0,"0",[1]Submeters!BF27-[1]Submeters!BF26)</f>
        <v>0</v>
      </c>
      <c r="BQ21" s="29">
        <f>IF(([1]Submeters!BG27-[1]Submeters!BG26)&lt;0,"0",[1]Submeters!BG27-[1]Submeters!BG26)</f>
        <v>0</v>
      </c>
      <c r="BR21" s="29">
        <f>IF(([1]Submeters!BH27-[1]Submeters!BH26)&lt;0,"0",[1]Submeters!BH27-[1]Submeters!BH26)</f>
        <v>0</v>
      </c>
      <c r="BS21" s="29">
        <f>IF(([1]Submeters!BI27-[1]Submeters!BI26)&lt;0,"0",[1]Submeters!BI27-[1]Submeters!BI26)</f>
        <v>0</v>
      </c>
      <c r="BT21" s="29">
        <f>IF(([1]Submeters!BJ27-[1]Submeters!BJ26)&lt;0,"0",[1]Submeters!BJ27-[1]Submeters!BJ26)</f>
        <v>0</v>
      </c>
      <c r="BU21" s="29">
        <f>IF(([1]Submeters!BK27-[1]Submeters!BK26)&lt;0,"0",[1]Submeters!BK27-[1]Submeters!BK26)</f>
        <v>0</v>
      </c>
      <c r="BV21" s="29">
        <f>IF(([1]Submeters!BL27-[1]Submeters!BL26)&lt;0,"0",[1]Submeters!BL27-[1]Submeters!BL26)</f>
        <v>0</v>
      </c>
      <c r="BW21" s="29">
        <f>IF(([1]Submeters!BM27-[1]Submeters!BM26)&lt;0,"0",[1]Submeters!BM27-[1]Submeters!BM26)</f>
        <v>0</v>
      </c>
      <c r="BX21" s="29">
        <f>IF(([1]Submeters!BN27-[1]Submeters!BN26)&lt;0,"0",[1]Submeters!BN27-[1]Submeters!BN26)</f>
        <v>0</v>
      </c>
      <c r="BY21" s="29">
        <f>IF(([1]Submeters!BO27-[1]Submeters!BO26)&lt;0,"0",[1]Submeters!BO27-[1]Submeters!BO26)</f>
        <v>0</v>
      </c>
      <c r="BZ21" s="29">
        <f>IF(([1]Submeters!BP27-[1]Submeters!BP26)&lt;0,"0",[1]Submeters!BP27-[1]Submeters!BP26)</f>
        <v>0</v>
      </c>
      <c r="CA21" s="29">
        <f>IF(([1]Submeters!BQ27-[1]Submeters!BQ26)&lt;0,"0",[1]Submeters!BQ27-[1]Submeters!BQ26)</f>
        <v>0</v>
      </c>
      <c r="CB21" s="29">
        <f>IF(([1]Submeters!BR27-[1]Submeters!BR26)&lt;0,"0",[1]Submeters!BR27-[1]Submeters!BR26)</f>
        <v>0</v>
      </c>
      <c r="CC21" s="29">
        <f>IF(([1]Submeters!BS27-[1]Submeters!BS26)&lt;0,"0",[1]Submeters!BS27-[1]Submeters!BS26)</f>
        <v>0</v>
      </c>
      <c r="CD21" s="29">
        <f>IF(([1]Submeters!BT27-[1]Submeters!BT26)&lt;0,"0",[1]Submeters!BT27-[1]Submeters!BT26)</f>
        <v>0</v>
      </c>
      <c r="CE21" s="29">
        <f>IF(([1]Submeters!BU27-[1]Submeters!BU26)&lt;0,"0",[1]Submeters!BU27-[1]Submeters!BU26)</f>
        <v>0</v>
      </c>
      <c r="CF21" s="29">
        <f>IF(([1]Submeters!BV27-[1]Submeters!BV26)&lt;0,"0",[1]Submeters!BV27-[1]Submeters!BV26)</f>
        <v>0</v>
      </c>
      <c r="CG21" s="29">
        <f>IF(([1]Submeters!BW27-[1]Submeters!BW26)&lt;0,"0",[1]Submeters!BW27-[1]Submeters!BW26)</f>
        <v>0</v>
      </c>
      <c r="CH21" s="29">
        <f>IF(([1]Submeters!BX27-[1]Submeters!BX26)&lt;0,"0",[1]Submeters!BX27-[1]Submeters!BX26)</f>
        <v>0</v>
      </c>
      <c r="CI21" s="29">
        <f>IF(([1]Submeters!BY27-[1]Submeters!BY26)&lt;0,"0",[1]Submeters!BY27-[1]Submeters!BY26)</f>
        <v>0</v>
      </c>
      <c r="CJ21" s="29">
        <f>IF(([1]Submeters!BZ27-[1]Submeters!BZ26)&lt;0,"0",[1]Submeters!BZ27-[1]Submeters!BZ26)</f>
        <v>0</v>
      </c>
      <c r="CK21" s="29">
        <f>IF(([1]Submeters!CA27-[1]Submeters!CA26)&lt;0,"0",[1]Submeters!CA27-[1]Submeters!CA26)</f>
        <v>0</v>
      </c>
      <c r="CL21" s="29">
        <f>IF(([1]Submeters!CB27-[1]Submeters!CB26)&lt;0,"0",[1]Submeters!CB27-[1]Submeters!CB26)</f>
        <v>0</v>
      </c>
      <c r="CM21" s="29">
        <f>IF(([1]Submeters!CC27-[1]Submeters!CC26)&lt;0,"0",[1]Submeters!CC27-[1]Submeters!CC26)</f>
        <v>0</v>
      </c>
      <c r="CN21" s="29">
        <f>IF(([1]Submeters!CD27-[1]Submeters!CD26)&lt;0,"0",[1]Submeters!CD27-[1]Submeters!CD26)</f>
        <v>0</v>
      </c>
      <c r="CO21" s="29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7</v>
      </c>
      <c r="D22" s="13">
        <v>2020</v>
      </c>
      <c r="E22" s="16">
        <f>HOTEL!D29</f>
        <v>0</v>
      </c>
      <c r="F22" s="16">
        <f>HOTEL!F29</f>
        <v>0</v>
      </c>
      <c r="G22" s="16">
        <f>HOTEL!H29</f>
        <v>0</v>
      </c>
      <c r="H22" s="16">
        <f>HOTEL!N29</f>
        <v>0</v>
      </c>
      <c r="I22" s="16">
        <f>HOTEL!P29</f>
        <v>0</v>
      </c>
      <c r="J22" s="16">
        <f>HOTEL!U29</f>
        <v>0</v>
      </c>
      <c r="K22" s="16">
        <f>HOTEL!Y29</f>
        <v>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>
        <f>IF(([1]Submeters!AY28-[1]Submeters!AY27)&lt;0,"0",[1]Submeters!AY28-[1]Submeters!AY27)</f>
        <v>0</v>
      </c>
      <c r="BJ22" s="29">
        <f>IF(([1]Submeters!AZ28-[1]Submeters!AZ27)&lt;0,"0",[1]Submeters!AZ28-[1]Submeters!AZ27)</f>
        <v>0</v>
      </c>
      <c r="BK22" s="29">
        <f>IF(([1]Submeters!BA28-[1]Submeters!BA27)&lt;0,"0",[1]Submeters!BA28-[1]Submeters!BA27)</f>
        <v>0</v>
      </c>
      <c r="BL22" s="29">
        <f>IF(([1]Submeters!BB28-[1]Submeters!BB27)&lt;0,"0",[1]Submeters!BB28-[1]Submeters!BB27)</f>
        <v>0</v>
      </c>
      <c r="BM22" s="29">
        <f>IF(([1]Submeters!BC28-[1]Submeters!BC27)&lt;0,"0",[1]Submeters!BC28-[1]Submeters!BC27)</f>
        <v>0</v>
      </c>
      <c r="BN22" s="29">
        <f>IF(([1]Submeters!BD28-[1]Submeters!BD27)&lt;0,"0",[1]Submeters!BD28-[1]Submeters!BD27)</f>
        <v>0</v>
      </c>
      <c r="BO22" s="29">
        <f>IF(([1]Submeters!BE28-[1]Submeters!BE27)&lt;0,"0",[1]Submeters!BE28-[1]Submeters!BE27)</f>
        <v>0</v>
      </c>
      <c r="BP22" s="29">
        <f>IF(([1]Submeters!BF28-[1]Submeters!BF27)&lt;0,"0",[1]Submeters!BF28-[1]Submeters!BF27)</f>
        <v>0</v>
      </c>
      <c r="BQ22" s="29">
        <f>IF(([1]Submeters!BG28-[1]Submeters!BG27)&lt;0,"0",[1]Submeters!BG28-[1]Submeters!BG27)</f>
        <v>0</v>
      </c>
      <c r="BR22" s="29">
        <f>IF(([1]Submeters!BH28-[1]Submeters!BH27)&lt;0,"0",[1]Submeters!BH28-[1]Submeters!BH27)</f>
        <v>0</v>
      </c>
      <c r="BS22" s="29">
        <f>IF(([1]Submeters!BI28-[1]Submeters!BI27)&lt;0,"0",[1]Submeters!BI28-[1]Submeters!BI27)</f>
        <v>0</v>
      </c>
      <c r="BT22" s="29">
        <f>IF(([1]Submeters!BJ28-[1]Submeters!BJ27)&lt;0,"0",[1]Submeters!BJ28-[1]Submeters!BJ27)</f>
        <v>0</v>
      </c>
      <c r="BU22" s="29">
        <f>IF(([1]Submeters!BK28-[1]Submeters!BK27)&lt;0,"0",[1]Submeters!BK28-[1]Submeters!BK27)</f>
        <v>0</v>
      </c>
      <c r="BV22" s="29">
        <f>IF(([1]Submeters!BL28-[1]Submeters!BL27)&lt;0,"0",[1]Submeters!BL28-[1]Submeters!BL27)</f>
        <v>0</v>
      </c>
      <c r="BW22" s="29">
        <f>IF(([1]Submeters!BM28-[1]Submeters!BM27)&lt;0,"0",[1]Submeters!BM28-[1]Submeters!BM27)</f>
        <v>0</v>
      </c>
      <c r="BX22" s="29">
        <f>IF(([1]Submeters!BN28-[1]Submeters!BN27)&lt;0,"0",[1]Submeters!BN28-[1]Submeters!BN27)</f>
        <v>0</v>
      </c>
      <c r="BY22" s="29">
        <f>IF(([1]Submeters!BO28-[1]Submeters!BO27)&lt;0,"0",[1]Submeters!BO28-[1]Submeters!BO27)</f>
        <v>0</v>
      </c>
      <c r="BZ22" s="29">
        <f>IF(([1]Submeters!BP28-[1]Submeters!BP27)&lt;0,"0",[1]Submeters!BP28-[1]Submeters!BP27)</f>
        <v>0</v>
      </c>
      <c r="CA22" s="29">
        <f>IF(([1]Submeters!BQ28-[1]Submeters!BQ27)&lt;0,"0",[1]Submeters!BQ28-[1]Submeters!BQ27)</f>
        <v>0</v>
      </c>
      <c r="CB22" s="29">
        <f>IF(([1]Submeters!BR28-[1]Submeters!BR27)&lt;0,"0",[1]Submeters!BR28-[1]Submeters!BR27)</f>
        <v>0</v>
      </c>
      <c r="CC22" s="29">
        <f>IF(([1]Submeters!BS28-[1]Submeters!BS27)&lt;0,"0",[1]Submeters!BS28-[1]Submeters!BS27)</f>
        <v>0</v>
      </c>
      <c r="CD22" s="29">
        <f>IF(([1]Submeters!BT28-[1]Submeters!BT27)&lt;0,"0",[1]Submeters!BT28-[1]Submeters!BT27)</f>
        <v>0</v>
      </c>
      <c r="CE22" s="29">
        <f>IF(([1]Submeters!BU28-[1]Submeters!BU27)&lt;0,"0",[1]Submeters!BU28-[1]Submeters!BU27)</f>
        <v>0</v>
      </c>
      <c r="CF22" s="29">
        <f>IF(([1]Submeters!BV28-[1]Submeters!BV27)&lt;0,"0",[1]Submeters!BV28-[1]Submeters!BV27)</f>
        <v>0</v>
      </c>
      <c r="CG22" s="29">
        <f>IF(([1]Submeters!BW28-[1]Submeters!BW27)&lt;0,"0",[1]Submeters!BW28-[1]Submeters!BW27)</f>
        <v>0</v>
      </c>
      <c r="CH22" s="29">
        <f>IF(([1]Submeters!BX28-[1]Submeters!BX27)&lt;0,"0",[1]Submeters!BX28-[1]Submeters!BX27)</f>
        <v>0</v>
      </c>
      <c r="CI22" s="29">
        <f>IF(([1]Submeters!BY28-[1]Submeters!BY27)&lt;0,"0",[1]Submeters!BY28-[1]Submeters!BY27)</f>
        <v>0</v>
      </c>
      <c r="CJ22" s="29">
        <f>IF(([1]Submeters!BZ28-[1]Submeters!BZ27)&lt;0,"0",[1]Submeters!BZ28-[1]Submeters!BZ27)</f>
        <v>0</v>
      </c>
      <c r="CK22" s="29">
        <f>IF(([1]Submeters!CA28-[1]Submeters!CA27)&lt;0,"0",[1]Submeters!CA28-[1]Submeters!CA27)</f>
        <v>0</v>
      </c>
      <c r="CL22" s="29">
        <f>IF(([1]Submeters!CB28-[1]Submeters!CB27)&lt;0,"0",[1]Submeters!CB28-[1]Submeters!CB27)</f>
        <v>0</v>
      </c>
      <c r="CM22" s="29">
        <f>IF(([1]Submeters!CC28-[1]Submeters!CC27)&lt;0,"0",[1]Submeters!CC28-[1]Submeters!CC27)</f>
        <v>0</v>
      </c>
      <c r="CN22" s="29">
        <f>IF(([1]Submeters!CD28-[1]Submeters!CD27)&lt;0,"0",[1]Submeters!CD28-[1]Submeters!CD27)</f>
        <v>0</v>
      </c>
      <c r="CO22" s="29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7</v>
      </c>
      <c r="D23" s="13">
        <v>2020</v>
      </c>
      <c r="E23" s="16">
        <f>HOTEL!D30</f>
        <v>0</v>
      </c>
      <c r="F23" s="16">
        <f>HOTEL!F30</f>
        <v>0</v>
      </c>
      <c r="G23" s="16">
        <f>HOTEL!H30</f>
        <v>0</v>
      </c>
      <c r="H23" s="16">
        <f>HOTEL!N30</f>
        <v>0</v>
      </c>
      <c r="I23" s="16">
        <f>HOTEL!P30</f>
        <v>0</v>
      </c>
      <c r="J23" s="16">
        <f>HOTEL!U30</f>
        <v>0</v>
      </c>
      <c r="K23" s="16">
        <f>HOTEL!Y30</f>
        <v>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>
        <f>IF(([1]Submeters!AY29-[1]Submeters!AY28)&lt;0,"0",[1]Submeters!AY29-[1]Submeters!AY28)</f>
        <v>0</v>
      </c>
      <c r="BJ23" s="29">
        <f>IF(([1]Submeters!AZ29-[1]Submeters!AZ28)&lt;0,"0",[1]Submeters!AZ29-[1]Submeters!AZ28)</f>
        <v>0</v>
      </c>
      <c r="BK23" s="29">
        <f>IF(([1]Submeters!BA29-[1]Submeters!BA28)&lt;0,"0",[1]Submeters!BA29-[1]Submeters!BA28)</f>
        <v>0</v>
      </c>
      <c r="BL23" s="29">
        <f>IF(([1]Submeters!BB29-[1]Submeters!BB28)&lt;0,"0",[1]Submeters!BB29-[1]Submeters!BB28)</f>
        <v>0</v>
      </c>
      <c r="BM23" s="29">
        <f>IF(([1]Submeters!BC29-[1]Submeters!BC28)&lt;0,"0",[1]Submeters!BC29-[1]Submeters!BC28)</f>
        <v>0</v>
      </c>
      <c r="BN23" s="29">
        <f>IF(([1]Submeters!BD29-[1]Submeters!BD28)&lt;0,"0",[1]Submeters!BD29-[1]Submeters!BD28)</f>
        <v>0</v>
      </c>
      <c r="BO23" s="29">
        <f>IF(([1]Submeters!BE29-[1]Submeters!BE28)&lt;0,"0",[1]Submeters!BE29-[1]Submeters!BE28)</f>
        <v>0</v>
      </c>
      <c r="BP23" s="29">
        <f>IF(([1]Submeters!BF29-[1]Submeters!BF28)&lt;0,"0",[1]Submeters!BF29-[1]Submeters!BF28)</f>
        <v>0</v>
      </c>
      <c r="BQ23" s="29">
        <f>IF(([1]Submeters!BG29-[1]Submeters!BG28)&lt;0,"0",[1]Submeters!BG29-[1]Submeters!BG28)</f>
        <v>0</v>
      </c>
      <c r="BR23" s="29">
        <f>IF(([1]Submeters!BH29-[1]Submeters!BH28)&lt;0,"0",[1]Submeters!BH29-[1]Submeters!BH28)</f>
        <v>0</v>
      </c>
      <c r="BS23" s="29">
        <f>IF(([1]Submeters!BI29-[1]Submeters!BI28)&lt;0,"0",[1]Submeters!BI29-[1]Submeters!BI28)</f>
        <v>0</v>
      </c>
      <c r="BT23" s="29">
        <f>IF(([1]Submeters!BJ29-[1]Submeters!BJ28)&lt;0,"0",[1]Submeters!BJ29-[1]Submeters!BJ28)</f>
        <v>0</v>
      </c>
      <c r="BU23" s="29">
        <f>IF(([1]Submeters!BK29-[1]Submeters!BK28)&lt;0,"0",[1]Submeters!BK29-[1]Submeters!BK28)</f>
        <v>0</v>
      </c>
      <c r="BV23" s="29">
        <f>IF(([1]Submeters!BL29-[1]Submeters!BL28)&lt;0,"0",[1]Submeters!BL29-[1]Submeters!BL28)</f>
        <v>0</v>
      </c>
      <c r="BW23" s="29">
        <f>IF(([1]Submeters!BM29-[1]Submeters!BM28)&lt;0,"0",[1]Submeters!BM29-[1]Submeters!BM28)</f>
        <v>0</v>
      </c>
      <c r="BX23" s="29">
        <f>IF(([1]Submeters!BN29-[1]Submeters!BN28)&lt;0,"0",[1]Submeters!BN29-[1]Submeters!BN28)</f>
        <v>0</v>
      </c>
      <c r="BY23" s="29">
        <f>IF(([1]Submeters!BO29-[1]Submeters!BO28)&lt;0,"0",[1]Submeters!BO29-[1]Submeters!BO28)</f>
        <v>0</v>
      </c>
      <c r="BZ23" s="29">
        <f>IF(([1]Submeters!BP29-[1]Submeters!BP28)&lt;0,"0",[1]Submeters!BP29-[1]Submeters!BP28)</f>
        <v>0</v>
      </c>
      <c r="CA23" s="29">
        <f>IF(([1]Submeters!BQ29-[1]Submeters!BQ28)&lt;0,"0",[1]Submeters!BQ29-[1]Submeters!BQ28)</f>
        <v>0</v>
      </c>
      <c r="CB23" s="29">
        <f>IF(([1]Submeters!BR29-[1]Submeters!BR28)&lt;0,"0",[1]Submeters!BR29-[1]Submeters!BR28)</f>
        <v>0</v>
      </c>
      <c r="CC23" s="29">
        <f>IF(([1]Submeters!BS29-[1]Submeters!BS28)&lt;0,"0",[1]Submeters!BS29-[1]Submeters!BS28)</f>
        <v>0</v>
      </c>
      <c r="CD23" s="29">
        <f>IF(([1]Submeters!BT29-[1]Submeters!BT28)&lt;0,"0",[1]Submeters!BT29-[1]Submeters!BT28)</f>
        <v>0</v>
      </c>
      <c r="CE23" s="29">
        <f>IF(([1]Submeters!BU29-[1]Submeters!BU28)&lt;0,"0",[1]Submeters!BU29-[1]Submeters!BU28)</f>
        <v>0</v>
      </c>
      <c r="CF23" s="29">
        <f>IF(([1]Submeters!BV29-[1]Submeters!BV28)&lt;0,"0",[1]Submeters!BV29-[1]Submeters!BV28)</f>
        <v>0</v>
      </c>
      <c r="CG23" s="29">
        <f>IF(([1]Submeters!BW29-[1]Submeters!BW28)&lt;0,"0",[1]Submeters!BW29-[1]Submeters!BW28)</f>
        <v>0</v>
      </c>
      <c r="CH23" s="29">
        <f>IF(([1]Submeters!BX29-[1]Submeters!BX28)&lt;0,"0",[1]Submeters!BX29-[1]Submeters!BX28)</f>
        <v>0</v>
      </c>
      <c r="CI23" s="29">
        <f>IF(([1]Submeters!BY29-[1]Submeters!BY28)&lt;0,"0",[1]Submeters!BY29-[1]Submeters!BY28)</f>
        <v>0</v>
      </c>
      <c r="CJ23" s="29">
        <f>IF(([1]Submeters!BZ29-[1]Submeters!BZ28)&lt;0,"0",[1]Submeters!BZ29-[1]Submeters!BZ28)</f>
        <v>0</v>
      </c>
      <c r="CK23" s="29">
        <f>IF(([1]Submeters!CA29-[1]Submeters!CA28)&lt;0,"0",[1]Submeters!CA29-[1]Submeters!CA28)</f>
        <v>0</v>
      </c>
      <c r="CL23" s="29">
        <f>IF(([1]Submeters!CB29-[1]Submeters!CB28)&lt;0,"0",[1]Submeters!CB29-[1]Submeters!CB28)</f>
        <v>0</v>
      </c>
      <c r="CM23" s="29">
        <f>IF(([1]Submeters!CC29-[1]Submeters!CC28)&lt;0,"0",[1]Submeters!CC29-[1]Submeters!CC28)</f>
        <v>0</v>
      </c>
      <c r="CN23" s="29">
        <f>IF(([1]Submeters!CD29-[1]Submeters!CD28)&lt;0,"0",[1]Submeters!CD29-[1]Submeters!CD28)</f>
        <v>0</v>
      </c>
      <c r="CO23" s="29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7</v>
      </c>
      <c r="D24" s="13">
        <v>2020</v>
      </c>
      <c r="E24" s="16">
        <f>HOTEL!D31</f>
        <v>0</v>
      </c>
      <c r="F24" s="16">
        <f>HOTEL!F31</f>
        <v>0</v>
      </c>
      <c r="G24" s="16">
        <f>HOTEL!H31</f>
        <v>0</v>
      </c>
      <c r="H24" s="16">
        <f>HOTEL!N31</f>
        <v>0</v>
      </c>
      <c r="I24" s="16">
        <f>HOTEL!P31</f>
        <v>0</v>
      </c>
      <c r="J24" s="16">
        <f>HOTEL!U31</f>
        <v>0</v>
      </c>
      <c r="K24" s="16">
        <f>HOTEL!Y31</f>
        <v>0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>
        <f>IF(([1]Submeters!AY30-[1]Submeters!AY29)&lt;0,"0",[1]Submeters!AY30-[1]Submeters!AY29)</f>
        <v>0</v>
      </c>
      <c r="BJ24" s="29">
        <f>IF(([1]Submeters!AZ30-[1]Submeters!AZ29)&lt;0,"0",[1]Submeters!AZ30-[1]Submeters!AZ29)</f>
        <v>0</v>
      </c>
      <c r="BK24" s="29">
        <f>IF(([1]Submeters!BA30-[1]Submeters!BA29)&lt;0,"0",[1]Submeters!BA30-[1]Submeters!BA29)</f>
        <v>0</v>
      </c>
      <c r="BL24" s="29">
        <f>IF(([1]Submeters!BB30-[1]Submeters!BB29)&lt;0,"0",[1]Submeters!BB30-[1]Submeters!BB29)</f>
        <v>0</v>
      </c>
      <c r="BM24" s="29">
        <f>IF(([1]Submeters!BC30-[1]Submeters!BC29)&lt;0,"0",[1]Submeters!BC30-[1]Submeters!BC29)</f>
        <v>0</v>
      </c>
      <c r="BN24" s="29">
        <f>IF(([1]Submeters!BD30-[1]Submeters!BD29)&lt;0,"0",[1]Submeters!BD30-[1]Submeters!BD29)</f>
        <v>0</v>
      </c>
      <c r="BO24" s="29">
        <f>IF(([1]Submeters!BE30-[1]Submeters!BE29)&lt;0,"0",[1]Submeters!BE30-[1]Submeters!BE29)</f>
        <v>0</v>
      </c>
      <c r="BP24" s="29">
        <f>IF(([1]Submeters!BF30-[1]Submeters!BF29)&lt;0,"0",[1]Submeters!BF30-[1]Submeters!BF29)</f>
        <v>0</v>
      </c>
      <c r="BQ24" s="29">
        <f>IF(([1]Submeters!BG30-[1]Submeters!BG29)&lt;0,"0",[1]Submeters!BG30-[1]Submeters!BG29)</f>
        <v>0</v>
      </c>
      <c r="BR24" s="29">
        <f>IF(([1]Submeters!BH30-[1]Submeters!BH29)&lt;0,"0",[1]Submeters!BH30-[1]Submeters!BH29)</f>
        <v>0</v>
      </c>
      <c r="BS24" s="29">
        <f>IF(([1]Submeters!BI30-[1]Submeters!BI29)&lt;0,"0",[1]Submeters!BI30-[1]Submeters!BI29)</f>
        <v>0</v>
      </c>
      <c r="BT24" s="29">
        <f>IF(([1]Submeters!BJ30-[1]Submeters!BJ29)&lt;0,"0",[1]Submeters!BJ30-[1]Submeters!BJ29)</f>
        <v>0</v>
      </c>
      <c r="BU24" s="29">
        <f>IF(([1]Submeters!BK30-[1]Submeters!BK29)&lt;0,"0",[1]Submeters!BK30-[1]Submeters!BK29)</f>
        <v>0</v>
      </c>
      <c r="BV24" s="29">
        <f>IF(([1]Submeters!BL30-[1]Submeters!BL29)&lt;0,"0",[1]Submeters!BL30-[1]Submeters!BL29)</f>
        <v>0</v>
      </c>
      <c r="BW24" s="29">
        <f>IF(([1]Submeters!BM30-[1]Submeters!BM29)&lt;0,"0",[1]Submeters!BM30-[1]Submeters!BM29)</f>
        <v>0</v>
      </c>
      <c r="BX24" s="29">
        <f>IF(([1]Submeters!BN30-[1]Submeters!BN29)&lt;0,"0",[1]Submeters!BN30-[1]Submeters!BN29)</f>
        <v>0</v>
      </c>
      <c r="BY24" s="29">
        <f>IF(([1]Submeters!BO30-[1]Submeters!BO29)&lt;0,"0",[1]Submeters!BO30-[1]Submeters!BO29)</f>
        <v>0</v>
      </c>
      <c r="BZ24" s="29">
        <f>IF(([1]Submeters!BP30-[1]Submeters!BP29)&lt;0,"0",[1]Submeters!BP30-[1]Submeters!BP29)</f>
        <v>0</v>
      </c>
      <c r="CA24" s="29">
        <f>IF(([1]Submeters!BQ30-[1]Submeters!BQ29)&lt;0,"0",[1]Submeters!BQ30-[1]Submeters!BQ29)</f>
        <v>0</v>
      </c>
      <c r="CB24" s="29">
        <f>IF(([1]Submeters!BR30-[1]Submeters!BR29)&lt;0,"0",[1]Submeters!BR30-[1]Submeters!BR29)</f>
        <v>0</v>
      </c>
      <c r="CC24" s="29">
        <f>IF(([1]Submeters!BS30-[1]Submeters!BS29)&lt;0,"0",[1]Submeters!BS30-[1]Submeters!BS29)</f>
        <v>0</v>
      </c>
      <c r="CD24" s="29">
        <f>IF(([1]Submeters!BT30-[1]Submeters!BT29)&lt;0,"0",[1]Submeters!BT30-[1]Submeters!BT29)</f>
        <v>0</v>
      </c>
      <c r="CE24" s="29">
        <f>IF(([1]Submeters!BU30-[1]Submeters!BU29)&lt;0,"0",[1]Submeters!BU30-[1]Submeters!BU29)</f>
        <v>0</v>
      </c>
      <c r="CF24" s="29">
        <f>IF(([1]Submeters!BV30-[1]Submeters!BV29)&lt;0,"0",[1]Submeters!BV30-[1]Submeters!BV29)</f>
        <v>0</v>
      </c>
      <c r="CG24" s="29">
        <f>IF(([1]Submeters!BW30-[1]Submeters!BW29)&lt;0,"0",[1]Submeters!BW30-[1]Submeters!BW29)</f>
        <v>0</v>
      </c>
      <c r="CH24" s="29">
        <f>IF(([1]Submeters!BX30-[1]Submeters!BX29)&lt;0,"0",[1]Submeters!BX30-[1]Submeters!BX29)</f>
        <v>0</v>
      </c>
      <c r="CI24" s="29">
        <f>IF(([1]Submeters!BY30-[1]Submeters!BY29)&lt;0,"0",[1]Submeters!BY30-[1]Submeters!BY29)</f>
        <v>0</v>
      </c>
      <c r="CJ24" s="29">
        <f>IF(([1]Submeters!BZ30-[1]Submeters!BZ29)&lt;0,"0",[1]Submeters!BZ30-[1]Submeters!BZ29)</f>
        <v>0</v>
      </c>
      <c r="CK24" s="29">
        <f>IF(([1]Submeters!CA30-[1]Submeters!CA29)&lt;0,"0",[1]Submeters!CA30-[1]Submeters!CA29)</f>
        <v>0</v>
      </c>
      <c r="CL24" s="29">
        <f>IF(([1]Submeters!CB30-[1]Submeters!CB29)&lt;0,"0",[1]Submeters!CB30-[1]Submeters!CB29)</f>
        <v>0</v>
      </c>
      <c r="CM24" s="29">
        <f>IF(([1]Submeters!CC30-[1]Submeters!CC29)&lt;0,"0",[1]Submeters!CC30-[1]Submeters!CC29)</f>
        <v>0</v>
      </c>
      <c r="CN24" s="29">
        <f>IF(([1]Submeters!CD30-[1]Submeters!CD29)&lt;0,"0",[1]Submeters!CD30-[1]Submeters!CD29)</f>
        <v>0</v>
      </c>
      <c r="CO24" s="29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7</v>
      </c>
      <c r="D25" s="13">
        <v>2020</v>
      </c>
      <c r="E25" s="16">
        <f>HOTEL!D32</f>
        <v>0</v>
      </c>
      <c r="F25" s="16">
        <f>HOTEL!F32</f>
        <v>0</v>
      </c>
      <c r="G25" s="16">
        <f>HOTEL!H32</f>
        <v>0</v>
      </c>
      <c r="H25" s="16">
        <f>HOTEL!N32</f>
        <v>0</v>
      </c>
      <c r="I25" s="16">
        <f>HOTEL!P32</f>
        <v>0</v>
      </c>
      <c r="J25" s="16">
        <f>HOTEL!U32</f>
        <v>0</v>
      </c>
      <c r="K25" s="16">
        <f>HOTEL!Y32</f>
        <v>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>
        <f>IF(([1]Submeters!AY31-[1]Submeters!AY30)&lt;0,"0",[1]Submeters!AY31-[1]Submeters!AY30)</f>
        <v>0</v>
      </c>
      <c r="BJ25" s="29">
        <f>IF(([1]Submeters!AZ31-[1]Submeters!AZ30)&lt;0,"0",[1]Submeters!AZ31-[1]Submeters!AZ30)</f>
        <v>0</v>
      </c>
      <c r="BK25" s="29">
        <f>IF(([1]Submeters!BA31-[1]Submeters!BA30)&lt;0,"0",[1]Submeters!BA31-[1]Submeters!BA30)</f>
        <v>0</v>
      </c>
      <c r="BL25" s="29">
        <f>IF(([1]Submeters!BB31-[1]Submeters!BB30)&lt;0,"0",[1]Submeters!BB31-[1]Submeters!BB30)</f>
        <v>0</v>
      </c>
      <c r="BM25" s="29">
        <f>IF(([1]Submeters!BC31-[1]Submeters!BC30)&lt;0,"0",[1]Submeters!BC31-[1]Submeters!BC30)</f>
        <v>0</v>
      </c>
      <c r="BN25" s="29">
        <f>IF(([1]Submeters!BD31-[1]Submeters!BD30)&lt;0,"0",[1]Submeters!BD31-[1]Submeters!BD30)</f>
        <v>0</v>
      </c>
      <c r="BO25" s="29">
        <f>IF(([1]Submeters!BE31-[1]Submeters!BE30)&lt;0,"0",[1]Submeters!BE31-[1]Submeters!BE30)</f>
        <v>0</v>
      </c>
      <c r="BP25" s="29">
        <f>IF(([1]Submeters!BF31-[1]Submeters!BF30)&lt;0,"0",[1]Submeters!BF31-[1]Submeters!BF30)</f>
        <v>0</v>
      </c>
      <c r="BQ25" s="29">
        <f>IF(([1]Submeters!BG31-[1]Submeters!BG30)&lt;0,"0",[1]Submeters!BG31-[1]Submeters!BG30)</f>
        <v>0</v>
      </c>
      <c r="BR25" s="29">
        <f>IF(([1]Submeters!BH31-[1]Submeters!BH30)&lt;0,"0",[1]Submeters!BH31-[1]Submeters!BH30)</f>
        <v>0</v>
      </c>
      <c r="BS25" s="29">
        <f>IF(([1]Submeters!BI31-[1]Submeters!BI30)&lt;0,"0",[1]Submeters!BI31-[1]Submeters!BI30)</f>
        <v>0</v>
      </c>
      <c r="BT25" s="29">
        <f>IF(([1]Submeters!BJ31-[1]Submeters!BJ30)&lt;0,"0",[1]Submeters!BJ31-[1]Submeters!BJ30)</f>
        <v>0</v>
      </c>
      <c r="BU25" s="29">
        <f>IF(([1]Submeters!BK31-[1]Submeters!BK30)&lt;0,"0",[1]Submeters!BK31-[1]Submeters!BK30)</f>
        <v>0</v>
      </c>
      <c r="BV25" s="29">
        <f>IF(([1]Submeters!BL31-[1]Submeters!BL30)&lt;0,"0",[1]Submeters!BL31-[1]Submeters!BL30)</f>
        <v>0</v>
      </c>
      <c r="BW25" s="29">
        <f>IF(([1]Submeters!BM31-[1]Submeters!BM30)&lt;0,"0",[1]Submeters!BM31-[1]Submeters!BM30)</f>
        <v>0</v>
      </c>
      <c r="BX25" s="29">
        <f>IF(([1]Submeters!BN31-[1]Submeters!BN30)&lt;0,"0",[1]Submeters!BN31-[1]Submeters!BN30)</f>
        <v>0</v>
      </c>
      <c r="BY25" s="29">
        <f>IF(([1]Submeters!BO31-[1]Submeters!BO30)&lt;0,"0",[1]Submeters!BO31-[1]Submeters!BO30)</f>
        <v>0</v>
      </c>
      <c r="BZ25" s="29">
        <f>IF(([1]Submeters!BP31-[1]Submeters!BP30)&lt;0,"0",[1]Submeters!BP31-[1]Submeters!BP30)</f>
        <v>0</v>
      </c>
      <c r="CA25" s="29">
        <f>IF(([1]Submeters!BQ31-[1]Submeters!BQ30)&lt;0,"0",[1]Submeters!BQ31-[1]Submeters!BQ30)</f>
        <v>0</v>
      </c>
      <c r="CB25" s="29">
        <f>IF(([1]Submeters!BR31-[1]Submeters!BR30)&lt;0,"0",[1]Submeters!BR31-[1]Submeters!BR30)</f>
        <v>0</v>
      </c>
      <c r="CC25" s="29">
        <f>IF(([1]Submeters!BS31-[1]Submeters!BS30)&lt;0,"0",[1]Submeters!BS31-[1]Submeters!BS30)</f>
        <v>0</v>
      </c>
      <c r="CD25" s="29">
        <f>IF(([1]Submeters!BT31-[1]Submeters!BT30)&lt;0,"0",[1]Submeters!BT31-[1]Submeters!BT30)</f>
        <v>0</v>
      </c>
      <c r="CE25" s="29">
        <f>IF(([1]Submeters!BU31-[1]Submeters!BU30)&lt;0,"0",[1]Submeters!BU31-[1]Submeters!BU30)</f>
        <v>0</v>
      </c>
      <c r="CF25" s="29">
        <f>IF(([1]Submeters!BV31-[1]Submeters!BV30)&lt;0,"0",[1]Submeters!BV31-[1]Submeters!BV30)</f>
        <v>0</v>
      </c>
      <c r="CG25" s="29">
        <f>IF(([1]Submeters!BW31-[1]Submeters!BW30)&lt;0,"0",[1]Submeters!BW31-[1]Submeters!BW30)</f>
        <v>0</v>
      </c>
      <c r="CH25" s="29">
        <f>IF(([1]Submeters!BX31-[1]Submeters!BX30)&lt;0,"0",[1]Submeters!BX31-[1]Submeters!BX30)</f>
        <v>0</v>
      </c>
      <c r="CI25" s="29">
        <f>IF(([1]Submeters!BY31-[1]Submeters!BY30)&lt;0,"0",[1]Submeters!BY31-[1]Submeters!BY30)</f>
        <v>0</v>
      </c>
      <c r="CJ25" s="29">
        <f>IF(([1]Submeters!BZ31-[1]Submeters!BZ30)&lt;0,"0",[1]Submeters!BZ31-[1]Submeters!BZ30)</f>
        <v>0</v>
      </c>
      <c r="CK25" s="29">
        <f>IF(([1]Submeters!CA31-[1]Submeters!CA30)&lt;0,"0",[1]Submeters!CA31-[1]Submeters!CA30)</f>
        <v>0</v>
      </c>
      <c r="CL25" s="29">
        <f>IF(([1]Submeters!CB31-[1]Submeters!CB30)&lt;0,"0",[1]Submeters!CB31-[1]Submeters!CB30)</f>
        <v>0</v>
      </c>
      <c r="CM25" s="29">
        <f>IF(([1]Submeters!CC31-[1]Submeters!CC30)&lt;0,"0",[1]Submeters!CC31-[1]Submeters!CC30)</f>
        <v>0</v>
      </c>
      <c r="CN25" s="29">
        <f>IF(([1]Submeters!CD31-[1]Submeters!CD30)&lt;0,"0",[1]Submeters!CD31-[1]Submeters!CD30)</f>
        <v>0</v>
      </c>
      <c r="CO25" s="29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7</v>
      </c>
      <c r="D26" s="13">
        <v>2020</v>
      </c>
      <c r="E26" s="16">
        <f>HOTEL!D33</f>
        <v>0</v>
      </c>
      <c r="F26" s="16">
        <f>HOTEL!F33</f>
        <v>0</v>
      </c>
      <c r="G26" s="16">
        <f>HOTEL!H33</f>
        <v>0</v>
      </c>
      <c r="H26" s="16">
        <f>HOTEL!N33</f>
        <v>0</v>
      </c>
      <c r="I26" s="16">
        <f>HOTEL!P33</f>
        <v>0</v>
      </c>
      <c r="J26" s="16">
        <f>HOTEL!U33</f>
        <v>0</v>
      </c>
      <c r="K26" s="16">
        <f>HOTEL!Y33</f>
        <v>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>
        <f>IF(([1]Submeters!AY32-[1]Submeters!AY31)&lt;0,"0",[1]Submeters!AY32-[1]Submeters!AY31)</f>
        <v>0</v>
      </c>
      <c r="BJ26" s="29">
        <f>IF(([1]Submeters!AZ32-[1]Submeters!AZ31)&lt;0,"0",[1]Submeters!AZ32-[1]Submeters!AZ31)</f>
        <v>0</v>
      </c>
      <c r="BK26" s="29">
        <f>IF(([1]Submeters!BA32-[1]Submeters!BA31)&lt;0,"0",[1]Submeters!BA32-[1]Submeters!BA31)</f>
        <v>0</v>
      </c>
      <c r="BL26" s="29">
        <f>IF(([1]Submeters!BB32-[1]Submeters!BB31)&lt;0,"0",[1]Submeters!BB32-[1]Submeters!BB31)</f>
        <v>0</v>
      </c>
      <c r="BM26" s="29">
        <f>IF(([1]Submeters!BC32-[1]Submeters!BC31)&lt;0,"0",[1]Submeters!BC32-[1]Submeters!BC31)</f>
        <v>0</v>
      </c>
      <c r="BN26" s="29">
        <f>IF(([1]Submeters!BD32-[1]Submeters!BD31)&lt;0,"0",[1]Submeters!BD32-[1]Submeters!BD31)</f>
        <v>0</v>
      </c>
      <c r="BO26" s="29">
        <f>IF(([1]Submeters!BE32-[1]Submeters!BE31)&lt;0,"0",[1]Submeters!BE32-[1]Submeters!BE31)</f>
        <v>0</v>
      </c>
      <c r="BP26" s="29">
        <f>IF(([1]Submeters!BF32-[1]Submeters!BF31)&lt;0,"0",[1]Submeters!BF32-[1]Submeters!BF31)</f>
        <v>0</v>
      </c>
      <c r="BQ26" s="29">
        <f>IF(([1]Submeters!BG32-[1]Submeters!BG31)&lt;0,"0",[1]Submeters!BG32-[1]Submeters!BG31)</f>
        <v>0</v>
      </c>
      <c r="BR26" s="29">
        <f>IF(([1]Submeters!BH32-[1]Submeters!BH31)&lt;0,"0",[1]Submeters!BH32-[1]Submeters!BH31)</f>
        <v>0</v>
      </c>
      <c r="BS26" s="29">
        <f>IF(([1]Submeters!BI32-[1]Submeters!BI31)&lt;0,"0",[1]Submeters!BI32-[1]Submeters!BI31)</f>
        <v>0</v>
      </c>
      <c r="BT26" s="29">
        <f>IF(([1]Submeters!BJ32-[1]Submeters!BJ31)&lt;0,"0",[1]Submeters!BJ32-[1]Submeters!BJ31)</f>
        <v>0</v>
      </c>
      <c r="BU26" s="29">
        <f>IF(([1]Submeters!BK32-[1]Submeters!BK31)&lt;0,"0",[1]Submeters!BK32-[1]Submeters!BK31)</f>
        <v>0</v>
      </c>
      <c r="BV26" s="29">
        <f>IF(([1]Submeters!BL32-[1]Submeters!BL31)&lt;0,"0",[1]Submeters!BL32-[1]Submeters!BL31)</f>
        <v>0</v>
      </c>
      <c r="BW26" s="29">
        <f>IF(([1]Submeters!BM32-[1]Submeters!BM31)&lt;0,"0",[1]Submeters!BM32-[1]Submeters!BM31)</f>
        <v>0</v>
      </c>
      <c r="BX26" s="29">
        <f>IF(([1]Submeters!BN32-[1]Submeters!BN31)&lt;0,"0",[1]Submeters!BN32-[1]Submeters!BN31)</f>
        <v>0</v>
      </c>
      <c r="BY26" s="29">
        <f>IF(([1]Submeters!BO32-[1]Submeters!BO31)&lt;0,"0",[1]Submeters!BO32-[1]Submeters!BO31)</f>
        <v>0</v>
      </c>
      <c r="BZ26" s="29">
        <f>IF(([1]Submeters!BP32-[1]Submeters!BP31)&lt;0,"0",[1]Submeters!BP32-[1]Submeters!BP31)</f>
        <v>0</v>
      </c>
      <c r="CA26" s="29">
        <f>IF(([1]Submeters!BQ32-[1]Submeters!BQ31)&lt;0,"0",[1]Submeters!BQ32-[1]Submeters!BQ31)</f>
        <v>0</v>
      </c>
      <c r="CB26" s="29">
        <f>IF(([1]Submeters!BR32-[1]Submeters!BR31)&lt;0,"0",[1]Submeters!BR32-[1]Submeters!BR31)</f>
        <v>0</v>
      </c>
      <c r="CC26" s="29">
        <f>IF(([1]Submeters!BS32-[1]Submeters!BS31)&lt;0,"0",[1]Submeters!BS32-[1]Submeters!BS31)</f>
        <v>0</v>
      </c>
      <c r="CD26" s="29">
        <f>IF(([1]Submeters!BT32-[1]Submeters!BT31)&lt;0,"0",[1]Submeters!BT32-[1]Submeters!BT31)</f>
        <v>0</v>
      </c>
      <c r="CE26" s="29">
        <f>IF(([1]Submeters!BU32-[1]Submeters!BU31)&lt;0,"0",[1]Submeters!BU32-[1]Submeters!BU31)</f>
        <v>0</v>
      </c>
      <c r="CF26" s="29">
        <f>IF(([1]Submeters!BV32-[1]Submeters!BV31)&lt;0,"0",[1]Submeters!BV32-[1]Submeters!BV31)</f>
        <v>0</v>
      </c>
      <c r="CG26" s="29">
        <f>IF(([1]Submeters!BW32-[1]Submeters!BW31)&lt;0,"0",[1]Submeters!BW32-[1]Submeters!BW31)</f>
        <v>0</v>
      </c>
      <c r="CH26" s="29">
        <f>IF(([1]Submeters!BX32-[1]Submeters!BX31)&lt;0,"0",[1]Submeters!BX32-[1]Submeters!BX31)</f>
        <v>0</v>
      </c>
      <c r="CI26" s="29">
        <f>IF(([1]Submeters!BY32-[1]Submeters!BY31)&lt;0,"0",[1]Submeters!BY32-[1]Submeters!BY31)</f>
        <v>0</v>
      </c>
      <c r="CJ26" s="29">
        <f>IF(([1]Submeters!BZ32-[1]Submeters!BZ31)&lt;0,"0",[1]Submeters!BZ32-[1]Submeters!BZ31)</f>
        <v>0</v>
      </c>
      <c r="CK26" s="29">
        <f>IF(([1]Submeters!CA32-[1]Submeters!CA31)&lt;0,"0",[1]Submeters!CA32-[1]Submeters!CA31)</f>
        <v>0</v>
      </c>
      <c r="CL26" s="29">
        <f>IF(([1]Submeters!CB32-[1]Submeters!CB31)&lt;0,"0",[1]Submeters!CB32-[1]Submeters!CB31)</f>
        <v>0</v>
      </c>
      <c r="CM26" s="29">
        <f>IF(([1]Submeters!CC32-[1]Submeters!CC31)&lt;0,"0",[1]Submeters!CC32-[1]Submeters!CC31)</f>
        <v>0</v>
      </c>
      <c r="CN26" s="29">
        <f>IF(([1]Submeters!CD32-[1]Submeters!CD31)&lt;0,"0",[1]Submeters!CD32-[1]Submeters!CD31)</f>
        <v>0</v>
      </c>
      <c r="CO26" s="29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7</v>
      </c>
      <c r="D27" s="13">
        <v>2020</v>
      </c>
      <c r="E27" s="16">
        <f>HOTEL!D34</f>
        <v>0</v>
      </c>
      <c r="F27" s="16">
        <f>HOTEL!F34</f>
        <v>0</v>
      </c>
      <c r="G27" s="16">
        <f>HOTEL!H34</f>
        <v>0</v>
      </c>
      <c r="H27" s="16">
        <f>HOTEL!N34</f>
        <v>0</v>
      </c>
      <c r="I27" s="16">
        <f>HOTEL!P34</f>
        <v>0</v>
      </c>
      <c r="J27" s="16">
        <f>HOTEL!U34</f>
        <v>0</v>
      </c>
      <c r="K27" s="16">
        <f>HOTEL!Y34</f>
        <v>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>
        <f>IF(([1]Submeters!AY33-[1]Submeters!AY32)&lt;0,"0",[1]Submeters!AY33-[1]Submeters!AY32)</f>
        <v>489913</v>
      </c>
      <c r="BJ27" s="29">
        <f>IF(([1]Submeters!AZ33-[1]Submeters!AZ32)&lt;0,"0",[1]Submeters!AZ33-[1]Submeters!AZ32)</f>
        <v>0</v>
      </c>
      <c r="BK27" s="29">
        <f>IF(([1]Submeters!BA33-[1]Submeters!BA32)&lt;0,"0",[1]Submeters!BA33-[1]Submeters!BA32)</f>
        <v>0</v>
      </c>
      <c r="BL27" s="29">
        <f>IF(([1]Submeters!BB33-[1]Submeters!BB32)&lt;0,"0",[1]Submeters!BB33-[1]Submeters!BB32)</f>
        <v>0</v>
      </c>
      <c r="BM27" s="29">
        <f>IF(([1]Submeters!BC33-[1]Submeters!BC32)&lt;0,"0",[1]Submeters!BC33-[1]Submeters!BC32)</f>
        <v>0</v>
      </c>
      <c r="BN27" s="29">
        <f>IF(([1]Submeters!BD33-[1]Submeters!BD32)&lt;0,"0",[1]Submeters!BD33-[1]Submeters!BD32)</f>
        <v>0</v>
      </c>
      <c r="BO27" s="29">
        <f>IF(([1]Submeters!BE33-[1]Submeters!BE32)&lt;0,"0",[1]Submeters!BE33-[1]Submeters!BE32)</f>
        <v>0</v>
      </c>
      <c r="BP27" s="29">
        <f>IF(([1]Submeters!BF33-[1]Submeters!BF32)&lt;0,"0",[1]Submeters!BF33-[1]Submeters!BF32)</f>
        <v>0</v>
      </c>
      <c r="BQ27" s="29">
        <f>IF(([1]Submeters!BG33-[1]Submeters!BG32)&lt;0,"0",[1]Submeters!BG33-[1]Submeters!BG32)</f>
        <v>0</v>
      </c>
      <c r="BR27" s="29">
        <f>IF(([1]Submeters!BH33-[1]Submeters!BH32)&lt;0,"0",[1]Submeters!BH33-[1]Submeters!BH32)</f>
        <v>0</v>
      </c>
      <c r="BS27" s="29">
        <f>IF(([1]Submeters!BI33-[1]Submeters!BI32)&lt;0,"0",[1]Submeters!BI33-[1]Submeters!BI32)</f>
        <v>0</v>
      </c>
      <c r="BT27" s="29">
        <f>IF(([1]Submeters!BJ33-[1]Submeters!BJ32)&lt;0,"0",[1]Submeters!BJ33-[1]Submeters!BJ32)</f>
        <v>0</v>
      </c>
      <c r="BU27" s="29">
        <f>IF(([1]Submeters!BK33-[1]Submeters!BK32)&lt;0,"0",[1]Submeters!BK33-[1]Submeters!BK32)</f>
        <v>0</v>
      </c>
      <c r="BV27" s="29">
        <f>IF(([1]Submeters!BL33-[1]Submeters!BL32)&lt;0,"0",[1]Submeters!BL33-[1]Submeters!BL32)</f>
        <v>0</v>
      </c>
      <c r="BW27" s="29">
        <f>IF(([1]Submeters!BM33-[1]Submeters!BM32)&lt;0,"0",[1]Submeters!BM33-[1]Submeters!BM32)</f>
        <v>0</v>
      </c>
      <c r="BX27" s="29">
        <f>IF(([1]Submeters!BN33-[1]Submeters!BN32)&lt;0,"0",[1]Submeters!BN33-[1]Submeters!BN32)</f>
        <v>0</v>
      </c>
      <c r="BY27" s="29">
        <f>IF(([1]Submeters!BO33-[1]Submeters!BO32)&lt;0,"0",[1]Submeters!BO33-[1]Submeters!BO32)</f>
        <v>0</v>
      </c>
      <c r="BZ27" s="29">
        <f>IF(([1]Submeters!BP33-[1]Submeters!BP32)&lt;0,"0",[1]Submeters!BP33-[1]Submeters!BP32)</f>
        <v>0</v>
      </c>
      <c r="CA27" s="29">
        <f>IF(([1]Submeters!BQ33-[1]Submeters!BQ32)&lt;0,"0",[1]Submeters!BQ33-[1]Submeters!BQ32)</f>
        <v>0</v>
      </c>
      <c r="CB27" s="29">
        <f>IF(([1]Submeters!BR33-[1]Submeters!BR32)&lt;0,"0",[1]Submeters!BR33-[1]Submeters!BR32)</f>
        <v>0</v>
      </c>
      <c r="CC27" s="29">
        <f>IF(([1]Submeters!BS33-[1]Submeters!BS32)&lt;0,"0",[1]Submeters!BS33-[1]Submeters!BS32)</f>
        <v>0</v>
      </c>
      <c r="CD27" s="29">
        <f>IF(([1]Submeters!BT33-[1]Submeters!BT32)&lt;0,"0",[1]Submeters!BT33-[1]Submeters!BT32)</f>
        <v>0</v>
      </c>
      <c r="CE27" s="29">
        <f>IF(([1]Submeters!BU33-[1]Submeters!BU32)&lt;0,"0",[1]Submeters!BU33-[1]Submeters!BU32)</f>
        <v>0</v>
      </c>
      <c r="CF27" s="29">
        <f>IF(([1]Submeters!BV33-[1]Submeters!BV32)&lt;0,"0",[1]Submeters!BV33-[1]Submeters!BV32)</f>
        <v>0</v>
      </c>
      <c r="CG27" s="29">
        <f>IF(([1]Submeters!BW33-[1]Submeters!BW32)&lt;0,"0",[1]Submeters!BW33-[1]Submeters!BW32)</f>
        <v>0</v>
      </c>
      <c r="CH27" s="29">
        <f>IF(([1]Submeters!BX33-[1]Submeters!BX32)&lt;0,"0",[1]Submeters!BX33-[1]Submeters!BX32)</f>
        <v>0</v>
      </c>
      <c r="CI27" s="29">
        <f>IF(([1]Submeters!BY33-[1]Submeters!BY32)&lt;0,"0",[1]Submeters!BY33-[1]Submeters!BY32)</f>
        <v>0</v>
      </c>
      <c r="CJ27" s="29">
        <f>IF(([1]Submeters!BZ33-[1]Submeters!BZ32)&lt;0,"0",[1]Submeters!BZ33-[1]Submeters!BZ32)</f>
        <v>0</v>
      </c>
      <c r="CK27" s="29">
        <f>IF(([1]Submeters!CA33-[1]Submeters!CA32)&lt;0,"0",[1]Submeters!CA33-[1]Submeters!CA32)</f>
        <v>0</v>
      </c>
      <c r="CL27" s="29">
        <f>IF(([1]Submeters!CB33-[1]Submeters!CB32)&lt;0,"0",[1]Submeters!CB33-[1]Submeters!CB32)</f>
        <v>0</v>
      </c>
      <c r="CM27" s="29">
        <f>IF(([1]Submeters!CC33-[1]Submeters!CC32)&lt;0,"0",[1]Submeters!CC33-[1]Submeters!CC32)</f>
        <v>0</v>
      </c>
      <c r="CN27" s="29">
        <f>IF(([1]Submeters!CD33-[1]Submeters!CD32)&lt;0,"0",[1]Submeters!CD33-[1]Submeters!CD32)</f>
        <v>0</v>
      </c>
      <c r="CO27" s="29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7</v>
      </c>
      <c r="D28" s="13">
        <v>2020</v>
      </c>
      <c r="E28" s="16">
        <f>HOTEL!D35</f>
        <v>0</v>
      </c>
      <c r="F28" s="16">
        <f>HOTEL!F35</f>
        <v>0</v>
      </c>
      <c r="G28" s="16">
        <f>HOTEL!H35</f>
        <v>0</v>
      </c>
      <c r="H28" s="16">
        <f>HOTEL!N35</f>
        <v>0</v>
      </c>
      <c r="I28" s="16">
        <f>HOTEL!P35</f>
        <v>0</v>
      </c>
      <c r="J28" s="16">
        <f>HOTEL!U35</f>
        <v>0</v>
      </c>
      <c r="K28" s="16">
        <f>HOTEL!Y35</f>
        <v>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>
        <f>IF(([1]Submeters!AY34-[1]Submeters!AY33)&lt;0,"0",[1]Submeters!AY34-[1]Submeters!AY33)</f>
        <v>309</v>
      </c>
      <c r="BJ28" s="29">
        <f>IF(([1]Submeters!AZ34-[1]Submeters!AZ33)&lt;0,"0",[1]Submeters!AZ34-[1]Submeters!AZ33)</f>
        <v>0</v>
      </c>
      <c r="BK28" s="29">
        <f>IF(([1]Submeters!BA34-[1]Submeters!BA33)&lt;0,"0",[1]Submeters!BA34-[1]Submeters!BA33)</f>
        <v>0</v>
      </c>
      <c r="BL28" s="29">
        <f>IF(([1]Submeters!BB34-[1]Submeters!BB33)&lt;0,"0",[1]Submeters!BB34-[1]Submeters!BB33)</f>
        <v>0</v>
      </c>
      <c r="BM28" s="29">
        <f>IF(([1]Submeters!BC34-[1]Submeters!BC33)&lt;0,"0",[1]Submeters!BC34-[1]Submeters!BC33)</f>
        <v>0</v>
      </c>
      <c r="BN28" s="29">
        <f>IF(([1]Submeters!BD34-[1]Submeters!BD33)&lt;0,"0",[1]Submeters!BD34-[1]Submeters!BD33)</f>
        <v>0</v>
      </c>
      <c r="BO28" s="29">
        <f>IF(([1]Submeters!BE34-[1]Submeters!BE33)&lt;0,"0",[1]Submeters!BE34-[1]Submeters!BE33)</f>
        <v>0</v>
      </c>
      <c r="BP28" s="29">
        <f>IF(([1]Submeters!BF34-[1]Submeters!BF33)&lt;0,"0",[1]Submeters!BF34-[1]Submeters!BF33)</f>
        <v>0</v>
      </c>
      <c r="BQ28" s="29">
        <f>IF(([1]Submeters!BG34-[1]Submeters!BG33)&lt;0,"0",[1]Submeters!BG34-[1]Submeters!BG33)</f>
        <v>0</v>
      </c>
      <c r="BR28" s="29">
        <f>IF(([1]Submeters!BH34-[1]Submeters!BH33)&lt;0,"0",[1]Submeters!BH34-[1]Submeters!BH33)</f>
        <v>0</v>
      </c>
      <c r="BS28" s="29">
        <f>IF(([1]Submeters!BI34-[1]Submeters!BI33)&lt;0,"0",[1]Submeters!BI34-[1]Submeters!BI33)</f>
        <v>0</v>
      </c>
      <c r="BT28" s="29">
        <f>IF(([1]Submeters!BJ34-[1]Submeters!BJ33)&lt;0,"0",[1]Submeters!BJ34-[1]Submeters!BJ33)</f>
        <v>0</v>
      </c>
      <c r="BU28" s="29">
        <f>IF(([1]Submeters!BK34-[1]Submeters!BK33)&lt;0,"0",[1]Submeters!BK34-[1]Submeters!BK33)</f>
        <v>0</v>
      </c>
      <c r="BV28" s="29">
        <f>IF(([1]Submeters!BL34-[1]Submeters!BL33)&lt;0,"0",[1]Submeters!BL34-[1]Submeters!BL33)</f>
        <v>0</v>
      </c>
      <c r="BW28" s="29">
        <f>IF(([1]Submeters!BM34-[1]Submeters!BM33)&lt;0,"0",[1]Submeters!BM34-[1]Submeters!BM33)</f>
        <v>0</v>
      </c>
      <c r="BX28" s="29">
        <f>IF(([1]Submeters!BN34-[1]Submeters!BN33)&lt;0,"0",[1]Submeters!BN34-[1]Submeters!BN33)</f>
        <v>0</v>
      </c>
      <c r="BY28" s="29">
        <f>IF(([1]Submeters!BO34-[1]Submeters!BO33)&lt;0,"0",[1]Submeters!BO34-[1]Submeters!BO33)</f>
        <v>0</v>
      </c>
      <c r="BZ28" s="29">
        <f>IF(([1]Submeters!BP34-[1]Submeters!BP33)&lt;0,"0",[1]Submeters!BP34-[1]Submeters!BP33)</f>
        <v>0</v>
      </c>
      <c r="CA28" s="29">
        <f>IF(([1]Submeters!BQ34-[1]Submeters!BQ33)&lt;0,"0",[1]Submeters!BQ34-[1]Submeters!BQ33)</f>
        <v>0</v>
      </c>
      <c r="CB28" s="29">
        <f>IF(([1]Submeters!BR34-[1]Submeters!BR33)&lt;0,"0",[1]Submeters!BR34-[1]Submeters!BR33)</f>
        <v>0</v>
      </c>
      <c r="CC28" s="29">
        <f>IF(([1]Submeters!BS34-[1]Submeters!BS33)&lt;0,"0",[1]Submeters!BS34-[1]Submeters!BS33)</f>
        <v>0</v>
      </c>
      <c r="CD28" s="29">
        <f>IF(([1]Submeters!BT34-[1]Submeters!BT33)&lt;0,"0",[1]Submeters!BT34-[1]Submeters!BT33)</f>
        <v>0</v>
      </c>
      <c r="CE28" s="29">
        <f>IF(([1]Submeters!BU34-[1]Submeters!BU33)&lt;0,"0",[1]Submeters!BU34-[1]Submeters!BU33)</f>
        <v>0</v>
      </c>
      <c r="CF28" s="29">
        <f>IF(([1]Submeters!BV34-[1]Submeters!BV33)&lt;0,"0",[1]Submeters!BV34-[1]Submeters!BV33)</f>
        <v>0</v>
      </c>
      <c r="CG28" s="29">
        <f>IF(([1]Submeters!BW34-[1]Submeters!BW33)&lt;0,"0",[1]Submeters!BW34-[1]Submeters!BW33)</f>
        <v>0</v>
      </c>
      <c r="CH28" s="29">
        <f>IF(([1]Submeters!BX34-[1]Submeters!BX33)&lt;0,"0",[1]Submeters!BX34-[1]Submeters!BX33)</f>
        <v>0</v>
      </c>
      <c r="CI28" s="29">
        <f>IF(([1]Submeters!BY34-[1]Submeters!BY33)&lt;0,"0",[1]Submeters!BY34-[1]Submeters!BY33)</f>
        <v>0</v>
      </c>
      <c r="CJ28" s="29">
        <f>IF(([1]Submeters!BZ34-[1]Submeters!BZ33)&lt;0,"0",[1]Submeters!BZ34-[1]Submeters!BZ33)</f>
        <v>0</v>
      </c>
      <c r="CK28" s="29">
        <f>IF(([1]Submeters!CA34-[1]Submeters!CA33)&lt;0,"0",[1]Submeters!CA34-[1]Submeters!CA33)</f>
        <v>0</v>
      </c>
      <c r="CL28" s="29">
        <f>IF(([1]Submeters!CB34-[1]Submeters!CB33)&lt;0,"0",[1]Submeters!CB34-[1]Submeters!CB33)</f>
        <v>0</v>
      </c>
      <c r="CM28" s="29">
        <f>IF(([1]Submeters!CC34-[1]Submeters!CC33)&lt;0,"0",[1]Submeters!CC34-[1]Submeters!CC33)</f>
        <v>0</v>
      </c>
      <c r="CN28" s="29">
        <f>IF(([1]Submeters!CD34-[1]Submeters!CD33)&lt;0,"0",[1]Submeters!CD34-[1]Submeters!CD33)</f>
        <v>0</v>
      </c>
      <c r="CO28" s="29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7</v>
      </c>
      <c r="D29" s="13">
        <v>2020</v>
      </c>
      <c r="E29" s="16">
        <f>HOTEL!D36</f>
        <v>0</v>
      </c>
      <c r="F29" s="16">
        <f>HOTEL!F36</f>
        <v>0</v>
      </c>
      <c r="G29" s="16">
        <f>HOTEL!H36</f>
        <v>0</v>
      </c>
      <c r="H29" s="16">
        <f>HOTEL!N36</f>
        <v>0</v>
      </c>
      <c r="I29" s="16">
        <f>HOTEL!P36</f>
        <v>0</v>
      </c>
      <c r="J29" s="16">
        <f>HOTEL!U36</f>
        <v>0</v>
      </c>
      <c r="K29" s="16">
        <f>HOTEL!Y36</f>
        <v>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>
        <f>IF(([1]Submeters!AY35-[1]Submeters!AY34)&lt;0,"0",[1]Submeters!AY35-[1]Submeters!AY34)</f>
        <v>301</v>
      </c>
      <c r="BJ29" s="29">
        <f>IF(([1]Submeters!AZ35-[1]Submeters!AZ34)&lt;0,"0",[1]Submeters!AZ35-[1]Submeters!AZ34)</f>
        <v>0</v>
      </c>
      <c r="BK29" s="29">
        <f>IF(([1]Submeters!BA35-[1]Submeters!BA34)&lt;0,"0",[1]Submeters!BA35-[1]Submeters!BA34)</f>
        <v>0</v>
      </c>
      <c r="BL29" s="29">
        <f>IF(([1]Submeters!BB35-[1]Submeters!BB34)&lt;0,"0",[1]Submeters!BB35-[1]Submeters!BB34)</f>
        <v>0</v>
      </c>
      <c r="BM29" s="29">
        <f>IF(([1]Submeters!BC35-[1]Submeters!BC34)&lt;0,"0",[1]Submeters!BC35-[1]Submeters!BC34)</f>
        <v>0</v>
      </c>
      <c r="BN29" s="29">
        <f>IF(([1]Submeters!BD35-[1]Submeters!BD34)&lt;0,"0",[1]Submeters!BD35-[1]Submeters!BD34)</f>
        <v>0</v>
      </c>
      <c r="BO29" s="29">
        <f>IF(([1]Submeters!BE35-[1]Submeters!BE34)&lt;0,"0",[1]Submeters!BE35-[1]Submeters!BE34)</f>
        <v>0</v>
      </c>
      <c r="BP29" s="29">
        <f>IF(([1]Submeters!BF35-[1]Submeters!BF34)&lt;0,"0",[1]Submeters!BF35-[1]Submeters!BF34)</f>
        <v>0</v>
      </c>
      <c r="BQ29" s="29">
        <f>IF(([1]Submeters!BG35-[1]Submeters!BG34)&lt;0,"0",[1]Submeters!BG35-[1]Submeters!BG34)</f>
        <v>0</v>
      </c>
      <c r="BR29" s="29">
        <f>IF(([1]Submeters!BH35-[1]Submeters!BH34)&lt;0,"0",[1]Submeters!BH35-[1]Submeters!BH34)</f>
        <v>0</v>
      </c>
      <c r="BS29" s="29">
        <f>IF(([1]Submeters!BI35-[1]Submeters!BI34)&lt;0,"0",[1]Submeters!BI35-[1]Submeters!BI34)</f>
        <v>0</v>
      </c>
      <c r="BT29" s="29">
        <f>IF(([1]Submeters!BJ35-[1]Submeters!BJ34)&lt;0,"0",[1]Submeters!BJ35-[1]Submeters!BJ34)</f>
        <v>0</v>
      </c>
      <c r="BU29" s="29">
        <f>IF(([1]Submeters!BK35-[1]Submeters!BK34)&lt;0,"0",[1]Submeters!BK35-[1]Submeters!BK34)</f>
        <v>0</v>
      </c>
      <c r="BV29" s="29">
        <f>IF(([1]Submeters!BL35-[1]Submeters!BL34)&lt;0,"0",[1]Submeters!BL35-[1]Submeters!BL34)</f>
        <v>0</v>
      </c>
      <c r="BW29" s="29">
        <f>IF(([1]Submeters!BM35-[1]Submeters!BM34)&lt;0,"0",[1]Submeters!BM35-[1]Submeters!BM34)</f>
        <v>0</v>
      </c>
      <c r="BX29" s="29">
        <f>IF(([1]Submeters!BN35-[1]Submeters!BN34)&lt;0,"0",[1]Submeters!BN35-[1]Submeters!BN34)</f>
        <v>0</v>
      </c>
      <c r="BY29" s="29">
        <f>IF(([1]Submeters!BO35-[1]Submeters!BO34)&lt;0,"0",[1]Submeters!BO35-[1]Submeters!BO34)</f>
        <v>0</v>
      </c>
      <c r="BZ29" s="29">
        <f>IF(([1]Submeters!BP35-[1]Submeters!BP34)&lt;0,"0",[1]Submeters!BP35-[1]Submeters!BP34)</f>
        <v>0</v>
      </c>
      <c r="CA29" s="29">
        <f>IF(([1]Submeters!BQ35-[1]Submeters!BQ34)&lt;0,"0",[1]Submeters!BQ35-[1]Submeters!BQ34)</f>
        <v>0</v>
      </c>
      <c r="CB29" s="29">
        <f>IF(([1]Submeters!BR35-[1]Submeters!BR34)&lt;0,"0",[1]Submeters!BR35-[1]Submeters!BR34)</f>
        <v>0</v>
      </c>
      <c r="CC29" s="29">
        <f>IF(([1]Submeters!BS35-[1]Submeters!BS34)&lt;0,"0",[1]Submeters!BS35-[1]Submeters!BS34)</f>
        <v>0</v>
      </c>
      <c r="CD29" s="29">
        <f>IF(([1]Submeters!BT35-[1]Submeters!BT34)&lt;0,"0",[1]Submeters!BT35-[1]Submeters!BT34)</f>
        <v>0</v>
      </c>
      <c r="CE29" s="29">
        <f>IF(([1]Submeters!BU35-[1]Submeters!BU34)&lt;0,"0",[1]Submeters!BU35-[1]Submeters!BU34)</f>
        <v>0</v>
      </c>
      <c r="CF29" s="29">
        <f>IF(([1]Submeters!BV35-[1]Submeters!BV34)&lt;0,"0",[1]Submeters!BV35-[1]Submeters!BV34)</f>
        <v>0</v>
      </c>
      <c r="CG29" s="29">
        <f>IF(([1]Submeters!BW35-[1]Submeters!BW34)&lt;0,"0",[1]Submeters!BW35-[1]Submeters!BW34)</f>
        <v>0</v>
      </c>
      <c r="CH29" s="29">
        <f>IF(([1]Submeters!BX35-[1]Submeters!BX34)&lt;0,"0",[1]Submeters!BX35-[1]Submeters!BX34)</f>
        <v>0</v>
      </c>
      <c r="CI29" s="29">
        <f>IF(([1]Submeters!BY35-[1]Submeters!BY34)&lt;0,"0",[1]Submeters!BY35-[1]Submeters!BY34)</f>
        <v>0</v>
      </c>
      <c r="CJ29" s="29">
        <f>IF(([1]Submeters!BZ35-[1]Submeters!BZ34)&lt;0,"0",[1]Submeters!BZ35-[1]Submeters!BZ34)</f>
        <v>0</v>
      </c>
      <c r="CK29" s="29">
        <f>IF(([1]Submeters!CA35-[1]Submeters!CA34)&lt;0,"0",[1]Submeters!CA35-[1]Submeters!CA34)</f>
        <v>0</v>
      </c>
      <c r="CL29" s="29">
        <f>IF(([1]Submeters!CB35-[1]Submeters!CB34)&lt;0,"0",[1]Submeters!CB35-[1]Submeters!CB34)</f>
        <v>0</v>
      </c>
      <c r="CM29" s="29">
        <f>IF(([1]Submeters!CC35-[1]Submeters!CC34)&lt;0,"0",[1]Submeters!CC35-[1]Submeters!CC34)</f>
        <v>0</v>
      </c>
      <c r="CN29" s="29">
        <f>IF(([1]Submeters!CD35-[1]Submeters!CD34)&lt;0,"0",[1]Submeters!CD35-[1]Submeters!CD34)</f>
        <v>0</v>
      </c>
      <c r="CO29" s="29">
        <f>IF(([1]Submeters!CE35-[1]Submeters!CE34)&lt;0,"0",[1]Submeters!CE35-[1]Submeters!CE34)</f>
        <v>0</v>
      </c>
    </row>
    <row r="30" spans="1:93" x14ac:dyDescent="0.25">
      <c r="A30" t="s">
        <v>11</v>
      </c>
      <c r="B30" s="13">
        <f t="shared" si="0"/>
        <v>29</v>
      </c>
      <c r="C30" s="13">
        <v>7</v>
      </c>
      <c r="D30" s="13">
        <v>2020</v>
      </c>
      <c r="E30" s="16">
        <f>HOTEL!D37</f>
        <v>0</v>
      </c>
      <c r="F30" s="16">
        <f>HOTEL!F37</f>
        <v>0</v>
      </c>
      <c r="G30" s="16">
        <f>HOTEL!H37</f>
        <v>0</v>
      </c>
      <c r="H30" s="16">
        <f>HOTEL!N37</f>
        <v>0</v>
      </c>
      <c r="I30" s="16">
        <f>HOTEL!P37</f>
        <v>0</v>
      </c>
      <c r="J30" s="16">
        <f>HOTEL!U37</f>
        <v>0</v>
      </c>
      <c r="K30" s="16">
        <f>HOTEL!Y37</f>
        <v>0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 t="str">
        <f>IF(([1]Submeters!AY36-[1]Submeters!AY35)&lt;0,"0",[1]Submeters!AY36-[1]Submeters!AY35)</f>
        <v>0</v>
      </c>
      <c r="BJ30" s="29">
        <f>IF(([1]Submeters!AZ36-[1]Submeters!AZ35)&lt;0,"0",[1]Submeters!AZ36-[1]Submeters!AZ35)</f>
        <v>0</v>
      </c>
      <c r="BK30" s="29">
        <f>IF(([1]Submeters!BA36-[1]Submeters!BA35)&lt;0,"0",[1]Submeters!BA36-[1]Submeters!BA35)</f>
        <v>0</v>
      </c>
      <c r="BL30" s="29">
        <f>IF(([1]Submeters!BB36-[1]Submeters!BB35)&lt;0,"0",[1]Submeters!BB36-[1]Submeters!BB35)</f>
        <v>0</v>
      </c>
      <c r="BM30" s="29">
        <f>IF(([1]Submeters!BC36-[1]Submeters!BC35)&lt;0,"0",[1]Submeters!BC36-[1]Submeters!BC35)</f>
        <v>0</v>
      </c>
      <c r="BN30" s="29">
        <f>IF(([1]Submeters!BD36-[1]Submeters!BD35)&lt;0,"0",[1]Submeters!BD36-[1]Submeters!BD35)</f>
        <v>0</v>
      </c>
      <c r="BO30" s="29">
        <f>IF(([1]Submeters!BE36-[1]Submeters!BE35)&lt;0,"0",[1]Submeters!BE36-[1]Submeters!BE35)</f>
        <v>0</v>
      </c>
      <c r="BP30" s="29">
        <f>IF(([1]Submeters!BF36-[1]Submeters!BF35)&lt;0,"0",[1]Submeters!BF36-[1]Submeters!BF35)</f>
        <v>0</v>
      </c>
      <c r="BQ30" s="29">
        <f>IF(([1]Submeters!BG36-[1]Submeters!BG35)&lt;0,"0",[1]Submeters!BG36-[1]Submeters!BG35)</f>
        <v>0</v>
      </c>
      <c r="BR30" s="29">
        <f>IF(([1]Submeters!BH36-[1]Submeters!BH35)&lt;0,"0",[1]Submeters!BH36-[1]Submeters!BH35)</f>
        <v>0</v>
      </c>
      <c r="BS30" s="29">
        <f>IF(([1]Submeters!BI36-[1]Submeters!BI35)&lt;0,"0",[1]Submeters!BI36-[1]Submeters!BI35)</f>
        <v>0</v>
      </c>
      <c r="BT30" s="29">
        <f>IF(([1]Submeters!BJ36-[1]Submeters!BJ35)&lt;0,"0",[1]Submeters!BJ36-[1]Submeters!BJ35)</f>
        <v>0</v>
      </c>
      <c r="BU30" s="29">
        <f>IF(([1]Submeters!BK36-[1]Submeters!BK35)&lt;0,"0",[1]Submeters!BK36-[1]Submeters!BK35)</f>
        <v>0</v>
      </c>
      <c r="BV30" s="29">
        <f>IF(([1]Submeters!BL36-[1]Submeters!BL35)&lt;0,"0",[1]Submeters!BL36-[1]Submeters!BL35)</f>
        <v>0</v>
      </c>
      <c r="BW30" s="29">
        <f>IF(([1]Submeters!BM36-[1]Submeters!BM35)&lt;0,"0",[1]Submeters!BM36-[1]Submeters!BM35)</f>
        <v>0</v>
      </c>
      <c r="BX30" s="29">
        <f>IF(([1]Submeters!BN36-[1]Submeters!BN35)&lt;0,"0",[1]Submeters!BN36-[1]Submeters!BN35)</f>
        <v>0</v>
      </c>
      <c r="BY30" s="29">
        <f>IF(([1]Submeters!BO36-[1]Submeters!BO35)&lt;0,"0",[1]Submeters!BO36-[1]Submeters!BO35)</f>
        <v>0</v>
      </c>
      <c r="BZ30" s="29">
        <f>IF(([1]Submeters!BP36-[1]Submeters!BP35)&lt;0,"0",[1]Submeters!BP36-[1]Submeters!BP35)</f>
        <v>0</v>
      </c>
      <c r="CA30" s="29">
        <f>IF(([1]Submeters!BQ36-[1]Submeters!BQ35)&lt;0,"0",[1]Submeters!BQ36-[1]Submeters!BQ35)</f>
        <v>0</v>
      </c>
      <c r="CB30" s="29">
        <f>IF(([1]Submeters!BR36-[1]Submeters!BR35)&lt;0,"0",[1]Submeters!BR36-[1]Submeters!BR35)</f>
        <v>0</v>
      </c>
      <c r="CC30" s="29">
        <f>IF(([1]Submeters!BS36-[1]Submeters!BS35)&lt;0,"0",[1]Submeters!BS36-[1]Submeters!BS35)</f>
        <v>0</v>
      </c>
      <c r="CD30" s="29">
        <f>IF(([1]Submeters!BT36-[1]Submeters!BT35)&lt;0,"0",[1]Submeters!BT36-[1]Submeters!BT35)</f>
        <v>0</v>
      </c>
      <c r="CE30" s="29">
        <f>IF(([1]Submeters!BU36-[1]Submeters!BU35)&lt;0,"0",[1]Submeters!BU36-[1]Submeters!BU35)</f>
        <v>0</v>
      </c>
      <c r="CF30" s="29">
        <f>IF(([1]Submeters!BV36-[1]Submeters!BV35)&lt;0,"0",[1]Submeters!BV36-[1]Submeters!BV35)</f>
        <v>0</v>
      </c>
      <c r="CG30" s="29">
        <f>IF(([1]Submeters!BW36-[1]Submeters!BW35)&lt;0,"0",[1]Submeters!BW36-[1]Submeters!BW35)</f>
        <v>0</v>
      </c>
      <c r="CH30" s="29">
        <f>IF(([1]Submeters!BX36-[1]Submeters!BX35)&lt;0,"0",[1]Submeters!BX36-[1]Submeters!BX35)</f>
        <v>0</v>
      </c>
      <c r="CI30" s="29">
        <f>IF(([1]Submeters!BY36-[1]Submeters!BY35)&lt;0,"0",[1]Submeters!BY36-[1]Submeters!BY35)</f>
        <v>0</v>
      </c>
      <c r="CJ30" s="29">
        <f>IF(([1]Submeters!BZ36-[1]Submeters!BZ35)&lt;0,"0",[1]Submeters!BZ36-[1]Submeters!BZ35)</f>
        <v>0</v>
      </c>
      <c r="CK30" s="29">
        <f>IF(([1]Submeters!CA36-[1]Submeters!CA35)&lt;0,"0",[1]Submeters!CA36-[1]Submeters!CA35)</f>
        <v>0</v>
      </c>
      <c r="CL30" s="29">
        <f>IF(([1]Submeters!CB36-[1]Submeters!CB35)&lt;0,"0",[1]Submeters!CB36-[1]Submeters!CB35)</f>
        <v>0</v>
      </c>
      <c r="CM30" s="29">
        <f>IF(([1]Submeters!CC36-[1]Submeters!CC35)&lt;0,"0",[1]Submeters!CC36-[1]Submeters!CC35)</f>
        <v>0</v>
      </c>
      <c r="CN30" s="29">
        <f>IF(([1]Submeters!CD36-[1]Submeters!CD35)&lt;0,"0",[1]Submeters!CD36-[1]Submeters!CD35)</f>
        <v>0</v>
      </c>
      <c r="CO30" s="29">
        <f>IF(([1]Submeters!CE36-[1]Submeters!CE35)&lt;0,"0",[1]Submeters!CE36-[1]Submeters!CE35)</f>
        <v>0</v>
      </c>
    </row>
    <row r="31" spans="1:93" x14ac:dyDescent="0.25">
      <c r="A31" t="s">
        <v>11</v>
      </c>
      <c r="B31" s="13">
        <f t="shared" si="0"/>
        <v>30</v>
      </c>
      <c r="C31" s="13">
        <v>7</v>
      </c>
      <c r="D31" s="13">
        <v>2020</v>
      </c>
      <c r="E31" s="16">
        <f>HOTEL!D38</f>
        <v>0</v>
      </c>
      <c r="F31" s="16">
        <f>HOTEL!F38</f>
        <v>0</v>
      </c>
      <c r="G31" s="16">
        <f>HOTEL!H38</f>
        <v>0</v>
      </c>
      <c r="H31" s="16">
        <f>HOTEL!N38</f>
        <v>0</v>
      </c>
      <c r="I31" s="16">
        <f>HOTEL!P38</f>
        <v>0</v>
      </c>
      <c r="J31" s="16">
        <f>HOTEL!U38</f>
        <v>0</v>
      </c>
      <c r="K31" s="16">
        <f>HOTEL!Y38</f>
        <v>0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>
        <f>IF(([1]Submeters!AY37-[1]Submeters!AY36)&lt;0,"0",[1]Submeters!AY37-[1]Submeters!AY36)</f>
        <v>30</v>
      </c>
      <c r="BJ31" s="29">
        <f>IF(([1]Submeters!AZ37-[1]Submeters!AZ36)&lt;0,"0",[1]Submeters!AZ37-[1]Submeters!AZ36)</f>
        <v>0</v>
      </c>
      <c r="BK31" s="29">
        <f>IF(([1]Submeters!BA37-[1]Submeters!BA36)&lt;0,"0",[1]Submeters!BA37-[1]Submeters!BA36)</f>
        <v>0</v>
      </c>
      <c r="BL31" s="29">
        <f>IF(([1]Submeters!BB37-[1]Submeters!BB36)&lt;0,"0",[1]Submeters!BB37-[1]Submeters!BB36)</f>
        <v>0</v>
      </c>
      <c r="BM31" s="29">
        <f>IF(([1]Submeters!BC37-[1]Submeters!BC36)&lt;0,"0",[1]Submeters!BC37-[1]Submeters!BC36)</f>
        <v>0</v>
      </c>
      <c r="BN31" s="29">
        <f>IF(([1]Submeters!BD37-[1]Submeters!BD36)&lt;0,"0",[1]Submeters!BD37-[1]Submeters!BD36)</f>
        <v>0</v>
      </c>
      <c r="BO31" s="29">
        <f>IF(([1]Submeters!BE37-[1]Submeters!BE36)&lt;0,"0",[1]Submeters!BE37-[1]Submeters!BE36)</f>
        <v>0</v>
      </c>
      <c r="BP31" s="29">
        <f>IF(([1]Submeters!BF37-[1]Submeters!BF36)&lt;0,"0",[1]Submeters!BF37-[1]Submeters!BF36)</f>
        <v>0</v>
      </c>
      <c r="BQ31" s="29">
        <f>IF(([1]Submeters!BG37-[1]Submeters!BG36)&lt;0,"0",[1]Submeters!BG37-[1]Submeters!BG36)</f>
        <v>0</v>
      </c>
      <c r="BR31" s="29">
        <f>IF(([1]Submeters!BH37-[1]Submeters!BH36)&lt;0,"0",[1]Submeters!BH37-[1]Submeters!BH36)</f>
        <v>0</v>
      </c>
      <c r="BS31" s="29">
        <f>IF(([1]Submeters!BI37-[1]Submeters!BI36)&lt;0,"0",[1]Submeters!BI37-[1]Submeters!BI36)</f>
        <v>0</v>
      </c>
      <c r="BT31" s="29">
        <f>IF(([1]Submeters!BJ37-[1]Submeters!BJ36)&lt;0,"0",[1]Submeters!BJ37-[1]Submeters!BJ36)</f>
        <v>0</v>
      </c>
      <c r="BU31" s="29">
        <f>IF(([1]Submeters!BK37-[1]Submeters!BK36)&lt;0,"0",[1]Submeters!BK37-[1]Submeters!BK36)</f>
        <v>0</v>
      </c>
      <c r="BV31" s="29">
        <f>IF(([1]Submeters!BL37-[1]Submeters!BL36)&lt;0,"0",[1]Submeters!BL37-[1]Submeters!BL36)</f>
        <v>0</v>
      </c>
      <c r="BW31" s="29">
        <f>IF(([1]Submeters!BM37-[1]Submeters!BM36)&lt;0,"0",[1]Submeters!BM37-[1]Submeters!BM36)</f>
        <v>0</v>
      </c>
      <c r="BX31" s="29">
        <f>IF(([1]Submeters!BN37-[1]Submeters!BN36)&lt;0,"0",[1]Submeters!BN37-[1]Submeters!BN36)</f>
        <v>0</v>
      </c>
      <c r="BY31" s="29">
        <f>IF(([1]Submeters!BO37-[1]Submeters!BO36)&lt;0,"0",[1]Submeters!BO37-[1]Submeters!BO36)</f>
        <v>0</v>
      </c>
      <c r="BZ31" s="29">
        <f>IF(([1]Submeters!BP37-[1]Submeters!BP36)&lt;0,"0",[1]Submeters!BP37-[1]Submeters!BP36)</f>
        <v>0</v>
      </c>
      <c r="CA31" s="29">
        <f>IF(([1]Submeters!BQ37-[1]Submeters!BQ36)&lt;0,"0",[1]Submeters!BQ37-[1]Submeters!BQ36)</f>
        <v>0</v>
      </c>
      <c r="CB31" s="29">
        <f>IF(([1]Submeters!BR37-[1]Submeters!BR36)&lt;0,"0",[1]Submeters!BR37-[1]Submeters!BR36)</f>
        <v>0</v>
      </c>
      <c r="CC31" s="29">
        <f>IF(([1]Submeters!BS37-[1]Submeters!BS36)&lt;0,"0",[1]Submeters!BS37-[1]Submeters!BS36)</f>
        <v>0</v>
      </c>
      <c r="CD31" s="29">
        <f>IF(([1]Submeters!BT37-[1]Submeters!BT36)&lt;0,"0",[1]Submeters!BT37-[1]Submeters!BT36)</f>
        <v>0</v>
      </c>
      <c r="CE31" s="29">
        <f>IF(([1]Submeters!BU37-[1]Submeters!BU36)&lt;0,"0",[1]Submeters!BU37-[1]Submeters!BU36)</f>
        <v>0</v>
      </c>
      <c r="CF31" s="29">
        <f>IF(([1]Submeters!BV37-[1]Submeters!BV36)&lt;0,"0",[1]Submeters!BV37-[1]Submeters!BV36)</f>
        <v>0</v>
      </c>
      <c r="CG31" s="29">
        <f>IF(([1]Submeters!BW37-[1]Submeters!BW36)&lt;0,"0",[1]Submeters!BW37-[1]Submeters!BW36)</f>
        <v>0</v>
      </c>
      <c r="CH31" s="29">
        <f>IF(([1]Submeters!BX37-[1]Submeters!BX36)&lt;0,"0",[1]Submeters!BX37-[1]Submeters!BX36)</f>
        <v>0</v>
      </c>
      <c r="CI31" s="29">
        <f>IF(([1]Submeters!BY37-[1]Submeters!BY36)&lt;0,"0",[1]Submeters!BY37-[1]Submeters!BY36)</f>
        <v>0</v>
      </c>
      <c r="CJ31" s="29">
        <f>IF(([1]Submeters!BZ37-[1]Submeters!BZ36)&lt;0,"0",[1]Submeters!BZ37-[1]Submeters!BZ36)</f>
        <v>0</v>
      </c>
      <c r="CK31" s="29">
        <f>IF(([1]Submeters!CA37-[1]Submeters!CA36)&lt;0,"0",[1]Submeters!CA37-[1]Submeters!CA36)</f>
        <v>0</v>
      </c>
      <c r="CL31" s="29">
        <f>IF(([1]Submeters!CB37-[1]Submeters!CB36)&lt;0,"0",[1]Submeters!CB37-[1]Submeters!CB36)</f>
        <v>0</v>
      </c>
      <c r="CM31" s="29">
        <f>IF(([1]Submeters!CC37-[1]Submeters!CC36)&lt;0,"0",[1]Submeters!CC37-[1]Submeters!CC36)</f>
        <v>0</v>
      </c>
      <c r="CN31" s="29">
        <f>IF(([1]Submeters!CD37-[1]Submeters!CD36)&lt;0,"0",[1]Submeters!CD37-[1]Submeters!CD36)</f>
        <v>0</v>
      </c>
      <c r="CO31" s="29">
        <f>IF(([1]Submeters!CE37-[1]Submeters!CE36)&lt;0,"0",[1]Submeters!CE37-[1]Submeters!CE36)</f>
        <v>0</v>
      </c>
    </row>
    <row r="32" spans="1:93" x14ac:dyDescent="0.25">
      <c r="A32" t="s">
        <v>11</v>
      </c>
      <c r="B32" s="13">
        <f t="shared" si="0"/>
        <v>31</v>
      </c>
      <c r="C32" s="13">
        <v>7</v>
      </c>
      <c r="D32" s="13">
        <v>2020</v>
      </c>
      <c r="E32" s="16">
        <f>HOTEL!D39</f>
        <v>0</v>
      </c>
      <c r="F32" s="16">
        <f>HOTEL!F39</f>
        <v>0</v>
      </c>
      <c r="G32" s="16">
        <f>HOTEL!H39</f>
        <v>0</v>
      </c>
      <c r="H32" s="16">
        <f>HOTEL!N39</f>
        <v>0</v>
      </c>
      <c r="I32" s="16">
        <f>HOTEL!P39</f>
        <v>0</v>
      </c>
      <c r="J32" s="16">
        <f>HOTEL!U39</f>
        <v>0</v>
      </c>
      <c r="K32" s="16">
        <f>HOTEL!Y39</f>
        <v>0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 t="str">
        <f>IF(([1]Submeters!AY38-[1]Submeters!AY37)&lt;0,"0",[1]Submeters!AY38-[1]Submeters!AY37)</f>
        <v>0</v>
      </c>
      <c r="BJ32" s="29">
        <f>IF(([1]Submeters!AZ38-[1]Submeters!AZ37)&lt;0,"0",[1]Submeters!AZ38-[1]Submeters!AZ37)</f>
        <v>0</v>
      </c>
      <c r="BK32" s="29">
        <f>IF(([1]Submeters!BA38-[1]Submeters!BA37)&lt;0,"0",[1]Submeters!BA38-[1]Submeters!BA37)</f>
        <v>0</v>
      </c>
      <c r="BL32" s="29">
        <f>IF(([1]Submeters!BB38-[1]Submeters!BB37)&lt;0,"0",[1]Submeters!BB38-[1]Submeters!BB37)</f>
        <v>0</v>
      </c>
      <c r="BM32" s="29">
        <f>IF(([1]Submeters!BC38-[1]Submeters!BC37)&lt;0,"0",[1]Submeters!BC38-[1]Submeters!BC37)</f>
        <v>0</v>
      </c>
      <c r="BN32" s="29">
        <f>IF(([1]Submeters!BD38-[1]Submeters!BD37)&lt;0,"0",[1]Submeters!BD38-[1]Submeters!BD37)</f>
        <v>0</v>
      </c>
      <c r="BO32" s="29">
        <f>IF(([1]Submeters!BE38-[1]Submeters!BE37)&lt;0,"0",[1]Submeters!BE38-[1]Submeters!BE37)</f>
        <v>0</v>
      </c>
      <c r="BP32" s="29">
        <f>IF(([1]Submeters!BF38-[1]Submeters!BF37)&lt;0,"0",[1]Submeters!BF38-[1]Submeters!BF37)</f>
        <v>0</v>
      </c>
      <c r="BQ32" s="29">
        <f>IF(([1]Submeters!BG38-[1]Submeters!BG37)&lt;0,"0",[1]Submeters!BG38-[1]Submeters!BG37)</f>
        <v>0</v>
      </c>
      <c r="BR32" s="29">
        <f>IF(([1]Submeters!BH38-[1]Submeters!BH37)&lt;0,"0",[1]Submeters!BH38-[1]Submeters!BH37)</f>
        <v>0</v>
      </c>
      <c r="BS32" s="29">
        <f>IF(([1]Submeters!BI38-[1]Submeters!BI37)&lt;0,"0",[1]Submeters!BI38-[1]Submeters!BI37)</f>
        <v>0</v>
      </c>
      <c r="BT32" s="29">
        <f>IF(([1]Submeters!BJ38-[1]Submeters!BJ37)&lt;0,"0",[1]Submeters!BJ38-[1]Submeters!BJ37)</f>
        <v>0</v>
      </c>
      <c r="BU32" s="29">
        <f>IF(([1]Submeters!BK38-[1]Submeters!BK37)&lt;0,"0",[1]Submeters!BK38-[1]Submeters!BK37)</f>
        <v>0</v>
      </c>
      <c r="BV32" s="29">
        <f>IF(([1]Submeters!BL38-[1]Submeters!BL37)&lt;0,"0",[1]Submeters!BL38-[1]Submeters!BL37)</f>
        <v>0</v>
      </c>
      <c r="BW32" s="29">
        <f>IF(([1]Submeters!BM38-[1]Submeters!BM37)&lt;0,"0",[1]Submeters!BM38-[1]Submeters!BM37)</f>
        <v>0</v>
      </c>
      <c r="BX32" s="29">
        <f>IF(([1]Submeters!BN38-[1]Submeters!BN37)&lt;0,"0",[1]Submeters!BN38-[1]Submeters!BN37)</f>
        <v>0</v>
      </c>
      <c r="BY32" s="29">
        <f>IF(([1]Submeters!BO38-[1]Submeters!BO37)&lt;0,"0",[1]Submeters!BO38-[1]Submeters!BO37)</f>
        <v>0</v>
      </c>
      <c r="BZ32" s="29">
        <f>IF(([1]Submeters!BP38-[1]Submeters!BP37)&lt;0,"0",[1]Submeters!BP38-[1]Submeters!BP37)</f>
        <v>0</v>
      </c>
      <c r="CA32" s="29">
        <f>IF(([1]Submeters!BQ38-[1]Submeters!BQ37)&lt;0,"0",[1]Submeters!BQ38-[1]Submeters!BQ37)</f>
        <v>0</v>
      </c>
      <c r="CB32" s="29">
        <f>IF(([1]Submeters!BR38-[1]Submeters!BR37)&lt;0,"0",[1]Submeters!BR38-[1]Submeters!BR37)</f>
        <v>0</v>
      </c>
      <c r="CC32" s="29">
        <f>IF(([1]Submeters!BS38-[1]Submeters!BS37)&lt;0,"0",[1]Submeters!BS38-[1]Submeters!BS37)</f>
        <v>0</v>
      </c>
      <c r="CD32" s="29">
        <f>IF(([1]Submeters!BT38-[1]Submeters!BT37)&lt;0,"0",[1]Submeters!BT38-[1]Submeters!BT37)</f>
        <v>0</v>
      </c>
      <c r="CE32" s="29">
        <f>IF(([1]Submeters!BU38-[1]Submeters!BU37)&lt;0,"0",[1]Submeters!BU38-[1]Submeters!BU37)</f>
        <v>0</v>
      </c>
      <c r="CF32" s="29">
        <f>IF(([1]Submeters!BV38-[1]Submeters!BV37)&lt;0,"0",[1]Submeters!BV38-[1]Submeters!BV37)</f>
        <v>0</v>
      </c>
      <c r="CG32" s="29">
        <f>IF(([1]Submeters!BW38-[1]Submeters!BW37)&lt;0,"0",[1]Submeters!BW38-[1]Submeters!BW37)</f>
        <v>0</v>
      </c>
      <c r="CH32" s="29">
        <f>IF(([1]Submeters!BX38-[1]Submeters!BX37)&lt;0,"0",[1]Submeters!BX38-[1]Submeters!BX37)</f>
        <v>0</v>
      </c>
      <c r="CI32" s="29">
        <f>IF(([1]Submeters!BY38-[1]Submeters!BY37)&lt;0,"0",[1]Submeters!BY38-[1]Submeters!BY37)</f>
        <v>0</v>
      </c>
      <c r="CJ32" s="29">
        <f>IF(([1]Submeters!BZ38-[1]Submeters!BZ37)&lt;0,"0",[1]Submeters!BZ38-[1]Submeters!BZ37)</f>
        <v>0</v>
      </c>
      <c r="CK32" s="29">
        <f>IF(([1]Submeters!CA38-[1]Submeters!CA37)&lt;0,"0",[1]Submeters!CA38-[1]Submeters!CA37)</f>
        <v>0</v>
      </c>
      <c r="CL32" s="29">
        <f>IF(([1]Submeters!CB38-[1]Submeters!CB37)&lt;0,"0",[1]Submeters!CB38-[1]Submeters!CB37)</f>
        <v>0</v>
      </c>
      <c r="CM32" s="29">
        <f>IF(([1]Submeters!CC38-[1]Submeters!CC37)&lt;0,"0",[1]Submeters!CC38-[1]Submeters!CC37)</f>
        <v>0</v>
      </c>
      <c r="CN32" s="29">
        <f>IF(([1]Submeters!CD38-[1]Submeters!CD37)&lt;0,"0",[1]Submeters!CD38-[1]Submeters!CD37)</f>
        <v>0</v>
      </c>
      <c r="CO32" s="29">
        <f>IF(([1]Submeters!CE38-[1]Submeters!CE37)&lt;0,"0",[1]Submeters!CE38-[1]Submeters!CE37)</f>
        <v>0</v>
      </c>
    </row>
    <row r="33" spans="12:93" x14ac:dyDescent="0.25">
      <c r="L33" s="30"/>
      <c r="M33" s="30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</row>
    <row r="34" spans="12:93" x14ac:dyDescent="0.25">
      <c r="L34" s="30"/>
      <c r="M34" s="30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</row>
    <row r="35" spans="12:93" x14ac:dyDescent="0.25">
      <c r="L35" s="30"/>
      <c r="M35" s="30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</row>
    <row r="36" spans="12:93" x14ac:dyDescent="0.25">
      <c r="L36" s="30"/>
      <c r="M36" s="30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</row>
    <row r="37" spans="12:93" x14ac:dyDescent="0.25"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</row>
    <row r="38" spans="12:93" x14ac:dyDescent="0.25"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</row>
    <row r="39" spans="12:93" x14ac:dyDescent="0.25"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workbookViewId="0">
      <selection activeCell="M34" sqref="M34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3"/>
      <c r="B1" s="137"/>
      <c r="C1" s="137"/>
      <c r="D1" s="137"/>
      <c r="E1" s="137"/>
      <c r="F1" s="138" t="s">
        <v>95</v>
      </c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38" t="s">
        <v>122</v>
      </c>
      <c r="X1" s="139"/>
      <c r="Y1" s="139"/>
      <c r="Z1" s="140"/>
    </row>
    <row r="2" spans="1:27" x14ac:dyDescent="0.25">
      <c r="A2" s="13"/>
      <c r="B2" s="137"/>
      <c r="C2" s="137"/>
      <c r="D2" s="137"/>
      <c r="E2" s="137"/>
      <c r="F2" s="141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41"/>
      <c r="X2" s="142"/>
      <c r="Y2" s="142"/>
      <c r="Z2" s="143"/>
    </row>
    <row r="3" spans="1:27" x14ac:dyDescent="0.25">
      <c r="A3" s="13"/>
      <c r="B3" s="137"/>
      <c r="C3" s="137"/>
      <c r="D3" s="137"/>
      <c r="E3" s="137"/>
      <c r="F3" s="141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41">
        <v>2020</v>
      </c>
      <c r="X3" s="142"/>
      <c r="Y3" s="142"/>
      <c r="Z3" s="143"/>
    </row>
    <row r="4" spans="1:27" x14ac:dyDescent="0.25">
      <c r="A4" s="13"/>
      <c r="B4" s="137"/>
      <c r="C4" s="137"/>
      <c r="D4" s="137"/>
      <c r="E4" s="137"/>
      <c r="F4" s="144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6"/>
      <c r="W4" s="144"/>
      <c r="X4" s="145"/>
      <c r="Y4" s="145"/>
      <c r="Z4" s="146"/>
    </row>
    <row r="5" spans="1:27" x14ac:dyDescent="0.25">
      <c r="A5" s="13"/>
      <c r="B5" s="13"/>
      <c r="C5" s="31"/>
      <c r="E5" s="31"/>
      <c r="G5" s="31"/>
      <c r="M5" s="31"/>
      <c r="O5" s="31"/>
      <c r="P5" s="32"/>
      <c r="Q5" s="32"/>
      <c r="R5" s="32"/>
      <c r="T5" s="31"/>
    </row>
    <row r="6" spans="1:27" x14ac:dyDescent="0.25">
      <c r="A6" s="33" t="s">
        <v>96</v>
      </c>
      <c r="B6" s="34">
        <f>B5+1</f>
        <v>1</v>
      </c>
      <c r="C6" s="35">
        <v>4398853</v>
      </c>
      <c r="D6" s="36"/>
      <c r="E6" s="37">
        <v>4352049</v>
      </c>
      <c r="F6" s="38"/>
      <c r="G6" s="35">
        <v>4124201</v>
      </c>
      <c r="H6" s="39">
        <f>G6-G5</f>
        <v>4124201</v>
      </c>
      <c r="I6" s="40"/>
      <c r="J6" s="41">
        <f>D6+F6+H6</f>
        <v>4124201</v>
      </c>
      <c r="K6" s="41" t="e">
        <f>D6*0.152+F6*0.238+H6*0.115+#REF!*0.218</f>
        <v>#REF!</v>
      </c>
      <c r="L6" s="42"/>
      <c r="M6" s="43">
        <v>100710</v>
      </c>
      <c r="N6" s="39" t="e">
        <f>M6-#REF!</f>
        <v>#REF!</v>
      </c>
      <c r="O6" s="44">
        <v>1823218</v>
      </c>
      <c r="P6" s="41" t="e">
        <f>O6-#REF!</f>
        <v>#REF!</v>
      </c>
      <c r="Q6" s="41" t="e">
        <f>N6+P6</f>
        <v>#REF!</v>
      </c>
      <c r="R6" s="39" t="e">
        <f>Q6*1.2285*10.033*0.0371</f>
        <v>#REF!</v>
      </c>
      <c r="S6" s="42"/>
      <c r="T6" s="45">
        <v>183233</v>
      </c>
      <c r="U6" s="46" t="e">
        <f>T6-#REF!</f>
        <v>#REF!</v>
      </c>
      <c r="V6" s="46" t="e">
        <f>U6*(1.025+1.028)</f>
        <v>#REF!</v>
      </c>
      <c r="W6" s="42"/>
      <c r="X6" s="39" t="e">
        <f>K6+R6+V6</f>
        <v>#REF!</v>
      </c>
      <c r="Y6" s="34">
        <v>100</v>
      </c>
      <c r="Z6" s="39" t="e">
        <f>X6/Y6</f>
        <v>#REF!</v>
      </c>
      <c r="AA6" s="47"/>
    </row>
    <row r="7" spans="1:27" x14ac:dyDescent="0.25">
      <c r="A7" s="13"/>
      <c r="B7" s="48"/>
      <c r="C7" s="147" t="s">
        <v>97</v>
      </c>
      <c r="D7" s="148"/>
      <c r="E7" s="148"/>
      <c r="F7" s="148"/>
      <c r="G7" s="148"/>
      <c r="H7" s="148"/>
      <c r="I7" s="148"/>
      <c r="J7" s="148"/>
      <c r="K7" s="149"/>
      <c r="L7" s="49"/>
      <c r="M7" s="147" t="s">
        <v>98</v>
      </c>
      <c r="N7" s="148"/>
      <c r="O7" s="148"/>
      <c r="P7" s="148"/>
      <c r="Q7" s="148"/>
      <c r="R7" s="149"/>
      <c r="S7" s="49"/>
      <c r="T7" s="150" t="s">
        <v>99</v>
      </c>
      <c r="U7" s="150"/>
      <c r="V7" s="151"/>
      <c r="W7" s="49"/>
      <c r="X7" s="50" t="s">
        <v>100</v>
      </c>
      <c r="Y7" s="51" t="s">
        <v>101</v>
      </c>
      <c r="Z7" s="52" t="s">
        <v>100</v>
      </c>
    </row>
    <row r="8" spans="1:27" x14ac:dyDescent="0.25">
      <c r="A8" s="13"/>
      <c r="B8" s="48"/>
      <c r="C8" s="53" t="s">
        <v>102</v>
      </c>
      <c r="D8" s="54" t="s">
        <v>103</v>
      </c>
      <c r="E8" s="53" t="s">
        <v>104</v>
      </c>
      <c r="F8" s="54" t="s">
        <v>103</v>
      </c>
      <c r="G8" s="53" t="s">
        <v>105</v>
      </c>
      <c r="H8" s="54" t="s">
        <v>103</v>
      </c>
      <c r="I8" s="53" t="s">
        <v>106</v>
      </c>
      <c r="J8" s="55" t="s">
        <v>107</v>
      </c>
      <c r="K8" s="56" t="s">
        <v>108</v>
      </c>
      <c r="L8" s="57"/>
      <c r="M8" s="58" t="s">
        <v>109</v>
      </c>
      <c r="N8" s="55" t="s">
        <v>103</v>
      </c>
      <c r="O8" s="59" t="s">
        <v>110</v>
      </c>
      <c r="P8" s="60" t="s">
        <v>103</v>
      </c>
      <c r="Q8" s="61" t="s">
        <v>111</v>
      </c>
      <c r="R8" s="60" t="s">
        <v>108</v>
      </c>
      <c r="S8" s="57"/>
      <c r="T8" s="53" t="s">
        <v>112</v>
      </c>
      <c r="U8" s="55" t="s">
        <v>103</v>
      </c>
      <c r="V8" s="62" t="s">
        <v>108</v>
      </c>
      <c r="W8" s="63"/>
      <c r="X8" s="64" t="s">
        <v>113</v>
      </c>
      <c r="Y8" s="65" t="s">
        <v>114</v>
      </c>
      <c r="Z8" s="66" t="s">
        <v>115</v>
      </c>
    </row>
    <row r="9" spans="1:27" x14ac:dyDescent="0.25">
      <c r="A9" s="13" t="s">
        <v>119</v>
      </c>
      <c r="B9" s="67">
        <v>1</v>
      </c>
      <c r="C9" s="105">
        <v>4402185</v>
      </c>
      <c r="D9" s="69">
        <f>IF((C9-C6&lt;0), "0",C9-C6)</f>
        <v>3332</v>
      </c>
      <c r="E9" s="106">
        <v>4355344</v>
      </c>
      <c r="F9" s="69">
        <f>IF((E9-E6&lt;0), "0",E9-E6)</f>
        <v>3295</v>
      </c>
      <c r="G9" s="88">
        <v>4127281</v>
      </c>
      <c r="H9" s="69">
        <f>IF((G9-G6&lt;0), "0",G9-G6)</f>
        <v>3080</v>
      </c>
      <c r="I9" s="71">
        <f>SUM(H9,F9,D9)</f>
        <v>9707</v>
      </c>
      <c r="J9" s="72">
        <v>0.98</v>
      </c>
      <c r="K9" s="73">
        <f>I9*0.251</f>
        <v>2436.4569999999999</v>
      </c>
      <c r="L9" s="74"/>
      <c r="M9" s="105">
        <v>100803</v>
      </c>
      <c r="N9" s="69">
        <f>IF((M9-M6&lt;0), "0",M9-M6)</f>
        <v>93</v>
      </c>
      <c r="O9" s="105">
        <v>1823732</v>
      </c>
      <c r="P9" s="69">
        <f>IF((O9-O6&lt;0), "0",O9-O6)</f>
        <v>514</v>
      </c>
      <c r="Q9" s="75">
        <f t="shared" ref="Q9:Q39" si="0">N9+P9</f>
        <v>607</v>
      </c>
      <c r="R9" s="76">
        <f>(P9+N9)*0.056*10.211</f>
        <v>347.09231199999999</v>
      </c>
      <c r="S9" s="77"/>
      <c r="T9" s="107">
        <v>183521</v>
      </c>
      <c r="U9" s="69">
        <f>IF((T9-T6&lt;0), "0",T9-T6)</f>
        <v>288</v>
      </c>
      <c r="V9" s="79">
        <f>U9*(1.315+1.54)</f>
        <v>822.24</v>
      </c>
      <c r="W9" s="80"/>
      <c r="X9" s="81">
        <f t="shared" ref="X9:X39" si="1">K9+R9+V9</f>
        <v>3605.7893119999999</v>
      </c>
      <c r="Y9" s="82">
        <v>9</v>
      </c>
      <c r="Z9" s="83">
        <f>X9/Y9</f>
        <v>400.64325688888886</v>
      </c>
    </row>
    <row r="10" spans="1:27" x14ac:dyDescent="0.25">
      <c r="A10" s="13" t="s">
        <v>120</v>
      </c>
      <c r="B10" s="67">
        <f>B9+1</f>
        <v>2</v>
      </c>
      <c r="C10" s="68">
        <v>4405992</v>
      </c>
      <c r="D10" s="69">
        <f>IF((C10-C9&lt;0), "0",C10-C9)</f>
        <v>3807</v>
      </c>
      <c r="E10" s="70">
        <v>4359094</v>
      </c>
      <c r="F10" s="69">
        <f>IF((E10-E9&lt;0), "0",E10-E9)</f>
        <v>3750</v>
      </c>
      <c r="G10" s="70">
        <v>4130820</v>
      </c>
      <c r="H10" s="69">
        <f>IF((G10-G9&lt;0), "0",G10-G9)</f>
        <v>3539</v>
      </c>
      <c r="I10" s="71">
        <f t="shared" ref="I10:I39" si="2">SUM(H10,F10,D10)</f>
        <v>11096</v>
      </c>
      <c r="J10" s="72">
        <v>0.98</v>
      </c>
      <c r="K10" s="73">
        <f t="shared" ref="K10:K39" si="3">I10*0.251</f>
        <v>2785.096</v>
      </c>
      <c r="L10" s="74"/>
      <c r="M10" s="70">
        <v>100908</v>
      </c>
      <c r="N10" s="69">
        <f>IF((M10-M9&lt;0), "0",M10-M9)</f>
        <v>105</v>
      </c>
      <c r="O10" s="70">
        <v>1824271</v>
      </c>
      <c r="P10" s="69">
        <f>IF((O10-O9&lt;0), "0",O10-O9)</f>
        <v>539</v>
      </c>
      <c r="Q10" s="75">
        <f t="shared" si="0"/>
        <v>644</v>
      </c>
      <c r="R10" s="76">
        <f t="shared" ref="R10:R39" si="4">(P10+N10)*0.056*10.211</f>
        <v>368.249504</v>
      </c>
      <c r="S10" s="77"/>
      <c r="T10" s="78">
        <v>183564</v>
      </c>
      <c r="U10" s="69">
        <f>IF((T10-T9&lt;0), "0",T10-T9)</f>
        <v>43</v>
      </c>
      <c r="V10" s="79">
        <f t="shared" ref="V10:V39" si="5">U10*(1.315+1.54)</f>
        <v>122.765</v>
      </c>
      <c r="W10" s="80"/>
      <c r="X10" s="84">
        <f t="shared" si="1"/>
        <v>3276.1105039999998</v>
      </c>
      <c r="Y10" s="85">
        <v>10</v>
      </c>
      <c r="Z10" s="86">
        <f t="shared" ref="Z10:Z39" si="6">X10/Y10</f>
        <v>327.61105039999995</v>
      </c>
    </row>
    <row r="11" spans="1:27" x14ac:dyDescent="0.25">
      <c r="A11" s="13" t="s">
        <v>96</v>
      </c>
      <c r="B11" s="67">
        <f t="shared" ref="B11:B38" si="7">B10+1</f>
        <v>3</v>
      </c>
      <c r="C11" s="68">
        <v>4409930</v>
      </c>
      <c r="D11" s="69">
        <f t="shared" ref="D11:D39" si="8">IF((C11-C10&lt;0), "0",C11-C10)</f>
        <v>3938</v>
      </c>
      <c r="E11" s="68">
        <v>4362970</v>
      </c>
      <c r="F11" s="69">
        <f t="shared" ref="F11:F39" si="9">IF((E11-E10&lt;0), "0",E11-E10)</f>
        <v>3876</v>
      </c>
      <c r="G11" s="70">
        <v>4134505</v>
      </c>
      <c r="H11" s="69">
        <f t="shared" ref="H11:H39" si="10">IF((G11-G10&lt;0), "0",G11-G10)</f>
        <v>3685</v>
      </c>
      <c r="I11" s="71">
        <f t="shared" si="2"/>
        <v>11499</v>
      </c>
      <c r="J11" s="72">
        <v>0.98</v>
      </c>
      <c r="K11" s="73">
        <f t="shared" si="3"/>
        <v>2886.2489999999998</v>
      </c>
      <c r="L11" s="74"/>
      <c r="M11" s="70">
        <v>101014</v>
      </c>
      <c r="N11" s="69">
        <f t="shared" ref="N11:N39" si="11">IF((M11-M10&lt;0), "0",M11-M10)</f>
        <v>106</v>
      </c>
      <c r="O11" s="70">
        <v>1824821</v>
      </c>
      <c r="P11" s="69">
        <f t="shared" ref="P11:P39" si="12">IF((O11-O10&lt;0), "0",O11-O10)</f>
        <v>550</v>
      </c>
      <c r="Q11" s="75">
        <f t="shared" si="0"/>
        <v>656</v>
      </c>
      <c r="R11" s="76">
        <f t="shared" si="4"/>
        <v>375.11129600000004</v>
      </c>
      <c r="S11" s="77"/>
      <c r="T11" s="87">
        <v>183656</v>
      </c>
      <c r="U11" s="69">
        <f t="shared" ref="U11:U39" si="13">IF((T11-T10&lt;0), "0",T11-T10)</f>
        <v>92</v>
      </c>
      <c r="V11" s="79">
        <f t="shared" si="5"/>
        <v>262.66000000000003</v>
      </c>
      <c r="W11" s="80"/>
      <c r="X11" s="84">
        <f t="shared" si="1"/>
        <v>3524.0202959999997</v>
      </c>
      <c r="Y11" s="85">
        <v>18</v>
      </c>
      <c r="Z11" s="86">
        <f t="shared" si="6"/>
        <v>195.77890533333331</v>
      </c>
    </row>
    <row r="12" spans="1:27" x14ac:dyDescent="0.25">
      <c r="A12" s="13" t="s">
        <v>121</v>
      </c>
      <c r="B12" s="67">
        <f t="shared" si="7"/>
        <v>4</v>
      </c>
      <c r="C12" s="68">
        <v>4413889</v>
      </c>
      <c r="D12" s="69">
        <f t="shared" si="8"/>
        <v>3959</v>
      </c>
      <c r="E12" s="68">
        <v>4366886</v>
      </c>
      <c r="F12" s="69">
        <f t="shared" si="9"/>
        <v>3916</v>
      </c>
      <c r="G12" s="70">
        <v>4138200</v>
      </c>
      <c r="H12" s="69">
        <f t="shared" si="10"/>
        <v>3695</v>
      </c>
      <c r="I12" s="71">
        <f t="shared" si="2"/>
        <v>11570</v>
      </c>
      <c r="J12" s="72">
        <v>0.98</v>
      </c>
      <c r="K12" s="73">
        <f t="shared" si="3"/>
        <v>2904.07</v>
      </c>
      <c r="L12" s="74"/>
      <c r="M12" s="70">
        <v>101117</v>
      </c>
      <c r="N12" s="69">
        <f t="shared" si="11"/>
        <v>103</v>
      </c>
      <c r="O12" s="70">
        <v>1825627</v>
      </c>
      <c r="P12" s="69">
        <f t="shared" si="12"/>
        <v>806</v>
      </c>
      <c r="Q12" s="75">
        <f t="shared" si="0"/>
        <v>909</v>
      </c>
      <c r="R12" s="76">
        <f t="shared" si="4"/>
        <v>519.78074400000003</v>
      </c>
      <c r="S12" s="77"/>
      <c r="T12" s="78">
        <v>184032</v>
      </c>
      <c r="U12" s="69">
        <f t="shared" si="13"/>
        <v>376</v>
      </c>
      <c r="V12" s="79">
        <f t="shared" si="5"/>
        <v>1073.48</v>
      </c>
      <c r="W12" s="80"/>
      <c r="X12" s="84">
        <f t="shared" si="1"/>
        <v>4497.3307440000008</v>
      </c>
      <c r="Y12" s="85">
        <v>19</v>
      </c>
      <c r="Z12" s="86">
        <f t="shared" si="6"/>
        <v>236.70161810526321</v>
      </c>
    </row>
    <row r="13" spans="1:27" x14ac:dyDescent="0.25">
      <c r="A13" s="13" t="s">
        <v>116</v>
      </c>
      <c r="B13" s="67">
        <f t="shared" si="7"/>
        <v>5</v>
      </c>
      <c r="C13" s="88">
        <v>4417254</v>
      </c>
      <c r="D13" s="69">
        <f t="shared" si="8"/>
        <v>3365</v>
      </c>
      <c r="E13" s="68">
        <v>4370247</v>
      </c>
      <c r="F13" s="69">
        <f t="shared" si="9"/>
        <v>3361</v>
      </c>
      <c r="G13" s="88">
        <v>4141343</v>
      </c>
      <c r="H13" s="69">
        <f t="shared" si="10"/>
        <v>3143</v>
      </c>
      <c r="I13" s="71">
        <f t="shared" si="2"/>
        <v>9869</v>
      </c>
      <c r="J13" s="72">
        <v>0.98</v>
      </c>
      <c r="K13" s="73">
        <f t="shared" si="3"/>
        <v>2477.1190000000001</v>
      </c>
      <c r="L13" s="74"/>
      <c r="M13" s="70">
        <v>101228</v>
      </c>
      <c r="N13" s="69">
        <f t="shared" si="11"/>
        <v>111</v>
      </c>
      <c r="O13" s="68">
        <v>1826234</v>
      </c>
      <c r="P13" s="69">
        <f t="shared" si="12"/>
        <v>607</v>
      </c>
      <c r="Q13" s="75">
        <f t="shared" si="0"/>
        <v>718</v>
      </c>
      <c r="R13" s="76">
        <f t="shared" si="4"/>
        <v>410.56388800000002</v>
      </c>
      <c r="S13" s="77"/>
      <c r="T13" s="89">
        <v>184232</v>
      </c>
      <c r="U13" s="69">
        <f t="shared" si="13"/>
        <v>200</v>
      </c>
      <c r="V13" s="79">
        <f t="shared" si="5"/>
        <v>571</v>
      </c>
      <c r="W13" s="80"/>
      <c r="X13" s="84">
        <f t="shared" si="1"/>
        <v>3458.6828880000003</v>
      </c>
      <c r="Y13" s="85">
        <v>21</v>
      </c>
      <c r="Z13" s="86">
        <f t="shared" si="6"/>
        <v>164.69918514285715</v>
      </c>
    </row>
    <row r="14" spans="1:27" x14ac:dyDescent="0.25">
      <c r="A14" s="13" t="s">
        <v>117</v>
      </c>
      <c r="B14" s="67">
        <f t="shared" si="7"/>
        <v>6</v>
      </c>
      <c r="C14" s="68">
        <v>4420836</v>
      </c>
      <c r="D14" s="69">
        <f t="shared" si="8"/>
        <v>3582</v>
      </c>
      <c r="E14" s="68">
        <v>4373791</v>
      </c>
      <c r="F14" s="69">
        <f t="shared" si="9"/>
        <v>3544</v>
      </c>
      <c r="G14" s="88">
        <v>4144672</v>
      </c>
      <c r="H14" s="69">
        <f t="shared" si="10"/>
        <v>3329</v>
      </c>
      <c r="I14" s="71">
        <f t="shared" si="2"/>
        <v>10455</v>
      </c>
      <c r="J14" s="72">
        <v>0.98</v>
      </c>
      <c r="K14" s="73">
        <f t="shared" si="3"/>
        <v>2624.2049999999999</v>
      </c>
      <c r="L14" s="74"/>
      <c r="M14" s="70">
        <v>101329</v>
      </c>
      <c r="N14" s="69">
        <f t="shared" si="11"/>
        <v>101</v>
      </c>
      <c r="O14" s="68">
        <v>1826959</v>
      </c>
      <c r="P14" s="69">
        <f t="shared" si="12"/>
        <v>725</v>
      </c>
      <c r="Q14" s="75">
        <f t="shared" si="0"/>
        <v>826</v>
      </c>
      <c r="R14" s="76">
        <f t="shared" si="4"/>
        <v>472.32001600000001</v>
      </c>
      <c r="S14" s="77"/>
      <c r="T14" s="89">
        <v>184580</v>
      </c>
      <c r="U14" s="69">
        <f t="shared" si="13"/>
        <v>348</v>
      </c>
      <c r="V14" s="79">
        <f t="shared" si="5"/>
        <v>993.54</v>
      </c>
      <c r="W14" s="80"/>
      <c r="X14" s="84">
        <f t="shared" si="1"/>
        <v>4090.065016</v>
      </c>
      <c r="Y14" s="85">
        <v>19</v>
      </c>
      <c r="Z14" s="86">
        <f t="shared" si="6"/>
        <v>215.2665797894737</v>
      </c>
    </row>
    <row r="15" spans="1:27" x14ac:dyDescent="0.25">
      <c r="A15" s="13" t="s">
        <v>118</v>
      </c>
      <c r="B15" s="67">
        <f t="shared" si="7"/>
        <v>7</v>
      </c>
      <c r="C15" s="68">
        <v>4424410</v>
      </c>
      <c r="D15" s="69">
        <f t="shared" si="8"/>
        <v>3574</v>
      </c>
      <c r="E15" s="68">
        <v>4377368</v>
      </c>
      <c r="F15" s="69">
        <f t="shared" si="9"/>
        <v>3577</v>
      </c>
      <c r="G15" s="68">
        <v>4148059</v>
      </c>
      <c r="H15" s="69">
        <f t="shared" si="10"/>
        <v>3387</v>
      </c>
      <c r="I15" s="71">
        <f t="shared" si="2"/>
        <v>10538</v>
      </c>
      <c r="J15" s="72">
        <v>0.98</v>
      </c>
      <c r="K15" s="73">
        <f t="shared" si="3"/>
        <v>2645.038</v>
      </c>
      <c r="L15" s="74"/>
      <c r="M15" s="70">
        <v>101404</v>
      </c>
      <c r="N15" s="69">
        <f t="shared" si="11"/>
        <v>75</v>
      </c>
      <c r="O15" s="68">
        <v>1827660</v>
      </c>
      <c r="P15" s="69">
        <f t="shared" si="12"/>
        <v>701</v>
      </c>
      <c r="Q15" s="75">
        <f t="shared" si="0"/>
        <v>776</v>
      </c>
      <c r="R15" s="76">
        <f t="shared" si="4"/>
        <v>443.72921600000006</v>
      </c>
      <c r="S15" s="77"/>
      <c r="T15" s="89">
        <v>185006</v>
      </c>
      <c r="U15" s="69">
        <f t="shared" si="13"/>
        <v>426</v>
      </c>
      <c r="V15" s="79">
        <f t="shared" si="5"/>
        <v>1216.23</v>
      </c>
      <c r="W15" s="80"/>
      <c r="X15" s="84">
        <f t="shared" si="1"/>
        <v>4304.9972159999998</v>
      </c>
      <c r="Y15" s="85">
        <v>28</v>
      </c>
      <c r="Z15" s="86">
        <f t="shared" si="6"/>
        <v>153.74990057142855</v>
      </c>
    </row>
    <row r="16" spans="1:27" x14ac:dyDescent="0.25">
      <c r="A16" s="13" t="s">
        <v>119</v>
      </c>
      <c r="B16" s="67">
        <f t="shared" si="7"/>
        <v>8</v>
      </c>
      <c r="C16" s="68"/>
      <c r="D16" s="69" t="str">
        <f t="shared" si="8"/>
        <v>0</v>
      </c>
      <c r="E16" s="68"/>
      <c r="F16" s="69" t="str">
        <f t="shared" si="9"/>
        <v>0</v>
      </c>
      <c r="G16" s="68"/>
      <c r="H16" s="69" t="str">
        <f t="shared" si="10"/>
        <v>0</v>
      </c>
      <c r="I16" s="71">
        <f t="shared" si="2"/>
        <v>0</v>
      </c>
      <c r="J16" s="72">
        <v>0.97</v>
      </c>
      <c r="K16" s="73">
        <f t="shared" si="3"/>
        <v>0</v>
      </c>
      <c r="L16" s="74"/>
      <c r="M16" s="70"/>
      <c r="N16" s="69" t="str">
        <f t="shared" si="11"/>
        <v>0</v>
      </c>
      <c r="O16" s="68"/>
      <c r="P16" s="69" t="str">
        <f t="shared" si="12"/>
        <v>0</v>
      </c>
      <c r="Q16" s="75">
        <f t="shared" si="0"/>
        <v>0</v>
      </c>
      <c r="R16" s="76">
        <f t="shared" si="4"/>
        <v>0</v>
      </c>
      <c r="S16" s="77"/>
      <c r="T16" s="89"/>
      <c r="U16" s="69" t="str">
        <f t="shared" si="13"/>
        <v>0</v>
      </c>
      <c r="V16" s="79">
        <f t="shared" si="5"/>
        <v>0</v>
      </c>
      <c r="W16" s="80"/>
      <c r="X16" s="84">
        <f t="shared" si="1"/>
        <v>0</v>
      </c>
      <c r="Y16" s="85"/>
      <c r="Z16" s="86" t="e">
        <f t="shared" si="6"/>
        <v>#DIV/0!</v>
      </c>
    </row>
    <row r="17" spans="1:26" x14ac:dyDescent="0.25">
      <c r="A17" s="13" t="s">
        <v>120</v>
      </c>
      <c r="B17" s="67">
        <v>9</v>
      </c>
      <c r="C17" s="90"/>
      <c r="D17" s="69">
        <f t="shared" si="8"/>
        <v>0</v>
      </c>
      <c r="E17" s="90"/>
      <c r="F17" s="69">
        <f t="shared" si="9"/>
        <v>0</v>
      </c>
      <c r="G17" s="90"/>
      <c r="H17" s="69">
        <f t="shared" si="10"/>
        <v>0</v>
      </c>
      <c r="I17" s="71">
        <f t="shared" si="2"/>
        <v>0</v>
      </c>
      <c r="J17" s="72">
        <v>0.96</v>
      </c>
      <c r="K17" s="73">
        <f t="shared" si="3"/>
        <v>0</v>
      </c>
      <c r="L17" s="74"/>
      <c r="M17" s="90"/>
      <c r="N17" s="69">
        <f t="shared" si="11"/>
        <v>0</v>
      </c>
      <c r="O17" s="90"/>
      <c r="P17" s="69">
        <f t="shared" si="12"/>
        <v>0</v>
      </c>
      <c r="Q17" s="75">
        <f t="shared" si="0"/>
        <v>0</v>
      </c>
      <c r="R17" s="76">
        <f t="shared" si="4"/>
        <v>0</v>
      </c>
      <c r="S17" s="77"/>
      <c r="T17" s="91"/>
      <c r="U17" s="69">
        <f t="shared" si="13"/>
        <v>0</v>
      </c>
      <c r="V17" s="79">
        <f t="shared" si="5"/>
        <v>0</v>
      </c>
      <c r="W17" s="80"/>
      <c r="X17" s="84">
        <f t="shared" si="1"/>
        <v>0</v>
      </c>
      <c r="Y17" s="85"/>
      <c r="Z17" s="86" t="e">
        <f t="shared" si="6"/>
        <v>#DIV/0!</v>
      </c>
    </row>
    <row r="18" spans="1:26" x14ac:dyDescent="0.25">
      <c r="A18" s="13" t="s">
        <v>96</v>
      </c>
      <c r="B18" s="92">
        <f t="shared" si="7"/>
        <v>10</v>
      </c>
      <c r="C18" s="90"/>
      <c r="D18" s="69">
        <f t="shared" si="8"/>
        <v>0</v>
      </c>
      <c r="E18" s="68"/>
      <c r="F18" s="69">
        <f t="shared" si="9"/>
        <v>0</v>
      </c>
      <c r="G18" s="68"/>
      <c r="H18" s="69">
        <f t="shared" si="10"/>
        <v>0</v>
      </c>
      <c r="I18" s="71">
        <f t="shared" si="2"/>
        <v>0</v>
      </c>
      <c r="J18" s="72">
        <v>0.97</v>
      </c>
      <c r="K18" s="73">
        <f t="shared" si="3"/>
        <v>0</v>
      </c>
      <c r="L18" s="93"/>
      <c r="M18" s="70"/>
      <c r="N18" s="69">
        <f t="shared" si="11"/>
        <v>0</v>
      </c>
      <c r="O18" s="68"/>
      <c r="P18" s="69">
        <f t="shared" si="12"/>
        <v>0</v>
      </c>
      <c r="Q18" s="75">
        <f t="shared" si="0"/>
        <v>0</v>
      </c>
      <c r="R18" s="76">
        <f t="shared" si="4"/>
        <v>0</v>
      </c>
      <c r="S18" s="94"/>
      <c r="T18" s="89"/>
      <c r="U18" s="69">
        <f t="shared" si="13"/>
        <v>0</v>
      </c>
      <c r="V18" s="79">
        <f t="shared" si="5"/>
        <v>0</v>
      </c>
      <c r="W18" s="80"/>
      <c r="X18" s="84">
        <f t="shared" si="1"/>
        <v>0</v>
      </c>
      <c r="Y18" s="85"/>
      <c r="Z18" s="95" t="e">
        <f t="shared" si="6"/>
        <v>#DIV/0!</v>
      </c>
    </row>
    <row r="19" spans="1:26" x14ac:dyDescent="0.25">
      <c r="A19" s="13" t="s">
        <v>121</v>
      </c>
      <c r="B19" s="96">
        <f t="shared" si="7"/>
        <v>11</v>
      </c>
      <c r="C19" s="68"/>
      <c r="D19" s="69">
        <f t="shared" si="8"/>
        <v>0</v>
      </c>
      <c r="E19" s="68"/>
      <c r="F19" s="69">
        <f t="shared" si="9"/>
        <v>0</v>
      </c>
      <c r="G19" s="68"/>
      <c r="H19" s="69">
        <f t="shared" si="10"/>
        <v>0</v>
      </c>
      <c r="I19" s="71">
        <f t="shared" si="2"/>
        <v>0</v>
      </c>
      <c r="J19" s="72">
        <v>0.97</v>
      </c>
      <c r="K19" s="73">
        <f t="shared" si="3"/>
        <v>0</v>
      </c>
      <c r="L19" s="74"/>
      <c r="M19" s="70"/>
      <c r="N19" s="69">
        <f t="shared" si="11"/>
        <v>0</v>
      </c>
      <c r="O19" s="97"/>
      <c r="P19" s="69">
        <f t="shared" si="12"/>
        <v>0</v>
      </c>
      <c r="Q19" s="75">
        <f t="shared" si="0"/>
        <v>0</v>
      </c>
      <c r="R19" s="76">
        <f t="shared" si="4"/>
        <v>0</v>
      </c>
      <c r="S19" s="77"/>
      <c r="T19" s="98"/>
      <c r="U19" s="69">
        <f t="shared" si="13"/>
        <v>0</v>
      </c>
      <c r="V19" s="79">
        <f t="shared" si="5"/>
        <v>0</v>
      </c>
      <c r="W19" s="80"/>
      <c r="X19" s="84">
        <f t="shared" si="1"/>
        <v>0</v>
      </c>
      <c r="Y19" s="85"/>
      <c r="Z19" s="83" t="e">
        <f t="shared" si="6"/>
        <v>#DIV/0!</v>
      </c>
    </row>
    <row r="20" spans="1:26" x14ac:dyDescent="0.25">
      <c r="A20" s="13" t="s">
        <v>116</v>
      </c>
      <c r="B20" s="67">
        <f t="shared" si="7"/>
        <v>12</v>
      </c>
      <c r="C20" s="68"/>
      <c r="D20" s="69">
        <f t="shared" si="8"/>
        <v>0</v>
      </c>
      <c r="E20" s="68"/>
      <c r="F20" s="69">
        <f t="shared" si="9"/>
        <v>0</v>
      </c>
      <c r="G20" s="68"/>
      <c r="H20" s="69">
        <f t="shared" si="10"/>
        <v>0</v>
      </c>
      <c r="I20" s="71">
        <f t="shared" si="2"/>
        <v>0</v>
      </c>
      <c r="J20" s="72">
        <v>0.97</v>
      </c>
      <c r="K20" s="73">
        <f t="shared" si="3"/>
        <v>0</v>
      </c>
      <c r="L20" s="74"/>
      <c r="M20" s="70"/>
      <c r="N20" s="69">
        <f t="shared" si="11"/>
        <v>0</v>
      </c>
      <c r="O20" s="68"/>
      <c r="P20" s="69">
        <f t="shared" si="12"/>
        <v>0</v>
      </c>
      <c r="Q20" s="75">
        <f t="shared" si="0"/>
        <v>0</v>
      </c>
      <c r="R20" s="76">
        <f t="shared" si="4"/>
        <v>0</v>
      </c>
      <c r="S20" s="77"/>
      <c r="T20" s="89"/>
      <c r="U20" s="69">
        <f t="shared" si="13"/>
        <v>0</v>
      </c>
      <c r="V20" s="79">
        <f t="shared" si="5"/>
        <v>0</v>
      </c>
      <c r="W20" s="80"/>
      <c r="X20" s="84">
        <f t="shared" si="1"/>
        <v>0</v>
      </c>
      <c r="Y20" s="85"/>
      <c r="Z20" s="86" t="e">
        <f t="shared" si="6"/>
        <v>#DIV/0!</v>
      </c>
    </row>
    <row r="21" spans="1:26" x14ac:dyDescent="0.25">
      <c r="A21" s="13" t="s">
        <v>117</v>
      </c>
      <c r="B21" s="67">
        <f t="shared" si="7"/>
        <v>13</v>
      </c>
      <c r="C21" s="90"/>
      <c r="D21" s="69">
        <f t="shared" si="8"/>
        <v>0</v>
      </c>
      <c r="E21" s="68"/>
      <c r="F21" s="69">
        <f t="shared" si="9"/>
        <v>0</v>
      </c>
      <c r="G21" s="68"/>
      <c r="H21" s="69">
        <f t="shared" si="10"/>
        <v>0</v>
      </c>
      <c r="I21" s="71">
        <f t="shared" si="2"/>
        <v>0</v>
      </c>
      <c r="J21" s="72">
        <v>0.98</v>
      </c>
      <c r="K21" s="73">
        <f t="shared" si="3"/>
        <v>0</v>
      </c>
      <c r="L21" s="74"/>
      <c r="M21" s="70"/>
      <c r="N21" s="69">
        <f t="shared" si="11"/>
        <v>0</v>
      </c>
      <c r="O21" s="68"/>
      <c r="P21" s="69">
        <f t="shared" si="12"/>
        <v>0</v>
      </c>
      <c r="Q21" s="75">
        <f t="shared" si="0"/>
        <v>0</v>
      </c>
      <c r="R21" s="76">
        <f t="shared" si="4"/>
        <v>0</v>
      </c>
      <c r="S21" s="77"/>
      <c r="T21" s="89"/>
      <c r="U21" s="69">
        <f t="shared" si="13"/>
        <v>0</v>
      </c>
      <c r="V21" s="79">
        <f t="shared" si="5"/>
        <v>0</v>
      </c>
      <c r="W21" s="80"/>
      <c r="X21" s="84">
        <f t="shared" si="1"/>
        <v>0</v>
      </c>
      <c r="Y21" s="85"/>
      <c r="Z21" s="86" t="e">
        <f t="shared" si="6"/>
        <v>#DIV/0!</v>
      </c>
    </row>
    <row r="22" spans="1:26" x14ac:dyDescent="0.25">
      <c r="A22" s="13" t="s">
        <v>118</v>
      </c>
      <c r="B22" s="67">
        <f t="shared" si="7"/>
        <v>14</v>
      </c>
      <c r="C22" s="90"/>
      <c r="D22" s="69">
        <f t="shared" si="8"/>
        <v>0</v>
      </c>
      <c r="E22" s="68"/>
      <c r="F22" s="69">
        <f t="shared" si="9"/>
        <v>0</v>
      </c>
      <c r="G22" s="68"/>
      <c r="H22" s="69">
        <f t="shared" si="10"/>
        <v>0</v>
      </c>
      <c r="I22" s="71">
        <f t="shared" si="2"/>
        <v>0</v>
      </c>
      <c r="J22" s="72">
        <v>0.97</v>
      </c>
      <c r="K22" s="73">
        <f t="shared" si="3"/>
        <v>0</v>
      </c>
      <c r="L22" s="74"/>
      <c r="M22" s="70"/>
      <c r="N22" s="69">
        <f t="shared" si="11"/>
        <v>0</v>
      </c>
      <c r="O22" s="68"/>
      <c r="P22" s="69">
        <f t="shared" si="12"/>
        <v>0</v>
      </c>
      <c r="Q22" s="75">
        <f t="shared" si="0"/>
        <v>0</v>
      </c>
      <c r="R22" s="76">
        <f t="shared" si="4"/>
        <v>0</v>
      </c>
      <c r="S22" s="77"/>
      <c r="T22" s="89"/>
      <c r="U22" s="69">
        <f t="shared" si="13"/>
        <v>0</v>
      </c>
      <c r="V22" s="79">
        <f t="shared" si="5"/>
        <v>0</v>
      </c>
      <c r="W22" s="80"/>
      <c r="X22" s="84">
        <f t="shared" si="1"/>
        <v>0</v>
      </c>
      <c r="Y22" s="85"/>
      <c r="Z22" s="86" t="e">
        <f t="shared" si="6"/>
        <v>#DIV/0!</v>
      </c>
    </row>
    <row r="23" spans="1:26" x14ac:dyDescent="0.25">
      <c r="A23" s="13" t="s">
        <v>119</v>
      </c>
      <c r="B23" s="67">
        <f t="shared" si="7"/>
        <v>15</v>
      </c>
      <c r="C23" s="68"/>
      <c r="D23" s="69">
        <f t="shared" si="8"/>
        <v>0</v>
      </c>
      <c r="E23" s="68"/>
      <c r="F23" s="69">
        <f t="shared" si="9"/>
        <v>0</v>
      </c>
      <c r="G23" s="68"/>
      <c r="H23" s="69">
        <f t="shared" si="10"/>
        <v>0</v>
      </c>
      <c r="I23" s="71">
        <f t="shared" si="2"/>
        <v>0</v>
      </c>
      <c r="J23" s="72">
        <v>0.97</v>
      </c>
      <c r="K23" s="73">
        <f t="shared" si="3"/>
        <v>0</v>
      </c>
      <c r="L23" s="74"/>
      <c r="M23" s="70"/>
      <c r="N23" s="69">
        <f t="shared" si="11"/>
        <v>0</v>
      </c>
      <c r="O23" s="68"/>
      <c r="P23" s="69">
        <f t="shared" si="12"/>
        <v>0</v>
      </c>
      <c r="Q23" s="75">
        <f t="shared" si="0"/>
        <v>0</v>
      </c>
      <c r="R23" s="76">
        <f t="shared" si="4"/>
        <v>0</v>
      </c>
      <c r="S23" s="77"/>
      <c r="T23" s="89"/>
      <c r="U23" s="69">
        <f t="shared" si="13"/>
        <v>0</v>
      </c>
      <c r="V23" s="79">
        <f t="shared" si="5"/>
        <v>0</v>
      </c>
      <c r="W23" s="80"/>
      <c r="X23" s="84">
        <f t="shared" si="1"/>
        <v>0</v>
      </c>
      <c r="Y23" s="85"/>
      <c r="Z23" s="86" t="e">
        <f t="shared" si="6"/>
        <v>#DIV/0!</v>
      </c>
    </row>
    <row r="24" spans="1:26" x14ac:dyDescent="0.25">
      <c r="A24" s="13" t="s">
        <v>120</v>
      </c>
      <c r="B24" s="67">
        <f t="shared" si="7"/>
        <v>16</v>
      </c>
      <c r="C24" s="68"/>
      <c r="D24" s="69">
        <f t="shared" si="8"/>
        <v>0</v>
      </c>
      <c r="E24" s="68"/>
      <c r="F24" s="69">
        <f t="shared" si="9"/>
        <v>0</v>
      </c>
      <c r="G24" s="68"/>
      <c r="H24" s="69">
        <f t="shared" si="10"/>
        <v>0</v>
      </c>
      <c r="I24" s="71">
        <f t="shared" si="2"/>
        <v>0</v>
      </c>
      <c r="J24" s="72">
        <v>0.98</v>
      </c>
      <c r="K24" s="73">
        <f t="shared" si="3"/>
        <v>0</v>
      </c>
      <c r="L24" s="74"/>
      <c r="M24" s="70"/>
      <c r="N24" s="69">
        <f t="shared" si="11"/>
        <v>0</v>
      </c>
      <c r="O24" s="68"/>
      <c r="P24" s="69">
        <f t="shared" si="12"/>
        <v>0</v>
      </c>
      <c r="Q24" s="75">
        <f t="shared" si="0"/>
        <v>0</v>
      </c>
      <c r="R24" s="76">
        <f t="shared" si="4"/>
        <v>0</v>
      </c>
      <c r="S24" s="77"/>
      <c r="T24" s="89"/>
      <c r="U24" s="69">
        <f t="shared" si="13"/>
        <v>0</v>
      </c>
      <c r="V24" s="79">
        <f t="shared" si="5"/>
        <v>0</v>
      </c>
      <c r="W24" s="80"/>
      <c r="X24" s="84">
        <f t="shared" si="1"/>
        <v>0</v>
      </c>
      <c r="Y24" s="85"/>
      <c r="Z24" s="86" t="e">
        <f t="shared" si="6"/>
        <v>#DIV/0!</v>
      </c>
    </row>
    <row r="25" spans="1:26" x14ac:dyDescent="0.25">
      <c r="A25" s="13" t="s">
        <v>96</v>
      </c>
      <c r="B25" s="67">
        <f t="shared" si="7"/>
        <v>17</v>
      </c>
      <c r="C25" s="68"/>
      <c r="D25" s="69">
        <f t="shared" si="8"/>
        <v>0</v>
      </c>
      <c r="E25" s="68"/>
      <c r="F25" s="69">
        <f t="shared" si="9"/>
        <v>0</v>
      </c>
      <c r="G25" s="68"/>
      <c r="H25" s="69">
        <f t="shared" si="10"/>
        <v>0</v>
      </c>
      <c r="I25" s="71">
        <f t="shared" si="2"/>
        <v>0</v>
      </c>
      <c r="J25" s="72">
        <v>0.98</v>
      </c>
      <c r="K25" s="73">
        <f t="shared" si="3"/>
        <v>0</v>
      </c>
      <c r="L25" s="74"/>
      <c r="M25" s="70"/>
      <c r="N25" s="69">
        <f t="shared" si="11"/>
        <v>0</v>
      </c>
      <c r="O25" s="68"/>
      <c r="P25" s="69">
        <f t="shared" si="12"/>
        <v>0</v>
      </c>
      <c r="Q25" s="75">
        <f t="shared" si="0"/>
        <v>0</v>
      </c>
      <c r="R25" s="76">
        <f t="shared" si="4"/>
        <v>0</v>
      </c>
      <c r="S25" s="77"/>
      <c r="T25" s="89"/>
      <c r="U25" s="69">
        <f t="shared" si="13"/>
        <v>0</v>
      </c>
      <c r="V25" s="79">
        <f t="shared" si="5"/>
        <v>0</v>
      </c>
      <c r="W25" s="80"/>
      <c r="X25" s="84">
        <f t="shared" si="1"/>
        <v>0</v>
      </c>
      <c r="Y25" s="85"/>
      <c r="Z25" s="86" t="e">
        <f t="shared" si="6"/>
        <v>#DIV/0!</v>
      </c>
    </row>
    <row r="26" spans="1:26" x14ac:dyDescent="0.25">
      <c r="A26" s="13" t="s">
        <v>121</v>
      </c>
      <c r="B26" s="67">
        <f t="shared" si="7"/>
        <v>18</v>
      </c>
      <c r="C26" s="68"/>
      <c r="D26" s="69">
        <f t="shared" si="8"/>
        <v>0</v>
      </c>
      <c r="E26" s="68"/>
      <c r="F26" s="69">
        <f t="shared" si="9"/>
        <v>0</v>
      </c>
      <c r="G26" s="68"/>
      <c r="H26" s="69">
        <f t="shared" si="10"/>
        <v>0</v>
      </c>
      <c r="I26" s="71">
        <f t="shared" si="2"/>
        <v>0</v>
      </c>
      <c r="J26" s="72">
        <v>0.98</v>
      </c>
      <c r="K26" s="73">
        <f t="shared" si="3"/>
        <v>0</v>
      </c>
      <c r="L26" s="74"/>
      <c r="M26" s="70"/>
      <c r="N26" s="69">
        <f t="shared" si="11"/>
        <v>0</v>
      </c>
      <c r="O26" s="68"/>
      <c r="P26" s="69">
        <f t="shared" si="12"/>
        <v>0</v>
      </c>
      <c r="Q26" s="75">
        <f t="shared" si="0"/>
        <v>0</v>
      </c>
      <c r="R26" s="76">
        <f t="shared" si="4"/>
        <v>0</v>
      </c>
      <c r="S26" s="77"/>
      <c r="T26" s="89"/>
      <c r="U26" s="69">
        <f t="shared" si="13"/>
        <v>0</v>
      </c>
      <c r="V26" s="79">
        <f t="shared" si="5"/>
        <v>0</v>
      </c>
      <c r="W26" s="80"/>
      <c r="X26" s="84">
        <f t="shared" si="1"/>
        <v>0</v>
      </c>
      <c r="Y26" s="85"/>
      <c r="Z26" s="86" t="e">
        <f t="shared" si="6"/>
        <v>#DIV/0!</v>
      </c>
    </row>
    <row r="27" spans="1:26" x14ac:dyDescent="0.25">
      <c r="A27" s="13" t="s">
        <v>116</v>
      </c>
      <c r="B27" s="67">
        <f t="shared" si="7"/>
        <v>19</v>
      </c>
      <c r="C27" s="68"/>
      <c r="D27" s="69">
        <f t="shared" si="8"/>
        <v>0</v>
      </c>
      <c r="E27" s="68"/>
      <c r="F27" s="69">
        <f t="shared" si="9"/>
        <v>0</v>
      </c>
      <c r="G27" s="68"/>
      <c r="H27" s="69">
        <f t="shared" si="10"/>
        <v>0</v>
      </c>
      <c r="I27" s="71">
        <f t="shared" si="2"/>
        <v>0</v>
      </c>
      <c r="J27" s="72">
        <v>0.98</v>
      </c>
      <c r="K27" s="73">
        <f t="shared" si="3"/>
        <v>0</v>
      </c>
      <c r="L27" s="99"/>
      <c r="M27" s="70"/>
      <c r="N27" s="69">
        <f t="shared" si="11"/>
        <v>0</v>
      </c>
      <c r="O27" s="68"/>
      <c r="P27" s="69">
        <f t="shared" si="12"/>
        <v>0</v>
      </c>
      <c r="Q27" s="75">
        <f t="shared" si="0"/>
        <v>0</v>
      </c>
      <c r="R27" s="76">
        <f t="shared" si="4"/>
        <v>0</v>
      </c>
      <c r="S27" s="77"/>
      <c r="T27" s="89"/>
      <c r="U27" s="69">
        <f t="shared" si="13"/>
        <v>0</v>
      </c>
      <c r="V27" s="79">
        <f t="shared" si="5"/>
        <v>0</v>
      </c>
      <c r="W27" s="80"/>
      <c r="X27" s="84">
        <f t="shared" si="1"/>
        <v>0</v>
      </c>
      <c r="Y27" s="85"/>
      <c r="Z27" s="86" t="e">
        <f t="shared" si="6"/>
        <v>#DIV/0!</v>
      </c>
    </row>
    <row r="28" spans="1:26" x14ac:dyDescent="0.25">
      <c r="A28" s="13" t="s">
        <v>117</v>
      </c>
      <c r="B28" s="92">
        <f t="shared" si="7"/>
        <v>20</v>
      </c>
      <c r="C28" s="90"/>
      <c r="D28" s="69">
        <f t="shared" si="8"/>
        <v>0</v>
      </c>
      <c r="E28" s="90"/>
      <c r="F28" s="69">
        <f t="shared" si="9"/>
        <v>0</v>
      </c>
      <c r="G28" s="90"/>
      <c r="H28" s="69">
        <f t="shared" si="10"/>
        <v>0</v>
      </c>
      <c r="I28" s="71">
        <f t="shared" si="2"/>
        <v>0</v>
      </c>
      <c r="J28" s="72">
        <v>0.98</v>
      </c>
      <c r="K28" s="73">
        <f t="shared" si="3"/>
        <v>0</v>
      </c>
      <c r="L28" s="100"/>
      <c r="M28" s="70"/>
      <c r="N28" s="69">
        <f t="shared" si="11"/>
        <v>0</v>
      </c>
      <c r="O28" s="68"/>
      <c r="P28" s="69">
        <f t="shared" si="12"/>
        <v>0</v>
      </c>
      <c r="Q28" s="75">
        <f t="shared" si="0"/>
        <v>0</v>
      </c>
      <c r="R28" s="76">
        <f t="shared" si="4"/>
        <v>0</v>
      </c>
      <c r="S28" s="68"/>
      <c r="T28" s="89"/>
      <c r="U28" s="69">
        <f t="shared" si="13"/>
        <v>0</v>
      </c>
      <c r="V28" s="79">
        <f t="shared" si="5"/>
        <v>0</v>
      </c>
      <c r="W28" s="80"/>
      <c r="X28" s="101">
        <f t="shared" si="1"/>
        <v>0</v>
      </c>
      <c r="Y28" s="85"/>
      <c r="Z28" s="95" t="e">
        <f t="shared" si="6"/>
        <v>#DIV/0!</v>
      </c>
    </row>
    <row r="29" spans="1:26" x14ac:dyDescent="0.25">
      <c r="A29" s="13" t="s">
        <v>118</v>
      </c>
      <c r="B29" s="96">
        <f t="shared" si="7"/>
        <v>21</v>
      </c>
      <c r="C29" s="68"/>
      <c r="D29" s="69">
        <f t="shared" si="8"/>
        <v>0</v>
      </c>
      <c r="E29" s="68"/>
      <c r="F29" s="69">
        <f t="shared" si="9"/>
        <v>0</v>
      </c>
      <c r="G29" s="68"/>
      <c r="H29" s="69">
        <f t="shared" si="10"/>
        <v>0</v>
      </c>
      <c r="I29" s="71">
        <f t="shared" si="2"/>
        <v>0</v>
      </c>
      <c r="J29" s="72">
        <v>0.98</v>
      </c>
      <c r="K29" s="73">
        <f t="shared" si="3"/>
        <v>0</v>
      </c>
      <c r="L29" s="74"/>
      <c r="M29" s="70"/>
      <c r="N29" s="69">
        <f t="shared" si="11"/>
        <v>0</v>
      </c>
      <c r="O29" s="68"/>
      <c r="P29" s="69">
        <f t="shared" si="12"/>
        <v>0</v>
      </c>
      <c r="Q29" s="75">
        <f t="shared" si="0"/>
        <v>0</v>
      </c>
      <c r="R29" s="76">
        <f t="shared" si="4"/>
        <v>0</v>
      </c>
      <c r="S29" s="77"/>
      <c r="T29" s="89"/>
      <c r="U29" s="69">
        <f t="shared" si="13"/>
        <v>0</v>
      </c>
      <c r="V29" s="79">
        <f t="shared" si="5"/>
        <v>0</v>
      </c>
      <c r="W29" s="80"/>
      <c r="X29" s="81">
        <f t="shared" si="1"/>
        <v>0</v>
      </c>
      <c r="Y29" s="85"/>
      <c r="Z29" s="83" t="e">
        <f t="shared" si="6"/>
        <v>#DIV/0!</v>
      </c>
    </row>
    <row r="30" spans="1:26" x14ac:dyDescent="0.25">
      <c r="A30" s="13" t="s">
        <v>119</v>
      </c>
      <c r="B30" s="67">
        <f t="shared" si="7"/>
        <v>22</v>
      </c>
      <c r="C30" s="68"/>
      <c r="D30" s="69">
        <f t="shared" si="8"/>
        <v>0</v>
      </c>
      <c r="E30" s="68"/>
      <c r="F30" s="69">
        <f t="shared" si="9"/>
        <v>0</v>
      </c>
      <c r="G30" s="68"/>
      <c r="H30" s="69">
        <f t="shared" si="10"/>
        <v>0</v>
      </c>
      <c r="I30" s="71">
        <f t="shared" si="2"/>
        <v>0</v>
      </c>
      <c r="J30" s="72">
        <v>0.98</v>
      </c>
      <c r="K30" s="73">
        <f t="shared" si="3"/>
        <v>0</v>
      </c>
      <c r="L30" s="74"/>
      <c r="M30" s="70"/>
      <c r="N30" s="69">
        <f t="shared" si="11"/>
        <v>0</v>
      </c>
      <c r="O30" s="68"/>
      <c r="P30" s="69">
        <f t="shared" si="12"/>
        <v>0</v>
      </c>
      <c r="Q30" s="75">
        <f t="shared" si="0"/>
        <v>0</v>
      </c>
      <c r="R30" s="76">
        <f t="shared" si="4"/>
        <v>0</v>
      </c>
      <c r="S30" s="77"/>
      <c r="T30" s="89"/>
      <c r="U30" s="69">
        <f t="shared" si="13"/>
        <v>0</v>
      </c>
      <c r="V30" s="79">
        <f t="shared" si="5"/>
        <v>0</v>
      </c>
      <c r="W30" s="80"/>
      <c r="X30" s="84">
        <f t="shared" si="1"/>
        <v>0</v>
      </c>
      <c r="Y30" s="85"/>
      <c r="Z30" s="86" t="e">
        <f t="shared" si="6"/>
        <v>#DIV/0!</v>
      </c>
    </row>
    <row r="31" spans="1:26" x14ac:dyDescent="0.25">
      <c r="A31" s="13" t="s">
        <v>120</v>
      </c>
      <c r="B31" s="67">
        <f t="shared" si="7"/>
        <v>23</v>
      </c>
      <c r="C31" s="68"/>
      <c r="D31" s="69">
        <f t="shared" si="8"/>
        <v>0</v>
      </c>
      <c r="E31" s="68"/>
      <c r="F31" s="69">
        <f t="shared" si="9"/>
        <v>0</v>
      </c>
      <c r="G31" s="68"/>
      <c r="H31" s="69">
        <f t="shared" si="10"/>
        <v>0</v>
      </c>
      <c r="I31" s="71">
        <f t="shared" si="2"/>
        <v>0</v>
      </c>
      <c r="J31" s="72">
        <v>0.98</v>
      </c>
      <c r="K31" s="73">
        <f t="shared" si="3"/>
        <v>0</v>
      </c>
      <c r="L31" s="74"/>
      <c r="M31" s="70"/>
      <c r="N31" s="69">
        <f t="shared" si="11"/>
        <v>0</v>
      </c>
      <c r="O31" s="68"/>
      <c r="P31" s="69">
        <f t="shared" si="12"/>
        <v>0</v>
      </c>
      <c r="Q31" s="75">
        <f t="shared" si="0"/>
        <v>0</v>
      </c>
      <c r="R31" s="76">
        <f t="shared" si="4"/>
        <v>0</v>
      </c>
      <c r="S31" s="77"/>
      <c r="T31" s="89"/>
      <c r="U31" s="69">
        <f t="shared" si="13"/>
        <v>0</v>
      </c>
      <c r="V31" s="79">
        <f t="shared" si="5"/>
        <v>0</v>
      </c>
      <c r="W31" s="80"/>
      <c r="X31" s="102">
        <f t="shared" si="1"/>
        <v>0</v>
      </c>
      <c r="Y31" s="85"/>
      <c r="Z31" s="86" t="e">
        <f t="shared" si="6"/>
        <v>#DIV/0!</v>
      </c>
    </row>
    <row r="32" spans="1:26" x14ac:dyDescent="0.25">
      <c r="A32" s="13" t="s">
        <v>96</v>
      </c>
      <c r="B32" s="67">
        <f t="shared" si="7"/>
        <v>24</v>
      </c>
      <c r="C32" s="68"/>
      <c r="D32" s="69">
        <f t="shared" si="8"/>
        <v>0</v>
      </c>
      <c r="E32" s="68"/>
      <c r="F32" s="69">
        <f t="shared" si="9"/>
        <v>0</v>
      </c>
      <c r="G32" s="68"/>
      <c r="H32" s="69">
        <f t="shared" si="10"/>
        <v>0</v>
      </c>
      <c r="I32" s="71">
        <f t="shared" si="2"/>
        <v>0</v>
      </c>
      <c r="J32" s="72">
        <v>0.98</v>
      </c>
      <c r="K32" s="73">
        <f t="shared" si="3"/>
        <v>0</v>
      </c>
      <c r="L32" s="74"/>
      <c r="M32" s="70"/>
      <c r="N32" s="69">
        <f t="shared" si="11"/>
        <v>0</v>
      </c>
      <c r="O32" s="68"/>
      <c r="P32" s="69">
        <f t="shared" si="12"/>
        <v>0</v>
      </c>
      <c r="Q32" s="75">
        <f t="shared" si="0"/>
        <v>0</v>
      </c>
      <c r="R32" s="76">
        <f t="shared" si="4"/>
        <v>0</v>
      </c>
      <c r="S32" s="77"/>
      <c r="T32" s="89"/>
      <c r="U32" s="69">
        <f t="shared" si="13"/>
        <v>0</v>
      </c>
      <c r="V32" s="79">
        <f t="shared" si="5"/>
        <v>0</v>
      </c>
      <c r="W32" s="80"/>
      <c r="X32" s="102">
        <f t="shared" si="1"/>
        <v>0</v>
      </c>
      <c r="Y32" s="85"/>
      <c r="Z32" s="86" t="e">
        <f t="shared" si="6"/>
        <v>#DIV/0!</v>
      </c>
    </row>
    <row r="33" spans="1:26" x14ac:dyDescent="0.25">
      <c r="A33" s="13" t="s">
        <v>121</v>
      </c>
      <c r="B33" s="67">
        <f t="shared" si="7"/>
        <v>25</v>
      </c>
      <c r="C33" s="68"/>
      <c r="D33" s="69">
        <f t="shared" si="8"/>
        <v>0</v>
      </c>
      <c r="E33" s="68"/>
      <c r="F33" s="69">
        <f t="shared" si="9"/>
        <v>0</v>
      </c>
      <c r="G33" s="68"/>
      <c r="H33" s="69">
        <f t="shared" si="10"/>
        <v>0</v>
      </c>
      <c r="I33" s="71">
        <f t="shared" si="2"/>
        <v>0</v>
      </c>
      <c r="J33" s="72">
        <v>0.98</v>
      </c>
      <c r="K33" s="73">
        <f t="shared" si="3"/>
        <v>0</v>
      </c>
      <c r="L33" s="74"/>
      <c r="M33" s="70"/>
      <c r="N33" s="69">
        <f t="shared" si="11"/>
        <v>0</v>
      </c>
      <c r="O33" s="68"/>
      <c r="P33" s="69">
        <f t="shared" si="12"/>
        <v>0</v>
      </c>
      <c r="Q33" s="75">
        <f t="shared" si="0"/>
        <v>0</v>
      </c>
      <c r="R33" s="76">
        <f t="shared" si="4"/>
        <v>0</v>
      </c>
      <c r="S33" s="77"/>
      <c r="T33" s="89"/>
      <c r="U33" s="69">
        <f t="shared" si="13"/>
        <v>0</v>
      </c>
      <c r="V33" s="79">
        <f t="shared" si="5"/>
        <v>0</v>
      </c>
      <c r="W33" s="80"/>
      <c r="X33" s="102">
        <f t="shared" si="1"/>
        <v>0</v>
      </c>
      <c r="Y33" s="85"/>
      <c r="Z33" s="86" t="e">
        <f t="shared" si="6"/>
        <v>#DIV/0!</v>
      </c>
    </row>
    <row r="34" spans="1:26" x14ac:dyDescent="0.25">
      <c r="A34" s="13" t="s">
        <v>116</v>
      </c>
      <c r="B34" s="67">
        <f t="shared" si="7"/>
        <v>26</v>
      </c>
      <c r="C34" s="90"/>
      <c r="D34" s="69">
        <f t="shared" si="8"/>
        <v>0</v>
      </c>
      <c r="E34" s="68"/>
      <c r="F34" s="69">
        <f t="shared" si="9"/>
        <v>0</v>
      </c>
      <c r="G34" s="68"/>
      <c r="H34" s="69">
        <f t="shared" si="10"/>
        <v>0</v>
      </c>
      <c r="I34" s="71">
        <f t="shared" si="2"/>
        <v>0</v>
      </c>
      <c r="J34" s="72">
        <v>0.98</v>
      </c>
      <c r="K34" s="73">
        <f t="shared" si="3"/>
        <v>0</v>
      </c>
      <c r="L34" s="74"/>
      <c r="M34" s="70"/>
      <c r="N34" s="69">
        <f t="shared" si="11"/>
        <v>0</v>
      </c>
      <c r="O34" s="68"/>
      <c r="P34" s="69">
        <f t="shared" si="12"/>
        <v>0</v>
      </c>
      <c r="Q34" s="75">
        <f t="shared" si="0"/>
        <v>0</v>
      </c>
      <c r="R34" s="76">
        <f t="shared" si="4"/>
        <v>0</v>
      </c>
      <c r="S34" s="77"/>
      <c r="T34" s="89"/>
      <c r="U34" s="69">
        <f t="shared" si="13"/>
        <v>0</v>
      </c>
      <c r="V34" s="79">
        <f t="shared" si="5"/>
        <v>0</v>
      </c>
      <c r="W34" s="80"/>
      <c r="X34" s="102">
        <f t="shared" si="1"/>
        <v>0</v>
      </c>
      <c r="Y34" s="85"/>
      <c r="Z34" s="86" t="e">
        <f t="shared" si="6"/>
        <v>#DIV/0!</v>
      </c>
    </row>
    <row r="35" spans="1:26" x14ac:dyDescent="0.25">
      <c r="A35" s="13" t="s">
        <v>117</v>
      </c>
      <c r="B35" s="67">
        <f t="shared" si="7"/>
        <v>27</v>
      </c>
      <c r="C35" s="90"/>
      <c r="D35" s="69">
        <f t="shared" si="8"/>
        <v>0</v>
      </c>
      <c r="E35" s="68"/>
      <c r="F35" s="69">
        <f t="shared" si="9"/>
        <v>0</v>
      </c>
      <c r="G35" s="68"/>
      <c r="H35" s="69">
        <f t="shared" si="10"/>
        <v>0</v>
      </c>
      <c r="I35" s="71">
        <f t="shared" si="2"/>
        <v>0</v>
      </c>
      <c r="J35" s="72">
        <v>0.98</v>
      </c>
      <c r="K35" s="73">
        <f t="shared" si="3"/>
        <v>0</v>
      </c>
      <c r="L35" s="74"/>
      <c r="M35" s="70"/>
      <c r="N35" s="69">
        <f t="shared" si="11"/>
        <v>0</v>
      </c>
      <c r="O35" s="68"/>
      <c r="P35" s="69">
        <f t="shared" si="12"/>
        <v>0</v>
      </c>
      <c r="Q35" s="75">
        <f t="shared" si="0"/>
        <v>0</v>
      </c>
      <c r="R35" s="76">
        <f t="shared" si="4"/>
        <v>0</v>
      </c>
      <c r="S35" s="77"/>
      <c r="T35" s="89"/>
      <c r="U35" s="69">
        <f t="shared" si="13"/>
        <v>0</v>
      </c>
      <c r="V35" s="79">
        <f t="shared" si="5"/>
        <v>0</v>
      </c>
      <c r="W35" s="80"/>
      <c r="X35" s="102">
        <f t="shared" si="1"/>
        <v>0</v>
      </c>
      <c r="Y35" s="85"/>
      <c r="Z35" s="86" t="e">
        <f t="shared" si="6"/>
        <v>#DIV/0!</v>
      </c>
    </row>
    <row r="36" spans="1:26" x14ac:dyDescent="0.25">
      <c r="A36" s="13" t="s">
        <v>118</v>
      </c>
      <c r="B36" s="67">
        <f>B35+1</f>
        <v>28</v>
      </c>
      <c r="C36" s="90"/>
      <c r="D36" s="69">
        <f t="shared" si="8"/>
        <v>0</v>
      </c>
      <c r="E36" s="103"/>
      <c r="F36" s="69">
        <f t="shared" si="9"/>
        <v>0</v>
      </c>
      <c r="G36" s="103"/>
      <c r="H36" s="69">
        <f t="shared" si="10"/>
        <v>0</v>
      </c>
      <c r="I36" s="71">
        <f t="shared" si="2"/>
        <v>0</v>
      </c>
      <c r="J36" s="72">
        <v>0.98</v>
      </c>
      <c r="K36" s="73">
        <f t="shared" si="3"/>
        <v>0</v>
      </c>
      <c r="L36" s="74"/>
      <c r="M36" s="70"/>
      <c r="N36" s="69">
        <f t="shared" si="11"/>
        <v>0</v>
      </c>
      <c r="O36" s="68"/>
      <c r="P36" s="69">
        <f t="shared" si="12"/>
        <v>0</v>
      </c>
      <c r="Q36" s="75">
        <f t="shared" si="0"/>
        <v>0</v>
      </c>
      <c r="R36" s="76">
        <f t="shared" si="4"/>
        <v>0</v>
      </c>
      <c r="S36" s="77"/>
      <c r="T36" s="89"/>
      <c r="U36" s="69">
        <f t="shared" si="13"/>
        <v>0</v>
      </c>
      <c r="V36" s="79">
        <f t="shared" si="5"/>
        <v>0</v>
      </c>
      <c r="W36" s="80"/>
      <c r="X36" s="102">
        <f t="shared" si="1"/>
        <v>0</v>
      </c>
      <c r="Y36" s="85"/>
      <c r="Z36" s="86" t="e">
        <f t="shared" si="6"/>
        <v>#DIV/0!</v>
      </c>
    </row>
    <row r="37" spans="1:26" x14ac:dyDescent="0.25">
      <c r="A37" s="13" t="s">
        <v>119</v>
      </c>
      <c r="B37" s="67">
        <f t="shared" si="7"/>
        <v>29</v>
      </c>
      <c r="C37" s="90"/>
      <c r="D37" s="69">
        <f t="shared" si="8"/>
        <v>0</v>
      </c>
      <c r="E37" s="103"/>
      <c r="F37" s="69">
        <f t="shared" si="9"/>
        <v>0</v>
      </c>
      <c r="G37" s="103"/>
      <c r="H37" s="69">
        <f t="shared" si="10"/>
        <v>0</v>
      </c>
      <c r="I37" s="71">
        <f t="shared" si="2"/>
        <v>0</v>
      </c>
      <c r="J37" s="72">
        <v>0.99</v>
      </c>
      <c r="K37" s="73">
        <f t="shared" si="3"/>
        <v>0</v>
      </c>
      <c r="L37" s="74"/>
      <c r="M37" s="70"/>
      <c r="N37" s="69">
        <f t="shared" si="11"/>
        <v>0</v>
      </c>
      <c r="O37" s="68"/>
      <c r="P37" s="69">
        <f t="shared" si="12"/>
        <v>0</v>
      </c>
      <c r="Q37" s="75">
        <f t="shared" si="0"/>
        <v>0</v>
      </c>
      <c r="R37" s="76">
        <f t="shared" si="4"/>
        <v>0</v>
      </c>
      <c r="S37" s="77"/>
      <c r="T37" s="89"/>
      <c r="U37" s="69">
        <f t="shared" si="13"/>
        <v>0</v>
      </c>
      <c r="V37" s="79">
        <f t="shared" si="5"/>
        <v>0</v>
      </c>
      <c r="W37" s="80"/>
      <c r="X37" s="102">
        <f t="shared" si="1"/>
        <v>0</v>
      </c>
      <c r="Y37" s="80"/>
      <c r="Z37" s="86" t="e">
        <f t="shared" si="6"/>
        <v>#DIV/0!</v>
      </c>
    </row>
    <row r="38" spans="1:26" x14ac:dyDescent="0.25">
      <c r="A38" s="13" t="s">
        <v>120</v>
      </c>
      <c r="B38" s="67">
        <f t="shared" si="7"/>
        <v>30</v>
      </c>
      <c r="C38" s="68"/>
      <c r="D38" s="69">
        <f t="shared" si="8"/>
        <v>0</v>
      </c>
      <c r="E38" s="90"/>
      <c r="F38" s="69">
        <f t="shared" si="9"/>
        <v>0</v>
      </c>
      <c r="G38" s="90"/>
      <c r="H38" s="69">
        <f t="shared" si="10"/>
        <v>0</v>
      </c>
      <c r="I38" s="71">
        <f t="shared" si="2"/>
        <v>0</v>
      </c>
      <c r="J38" s="72">
        <v>0.99</v>
      </c>
      <c r="K38" s="73">
        <f t="shared" si="3"/>
        <v>0</v>
      </c>
      <c r="L38" s="74"/>
      <c r="M38" s="70"/>
      <c r="N38" s="69">
        <f t="shared" si="11"/>
        <v>0</v>
      </c>
      <c r="O38" s="68"/>
      <c r="P38" s="69">
        <f t="shared" si="12"/>
        <v>0</v>
      </c>
      <c r="Q38" s="75">
        <f t="shared" si="0"/>
        <v>0</v>
      </c>
      <c r="R38" s="76">
        <f t="shared" si="4"/>
        <v>0</v>
      </c>
      <c r="S38" s="77"/>
      <c r="T38" s="89"/>
      <c r="U38" s="69">
        <f t="shared" si="13"/>
        <v>0</v>
      </c>
      <c r="V38" s="79">
        <f t="shared" si="5"/>
        <v>0</v>
      </c>
      <c r="W38" s="80"/>
      <c r="X38" s="102">
        <f t="shared" si="1"/>
        <v>0</v>
      </c>
      <c r="Y38" s="80"/>
      <c r="Z38" s="86" t="e">
        <f t="shared" si="6"/>
        <v>#DIV/0!</v>
      </c>
    </row>
    <row r="39" spans="1:26" x14ac:dyDescent="0.25">
      <c r="A39" s="13" t="s">
        <v>96</v>
      </c>
      <c r="B39" s="104">
        <v>31</v>
      </c>
      <c r="C39" s="105"/>
      <c r="D39" s="69">
        <f t="shared" si="8"/>
        <v>0</v>
      </c>
      <c r="E39" s="106"/>
      <c r="F39" s="69">
        <f t="shared" si="9"/>
        <v>0</v>
      </c>
      <c r="G39" s="88"/>
      <c r="H39" s="69">
        <f t="shared" si="10"/>
        <v>0</v>
      </c>
      <c r="I39" s="71">
        <f t="shared" si="2"/>
        <v>0</v>
      </c>
      <c r="J39" s="72">
        <v>0.99</v>
      </c>
      <c r="K39" s="73">
        <f t="shared" si="3"/>
        <v>0</v>
      </c>
      <c r="L39" s="74"/>
      <c r="M39" s="105"/>
      <c r="N39" s="69">
        <f t="shared" si="11"/>
        <v>0</v>
      </c>
      <c r="O39" s="105"/>
      <c r="P39" s="69">
        <f t="shared" si="12"/>
        <v>0</v>
      </c>
      <c r="Q39" s="75">
        <f t="shared" si="0"/>
        <v>0</v>
      </c>
      <c r="R39" s="76">
        <f t="shared" si="4"/>
        <v>0</v>
      </c>
      <c r="S39" s="77"/>
      <c r="T39" s="107"/>
      <c r="U39" s="69">
        <f t="shared" si="13"/>
        <v>0</v>
      </c>
      <c r="V39" s="79">
        <f t="shared" si="5"/>
        <v>0</v>
      </c>
      <c r="W39" s="80"/>
      <c r="X39" s="102">
        <f t="shared" si="1"/>
        <v>0</v>
      </c>
      <c r="Y39" s="80"/>
      <c r="Z39" s="86" t="e">
        <f t="shared" si="6"/>
        <v>#DIV/0!</v>
      </c>
    </row>
    <row r="40" spans="1:26" x14ac:dyDescent="0.25">
      <c r="A40" s="13"/>
      <c r="B40" s="108"/>
      <c r="C40" s="152">
        <f>SUMIF(D9:D39,"&gt;0")</f>
        <v>25557</v>
      </c>
      <c r="D40" s="153"/>
      <c r="E40" s="154">
        <f>SUMIF(F9:F39,"&gt;0")</f>
        <v>25319</v>
      </c>
      <c r="F40" s="155"/>
      <c r="G40" s="152">
        <f>SUMIF(H9:H39,"&gt;0")</f>
        <v>23858</v>
      </c>
      <c r="H40" s="155"/>
      <c r="I40" s="109">
        <f>SUMIF(I9:I39,"&gt;0")</f>
        <v>74734</v>
      </c>
      <c r="J40" s="110"/>
      <c r="K40" s="111">
        <f>SUMIF(K9:K39,"&gt;0")</f>
        <v>18758.234</v>
      </c>
      <c r="L40" s="109"/>
      <c r="M40" s="152">
        <f>SUMIF(N9:N39,"&gt;0")</f>
        <v>694</v>
      </c>
      <c r="N40" s="155"/>
      <c r="O40" s="152">
        <f>SUMIF(P9:P39,"&gt;0")</f>
        <v>4442</v>
      </c>
      <c r="P40" s="155"/>
      <c r="Q40" s="110">
        <f>SUMIF(Q9:Q39,"&gt;0")</f>
        <v>5136</v>
      </c>
      <c r="R40" s="111">
        <f>SUMIF(R9:R39,"&gt;0")</f>
        <v>2936.8469760000007</v>
      </c>
      <c r="S40" s="112"/>
      <c r="T40" s="136">
        <f>SUMIF(U9:U39,"&gt;0")</f>
        <v>1773</v>
      </c>
      <c r="U40" s="136"/>
      <c r="V40" s="113">
        <f>SUMIF(V9:V39,"&gt;0")</f>
        <v>5061.915</v>
      </c>
      <c r="W40" s="114"/>
      <c r="X40" s="115">
        <f>SUMIF(X9:X39,"&gt;0")</f>
        <v>26756.995976000002</v>
      </c>
      <c r="Y40" s="116">
        <f>SUM(Y9:Y39)</f>
        <v>124</v>
      </c>
      <c r="Z40" s="117">
        <f>(SUMIF(Z9:Z36,"&gt;0")/31)</f>
        <v>54.65969342681435</v>
      </c>
    </row>
  </sheetData>
  <mergeCells count="13">
    <mergeCell ref="T40:U40"/>
    <mergeCell ref="B1:E4"/>
    <mergeCell ref="F1:V4"/>
    <mergeCell ref="W1:Z2"/>
    <mergeCell ref="W3:Z4"/>
    <mergeCell ref="C7:K7"/>
    <mergeCell ref="M7:R7"/>
    <mergeCell ref="T7:V7"/>
    <mergeCell ref="C40:D40"/>
    <mergeCell ref="E40:F40"/>
    <mergeCell ref="G40:H40"/>
    <mergeCell ref="M40:N40"/>
    <mergeCell ref="O40:P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38"/>
  <sheetViews>
    <sheetView zoomScaleNormal="100" workbookViewId="0">
      <selection activeCell="G16" sqref="G16"/>
    </sheetView>
  </sheetViews>
  <sheetFormatPr defaultRowHeight="15" x14ac:dyDescent="0.25"/>
  <sheetData>
    <row r="6" spans="1:83" ht="15.75" thickBot="1" x14ac:dyDescent="0.3">
      <c r="B6" s="118">
        <v>49433</v>
      </c>
      <c r="C6" s="119">
        <v>79236</v>
      </c>
      <c r="D6" s="120">
        <v>15207</v>
      </c>
      <c r="E6" s="120">
        <v>13719</v>
      </c>
      <c r="F6" s="120">
        <v>189420</v>
      </c>
      <c r="G6" s="120">
        <v>3495</v>
      </c>
      <c r="H6" s="119">
        <v>1485</v>
      </c>
      <c r="I6" s="120">
        <v>380288</v>
      </c>
      <c r="J6" s="120">
        <v>68377</v>
      </c>
      <c r="K6" s="120">
        <v>7921</v>
      </c>
      <c r="L6" s="120">
        <v>29890</v>
      </c>
      <c r="M6" s="120">
        <v>52115</v>
      </c>
      <c r="N6" s="120">
        <v>38542</v>
      </c>
      <c r="O6" s="120">
        <v>181658</v>
      </c>
      <c r="P6" s="120">
        <v>375920</v>
      </c>
      <c r="Q6" s="120">
        <v>2808</v>
      </c>
      <c r="R6" s="120">
        <v>18050</v>
      </c>
      <c r="S6" s="120">
        <v>25503</v>
      </c>
      <c r="T6" s="120">
        <v>278413</v>
      </c>
      <c r="U6" s="120">
        <v>375407</v>
      </c>
      <c r="V6" s="120">
        <v>40159</v>
      </c>
      <c r="W6" s="120">
        <v>5416</v>
      </c>
      <c r="X6" s="120">
        <v>13927</v>
      </c>
      <c r="Y6" s="120">
        <v>86195</v>
      </c>
      <c r="Z6" s="119">
        <v>540</v>
      </c>
      <c r="AA6" s="120">
        <v>170186</v>
      </c>
      <c r="AB6" s="120">
        <v>7562</v>
      </c>
      <c r="AC6" s="120">
        <v>1974</v>
      </c>
      <c r="AD6" s="120">
        <v>17975</v>
      </c>
      <c r="AE6" s="120">
        <v>76508</v>
      </c>
      <c r="AF6" s="120">
        <v>205359</v>
      </c>
      <c r="AG6" s="120">
        <v>1125790</v>
      </c>
      <c r="AH6" s="120">
        <v>11123</v>
      </c>
      <c r="AI6" s="120">
        <v>483379</v>
      </c>
      <c r="AJ6" s="120">
        <v>637743</v>
      </c>
      <c r="AK6" s="120">
        <v>9334</v>
      </c>
      <c r="AL6" s="121">
        <v>29315</v>
      </c>
      <c r="AM6" s="120">
        <v>28542</v>
      </c>
      <c r="AN6" s="122">
        <v>596531</v>
      </c>
      <c r="AO6" s="122">
        <v>5246</v>
      </c>
      <c r="AP6" s="123">
        <v>0</v>
      </c>
      <c r="AQ6" s="120">
        <v>109712</v>
      </c>
      <c r="AR6" s="120">
        <v>217210</v>
      </c>
      <c r="AS6" s="120">
        <v>63112</v>
      </c>
      <c r="AT6" s="120">
        <v>560</v>
      </c>
      <c r="AU6" s="120">
        <v>107079</v>
      </c>
      <c r="AV6" s="120">
        <v>44534</v>
      </c>
      <c r="AW6" s="120">
        <v>38275</v>
      </c>
      <c r="AX6" s="120">
        <v>175158</v>
      </c>
      <c r="AY6" s="124">
        <v>481902</v>
      </c>
    </row>
    <row r="7" spans="1:83" ht="90" x14ac:dyDescent="0.25">
      <c r="A7" s="125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6" t="s">
        <v>63</v>
      </c>
      <c r="BA7" s="126" t="s">
        <v>64</v>
      </c>
      <c r="BB7" s="126" t="s">
        <v>65</v>
      </c>
      <c r="BC7" s="126" t="s">
        <v>66</v>
      </c>
      <c r="BD7" s="126" t="s">
        <v>67</v>
      </c>
      <c r="BE7" s="126" t="s">
        <v>68</v>
      </c>
      <c r="BF7" s="126" t="s">
        <v>69</v>
      </c>
      <c r="BG7" s="126" t="s">
        <v>70</v>
      </c>
      <c r="BH7" s="126" t="s">
        <v>71</v>
      </c>
      <c r="BI7" s="126" t="s">
        <v>72</v>
      </c>
      <c r="BJ7" s="126" t="s">
        <v>73</v>
      </c>
      <c r="BK7" s="126" t="s">
        <v>74</v>
      </c>
      <c r="BL7" s="126" t="s">
        <v>75</v>
      </c>
      <c r="BM7" s="126" t="s">
        <v>76</v>
      </c>
      <c r="BN7" s="126" t="s">
        <v>77</v>
      </c>
      <c r="BO7" s="126" t="s">
        <v>78</v>
      </c>
      <c r="BP7" s="126" t="s">
        <v>79</v>
      </c>
      <c r="BQ7" s="126" t="s">
        <v>80</v>
      </c>
      <c r="BR7" s="126" t="s">
        <v>81</v>
      </c>
      <c r="BS7" s="127" t="s">
        <v>82</v>
      </c>
      <c r="BT7" s="127" t="s">
        <v>83</v>
      </c>
      <c r="BU7" s="127" t="s">
        <v>84</v>
      </c>
      <c r="BV7" s="127" t="s">
        <v>85</v>
      </c>
      <c r="BW7" s="127" t="s">
        <v>86</v>
      </c>
      <c r="BX7" s="127" t="s">
        <v>87</v>
      </c>
      <c r="BY7" s="127" t="s">
        <v>88</v>
      </c>
      <c r="BZ7" s="127" t="s">
        <v>89</v>
      </c>
      <c r="CA7" s="127" t="s">
        <v>90</v>
      </c>
      <c r="CB7" s="127" t="s">
        <v>91</v>
      </c>
      <c r="CC7" s="127" t="s">
        <v>92</v>
      </c>
      <c r="CD7" s="127" t="s">
        <v>93</v>
      </c>
      <c r="CE7" s="127" t="s">
        <v>94</v>
      </c>
    </row>
    <row r="8" spans="1:83" x14ac:dyDescent="0.25">
      <c r="A8">
        <v>1</v>
      </c>
      <c r="B8" s="128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30"/>
      <c r="AN8" s="129"/>
      <c r="AO8" s="131"/>
      <c r="AP8" s="131"/>
      <c r="AQ8" s="131"/>
      <c r="AR8" s="129"/>
      <c r="AS8" s="129"/>
      <c r="AT8" s="129"/>
      <c r="AU8" s="129"/>
      <c r="AV8" s="129"/>
      <c r="AW8" s="129"/>
      <c r="AX8" s="129"/>
      <c r="AY8" s="129"/>
      <c r="AZ8" s="132"/>
      <c r="BA8" s="132"/>
      <c r="BB8" s="132"/>
      <c r="BC8" s="132"/>
      <c r="BD8" s="132"/>
      <c r="BE8" s="132"/>
      <c r="BF8" s="132"/>
      <c r="BG8" s="132"/>
      <c r="BH8" s="132"/>
      <c r="BI8" s="132"/>
      <c r="BJ8" s="132"/>
      <c r="BK8" s="132"/>
      <c r="BL8" s="132"/>
      <c r="BM8" s="132"/>
      <c r="BN8" s="132"/>
      <c r="BO8" s="132"/>
      <c r="BP8" s="132"/>
      <c r="BQ8" s="132"/>
      <c r="BR8" s="132"/>
      <c r="BS8" s="132"/>
      <c r="BT8" s="132"/>
      <c r="BU8" s="132"/>
      <c r="BV8" s="132"/>
      <c r="BW8" s="132"/>
      <c r="BX8" s="132"/>
      <c r="BY8" s="132"/>
      <c r="BZ8" s="132"/>
      <c r="CA8" s="132"/>
      <c r="CB8" s="132"/>
      <c r="CC8" s="132"/>
      <c r="CD8" s="132"/>
      <c r="CE8" s="132"/>
    </row>
    <row r="9" spans="1:83" x14ac:dyDescent="0.25">
      <c r="A9">
        <v>2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33"/>
      <c r="AM9" s="119"/>
      <c r="AN9" s="123"/>
      <c r="AO9" s="123"/>
      <c r="AP9" s="123"/>
      <c r="AQ9" s="119"/>
      <c r="AR9" s="119"/>
      <c r="AS9" s="119"/>
      <c r="AT9" s="119"/>
      <c r="AU9" s="119"/>
      <c r="AV9" s="119"/>
      <c r="AW9" s="119"/>
      <c r="AX9" s="119"/>
      <c r="AY9" s="119"/>
      <c r="AZ9" s="132"/>
      <c r="BA9" s="132"/>
      <c r="BB9" s="132"/>
      <c r="BC9" s="132"/>
      <c r="BD9" s="132"/>
      <c r="BE9" s="132"/>
      <c r="BF9" s="132"/>
      <c r="BG9" s="132"/>
      <c r="BH9" s="132"/>
      <c r="BI9" s="132"/>
      <c r="BJ9" s="132"/>
      <c r="BK9" s="132"/>
      <c r="BL9" s="132"/>
      <c r="BM9" s="132"/>
      <c r="BN9" s="132"/>
      <c r="BO9" s="132"/>
      <c r="BP9" s="132"/>
      <c r="BQ9" s="132"/>
      <c r="BR9" s="132"/>
      <c r="BS9" s="132"/>
      <c r="BT9" s="132"/>
      <c r="BU9" s="132"/>
      <c r="BV9" s="132"/>
      <c r="BW9" s="132"/>
      <c r="BX9" s="132"/>
      <c r="BY9" s="132"/>
      <c r="BZ9" s="132"/>
      <c r="CA9" s="132"/>
      <c r="CB9" s="132"/>
      <c r="CC9" s="132"/>
      <c r="CD9" s="132"/>
      <c r="CE9" s="132"/>
    </row>
    <row r="10" spans="1:83" x14ac:dyDescent="0.25">
      <c r="A10">
        <v>3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23"/>
      <c r="AF10" s="123"/>
      <c r="AG10" s="132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32"/>
      <c r="BA10" s="132"/>
      <c r="BB10" s="132"/>
      <c r="BC10" s="132"/>
      <c r="BD10" s="132"/>
      <c r="BE10" s="132"/>
      <c r="BF10" s="132"/>
      <c r="BG10" s="132"/>
      <c r="BH10" s="132"/>
      <c r="BI10" s="132"/>
      <c r="BJ10" s="132"/>
      <c r="BK10" s="132"/>
      <c r="BL10" s="132"/>
      <c r="BM10" s="132"/>
      <c r="BN10" s="132"/>
      <c r="BO10" s="132"/>
      <c r="BP10" s="132"/>
      <c r="BQ10" s="132"/>
      <c r="BR10" s="132"/>
      <c r="BS10" s="132"/>
      <c r="BT10" s="132"/>
      <c r="BU10" s="132"/>
      <c r="BV10" s="132"/>
      <c r="BW10" s="132"/>
      <c r="BX10" s="132"/>
      <c r="BY10" s="132"/>
      <c r="BZ10" s="132"/>
      <c r="CA10" s="132"/>
      <c r="CB10" s="132"/>
      <c r="CC10" s="132"/>
      <c r="CD10" s="132"/>
      <c r="CE10" s="132"/>
    </row>
    <row r="11" spans="1:83" x14ac:dyDescent="0.25">
      <c r="A11">
        <v>4</v>
      </c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33"/>
      <c r="AM11" s="119"/>
      <c r="AN11" s="123"/>
      <c r="AO11" s="123"/>
      <c r="AP11" s="123"/>
      <c r="AQ11" s="119"/>
      <c r="AR11" s="119"/>
      <c r="AS11" s="119"/>
      <c r="AT11" s="119"/>
      <c r="AU11" s="119"/>
      <c r="AV11" s="119"/>
      <c r="AW11" s="119"/>
      <c r="AX11" s="119"/>
      <c r="AY11" s="119"/>
      <c r="AZ11" s="132"/>
      <c r="BA11" s="132"/>
      <c r="BB11" s="132"/>
      <c r="BC11" s="132"/>
      <c r="BD11" s="132"/>
      <c r="BE11" s="132"/>
      <c r="BF11" s="132"/>
      <c r="BG11" s="132"/>
      <c r="BH11" s="132"/>
      <c r="BI11" s="132"/>
      <c r="BJ11" s="132"/>
      <c r="BK11" s="132"/>
      <c r="BL11" s="132"/>
      <c r="BM11" s="132"/>
      <c r="BN11" s="132"/>
      <c r="BO11" s="132"/>
      <c r="BP11" s="132"/>
      <c r="BQ11" s="132"/>
      <c r="BR11" s="132"/>
      <c r="BS11" s="132"/>
      <c r="BT11" s="132"/>
      <c r="BU11" s="132"/>
      <c r="BV11" s="132"/>
      <c r="BW11" s="132"/>
      <c r="BX11" s="132"/>
      <c r="BY11" s="132"/>
      <c r="BZ11" s="132"/>
      <c r="CA11" s="132"/>
      <c r="CB11" s="132"/>
      <c r="CC11" s="132"/>
      <c r="CD11" s="132"/>
      <c r="CE11" s="132"/>
    </row>
    <row r="12" spans="1:83" x14ac:dyDescent="0.25">
      <c r="A12">
        <v>5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32"/>
      <c r="BA12" s="132"/>
      <c r="BB12" s="132"/>
      <c r="BC12" s="132"/>
      <c r="BD12" s="132"/>
      <c r="BE12" s="132"/>
      <c r="BF12" s="132"/>
      <c r="BG12" s="132"/>
      <c r="BH12" s="132"/>
      <c r="BI12" s="132"/>
      <c r="BJ12" s="132"/>
      <c r="BK12" s="132"/>
      <c r="BL12" s="132"/>
      <c r="BM12" s="132"/>
      <c r="BN12" s="132"/>
      <c r="BO12" s="132"/>
      <c r="BP12" s="132"/>
      <c r="BQ12" s="132"/>
      <c r="BR12" s="132"/>
      <c r="BS12" s="132"/>
      <c r="BT12" s="132"/>
      <c r="BU12" s="132"/>
      <c r="BV12" s="132"/>
      <c r="BW12" s="132"/>
      <c r="BX12" s="132"/>
      <c r="BY12" s="132"/>
      <c r="BZ12" s="132"/>
      <c r="CA12" s="132"/>
      <c r="CB12" s="132"/>
      <c r="CC12" s="132"/>
      <c r="CD12" s="132"/>
      <c r="CE12" s="132"/>
    </row>
    <row r="13" spans="1:83" x14ac:dyDescent="0.25">
      <c r="A13">
        <v>6</v>
      </c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33"/>
      <c r="AM13" s="119"/>
      <c r="AN13" s="123"/>
      <c r="AO13" s="123"/>
      <c r="AP13" s="123"/>
      <c r="AQ13" s="119"/>
      <c r="AR13" s="119"/>
      <c r="AS13" s="119"/>
      <c r="AT13" s="119"/>
      <c r="AU13" s="119"/>
      <c r="AV13" s="119"/>
      <c r="AW13" s="119"/>
      <c r="AX13" s="119"/>
      <c r="AY13" s="119"/>
      <c r="AZ13" s="132"/>
      <c r="BA13" s="132"/>
      <c r="BB13" s="132"/>
      <c r="BC13" s="132"/>
      <c r="BD13" s="132"/>
      <c r="BE13" s="132"/>
      <c r="BF13" s="132"/>
      <c r="BG13" s="132"/>
      <c r="BH13" s="132"/>
      <c r="BI13" s="132"/>
      <c r="BJ13" s="132"/>
      <c r="BK13" s="132"/>
      <c r="BL13" s="132"/>
      <c r="BM13" s="132"/>
      <c r="BN13" s="132"/>
      <c r="BO13" s="132"/>
      <c r="BP13" s="132"/>
      <c r="BQ13" s="132"/>
      <c r="BR13" s="132"/>
      <c r="BS13" s="132"/>
      <c r="BT13" s="132"/>
      <c r="BU13" s="132"/>
      <c r="BV13" s="132"/>
      <c r="BW13" s="132"/>
      <c r="BX13" s="132"/>
      <c r="BY13" s="132"/>
      <c r="BZ13" s="132"/>
      <c r="CA13" s="132"/>
      <c r="CB13" s="132"/>
      <c r="CC13" s="132"/>
      <c r="CD13" s="132"/>
      <c r="CE13" s="132"/>
    </row>
    <row r="14" spans="1:83" x14ac:dyDescent="0.25">
      <c r="A14">
        <v>7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33"/>
      <c r="AM14" s="119"/>
      <c r="AN14" s="123"/>
      <c r="AO14" s="123"/>
      <c r="AP14" s="123"/>
      <c r="AQ14" s="119"/>
      <c r="AR14" s="119"/>
      <c r="AS14" s="119"/>
      <c r="AT14" s="119"/>
      <c r="AU14" s="119"/>
      <c r="AV14" s="119"/>
      <c r="AW14" s="119"/>
      <c r="AX14" s="119"/>
      <c r="AY14" s="119"/>
      <c r="AZ14" s="132"/>
      <c r="BA14" s="132"/>
      <c r="BB14" s="132"/>
      <c r="BC14" s="132"/>
      <c r="BD14" s="132"/>
      <c r="BE14" s="132"/>
      <c r="BF14" s="132"/>
      <c r="BG14" s="132"/>
      <c r="BH14" s="132"/>
      <c r="BI14" s="132"/>
      <c r="BJ14" s="132"/>
      <c r="BK14" s="132"/>
      <c r="BL14" s="132"/>
      <c r="BM14" s="132"/>
      <c r="BN14" s="132"/>
      <c r="BO14" s="132"/>
      <c r="BP14" s="132"/>
      <c r="BQ14" s="132"/>
      <c r="BR14" s="132"/>
      <c r="BS14" s="132"/>
      <c r="BT14" s="132"/>
      <c r="BU14" s="132"/>
      <c r="BV14" s="132"/>
      <c r="BW14" s="132"/>
      <c r="BX14" s="132"/>
      <c r="BY14" s="132"/>
      <c r="BZ14" s="132"/>
      <c r="CA14" s="132"/>
      <c r="CB14" s="132"/>
      <c r="CC14" s="132"/>
      <c r="CD14" s="132"/>
      <c r="CE14" s="132"/>
    </row>
    <row r="15" spans="1:83" x14ac:dyDescent="0.25">
      <c r="A15">
        <v>8</v>
      </c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33"/>
      <c r="AM15" s="119"/>
      <c r="AN15" s="123"/>
      <c r="AO15" s="123"/>
      <c r="AP15" s="123"/>
      <c r="AQ15" s="119"/>
      <c r="AR15" s="119"/>
      <c r="AS15" s="119"/>
      <c r="AT15" s="119"/>
      <c r="AU15" s="119"/>
      <c r="AV15" s="119"/>
      <c r="AW15" s="119"/>
      <c r="AX15" s="119"/>
      <c r="AY15" s="119"/>
      <c r="AZ15" s="132"/>
      <c r="BA15" s="132"/>
      <c r="BB15" s="132"/>
      <c r="BC15" s="132"/>
      <c r="BD15" s="132"/>
      <c r="BE15" s="132"/>
      <c r="BF15" s="132"/>
      <c r="BG15" s="132"/>
      <c r="BH15" s="132"/>
      <c r="BI15" s="132"/>
      <c r="BJ15" s="132"/>
      <c r="BK15" s="132"/>
      <c r="BL15" s="132"/>
      <c r="BM15" s="132"/>
      <c r="BN15" s="132"/>
      <c r="BO15" s="132"/>
      <c r="BP15" s="132"/>
      <c r="BQ15" s="132"/>
      <c r="BR15" s="132"/>
      <c r="BS15" s="132"/>
      <c r="BT15" s="132"/>
      <c r="BU15" s="132"/>
      <c r="BV15" s="132"/>
      <c r="BW15" s="132"/>
      <c r="BX15" s="132"/>
      <c r="BY15" s="132"/>
      <c r="BZ15" s="132"/>
      <c r="CA15" s="132"/>
      <c r="CB15" s="132"/>
      <c r="CC15" s="132"/>
      <c r="CD15" s="132"/>
      <c r="CE15" s="132"/>
    </row>
    <row r="16" spans="1:83" x14ac:dyDescent="0.25">
      <c r="A16">
        <v>9</v>
      </c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33"/>
      <c r="AM16" s="119"/>
      <c r="AN16" s="123"/>
      <c r="AO16" s="123"/>
      <c r="AP16" s="123"/>
      <c r="AQ16" s="119"/>
      <c r="AR16" s="119"/>
      <c r="AS16" s="119"/>
      <c r="AT16" s="119"/>
      <c r="AU16" s="119"/>
      <c r="AV16" s="119"/>
      <c r="AW16" s="119"/>
      <c r="AX16" s="119"/>
      <c r="AY16" s="119"/>
      <c r="AZ16" s="132"/>
      <c r="BA16" s="132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132"/>
      <c r="BV16" s="132"/>
      <c r="BW16" s="132"/>
      <c r="BX16" s="132"/>
      <c r="BY16" s="132"/>
      <c r="BZ16" s="132"/>
      <c r="CA16" s="132"/>
      <c r="CB16" s="132"/>
      <c r="CC16" s="132"/>
      <c r="CD16" s="132"/>
      <c r="CE16" s="132"/>
    </row>
    <row r="17" spans="1:83" x14ac:dyDescent="0.25">
      <c r="A17">
        <v>10</v>
      </c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33"/>
      <c r="AM17" s="119"/>
      <c r="AN17" s="123"/>
      <c r="AO17" s="123"/>
      <c r="AP17" s="123"/>
      <c r="AQ17" s="119"/>
      <c r="AR17" s="119"/>
      <c r="AS17" s="119"/>
      <c r="AT17" s="119"/>
      <c r="AU17" s="119"/>
      <c r="AV17" s="119"/>
      <c r="AW17" s="119"/>
      <c r="AX17" s="119"/>
      <c r="AY17" s="119"/>
      <c r="AZ17" s="132"/>
      <c r="BA17" s="132"/>
      <c r="BB17" s="132"/>
      <c r="BC17" s="132"/>
      <c r="BD17" s="132"/>
      <c r="BE17" s="132"/>
      <c r="BF17" s="132"/>
      <c r="BG17" s="132"/>
      <c r="BH17" s="132"/>
      <c r="BI17" s="132"/>
      <c r="BJ17" s="132"/>
      <c r="BK17" s="132"/>
      <c r="BL17" s="132"/>
      <c r="BM17" s="132"/>
      <c r="BN17" s="132"/>
      <c r="BO17" s="132"/>
      <c r="BP17" s="132"/>
      <c r="BQ17" s="132"/>
      <c r="BR17" s="132"/>
      <c r="BS17" s="132"/>
      <c r="BT17" s="132"/>
      <c r="BU17" s="132"/>
      <c r="BV17" s="132"/>
      <c r="BW17" s="132"/>
      <c r="BX17" s="132"/>
      <c r="BY17" s="132"/>
      <c r="BZ17" s="132"/>
      <c r="CA17" s="132"/>
      <c r="CB17" s="132"/>
      <c r="CC17" s="132"/>
      <c r="CD17" s="132"/>
      <c r="CE17" s="132"/>
    </row>
    <row r="18" spans="1:83" x14ac:dyDescent="0.25">
      <c r="A18">
        <v>11</v>
      </c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33"/>
      <c r="AM18" s="119"/>
      <c r="AN18" s="123"/>
      <c r="AO18" s="123"/>
      <c r="AP18" s="123"/>
      <c r="AQ18" s="119"/>
      <c r="AR18" s="119"/>
      <c r="AS18" s="119"/>
      <c r="AT18" s="119"/>
      <c r="AU18" s="119"/>
      <c r="AV18" s="119"/>
      <c r="AW18" s="119"/>
      <c r="AX18" s="119"/>
      <c r="AY18" s="119"/>
      <c r="AZ18" s="132"/>
      <c r="BA18" s="132"/>
      <c r="BB18" s="132"/>
      <c r="BC18" s="132"/>
      <c r="BD18" s="132"/>
      <c r="BE18" s="132"/>
      <c r="BF18" s="132"/>
      <c r="BG18" s="132"/>
      <c r="BH18" s="132"/>
      <c r="BI18" s="132"/>
      <c r="BJ18" s="132"/>
      <c r="BK18" s="132"/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2"/>
      <c r="BZ18" s="132"/>
      <c r="CA18" s="132"/>
      <c r="CB18" s="132"/>
      <c r="CC18" s="132"/>
      <c r="CD18" s="132"/>
      <c r="CE18" s="132"/>
    </row>
    <row r="19" spans="1:83" x14ac:dyDescent="0.25">
      <c r="A19">
        <v>12</v>
      </c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33"/>
      <c r="AM19" s="119"/>
      <c r="AN19" s="123"/>
      <c r="AO19" s="123"/>
      <c r="AP19" s="123"/>
      <c r="AQ19" s="119"/>
      <c r="AR19" s="119"/>
      <c r="AS19" s="119"/>
      <c r="AT19" s="119"/>
      <c r="AU19" s="119"/>
      <c r="AV19" s="119"/>
      <c r="AW19" s="119"/>
      <c r="AX19" s="119"/>
      <c r="AY19" s="119"/>
      <c r="AZ19" s="132"/>
      <c r="BA19" s="132"/>
      <c r="BB19" s="132"/>
      <c r="BC19" s="132"/>
      <c r="BD19" s="132"/>
      <c r="BE19" s="132"/>
      <c r="BF19" s="132"/>
      <c r="BG19" s="132"/>
      <c r="BH19" s="132"/>
      <c r="BI19" s="132"/>
      <c r="BJ19" s="132"/>
      <c r="BK19" s="132"/>
      <c r="BL19" s="132"/>
      <c r="BM19" s="132"/>
      <c r="BN19" s="132"/>
      <c r="BO19" s="132"/>
      <c r="BP19" s="132"/>
      <c r="BQ19" s="132"/>
      <c r="BR19" s="132"/>
      <c r="BS19" s="132"/>
      <c r="BT19" s="132"/>
      <c r="BU19" s="132"/>
      <c r="BV19" s="132"/>
      <c r="BW19" s="132"/>
      <c r="BX19" s="132"/>
      <c r="BY19" s="132"/>
      <c r="BZ19" s="132"/>
      <c r="CA19" s="132"/>
      <c r="CB19" s="132"/>
      <c r="CC19" s="132"/>
      <c r="CD19" s="132"/>
      <c r="CE19" s="132"/>
    </row>
    <row r="20" spans="1:83" x14ac:dyDescent="0.25">
      <c r="A20">
        <v>13</v>
      </c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23"/>
      <c r="AK20" s="123"/>
      <c r="AL20" s="13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32"/>
      <c r="BA20" s="132"/>
      <c r="BB20" s="132"/>
      <c r="BC20" s="132"/>
      <c r="BD20" s="132"/>
      <c r="BE20" s="132"/>
      <c r="BF20" s="132"/>
      <c r="BG20" s="132"/>
      <c r="BH20" s="132"/>
      <c r="BI20" s="132"/>
      <c r="BJ20" s="132"/>
      <c r="BK20" s="132"/>
      <c r="BL20" s="132"/>
      <c r="BM20" s="132"/>
      <c r="BN20" s="132"/>
      <c r="BO20" s="132"/>
      <c r="BP20" s="132"/>
      <c r="BQ20" s="132"/>
      <c r="BR20" s="132"/>
      <c r="BS20" s="132"/>
      <c r="BT20" s="132"/>
      <c r="BU20" s="132"/>
      <c r="BV20" s="132"/>
      <c r="BW20" s="132"/>
      <c r="BX20" s="132"/>
      <c r="BY20" s="132"/>
      <c r="BZ20" s="132"/>
      <c r="CA20" s="132"/>
      <c r="CB20" s="132"/>
      <c r="CC20" s="132"/>
      <c r="CD20" s="132"/>
      <c r="CE20" s="132"/>
    </row>
    <row r="21" spans="1:83" x14ac:dyDescent="0.25">
      <c r="A21">
        <v>14</v>
      </c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23"/>
      <c r="AK21" s="123"/>
      <c r="AL21" s="13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32"/>
      <c r="BA21" s="132"/>
      <c r="BB21" s="132"/>
      <c r="BC21" s="132"/>
      <c r="BD21" s="132"/>
      <c r="BE21" s="132"/>
      <c r="BF21" s="132"/>
      <c r="BG21" s="132"/>
      <c r="BH21" s="132"/>
      <c r="BI21" s="132"/>
      <c r="BJ21" s="132"/>
      <c r="BK21" s="132"/>
      <c r="BL21" s="132"/>
      <c r="BM21" s="132"/>
      <c r="BN21" s="132"/>
      <c r="BO21" s="132"/>
      <c r="BP21" s="132"/>
      <c r="BQ21" s="132"/>
      <c r="BR21" s="132"/>
      <c r="BS21" s="132"/>
      <c r="BT21" s="132"/>
      <c r="BU21" s="132"/>
      <c r="BV21" s="132"/>
      <c r="BW21" s="132"/>
      <c r="BX21" s="132"/>
      <c r="BY21" s="132"/>
      <c r="BZ21" s="132"/>
      <c r="CA21" s="132"/>
      <c r="CB21" s="132"/>
      <c r="CC21" s="132"/>
      <c r="CD21" s="132"/>
      <c r="CE21" s="132"/>
    </row>
    <row r="22" spans="1:83" x14ac:dyDescent="0.25">
      <c r="A22">
        <v>15</v>
      </c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23"/>
      <c r="AK22" s="123"/>
      <c r="AL22" s="13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32"/>
      <c r="BA22" s="132"/>
      <c r="BB22" s="132"/>
      <c r="BC22" s="132"/>
      <c r="BD22" s="132"/>
      <c r="BE22" s="132"/>
      <c r="BF22" s="132"/>
      <c r="BG22" s="132"/>
      <c r="BH22" s="132"/>
      <c r="BI22" s="132"/>
      <c r="BJ22" s="132"/>
      <c r="BK22" s="132"/>
      <c r="BL22" s="132"/>
      <c r="BM22" s="132"/>
      <c r="BN22" s="132"/>
      <c r="BO22" s="132"/>
      <c r="BP22" s="132"/>
      <c r="BQ22" s="132"/>
      <c r="BR22" s="132"/>
      <c r="BS22" s="132"/>
      <c r="BT22" s="132"/>
      <c r="BU22" s="132"/>
      <c r="BV22" s="132"/>
      <c r="BW22" s="132"/>
      <c r="BX22" s="132"/>
      <c r="BY22" s="132"/>
      <c r="BZ22" s="132"/>
      <c r="CA22" s="132"/>
      <c r="CB22" s="132"/>
      <c r="CC22" s="132"/>
      <c r="CD22" s="132"/>
      <c r="CE22" s="132"/>
    </row>
    <row r="23" spans="1:83" x14ac:dyDescent="0.25">
      <c r="A23">
        <v>16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33"/>
      <c r="AM23" s="119"/>
      <c r="AN23" s="123"/>
      <c r="AO23" s="123"/>
      <c r="AP23" s="123"/>
      <c r="AQ23" s="119"/>
      <c r="AR23" s="119"/>
      <c r="AS23" s="119"/>
      <c r="AT23" s="119"/>
      <c r="AU23" s="119"/>
      <c r="AV23" s="119"/>
      <c r="AW23" s="119"/>
      <c r="AX23" s="119"/>
      <c r="AY23" s="119"/>
      <c r="AZ23" s="132"/>
      <c r="BA23" s="132"/>
      <c r="BB23" s="132"/>
      <c r="BC23" s="132"/>
      <c r="BD23" s="132"/>
      <c r="BE23" s="132"/>
      <c r="BF23" s="132"/>
      <c r="BG23" s="132"/>
      <c r="BH23" s="132"/>
      <c r="BI23" s="132"/>
      <c r="BJ23" s="132"/>
      <c r="BK23" s="132"/>
      <c r="BL23" s="132"/>
      <c r="BM23" s="132"/>
      <c r="BN23" s="132"/>
      <c r="BO23" s="132"/>
      <c r="BP23" s="132"/>
      <c r="BQ23" s="132"/>
      <c r="BR23" s="132"/>
      <c r="BS23" s="132"/>
      <c r="BT23" s="132"/>
      <c r="BU23" s="132"/>
      <c r="BV23" s="132"/>
      <c r="BW23" s="132"/>
      <c r="BX23" s="132"/>
      <c r="BY23" s="132"/>
      <c r="BZ23" s="132"/>
      <c r="CA23" s="132"/>
      <c r="CB23" s="132"/>
      <c r="CC23" s="132"/>
      <c r="CD23" s="132"/>
      <c r="CE23" s="132"/>
    </row>
    <row r="24" spans="1:83" x14ac:dyDescent="0.25">
      <c r="A24">
        <v>17</v>
      </c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33"/>
      <c r="AM24" s="119"/>
      <c r="AN24" s="123"/>
      <c r="AO24" s="123"/>
      <c r="AP24" s="123"/>
      <c r="AQ24" s="119"/>
      <c r="AR24" s="119"/>
      <c r="AS24" s="119"/>
      <c r="AT24" s="119"/>
      <c r="AU24" s="119"/>
      <c r="AV24" s="119"/>
      <c r="AW24" s="119"/>
      <c r="AX24" s="119"/>
      <c r="AY24" s="119"/>
      <c r="AZ24" s="132"/>
      <c r="BA24" s="132"/>
      <c r="BB24" s="132"/>
      <c r="BC24" s="132"/>
      <c r="BD24" s="132"/>
      <c r="BE24" s="132"/>
      <c r="BF24" s="132"/>
      <c r="BG24" s="132"/>
      <c r="BH24" s="132"/>
      <c r="BI24" s="132"/>
      <c r="BJ24" s="132"/>
      <c r="BK24" s="132"/>
      <c r="BL24" s="132"/>
      <c r="BM24" s="132"/>
      <c r="BN24" s="132"/>
      <c r="BO24" s="132"/>
      <c r="BP24" s="132"/>
      <c r="BQ24" s="132"/>
      <c r="BR24" s="132"/>
      <c r="BS24" s="132"/>
      <c r="BT24" s="132"/>
      <c r="BU24" s="132"/>
      <c r="BV24" s="132"/>
      <c r="BW24" s="132"/>
      <c r="BX24" s="132"/>
      <c r="BY24" s="132"/>
      <c r="BZ24" s="132"/>
      <c r="CA24" s="132"/>
      <c r="CB24" s="132"/>
      <c r="CC24" s="132"/>
      <c r="CD24" s="132"/>
      <c r="CE24" s="132"/>
    </row>
    <row r="25" spans="1:83" x14ac:dyDescent="0.25">
      <c r="A25">
        <v>18</v>
      </c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33"/>
      <c r="AM25" s="119"/>
      <c r="AN25" s="123"/>
      <c r="AO25" s="123"/>
      <c r="AP25" s="123"/>
      <c r="AQ25" s="119"/>
      <c r="AR25" s="119"/>
      <c r="AS25" s="119"/>
      <c r="AT25" s="119"/>
      <c r="AU25" s="119"/>
      <c r="AV25" s="119"/>
      <c r="AW25" s="119"/>
      <c r="AX25" s="119"/>
      <c r="AY25" s="119"/>
      <c r="AZ25" s="132"/>
      <c r="BA25" s="132"/>
      <c r="BB25" s="132"/>
      <c r="BC25" s="132"/>
      <c r="BD25" s="132"/>
      <c r="BE25" s="132"/>
      <c r="BF25" s="132"/>
      <c r="BG25" s="132"/>
      <c r="BH25" s="132"/>
      <c r="BI25" s="132"/>
      <c r="BJ25" s="132"/>
      <c r="BK25" s="132"/>
      <c r="BL25" s="132"/>
      <c r="BM25" s="132"/>
      <c r="BN25" s="132"/>
      <c r="BO25" s="132"/>
      <c r="BP25" s="132"/>
      <c r="BQ25" s="132"/>
      <c r="BR25" s="132"/>
      <c r="BS25" s="132"/>
      <c r="BT25" s="132"/>
      <c r="BU25" s="132"/>
      <c r="BV25" s="132"/>
      <c r="BW25" s="132"/>
      <c r="BX25" s="132"/>
      <c r="BY25" s="132"/>
      <c r="BZ25" s="132"/>
      <c r="CA25" s="132"/>
      <c r="CB25" s="132"/>
      <c r="CC25" s="132"/>
      <c r="CD25" s="132"/>
      <c r="CE25" s="132"/>
    </row>
    <row r="26" spans="1:83" x14ac:dyDescent="0.25">
      <c r="A26">
        <v>19</v>
      </c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33"/>
      <c r="AM26" s="119"/>
      <c r="AN26" s="123"/>
      <c r="AO26" s="123"/>
      <c r="AP26" s="123"/>
      <c r="AQ26" s="119"/>
      <c r="AR26" s="119"/>
      <c r="AS26" s="119"/>
      <c r="AT26" s="119"/>
      <c r="AU26" s="119"/>
      <c r="AV26" s="119"/>
      <c r="AW26" s="119"/>
      <c r="AX26" s="119"/>
      <c r="AY26" s="119"/>
      <c r="AZ26" s="132"/>
      <c r="BA26" s="132"/>
      <c r="BB26" s="132"/>
      <c r="BC26" s="132"/>
      <c r="BD26" s="132"/>
      <c r="BE26" s="132"/>
      <c r="BF26" s="132"/>
      <c r="BG26" s="132"/>
      <c r="BH26" s="132"/>
      <c r="BI26" s="132"/>
      <c r="BJ26" s="132"/>
      <c r="BK26" s="132"/>
      <c r="BL26" s="132"/>
      <c r="BM26" s="132"/>
      <c r="BN26" s="132"/>
      <c r="BO26" s="132"/>
      <c r="BP26" s="132"/>
      <c r="BQ26" s="132"/>
      <c r="BR26" s="132"/>
      <c r="BS26" s="132"/>
      <c r="BT26" s="132"/>
      <c r="BU26" s="132"/>
      <c r="BV26" s="132"/>
      <c r="BW26" s="132"/>
      <c r="BX26" s="132"/>
      <c r="BY26" s="132"/>
      <c r="BZ26" s="132"/>
      <c r="CA26" s="132"/>
      <c r="CB26" s="132"/>
      <c r="CC26" s="132"/>
      <c r="CD26" s="132"/>
      <c r="CE26" s="132"/>
    </row>
    <row r="27" spans="1:83" x14ac:dyDescent="0.25">
      <c r="A27">
        <v>20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33"/>
      <c r="AM27" s="119"/>
      <c r="AN27" s="123"/>
      <c r="AO27" s="123"/>
      <c r="AP27" s="123"/>
      <c r="AQ27" s="119"/>
      <c r="AR27" s="119"/>
      <c r="AS27" s="119"/>
      <c r="AT27" s="119"/>
      <c r="AU27" s="119"/>
      <c r="AV27" s="119"/>
      <c r="AW27" s="119"/>
      <c r="AX27" s="119"/>
      <c r="AY27" s="119"/>
      <c r="AZ27" s="132"/>
      <c r="BA27" s="132"/>
      <c r="BB27" s="132"/>
      <c r="BC27" s="132"/>
      <c r="BD27" s="132"/>
      <c r="BE27" s="132"/>
      <c r="BF27" s="132"/>
      <c r="BG27" s="132"/>
      <c r="BH27" s="132"/>
      <c r="BI27" s="132"/>
      <c r="BJ27" s="132"/>
      <c r="BK27" s="132"/>
      <c r="BL27" s="132"/>
      <c r="BM27" s="132"/>
      <c r="BN27" s="132"/>
      <c r="BO27" s="132"/>
      <c r="BP27" s="132"/>
      <c r="BQ27" s="132"/>
      <c r="BR27" s="132"/>
      <c r="BS27" s="132"/>
      <c r="BT27" s="132"/>
      <c r="BU27" s="132"/>
      <c r="BV27" s="132"/>
      <c r="BW27" s="132"/>
      <c r="BX27" s="132"/>
      <c r="BY27" s="132"/>
      <c r="BZ27" s="132"/>
      <c r="CA27" s="132"/>
      <c r="CB27" s="132"/>
      <c r="CC27" s="132"/>
      <c r="CD27" s="132"/>
      <c r="CE27" s="132"/>
    </row>
    <row r="28" spans="1:83" x14ac:dyDescent="0.25">
      <c r="A28">
        <v>21</v>
      </c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33"/>
      <c r="AM28" s="119"/>
      <c r="AN28" s="123"/>
      <c r="AO28" s="123"/>
      <c r="AP28" s="123"/>
      <c r="AQ28" s="119"/>
      <c r="AR28" s="119"/>
      <c r="AS28" s="119"/>
      <c r="AT28" s="119"/>
      <c r="AU28" s="119"/>
      <c r="AV28" s="119"/>
      <c r="AW28" s="119"/>
      <c r="AX28" s="119"/>
      <c r="AY28" s="119"/>
      <c r="AZ28" s="132"/>
      <c r="BA28" s="132"/>
      <c r="BB28" s="132"/>
      <c r="BC28" s="132"/>
      <c r="BD28" s="132"/>
      <c r="BE28" s="132"/>
      <c r="BF28" s="132"/>
      <c r="BG28" s="132"/>
      <c r="BH28" s="132"/>
      <c r="BI28" s="132"/>
      <c r="BJ28" s="132"/>
      <c r="BK28" s="132"/>
      <c r="BL28" s="132"/>
      <c r="BM28" s="132"/>
      <c r="BN28" s="132"/>
      <c r="BO28" s="132"/>
      <c r="BP28" s="132"/>
      <c r="BQ28" s="132"/>
      <c r="BR28" s="132"/>
      <c r="BS28" s="132"/>
      <c r="BT28" s="132"/>
      <c r="BU28" s="132"/>
      <c r="BV28" s="132"/>
      <c r="BW28" s="132"/>
      <c r="BX28" s="132"/>
      <c r="BY28" s="132"/>
      <c r="BZ28" s="132"/>
      <c r="CA28" s="132"/>
      <c r="CB28" s="132"/>
      <c r="CC28" s="132"/>
      <c r="CD28" s="132"/>
      <c r="CE28" s="132"/>
    </row>
    <row r="29" spans="1:83" x14ac:dyDescent="0.25">
      <c r="A29">
        <v>22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33"/>
      <c r="AM29" s="119"/>
      <c r="AN29" s="123"/>
      <c r="AO29" s="123"/>
      <c r="AP29" s="123"/>
      <c r="AQ29" s="119"/>
      <c r="AR29" s="119"/>
      <c r="AS29" s="119"/>
      <c r="AT29" s="119"/>
      <c r="AU29" s="119"/>
      <c r="AV29" s="119"/>
      <c r="AW29" s="119"/>
      <c r="AX29" s="119"/>
      <c r="AY29" s="119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  <c r="CC29" s="132"/>
      <c r="CD29" s="132"/>
      <c r="CE29" s="132"/>
    </row>
    <row r="30" spans="1:83" x14ac:dyDescent="0.25">
      <c r="A30">
        <v>23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33"/>
      <c r="AM30" s="119"/>
      <c r="AN30" s="123"/>
      <c r="AO30" s="123"/>
      <c r="AP30" s="123"/>
      <c r="AQ30" s="119"/>
      <c r="AR30" s="123"/>
      <c r="AS30" s="119"/>
      <c r="AT30" s="119"/>
      <c r="AU30" s="119"/>
      <c r="AV30" s="119"/>
      <c r="AW30" s="119"/>
      <c r="AX30" s="119"/>
      <c r="AY30" s="119"/>
      <c r="AZ30" s="132"/>
      <c r="BA30" s="132"/>
      <c r="BB30" s="132"/>
      <c r="BC30" s="132"/>
      <c r="BD30" s="132"/>
      <c r="BE30" s="132"/>
      <c r="BF30" s="132"/>
      <c r="BG30" s="132"/>
      <c r="BH30" s="132"/>
      <c r="BI30" s="132"/>
      <c r="BJ30" s="132"/>
      <c r="BK30" s="132"/>
      <c r="BL30" s="132"/>
      <c r="BM30" s="132"/>
      <c r="BN30" s="132"/>
      <c r="BO30" s="132"/>
      <c r="BP30" s="132"/>
      <c r="BQ30" s="132"/>
      <c r="BR30" s="132"/>
      <c r="BS30" s="132"/>
      <c r="BT30" s="132"/>
      <c r="BU30" s="132"/>
      <c r="BV30" s="132"/>
      <c r="BW30" s="132"/>
      <c r="BX30" s="132"/>
      <c r="BY30" s="132"/>
      <c r="BZ30" s="132"/>
      <c r="CA30" s="132"/>
      <c r="CB30" s="132"/>
      <c r="CC30" s="132"/>
      <c r="CD30" s="132"/>
      <c r="CE30" s="132"/>
    </row>
    <row r="31" spans="1:83" x14ac:dyDescent="0.25">
      <c r="A31">
        <v>24</v>
      </c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33"/>
      <c r="AM31" s="119"/>
      <c r="AN31" s="123"/>
      <c r="AO31" s="123"/>
      <c r="AP31" s="123"/>
      <c r="AQ31" s="119"/>
      <c r="AR31" s="119"/>
      <c r="AS31" s="119"/>
      <c r="AT31" s="119"/>
      <c r="AU31" s="119"/>
      <c r="AV31" s="119"/>
      <c r="AW31" s="119"/>
      <c r="AX31" s="119"/>
      <c r="AY31" s="119"/>
      <c r="AZ31" s="132"/>
      <c r="BA31" s="132"/>
      <c r="BB31" s="132"/>
      <c r="BC31" s="132"/>
      <c r="BD31" s="132"/>
      <c r="BE31" s="132"/>
      <c r="BF31" s="132"/>
      <c r="BG31" s="132"/>
      <c r="BH31" s="132"/>
      <c r="BI31" s="132"/>
      <c r="BJ31" s="132"/>
      <c r="BK31" s="132"/>
      <c r="BL31" s="132"/>
      <c r="BM31" s="132"/>
      <c r="BN31" s="132"/>
      <c r="BO31" s="132"/>
      <c r="BP31" s="132"/>
      <c r="BQ31" s="132"/>
      <c r="BR31" s="132"/>
      <c r="BS31" s="132"/>
      <c r="BT31" s="132"/>
      <c r="BU31" s="132"/>
      <c r="BV31" s="132"/>
      <c r="BW31" s="132"/>
      <c r="BX31" s="132"/>
      <c r="BY31" s="132"/>
      <c r="BZ31" s="132"/>
      <c r="CA31" s="132"/>
      <c r="CB31" s="132"/>
      <c r="CC31" s="132"/>
      <c r="CD31" s="132"/>
      <c r="CE31" s="132"/>
    </row>
    <row r="32" spans="1:83" x14ac:dyDescent="0.25">
      <c r="A32">
        <v>25</v>
      </c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33"/>
      <c r="AM32" s="119"/>
      <c r="AN32" s="123"/>
      <c r="AO32" s="123"/>
      <c r="AP32" s="123"/>
      <c r="AQ32" s="119"/>
      <c r="AR32" s="119"/>
      <c r="AS32" s="119"/>
      <c r="AT32" s="119"/>
      <c r="AU32" s="119"/>
      <c r="AV32" s="119"/>
      <c r="AW32" s="119"/>
      <c r="AX32" s="119"/>
      <c r="AY32" s="119"/>
      <c r="AZ32" s="132"/>
      <c r="BA32" s="132"/>
      <c r="BB32" s="132"/>
      <c r="BC32" s="132"/>
      <c r="BD32" s="132"/>
      <c r="BE32" s="132"/>
      <c r="BF32" s="132"/>
      <c r="BG32" s="132"/>
      <c r="BH32" s="132"/>
      <c r="BI32" s="132"/>
      <c r="BJ32" s="132"/>
      <c r="BK32" s="132"/>
      <c r="BL32" s="132"/>
      <c r="BM32" s="132"/>
      <c r="BN32" s="132"/>
      <c r="BO32" s="132"/>
      <c r="BP32" s="132"/>
      <c r="BQ32" s="132"/>
      <c r="BR32" s="132"/>
      <c r="BS32" s="132"/>
      <c r="BT32" s="132"/>
      <c r="BU32" s="132"/>
      <c r="BV32" s="132"/>
      <c r="BW32" s="132"/>
      <c r="BX32" s="132"/>
      <c r="BY32" s="132"/>
      <c r="BZ32" s="132"/>
      <c r="CA32" s="132"/>
      <c r="CB32" s="132"/>
      <c r="CC32" s="132"/>
      <c r="CD32" s="132"/>
      <c r="CE32" s="132"/>
    </row>
    <row r="33" spans="1:83" x14ac:dyDescent="0.25">
      <c r="A33">
        <v>26</v>
      </c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33"/>
      <c r="AM33" s="119"/>
      <c r="AN33" s="123"/>
      <c r="AO33" s="123"/>
      <c r="AP33" s="123"/>
      <c r="AQ33" s="119"/>
      <c r="AR33" s="119"/>
      <c r="AS33" s="119"/>
      <c r="AT33" s="119"/>
      <c r="AU33" s="119"/>
      <c r="AV33" s="119"/>
      <c r="AW33" s="119"/>
      <c r="AX33" s="119"/>
      <c r="AY33" s="119"/>
      <c r="AZ33" s="132"/>
      <c r="BA33" s="132"/>
      <c r="BB33" s="132"/>
      <c r="BC33" s="132"/>
      <c r="BD33" s="132"/>
      <c r="BE33" s="132"/>
      <c r="BF33" s="132"/>
      <c r="BG33" s="132"/>
      <c r="BH33" s="132"/>
      <c r="BI33" s="132"/>
      <c r="BJ33" s="132"/>
      <c r="BK33" s="132"/>
      <c r="BL33" s="132"/>
      <c r="BM33" s="132"/>
      <c r="BN33" s="132"/>
      <c r="BO33" s="132"/>
      <c r="BP33" s="132"/>
      <c r="BQ33" s="132"/>
      <c r="BR33" s="132"/>
      <c r="BS33" s="132"/>
      <c r="BT33" s="132"/>
      <c r="BU33" s="132"/>
      <c r="BV33" s="132"/>
      <c r="BW33" s="132"/>
      <c r="BX33" s="132"/>
      <c r="BY33" s="132"/>
      <c r="BZ33" s="132"/>
      <c r="CA33" s="132"/>
      <c r="CB33" s="132"/>
      <c r="CC33" s="132"/>
      <c r="CD33" s="132"/>
      <c r="CE33" s="132"/>
    </row>
    <row r="34" spans="1:83" x14ac:dyDescent="0.25">
      <c r="A34">
        <v>27</v>
      </c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33"/>
      <c r="AM34" s="119"/>
      <c r="AN34" s="123"/>
      <c r="AO34" s="123"/>
      <c r="AP34" s="123"/>
      <c r="AQ34" s="119"/>
      <c r="AR34" s="119"/>
      <c r="AS34" s="119"/>
      <c r="AT34" s="119"/>
      <c r="AU34" s="119"/>
      <c r="AV34" s="119"/>
      <c r="AW34" s="119"/>
      <c r="AX34" s="119"/>
      <c r="AY34" s="119"/>
      <c r="AZ34" s="132"/>
      <c r="BA34" s="132"/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2"/>
      <c r="BM34" s="132"/>
      <c r="BN34" s="132"/>
      <c r="BO34" s="132"/>
      <c r="BP34" s="132"/>
      <c r="BQ34" s="132"/>
      <c r="BR34" s="132"/>
      <c r="BS34" s="132"/>
      <c r="BT34" s="132"/>
      <c r="BU34" s="132"/>
      <c r="BV34" s="132"/>
      <c r="BW34" s="132"/>
      <c r="BX34" s="132"/>
      <c r="BY34" s="132"/>
      <c r="BZ34" s="132"/>
      <c r="CA34" s="132"/>
      <c r="CB34" s="132"/>
      <c r="CC34" s="132"/>
      <c r="CD34" s="132"/>
      <c r="CE34" s="132"/>
    </row>
    <row r="35" spans="1:83" x14ac:dyDescent="0.25">
      <c r="A35">
        <v>28</v>
      </c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33"/>
      <c r="AM35" s="119"/>
      <c r="AN35" s="123"/>
      <c r="AO35" s="123"/>
      <c r="AP35" s="123"/>
      <c r="AQ35" s="119"/>
      <c r="AR35" s="119"/>
      <c r="AS35" s="119"/>
      <c r="AT35" s="119"/>
      <c r="AU35" s="119"/>
      <c r="AV35" s="119"/>
      <c r="AW35" s="119"/>
      <c r="AX35" s="119"/>
      <c r="AY35" s="119"/>
      <c r="AZ35" s="132"/>
      <c r="BA35" s="132"/>
      <c r="BB35" s="132"/>
      <c r="BC35" s="132"/>
      <c r="BD35" s="132"/>
      <c r="BE35" s="132"/>
      <c r="BF35" s="132"/>
      <c r="BG35" s="132"/>
      <c r="BH35" s="132"/>
      <c r="BI35" s="132"/>
      <c r="BJ35" s="132"/>
      <c r="BK35" s="132"/>
      <c r="BL35" s="132"/>
      <c r="BM35" s="132"/>
      <c r="BN35" s="132"/>
      <c r="BO35" s="132"/>
      <c r="BP35" s="132"/>
      <c r="BQ35" s="132"/>
      <c r="BR35" s="132"/>
      <c r="BS35" s="132"/>
      <c r="BT35" s="132"/>
      <c r="BU35" s="132"/>
      <c r="BV35" s="132"/>
      <c r="BW35" s="132"/>
      <c r="BX35" s="132"/>
      <c r="BY35" s="132"/>
      <c r="BZ35" s="132"/>
      <c r="CA35" s="132"/>
      <c r="CB35" s="132"/>
      <c r="CC35" s="132"/>
      <c r="CD35" s="132"/>
      <c r="CE35" s="132"/>
    </row>
    <row r="36" spans="1:83" x14ac:dyDescent="0.25">
      <c r="A36">
        <v>29</v>
      </c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33"/>
      <c r="AM36" s="119"/>
      <c r="AN36" s="123"/>
      <c r="AO36" s="123"/>
      <c r="AP36" s="123"/>
      <c r="AQ36" s="119"/>
      <c r="AR36" s="119"/>
      <c r="AS36" s="119"/>
      <c r="AT36" s="119"/>
      <c r="AU36" s="119"/>
      <c r="AV36" s="119"/>
      <c r="AW36" s="119"/>
      <c r="AX36" s="119"/>
      <c r="AY36" s="119"/>
      <c r="AZ36" s="132"/>
      <c r="BA36" s="132"/>
      <c r="BB36" s="132"/>
      <c r="BC36" s="132"/>
      <c r="BD36" s="132"/>
      <c r="BE36" s="132"/>
      <c r="BF36" s="132"/>
      <c r="BG36" s="132"/>
      <c r="BH36" s="132"/>
      <c r="BI36" s="132"/>
      <c r="BJ36" s="132"/>
      <c r="BK36" s="132"/>
      <c r="BL36" s="132"/>
      <c r="BM36" s="132"/>
      <c r="BN36" s="132"/>
      <c r="BO36" s="132"/>
      <c r="BP36" s="132"/>
      <c r="BQ36" s="132"/>
      <c r="BR36" s="132"/>
      <c r="BS36" s="132"/>
      <c r="BT36" s="132"/>
      <c r="BU36" s="132"/>
      <c r="BV36" s="132"/>
      <c r="BW36" s="132"/>
      <c r="BX36" s="132"/>
      <c r="BY36" s="132"/>
      <c r="BZ36" s="132"/>
      <c r="CA36" s="132"/>
      <c r="CB36" s="132"/>
      <c r="CC36" s="132"/>
      <c r="CD36" s="132"/>
      <c r="CE36" s="132"/>
    </row>
    <row r="37" spans="1:83" ht="15.75" thickBot="1" x14ac:dyDescent="0.3">
      <c r="A37">
        <v>30</v>
      </c>
      <c r="B37" s="134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33"/>
      <c r="AM37" s="119"/>
      <c r="AN37" s="123"/>
      <c r="AO37" s="123"/>
      <c r="AP37" s="123"/>
      <c r="AQ37" s="119"/>
      <c r="AR37" s="119"/>
      <c r="AS37" s="119"/>
      <c r="AT37" s="119"/>
      <c r="AU37" s="119"/>
      <c r="AV37" s="119"/>
      <c r="AW37" s="119"/>
      <c r="AX37" s="119"/>
      <c r="AY37" s="135"/>
      <c r="AZ37" s="132"/>
      <c r="BA37" s="132"/>
      <c r="BB37" s="132"/>
      <c r="BC37" s="132"/>
      <c r="BD37" s="132"/>
      <c r="BE37" s="132"/>
      <c r="BF37" s="132"/>
      <c r="BG37" s="132"/>
      <c r="BH37" s="132"/>
      <c r="BI37" s="132"/>
      <c r="BJ37" s="132"/>
      <c r="BK37" s="132"/>
      <c r="BL37" s="132"/>
      <c r="BM37" s="132"/>
      <c r="BN37" s="132"/>
      <c r="BO37" s="132"/>
      <c r="BP37" s="132"/>
      <c r="BQ37" s="132"/>
      <c r="BR37" s="132"/>
      <c r="BS37" s="132"/>
      <c r="BT37" s="132"/>
      <c r="BU37" s="132"/>
      <c r="BV37" s="132"/>
      <c r="BW37" s="132"/>
      <c r="BX37" s="132"/>
      <c r="BY37" s="132"/>
      <c r="BZ37" s="132"/>
      <c r="CA37" s="132"/>
      <c r="CB37" s="132"/>
      <c r="CC37" s="132"/>
      <c r="CD37" s="132"/>
      <c r="CE37" s="132"/>
    </row>
    <row r="38" spans="1:83" ht="15.75" thickBot="1" x14ac:dyDescent="0.3">
      <c r="A38">
        <v>31</v>
      </c>
      <c r="B38" s="118"/>
      <c r="C38" s="119"/>
      <c r="D38" s="120"/>
      <c r="E38" s="120"/>
      <c r="F38" s="120"/>
      <c r="G38" s="120"/>
      <c r="H38" s="119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19"/>
      <c r="AA38" s="120"/>
      <c r="AB38" s="120"/>
      <c r="AC38" s="120"/>
      <c r="AD38" s="120"/>
      <c r="AE38" s="120"/>
      <c r="AF38" s="120"/>
      <c r="AG38" s="120"/>
      <c r="AH38" s="120"/>
      <c r="AI38" s="120"/>
      <c r="AJ38" s="120"/>
      <c r="AK38" s="120"/>
      <c r="AL38" s="121"/>
      <c r="AM38" s="120"/>
      <c r="AN38" s="122"/>
      <c r="AO38" s="122"/>
      <c r="AP38" s="123"/>
      <c r="AQ38" s="120"/>
      <c r="AR38" s="120"/>
      <c r="AS38" s="120"/>
      <c r="AT38" s="120"/>
      <c r="AU38" s="120"/>
      <c r="AV38" s="120"/>
      <c r="AW38" s="120"/>
      <c r="AX38" s="120"/>
      <c r="AY38" s="124"/>
      <c r="AZ38" s="132"/>
      <c r="BA38" s="132"/>
      <c r="BB38" s="132"/>
      <c r="BC38" s="132"/>
      <c r="BD38" s="132"/>
      <c r="BE38" s="132"/>
      <c r="BF38" s="132"/>
      <c r="BG38" s="132"/>
      <c r="BH38" s="132"/>
      <c r="BI38" s="132"/>
      <c r="BJ38" s="132"/>
      <c r="BK38" s="132"/>
      <c r="BL38" s="132"/>
      <c r="BM38" s="132"/>
      <c r="BN38" s="132"/>
      <c r="BO38" s="132"/>
      <c r="BP38" s="132"/>
      <c r="BQ38" s="132"/>
      <c r="BR38" s="132"/>
      <c r="BS38" s="132"/>
      <c r="BT38" s="132"/>
      <c r="BU38" s="132"/>
      <c r="BV38" s="132"/>
      <c r="BW38" s="132"/>
      <c r="BX38" s="132"/>
      <c r="BY38" s="132"/>
      <c r="BZ38" s="132"/>
      <c r="CA38" s="132"/>
      <c r="CB38" s="132"/>
      <c r="CC38" s="132"/>
      <c r="CD38" s="132"/>
      <c r="CE38" s="1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2020-07-07T13:29:19Z</dcterms:modified>
</cp:coreProperties>
</file>