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I39" i="3"/>
  <c r="K39" i="3"/>
  <c r="N39" i="3"/>
  <c r="P39" i="3"/>
  <c r="Q39" i="3"/>
  <c r="R39" i="3"/>
  <c r="U39" i="3"/>
  <c r="V39" i="3" s="1"/>
  <c r="Y40" i="3"/>
  <c r="X39" i="3" l="1"/>
  <c r="Z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G2" i="1" s="1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E2" i="1" l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<sst xmlns="http://schemas.openxmlformats.org/spreadsheetml/2006/main" count="310" uniqueCount="123">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</sst>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6" sqref="O2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9</v>
      </c>
      <c r="D2" s="6">
        <v>2021</v>
      </c>
      <c r="E2" s="8">
        <f>Submetring!E2+Submetring!F2+Submetring!G2</f>
        <v>14465</v>
      </c>
      <c r="F2" s="6">
        <v>0.251</v>
      </c>
      <c r="G2" s="8">
        <f>Submetring!H2+Submetring!I2</f>
        <v>980</v>
      </c>
      <c r="H2" s="6">
        <v>0.56711199999999995</v>
      </c>
      <c r="I2" s="8">
        <f>Submetring!J2</f>
        <v>240</v>
      </c>
      <c r="J2" s="6">
        <v>3.03</v>
      </c>
      <c r="K2" s="8">
        <f>Hotel!Y9</f>
        <v>63</v>
      </c>
    </row>
    <row r="3" spans="1:11" x14ac:dyDescent="0.25">
      <c r="A3" s="6" t="s">
        <v>11</v>
      </c>
      <c r="B3" s="9">
        <f>B2+1</f>
        <v>2</v>
      </c>
      <c r="C3" s="7">
        <v>9</v>
      </c>
      <c r="D3" s="6">
        <v>2021</v>
      </c>
      <c r="E3" s="8">
        <f>Submetring!E3+Submetring!F3+Submetring!G3</f>
        <v>14776</v>
      </c>
      <c r="F3" s="6">
        <v>0.251</v>
      </c>
      <c r="G3" s="8">
        <f>Submetring!H3+Submetring!I3</f>
        <v>1006</v>
      </c>
      <c r="H3" s="6">
        <v>0.56711199999999995</v>
      </c>
      <c r="I3" s="8">
        <f>Submetring!J3</f>
        <v>397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2" si="0">B3+1</f>
        <v>3</v>
      </c>
      <c r="C4" s="7">
        <v>9</v>
      </c>
      <c r="D4" s="6">
        <v>2021</v>
      </c>
      <c r="E4" s="8">
        <f>Submetring!E4+Submetring!F4+Submetring!G4</f>
        <v>16461</v>
      </c>
      <c r="F4" s="6">
        <v>0.251</v>
      </c>
      <c r="G4" s="8">
        <f>Submetring!H4+Submetring!I4</f>
        <v>921</v>
      </c>
      <c r="H4" s="6">
        <v>0.56711199999999995</v>
      </c>
      <c r="I4" s="8">
        <f>Submetring!J4</f>
        <v>206</v>
      </c>
      <c r="J4" s="6">
        <v>3.03</v>
      </c>
      <c r="K4" s="8">
        <f>Hotel!Y11</f>
        <v>65</v>
      </c>
    </row>
    <row r="5" spans="1:11" x14ac:dyDescent="0.25">
      <c r="A5" s="6" t="s">
        <v>11</v>
      </c>
      <c r="B5" s="9">
        <f t="shared" si="0"/>
        <v>4</v>
      </c>
      <c r="C5" s="7">
        <v>9</v>
      </c>
      <c r="D5" s="6">
        <v>2021</v>
      </c>
      <c r="E5" s="8">
        <f>Submetring!E5+Submetring!F5+Submetring!G5</f>
        <v>17141</v>
      </c>
      <c r="F5" s="6">
        <v>0.251</v>
      </c>
      <c r="G5" s="8">
        <f>Submetring!H5+Submetring!I5</f>
        <v>690</v>
      </c>
      <c r="H5" s="6">
        <v>0.56711199999999995</v>
      </c>
      <c r="I5" s="8">
        <f>Submetring!J5</f>
        <v>474</v>
      </c>
      <c r="J5" s="6">
        <v>3.03</v>
      </c>
      <c r="K5" s="8">
        <f>Hotel!Y12</f>
        <v>72</v>
      </c>
    </row>
    <row r="6" spans="1:11" x14ac:dyDescent="0.25">
      <c r="A6" s="6" t="s">
        <v>11</v>
      </c>
      <c r="B6" s="9">
        <f t="shared" si="0"/>
        <v>5</v>
      </c>
      <c r="C6" s="7">
        <v>9</v>
      </c>
      <c r="D6" s="6">
        <v>2021</v>
      </c>
      <c r="E6" s="8">
        <f>Submetring!E6+Submetring!F6+Submetring!G6</f>
        <v>14752</v>
      </c>
      <c r="F6" s="6">
        <v>0.251</v>
      </c>
      <c r="G6" s="8">
        <f>Submetring!H6+Submetring!I6</f>
        <v>1253</v>
      </c>
      <c r="H6" s="6">
        <v>0.56711199999999995</v>
      </c>
      <c r="I6" s="8">
        <f>Submetring!J6</f>
        <v>236</v>
      </c>
      <c r="J6" s="6">
        <v>3.03</v>
      </c>
      <c r="K6" s="8">
        <f>Hotel!Y13</f>
        <v>118</v>
      </c>
    </row>
    <row r="7" spans="1:11" x14ac:dyDescent="0.25">
      <c r="A7" s="6" t="s">
        <v>11</v>
      </c>
      <c r="B7" s="9">
        <f t="shared" si="0"/>
        <v>6</v>
      </c>
      <c r="C7" s="7">
        <v>9</v>
      </c>
      <c r="D7" s="6">
        <v>2021</v>
      </c>
      <c r="E7" s="8">
        <f>Submetring!E7+Submetring!F7+Submetring!G7</f>
        <v>0</v>
      </c>
      <c r="F7" s="6">
        <v>0.251</v>
      </c>
      <c r="G7" s="8">
        <f>Submetring!H7+Submetring!I7</f>
        <v>0</v>
      </c>
      <c r="H7" s="6">
        <v>0.56711199999999995</v>
      </c>
      <c r="I7" s="8" t="str">
        <f>Submetring!J7</f>
        <v>0</v>
      </c>
      <c r="J7" s="6">
        <v>3.03</v>
      </c>
      <c r="K7" s="8">
        <f>Hotel!Y14</f>
        <v>0</v>
      </c>
    </row>
    <row r="8" spans="1:11" x14ac:dyDescent="0.25">
      <c r="A8" s="6" t="s">
        <v>11</v>
      </c>
      <c r="B8" s="9">
        <f t="shared" si="0"/>
        <v>7</v>
      </c>
      <c r="C8" s="7">
        <v>9</v>
      </c>
      <c r="D8" s="6">
        <v>2021</v>
      </c>
      <c r="E8" s="8">
        <f>Submetring!E8+Submetring!F8+Submetring!G8</f>
        <v>0</v>
      </c>
      <c r="F8" s="6">
        <v>0.251</v>
      </c>
      <c r="G8" s="8">
        <f>Submetring!H8+Submetring!I8</f>
        <v>0</v>
      </c>
      <c r="H8" s="6">
        <v>0.56711199999999995</v>
      </c>
      <c r="I8" s="8">
        <f>Submetring!J8</f>
        <v>0</v>
      </c>
      <c r="J8" s="6">
        <v>3.03</v>
      </c>
      <c r="K8" s="8">
        <f>Hotel!Y15</f>
        <v>0</v>
      </c>
    </row>
    <row r="9" spans="1:11" x14ac:dyDescent="0.25">
      <c r="A9" s="6" t="s">
        <v>11</v>
      </c>
      <c r="B9" s="9">
        <f t="shared" si="0"/>
        <v>8</v>
      </c>
      <c r="C9" s="7">
        <v>9</v>
      </c>
      <c r="D9" s="6">
        <v>2021</v>
      </c>
      <c r="E9" s="8">
        <f>Submetring!E9+Submetring!F9+Submetring!G9</f>
        <v>0</v>
      </c>
      <c r="F9" s="6">
        <v>0.251</v>
      </c>
      <c r="G9" s="8">
        <f>Submetring!H9+Submetring!I9</f>
        <v>0</v>
      </c>
      <c r="H9" s="6">
        <v>0.56711199999999995</v>
      </c>
      <c r="I9" s="8">
        <f>Submetring!J9</f>
        <v>0</v>
      </c>
      <c r="J9" s="6">
        <v>3.03</v>
      </c>
      <c r="K9" s="8">
        <f>Hotel!Y16</f>
        <v>0</v>
      </c>
    </row>
    <row r="10" spans="1:11" x14ac:dyDescent="0.25">
      <c r="A10" s="6" t="s">
        <v>11</v>
      </c>
      <c r="B10" s="9">
        <f t="shared" si="0"/>
        <v>9</v>
      </c>
      <c r="C10" s="7">
        <v>9</v>
      </c>
      <c r="D10" s="6">
        <v>2021</v>
      </c>
      <c r="E10" s="8">
        <f>Submetring!E10+Submetring!F10+Submetring!G10</f>
        <v>0</v>
      </c>
      <c r="F10" s="6">
        <v>0.251</v>
      </c>
      <c r="G10" s="8">
        <f>Submetring!H10+Submetring!I10</f>
        <v>0</v>
      </c>
      <c r="H10" s="6">
        <v>0.56711199999999995</v>
      </c>
      <c r="I10" s="8">
        <f>Submetring!J10</f>
        <v>0</v>
      </c>
      <c r="J10" s="6">
        <v>3.03</v>
      </c>
      <c r="K10" s="8">
        <f>Hotel!Y17</f>
        <v>0</v>
      </c>
    </row>
    <row r="11" spans="1:11" x14ac:dyDescent="0.25">
      <c r="A11" s="6" t="s">
        <v>11</v>
      </c>
      <c r="B11" s="9">
        <f t="shared" si="0"/>
        <v>10</v>
      </c>
      <c r="C11" s="7">
        <v>9</v>
      </c>
      <c r="D11" s="6">
        <v>2021</v>
      </c>
      <c r="E11" s="8">
        <f>Submetring!E11+Submetring!F11+Submetring!G11</f>
        <v>0</v>
      </c>
      <c r="F11" s="6">
        <v>0.251</v>
      </c>
      <c r="G11" s="8">
        <f>Submetring!H11+Submetring!I11</f>
        <v>0</v>
      </c>
      <c r="H11" s="6">
        <v>0.56711199999999995</v>
      </c>
      <c r="I11" s="8">
        <f>Submetring!J11</f>
        <v>0</v>
      </c>
      <c r="J11" s="6">
        <v>3.03</v>
      </c>
      <c r="K11" s="8">
        <f>Hotel!Y18</f>
        <v>0</v>
      </c>
    </row>
    <row r="12" spans="1:11" x14ac:dyDescent="0.25">
      <c r="A12" s="6" t="s">
        <v>11</v>
      </c>
      <c r="B12" s="9">
        <f t="shared" si="0"/>
        <v>11</v>
      </c>
      <c r="C12" s="7">
        <v>9</v>
      </c>
      <c r="D12" s="6">
        <v>2021</v>
      </c>
      <c r="E12" s="8">
        <f>Submetring!E12+Submetring!F12+Submetring!G12</f>
        <v>0</v>
      </c>
      <c r="F12" s="6">
        <v>0.251</v>
      </c>
      <c r="G12" s="8">
        <f>Submetring!H12+Submetring!I12</f>
        <v>0</v>
      </c>
      <c r="H12" s="6">
        <v>0.56711199999999995</v>
      </c>
      <c r="I12" s="8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9</v>
      </c>
      <c r="D13" s="6">
        <v>2021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9</v>
      </c>
      <c r="D14" s="6">
        <v>2021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9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9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9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9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9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9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9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9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9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9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9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9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9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9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9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9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9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9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P24" sqref="P2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9</v>
      </c>
      <c r="D2" s="10">
        <v>2021</v>
      </c>
      <c r="E2" s="11">
        <f>Hotel!D9</f>
        <v>4916</v>
      </c>
      <c r="F2" s="11">
        <f>Hotel!F9</f>
        <v>4911</v>
      </c>
      <c r="G2" s="11">
        <f>Hotel!H9</f>
        <v>4638</v>
      </c>
      <c r="H2" s="11">
        <f>Hotel!N9</f>
        <v>133</v>
      </c>
      <c r="I2" s="11">
        <f>Hotel!P9</f>
        <v>847</v>
      </c>
      <c r="J2" s="11">
        <f>Hotel!U9</f>
        <v>240</v>
      </c>
      <c r="K2" s="11">
        <f>Hotel!Y9</f>
        <v>63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9</v>
      </c>
      <c r="D3" s="10">
        <v>2021</v>
      </c>
      <c r="E3" s="11">
        <f>Hotel!D10</f>
        <v>5031</v>
      </c>
      <c r="F3" s="11">
        <f>Hotel!F10</f>
        <v>5012</v>
      </c>
      <c r="G3" s="11">
        <f>Hotel!H10</f>
        <v>4733</v>
      </c>
      <c r="H3" s="11">
        <f>Hotel!N10</f>
        <v>134</v>
      </c>
      <c r="I3" s="11">
        <f>Hotel!P10</f>
        <v>872</v>
      </c>
      <c r="J3" s="11">
        <f>Hotel!U10</f>
        <v>397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9</v>
      </c>
      <c r="D4" s="10">
        <v>2021</v>
      </c>
      <c r="E4" s="11">
        <f>Hotel!D11</f>
        <v>5609</v>
      </c>
      <c r="F4" s="11">
        <f>Hotel!F11</f>
        <v>5573</v>
      </c>
      <c r="G4" s="11">
        <f>Hotel!H11</f>
        <v>5279</v>
      </c>
      <c r="H4" s="11">
        <f>Hotel!N11</f>
        <v>147</v>
      </c>
      <c r="I4" s="11">
        <f>Hotel!P11</f>
        <v>774</v>
      </c>
      <c r="J4" s="11">
        <f>Hotel!U11</f>
        <v>206</v>
      </c>
      <c r="K4" s="11">
        <f>Hotel!Y11</f>
        <v>65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9</v>
      </c>
      <c r="D5" s="10">
        <v>2021</v>
      </c>
      <c r="E5" s="11">
        <f>Hotel!D12</f>
        <v>5843</v>
      </c>
      <c r="F5" s="11">
        <f>Hotel!F12</f>
        <v>5794</v>
      </c>
      <c r="G5" s="11">
        <f>Hotel!H12</f>
        <v>5504</v>
      </c>
      <c r="H5" s="11">
        <f>Hotel!N12</f>
        <v>148</v>
      </c>
      <c r="I5" s="11">
        <f>Hotel!P12</f>
        <v>542</v>
      </c>
      <c r="J5" s="11">
        <f>Hotel!U12</f>
        <v>474</v>
      </c>
      <c r="K5" s="11">
        <f>Hotel!Y12</f>
        <v>72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9</v>
      </c>
      <c r="D6" s="10">
        <v>2021</v>
      </c>
      <c r="E6" s="11">
        <f>Hotel!D13</f>
        <v>5035</v>
      </c>
      <c r="F6" s="11">
        <f>Hotel!F13</f>
        <v>5004</v>
      </c>
      <c r="G6" s="11">
        <f>Hotel!H13</f>
        <v>4713</v>
      </c>
      <c r="H6" s="11">
        <f>Hotel!N13</f>
        <v>149</v>
      </c>
      <c r="I6" s="11">
        <f>Hotel!P13</f>
        <v>1104</v>
      </c>
      <c r="J6" s="11">
        <f>Hotel!U13</f>
        <v>236</v>
      </c>
      <c r="K6" s="11">
        <f>Hotel!Y13</f>
        <v>118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9</v>
      </c>
      <c r="D7" s="10">
        <v>2021</v>
      </c>
      <c r="E7" s="11" t="str">
        <f>Hotel!D14</f>
        <v>0</v>
      </c>
      <c r="F7" s="11" t="str">
        <f>Hotel!F14</f>
        <v>0</v>
      </c>
      <c r="G7" s="11" t="str">
        <f>Hotel!H14</f>
        <v>0</v>
      </c>
      <c r="H7" s="11" t="str">
        <f>Hotel!N14</f>
        <v>0</v>
      </c>
      <c r="I7" s="11" t="str">
        <f>Hotel!P14</f>
        <v>0</v>
      </c>
      <c r="J7" s="11" t="str">
        <f>Hotel!U14</f>
        <v>0</v>
      </c>
      <c r="K7" s="11">
        <f>Hotel!Y14</f>
        <v>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9</v>
      </c>
      <c r="D8" s="10">
        <v>2021</v>
      </c>
      <c r="E8" s="11">
        <f>Hotel!D15</f>
        <v>0</v>
      </c>
      <c r="F8" s="11">
        <f>Hotel!F15</f>
        <v>0</v>
      </c>
      <c r="G8" s="11">
        <f>Hotel!H15</f>
        <v>0</v>
      </c>
      <c r="H8" s="11">
        <f>Hotel!N15</f>
        <v>0</v>
      </c>
      <c r="I8" s="11">
        <f>Hotel!P15</f>
        <v>0</v>
      </c>
      <c r="J8" s="11">
        <f>Hotel!U15</f>
        <v>0</v>
      </c>
      <c r="K8" s="11">
        <f>Hotel!Y15</f>
        <v>0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9</v>
      </c>
      <c r="D9" s="10">
        <v>2021</v>
      </c>
      <c r="E9" s="11">
        <f>Hotel!D16</f>
        <v>0</v>
      </c>
      <c r="F9" s="11">
        <f>Hotel!F16</f>
        <v>0</v>
      </c>
      <c r="G9" s="11">
        <f>Hotel!H16</f>
        <v>0</v>
      </c>
      <c r="H9" s="11">
        <f>Hotel!N16</f>
        <v>0</v>
      </c>
      <c r="I9" s="11">
        <f>Hotel!P16</f>
        <v>0</v>
      </c>
      <c r="J9" s="11">
        <f>Hotel!U16</f>
        <v>0</v>
      </c>
      <c r="K9" s="11">
        <f>Hotel!Y16</f>
        <v>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9</v>
      </c>
      <c r="D10" s="10">
        <v>2021</v>
      </c>
      <c r="E10" s="11">
        <f>Hotel!D17</f>
        <v>0</v>
      </c>
      <c r="F10" s="11">
        <f>Hotel!F17</f>
        <v>0</v>
      </c>
      <c r="G10" s="11">
        <f>Hotel!H17</f>
        <v>0</v>
      </c>
      <c r="H10" s="11">
        <f>Hotel!N17</f>
        <v>0</v>
      </c>
      <c r="I10" s="11">
        <f>Hotel!P17</f>
        <v>0</v>
      </c>
      <c r="J10" s="11">
        <f>Hotel!U17</f>
        <v>0</v>
      </c>
      <c r="K10" s="11">
        <f>Hotel!Y17</f>
        <v>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9</v>
      </c>
      <c r="D11" s="10">
        <v>2021</v>
      </c>
      <c r="E11" s="11">
        <f>Hotel!D18</f>
        <v>0</v>
      </c>
      <c r="F11" s="11">
        <f>Hotel!F18</f>
        <v>0</v>
      </c>
      <c r="G11" s="11">
        <f>Hotel!H18</f>
        <v>0</v>
      </c>
      <c r="H11" s="11">
        <f>Hotel!N18</f>
        <v>0</v>
      </c>
      <c r="I11" s="11">
        <f>Hotel!P18</f>
        <v>0</v>
      </c>
      <c r="J11" s="11">
        <f>Hotel!U18</f>
        <v>0</v>
      </c>
      <c r="K11" s="11">
        <f>Hotel!Y18</f>
        <v>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9</v>
      </c>
      <c r="D12" s="10">
        <v>2021</v>
      </c>
      <c r="E12" s="11">
        <f>Hotel!D19</f>
        <v>0</v>
      </c>
      <c r="F12" s="11">
        <f>Hotel!F19</f>
        <v>0</v>
      </c>
      <c r="G12" s="11">
        <f>Hotel!H19</f>
        <v>0</v>
      </c>
      <c r="H12" s="11">
        <f>Hotel!N19</f>
        <v>0</v>
      </c>
      <c r="I12" s="11">
        <f>Hotel!P19</f>
        <v>0</v>
      </c>
      <c r="J12" s="11">
        <f>Hotel!U19</f>
        <v>0</v>
      </c>
      <c r="K12" s="11">
        <f>Hotel!Y19</f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9</v>
      </c>
      <c r="D13" s="10">
        <v>2021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9</v>
      </c>
      <c r="D14" s="10">
        <v>2021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9</v>
      </c>
      <c r="D15" s="10">
        <v>2021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9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9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9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9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9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9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9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9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9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9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9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9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9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9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9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9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9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17" sqref="Y17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9"/>
      <c r="C1" s="139"/>
      <c r="D1" s="139"/>
      <c r="E1" s="139"/>
      <c r="F1" s="140" t="s">
        <v>95</v>
      </c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140" t="s">
        <v>122</v>
      </c>
      <c r="X1" s="141"/>
      <c r="Y1" s="141"/>
      <c r="Z1" s="142"/>
    </row>
    <row r="2" spans="1:27" x14ac:dyDescent="0.25">
      <c r="A2" s="10"/>
      <c r="B2" s="139"/>
      <c r="C2" s="139"/>
      <c r="D2" s="139"/>
      <c r="E2" s="139"/>
      <c r="F2" s="143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43"/>
      <c r="X2" s="144"/>
      <c r="Y2" s="144"/>
      <c r="Z2" s="145"/>
    </row>
    <row r="3" spans="1:27" x14ac:dyDescent="0.25">
      <c r="A3" s="10"/>
      <c r="B3" s="139"/>
      <c r="C3" s="139"/>
      <c r="D3" s="139"/>
      <c r="E3" s="139"/>
      <c r="F3" s="143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43">
        <v>2021</v>
      </c>
      <c r="X3" s="144"/>
      <c r="Y3" s="144"/>
      <c r="Z3" s="145"/>
    </row>
    <row r="4" spans="1:27" x14ac:dyDescent="0.25">
      <c r="A4" s="10"/>
      <c r="B4" s="139"/>
      <c r="C4" s="139"/>
      <c r="D4" s="139"/>
      <c r="E4" s="139"/>
      <c r="F4" s="146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8"/>
      <c r="W4" s="146"/>
      <c r="X4" s="147"/>
      <c r="Y4" s="147"/>
      <c r="Z4" s="148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5818741</v>
      </c>
      <c r="D6" s="28"/>
      <c r="E6" s="29">
        <v>5770353</v>
      </c>
      <c r="F6" s="30"/>
      <c r="G6" s="131">
        <v>5451696</v>
      </c>
      <c r="H6" s="31">
        <f>G6-G5</f>
        <v>5451696</v>
      </c>
      <c r="I6" s="32"/>
      <c r="J6" s="33">
        <f>D6+F6+H6</f>
        <v>5451696</v>
      </c>
      <c r="K6" s="33" t="e">
        <f>D6*0.152+F6*0.238+H6*0.115+#REF!*0.218</f>
        <v>#REF!</v>
      </c>
      <c r="L6" s="34"/>
      <c r="M6" s="35">
        <v>153542</v>
      </c>
      <c r="N6" s="31" t="e">
        <f>M6-#REF!</f>
        <v>#REF!</v>
      </c>
      <c r="O6" s="36">
        <v>2306431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295715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9" t="s">
        <v>97</v>
      </c>
      <c r="D7" s="150"/>
      <c r="E7" s="150"/>
      <c r="F7" s="150"/>
      <c r="G7" s="150"/>
      <c r="H7" s="150"/>
      <c r="I7" s="150"/>
      <c r="J7" s="150"/>
      <c r="K7" s="151"/>
      <c r="L7" s="41"/>
      <c r="M7" s="149" t="s">
        <v>98</v>
      </c>
      <c r="N7" s="150"/>
      <c r="O7" s="150"/>
      <c r="P7" s="150"/>
      <c r="Q7" s="150"/>
      <c r="R7" s="151"/>
      <c r="S7" s="41"/>
      <c r="T7" s="152" t="s">
        <v>99</v>
      </c>
      <c r="U7" s="152"/>
      <c r="V7" s="153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0">
        <v>5823657</v>
      </c>
      <c r="D9" s="61">
        <f>IF((C9-C6&lt;0), "0",C9-C6)</f>
        <v>4916</v>
      </c>
      <c r="E9" s="62">
        <v>5775264</v>
      </c>
      <c r="F9" s="61">
        <f>IF((E9-E6&lt;0), "0",E9-E6)</f>
        <v>4911</v>
      </c>
      <c r="G9" s="63">
        <v>5456334</v>
      </c>
      <c r="H9" s="61">
        <f>IF((G9-G6&lt;0), "0",G9-G6)</f>
        <v>4638</v>
      </c>
      <c r="I9" s="60">
        <f>H9+F9+D9</f>
        <v>14465</v>
      </c>
      <c r="J9" s="64">
        <v>0.99</v>
      </c>
      <c r="K9" s="65">
        <f>I9*0.251</f>
        <v>3630.7150000000001</v>
      </c>
      <c r="L9" s="66"/>
      <c r="M9" s="60">
        <v>153675</v>
      </c>
      <c r="N9" s="61">
        <f>IF((M9-M6&lt;0), "0",M9-M6)</f>
        <v>133</v>
      </c>
      <c r="O9" s="60">
        <v>2307278</v>
      </c>
      <c r="P9" s="61">
        <f>IF((O9-O6&lt;0), "0",O9-O6)</f>
        <v>847</v>
      </c>
      <c r="Q9" s="67">
        <f t="shared" ref="Q9:Q39" si="0">N9+P9</f>
        <v>980</v>
      </c>
      <c r="R9" s="68">
        <f>(P9+N9*1.2285)*0.056*10.127</f>
        <v>573.00457723600005</v>
      </c>
      <c r="S9" s="69"/>
      <c r="T9" s="70">
        <v>295955</v>
      </c>
      <c r="U9" s="61">
        <f>IF((T9-T6&lt;0), "0",T9-T6)</f>
        <v>240</v>
      </c>
      <c r="V9" s="71">
        <f>U9*(1.315+1.54)</f>
        <v>685.2</v>
      </c>
      <c r="W9" s="72"/>
      <c r="X9" s="73">
        <f t="shared" ref="X9:X39" si="1">K9+R9+V9</f>
        <v>4888.9195772359999</v>
      </c>
      <c r="Y9" s="74">
        <v>63</v>
      </c>
      <c r="Z9" s="75">
        <f>X9/Y9</f>
        <v>77.601898051365083</v>
      </c>
    </row>
    <row r="10" spans="1:27" x14ac:dyDescent="0.25">
      <c r="A10" s="10" t="s">
        <v>120</v>
      </c>
      <c r="B10" s="59">
        <f>B9+1</f>
        <v>2</v>
      </c>
      <c r="C10" s="76">
        <v>5828688</v>
      </c>
      <c r="D10" s="61">
        <f t="shared" ref="D10:D39" si="2">IF((C10-C9&lt;0), "0",C10-C9)</f>
        <v>5031</v>
      </c>
      <c r="E10" s="77">
        <v>5780276</v>
      </c>
      <c r="F10" s="61">
        <f>IF((E10-E9&lt;0), "0",E10-E9)</f>
        <v>5012</v>
      </c>
      <c r="G10" s="77">
        <v>5461067</v>
      </c>
      <c r="H10" s="61">
        <f t="shared" ref="H10:H39" si="3">IF((G10-G9&lt;0), "0",G10-G9)</f>
        <v>4733</v>
      </c>
      <c r="I10" s="60">
        <f t="shared" ref="I10:I39" si="4">H10+F10+D10</f>
        <v>14776</v>
      </c>
      <c r="J10" s="64">
        <v>0.99</v>
      </c>
      <c r="K10" s="65">
        <f t="shared" ref="K10:K39" si="5">I10*0.251</f>
        <v>3708.7759999999998</v>
      </c>
      <c r="L10" s="66"/>
      <c r="M10" s="77">
        <v>153809</v>
      </c>
      <c r="N10" s="61">
        <f>IF((M10-M9&lt;0), "0",M10-M9)</f>
        <v>134</v>
      </c>
      <c r="O10" s="77">
        <v>2308150</v>
      </c>
      <c r="P10" s="61">
        <f>IF((O10-O9&lt;0), "0",O10-O9)</f>
        <v>872</v>
      </c>
      <c r="Q10" s="67">
        <f t="shared" si="0"/>
        <v>1006</v>
      </c>
      <c r="R10" s="68">
        <f t="shared" ref="R10:R39" si="6">(P10+N10*1.2285)*0.056*10.127</f>
        <v>587.879074328</v>
      </c>
      <c r="S10" s="69"/>
      <c r="T10" s="78">
        <v>296352</v>
      </c>
      <c r="U10" s="61">
        <f>IF((T10-T9&lt;0), "0",T10-T9)</f>
        <v>397</v>
      </c>
      <c r="V10" s="71">
        <f t="shared" ref="V10:V39" si="7">U10*(1.315+1.54)</f>
        <v>1133.4349999999999</v>
      </c>
      <c r="W10" s="72"/>
      <c r="X10" s="79">
        <f t="shared" si="1"/>
        <v>5430.0900743279999</v>
      </c>
      <c r="Y10" s="80">
        <v>62</v>
      </c>
      <c r="Z10" s="81">
        <f t="shared" ref="Z10:Z39" si="8">X10/Y10</f>
        <v>87.582097973032262</v>
      </c>
    </row>
    <row r="11" spans="1:27" x14ac:dyDescent="0.25">
      <c r="A11" s="10" t="s">
        <v>121</v>
      </c>
      <c r="B11" s="59">
        <f t="shared" ref="B11:B39" si="9">B10+1</f>
        <v>3</v>
      </c>
      <c r="C11" s="76">
        <v>5834297</v>
      </c>
      <c r="D11" s="61">
        <f t="shared" si="2"/>
        <v>5609</v>
      </c>
      <c r="E11" s="76">
        <v>5785849</v>
      </c>
      <c r="F11" s="61">
        <f t="shared" ref="F11:F39" si="10">IF((E11-E10&lt;0), "0",E11-E10)</f>
        <v>5573</v>
      </c>
      <c r="G11" s="77">
        <v>5466346</v>
      </c>
      <c r="H11" s="61">
        <f t="shared" si="3"/>
        <v>5279</v>
      </c>
      <c r="I11" s="60">
        <f t="shared" si="4"/>
        <v>16461</v>
      </c>
      <c r="J11" s="64">
        <v>0.99</v>
      </c>
      <c r="K11" s="65">
        <f t="shared" si="5"/>
        <v>4131.7110000000002</v>
      </c>
      <c r="L11" s="66"/>
      <c r="M11" s="77">
        <v>153956</v>
      </c>
      <c r="N11" s="61">
        <f t="shared" ref="N11:N39" si="11">IF((M11-M10&lt;0), "0",M11-M10)</f>
        <v>147</v>
      </c>
      <c r="O11" s="77">
        <v>2308924</v>
      </c>
      <c r="P11" s="61">
        <f t="shared" ref="P11:P39" si="12">IF((O11-O10&lt;0), "0",O11-O10)</f>
        <v>774</v>
      </c>
      <c r="Q11" s="67">
        <f t="shared" si="0"/>
        <v>921</v>
      </c>
      <c r="R11" s="68">
        <f t="shared" si="6"/>
        <v>541.35916052400012</v>
      </c>
      <c r="S11" s="69"/>
      <c r="T11" s="82">
        <v>296558</v>
      </c>
      <c r="U11" s="61">
        <f t="shared" ref="U11:U39" si="13">IF((T11-T10&lt;0), "0",T11-T10)</f>
        <v>206</v>
      </c>
      <c r="V11" s="71">
        <f t="shared" si="7"/>
        <v>588.13</v>
      </c>
      <c r="W11" s="72"/>
      <c r="X11" s="79">
        <f t="shared" si="1"/>
        <v>5261.2001605240002</v>
      </c>
      <c r="Y11" s="80">
        <v>65</v>
      </c>
      <c r="Z11" s="81">
        <f t="shared" si="8"/>
        <v>80.941540931138462</v>
      </c>
    </row>
    <row r="12" spans="1:27" x14ac:dyDescent="0.25">
      <c r="A12" s="10" t="s">
        <v>96</v>
      </c>
      <c r="B12" s="59">
        <f t="shared" si="9"/>
        <v>4</v>
      </c>
      <c r="C12" s="76">
        <v>5840140</v>
      </c>
      <c r="D12" s="61">
        <f t="shared" si="2"/>
        <v>5843</v>
      </c>
      <c r="E12" s="76">
        <v>5791643</v>
      </c>
      <c r="F12" s="61">
        <f t="shared" si="10"/>
        <v>5794</v>
      </c>
      <c r="G12" s="77">
        <v>5471850</v>
      </c>
      <c r="H12" s="61">
        <f t="shared" si="3"/>
        <v>5504</v>
      </c>
      <c r="I12" s="60">
        <f t="shared" si="4"/>
        <v>17141</v>
      </c>
      <c r="J12" s="64">
        <v>0.99</v>
      </c>
      <c r="K12" s="65">
        <f t="shared" si="5"/>
        <v>4302.3909999999996</v>
      </c>
      <c r="L12" s="66"/>
      <c r="M12" s="77">
        <v>154104</v>
      </c>
      <c r="N12" s="61">
        <f t="shared" si="11"/>
        <v>148</v>
      </c>
      <c r="O12" s="77">
        <v>2309466</v>
      </c>
      <c r="P12" s="61">
        <f t="shared" si="12"/>
        <v>542</v>
      </c>
      <c r="Q12" s="67">
        <f t="shared" si="0"/>
        <v>690</v>
      </c>
      <c r="R12" s="68">
        <f t="shared" si="6"/>
        <v>410.48587361600005</v>
      </c>
      <c r="S12" s="69"/>
      <c r="T12" s="78">
        <v>297032</v>
      </c>
      <c r="U12" s="61">
        <f t="shared" si="13"/>
        <v>474</v>
      </c>
      <c r="V12" s="71">
        <f t="shared" si="7"/>
        <v>1353.27</v>
      </c>
      <c r="W12" s="72"/>
      <c r="X12" s="79">
        <f t="shared" si="1"/>
        <v>6066.1468736160004</v>
      </c>
      <c r="Y12" s="80">
        <v>72</v>
      </c>
      <c r="Z12" s="81">
        <f t="shared" si="8"/>
        <v>84.252039911333341</v>
      </c>
    </row>
    <row r="13" spans="1:27" x14ac:dyDescent="0.25">
      <c r="A13" s="10" t="s">
        <v>116</v>
      </c>
      <c r="B13" s="59">
        <f t="shared" si="9"/>
        <v>5</v>
      </c>
      <c r="C13" s="63">
        <v>5845175</v>
      </c>
      <c r="D13" s="61">
        <f t="shared" si="2"/>
        <v>5035</v>
      </c>
      <c r="E13" s="76">
        <v>5796647</v>
      </c>
      <c r="F13" s="61">
        <f t="shared" si="10"/>
        <v>5004</v>
      </c>
      <c r="G13" s="63">
        <v>5476563</v>
      </c>
      <c r="H13" s="61">
        <f t="shared" si="3"/>
        <v>4713</v>
      </c>
      <c r="I13" s="60">
        <f t="shared" si="4"/>
        <v>14752</v>
      </c>
      <c r="J13" s="64">
        <v>0.99</v>
      </c>
      <c r="K13" s="65">
        <f t="shared" si="5"/>
        <v>3702.752</v>
      </c>
      <c r="L13" s="66"/>
      <c r="M13" s="77">
        <v>154253</v>
      </c>
      <c r="N13" s="61">
        <f t="shared" si="11"/>
        <v>149</v>
      </c>
      <c r="O13" s="76">
        <v>2310570</v>
      </c>
      <c r="P13" s="61">
        <f t="shared" si="12"/>
        <v>1104</v>
      </c>
      <c r="Q13" s="67">
        <f t="shared" si="0"/>
        <v>1253</v>
      </c>
      <c r="R13" s="68">
        <f t="shared" si="6"/>
        <v>729.89951470799997</v>
      </c>
      <c r="S13" s="69"/>
      <c r="T13" s="83">
        <v>297268</v>
      </c>
      <c r="U13" s="61">
        <f t="shared" si="13"/>
        <v>236</v>
      </c>
      <c r="V13" s="71">
        <f t="shared" si="7"/>
        <v>673.78</v>
      </c>
      <c r="W13" s="72"/>
      <c r="X13" s="79">
        <f t="shared" si="1"/>
        <v>5106.4315147079997</v>
      </c>
      <c r="Y13" s="80">
        <v>118</v>
      </c>
      <c r="Z13" s="81">
        <f t="shared" si="8"/>
        <v>43.274843344983047</v>
      </c>
    </row>
    <row r="14" spans="1:27" x14ac:dyDescent="0.25">
      <c r="A14" s="10" t="s">
        <v>117</v>
      </c>
      <c r="B14" s="59">
        <f t="shared" si="9"/>
        <v>6</v>
      </c>
      <c r="C14" s="76"/>
      <c r="D14" s="61" t="str">
        <f t="shared" si="2"/>
        <v>0</v>
      </c>
      <c r="E14" s="76"/>
      <c r="F14" s="61" t="str">
        <f t="shared" si="10"/>
        <v>0</v>
      </c>
      <c r="G14" s="63"/>
      <c r="H14" s="61" t="str">
        <f t="shared" si="3"/>
        <v>0</v>
      </c>
      <c r="I14" s="60">
        <f t="shared" si="4"/>
        <v>0</v>
      </c>
      <c r="J14" s="64"/>
      <c r="K14" s="65">
        <f t="shared" si="5"/>
        <v>0</v>
      </c>
      <c r="L14" s="66"/>
      <c r="M14" s="77"/>
      <c r="N14" s="61" t="str">
        <f t="shared" si="11"/>
        <v>0</v>
      </c>
      <c r="O14" s="76"/>
      <c r="P14" s="61" t="str">
        <f t="shared" si="12"/>
        <v>0</v>
      </c>
      <c r="Q14" s="67">
        <f t="shared" si="0"/>
        <v>0</v>
      </c>
      <c r="R14" s="68">
        <f t="shared" si="6"/>
        <v>0</v>
      </c>
      <c r="S14" s="69"/>
      <c r="T14" s="83"/>
      <c r="U14" s="61" t="str">
        <f t="shared" si="13"/>
        <v>0</v>
      </c>
      <c r="V14" s="71">
        <f t="shared" si="7"/>
        <v>0</v>
      </c>
      <c r="W14" s="72"/>
      <c r="X14" s="79">
        <f t="shared" si="1"/>
        <v>0</v>
      </c>
      <c r="Y14" s="80"/>
      <c r="Z14" s="81" t="e">
        <f t="shared" si="8"/>
        <v>#DIV/0!</v>
      </c>
    </row>
    <row r="15" spans="1:27" x14ac:dyDescent="0.25">
      <c r="A15" s="10" t="s">
        <v>118</v>
      </c>
      <c r="B15" s="59">
        <f t="shared" si="9"/>
        <v>7</v>
      </c>
      <c r="C15" s="76"/>
      <c r="D15" s="61">
        <f t="shared" si="2"/>
        <v>0</v>
      </c>
      <c r="E15" s="76"/>
      <c r="F15" s="61">
        <f t="shared" si="10"/>
        <v>0</v>
      </c>
      <c r="G15" s="76"/>
      <c r="H15" s="61">
        <f t="shared" si="3"/>
        <v>0</v>
      </c>
      <c r="I15" s="60">
        <f t="shared" si="4"/>
        <v>0</v>
      </c>
      <c r="J15" s="64"/>
      <c r="K15" s="65">
        <f t="shared" si="5"/>
        <v>0</v>
      </c>
      <c r="L15" s="66"/>
      <c r="M15" s="77"/>
      <c r="N15" s="61">
        <f t="shared" si="11"/>
        <v>0</v>
      </c>
      <c r="O15" s="76"/>
      <c r="P15" s="61">
        <f t="shared" si="12"/>
        <v>0</v>
      </c>
      <c r="Q15" s="67">
        <f t="shared" si="0"/>
        <v>0</v>
      </c>
      <c r="R15" s="68">
        <f t="shared" si="6"/>
        <v>0</v>
      </c>
      <c r="S15" s="69"/>
      <c r="T15" s="83"/>
      <c r="U15" s="61">
        <f t="shared" si="13"/>
        <v>0</v>
      </c>
      <c r="V15" s="71">
        <f t="shared" si="7"/>
        <v>0</v>
      </c>
      <c r="W15" s="72"/>
      <c r="X15" s="79">
        <f t="shared" si="1"/>
        <v>0</v>
      </c>
      <c r="Y15" s="80"/>
      <c r="Z15" s="81" t="e">
        <f t="shared" si="8"/>
        <v>#DIV/0!</v>
      </c>
    </row>
    <row r="16" spans="1:27" x14ac:dyDescent="0.25">
      <c r="A16" s="10" t="s">
        <v>119</v>
      </c>
      <c r="B16" s="59">
        <f t="shared" si="9"/>
        <v>8</v>
      </c>
      <c r="C16" s="76"/>
      <c r="D16" s="61">
        <f t="shared" si="2"/>
        <v>0</v>
      </c>
      <c r="E16" s="76"/>
      <c r="F16" s="61">
        <f t="shared" si="10"/>
        <v>0</v>
      </c>
      <c r="G16" s="76"/>
      <c r="H16" s="61">
        <f t="shared" si="3"/>
        <v>0</v>
      </c>
      <c r="I16" s="60">
        <f t="shared" si="4"/>
        <v>0</v>
      </c>
      <c r="J16" s="64"/>
      <c r="K16" s="65">
        <f t="shared" si="5"/>
        <v>0</v>
      </c>
      <c r="L16" s="66"/>
      <c r="M16" s="77"/>
      <c r="N16" s="61">
        <f t="shared" si="11"/>
        <v>0</v>
      </c>
      <c r="O16" s="76"/>
      <c r="P16" s="61">
        <f t="shared" si="12"/>
        <v>0</v>
      </c>
      <c r="Q16" s="67">
        <f t="shared" si="0"/>
        <v>0</v>
      </c>
      <c r="R16" s="68">
        <f t="shared" si="6"/>
        <v>0</v>
      </c>
      <c r="S16" s="69"/>
      <c r="T16" s="83"/>
      <c r="U16" s="61">
        <f t="shared" si="13"/>
        <v>0</v>
      </c>
      <c r="V16" s="71">
        <f t="shared" si="7"/>
        <v>0</v>
      </c>
      <c r="W16" s="72"/>
      <c r="X16" s="79">
        <f t="shared" si="1"/>
        <v>0</v>
      </c>
      <c r="Y16" s="80"/>
      <c r="Z16" s="81" t="e">
        <f t="shared" si="8"/>
        <v>#DIV/0!</v>
      </c>
    </row>
    <row r="17" spans="1:26" x14ac:dyDescent="0.25">
      <c r="A17" s="10" t="s">
        <v>120</v>
      </c>
      <c r="B17" s="59">
        <v>9</v>
      </c>
      <c r="C17" s="84"/>
      <c r="D17" s="61">
        <f t="shared" si="2"/>
        <v>0</v>
      </c>
      <c r="E17" s="84"/>
      <c r="F17" s="61">
        <f t="shared" si="10"/>
        <v>0</v>
      </c>
      <c r="G17" s="84"/>
      <c r="H17" s="61">
        <f t="shared" si="3"/>
        <v>0</v>
      </c>
      <c r="I17" s="60">
        <f t="shared" si="4"/>
        <v>0</v>
      </c>
      <c r="J17" s="64"/>
      <c r="K17" s="65">
        <f t="shared" si="5"/>
        <v>0</v>
      </c>
      <c r="L17" s="66"/>
      <c r="M17" s="84"/>
      <c r="N17" s="61">
        <f t="shared" si="11"/>
        <v>0</v>
      </c>
      <c r="O17" s="84"/>
      <c r="P17" s="61">
        <f t="shared" si="12"/>
        <v>0</v>
      </c>
      <c r="Q17" s="67">
        <f t="shared" si="0"/>
        <v>0</v>
      </c>
      <c r="R17" s="68">
        <f t="shared" si="6"/>
        <v>0</v>
      </c>
      <c r="S17" s="69"/>
      <c r="T17" s="85"/>
      <c r="U17" s="61">
        <f t="shared" si="13"/>
        <v>0</v>
      </c>
      <c r="V17" s="71">
        <f t="shared" si="7"/>
        <v>0</v>
      </c>
      <c r="W17" s="72"/>
      <c r="X17" s="79">
        <f t="shared" si="1"/>
        <v>0</v>
      </c>
      <c r="Y17" s="80"/>
      <c r="Z17" s="81" t="e">
        <f t="shared" si="8"/>
        <v>#DIV/0!</v>
      </c>
    </row>
    <row r="18" spans="1:26" x14ac:dyDescent="0.25">
      <c r="A18" s="10" t="s">
        <v>121</v>
      </c>
      <c r="B18" s="86">
        <f t="shared" si="9"/>
        <v>10</v>
      </c>
      <c r="C18" s="84"/>
      <c r="D18" s="61">
        <f t="shared" si="2"/>
        <v>0</v>
      </c>
      <c r="E18" s="76"/>
      <c r="F18" s="61">
        <f t="shared" si="10"/>
        <v>0</v>
      </c>
      <c r="G18" s="76"/>
      <c r="H18" s="61">
        <f t="shared" si="3"/>
        <v>0</v>
      </c>
      <c r="I18" s="60">
        <f t="shared" si="4"/>
        <v>0</v>
      </c>
      <c r="J18" s="64"/>
      <c r="K18" s="65">
        <f t="shared" si="5"/>
        <v>0</v>
      </c>
      <c r="L18" s="87"/>
      <c r="M18" s="77"/>
      <c r="N18" s="61">
        <f t="shared" si="11"/>
        <v>0</v>
      </c>
      <c r="O18" s="76"/>
      <c r="P18" s="61">
        <f t="shared" si="12"/>
        <v>0</v>
      </c>
      <c r="Q18" s="67">
        <f t="shared" si="0"/>
        <v>0</v>
      </c>
      <c r="R18" s="68">
        <f t="shared" si="6"/>
        <v>0</v>
      </c>
      <c r="S18" s="88"/>
      <c r="T18" s="83"/>
      <c r="U18" s="61">
        <f t="shared" si="13"/>
        <v>0</v>
      </c>
      <c r="V18" s="71">
        <f t="shared" si="7"/>
        <v>0</v>
      </c>
      <c r="W18" s="72"/>
      <c r="X18" s="79">
        <f t="shared" si="1"/>
        <v>0</v>
      </c>
      <c r="Y18" s="80"/>
      <c r="Z18" s="89" t="e">
        <f t="shared" si="8"/>
        <v>#DIV/0!</v>
      </c>
    </row>
    <row r="19" spans="1:26" x14ac:dyDescent="0.25">
      <c r="A19" s="10" t="s">
        <v>96</v>
      </c>
      <c r="B19" s="90">
        <f t="shared" si="9"/>
        <v>11</v>
      </c>
      <c r="C19" s="76"/>
      <c r="D19" s="61">
        <f t="shared" si="2"/>
        <v>0</v>
      </c>
      <c r="E19" s="76"/>
      <c r="F19" s="61">
        <f t="shared" si="10"/>
        <v>0</v>
      </c>
      <c r="G19" s="76"/>
      <c r="H19" s="61">
        <f t="shared" si="3"/>
        <v>0</v>
      </c>
      <c r="I19" s="60">
        <f t="shared" si="4"/>
        <v>0</v>
      </c>
      <c r="J19" s="64"/>
      <c r="K19" s="65">
        <f t="shared" si="5"/>
        <v>0</v>
      </c>
      <c r="L19" s="66"/>
      <c r="M19" s="77"/>
      <c r="N19" s="61">
        <f t="shared" si="11"/>
        <v>0</v>
      </c>
      <c r="O19" s="91"/>
      <c r="P19" s="61">
        <f t="shared" si="12"/>
        <v>0</v>
      </c>
      <c r="Q19" s="67">
        <f t="shared" si="0"/>
        <v>0</v>
      </c>
      <c r="R19" s="68">
        <f t="shared" si="6"/>
        <v>0</v>
      </c>
      <c r="S19" s="69"/>
      <c r="T19" s="92"/>
      <c r="U19" s="61">
        <f t="shared" si="13"/>
        <v>0</v>
      </c>
      <c r="V19" s="71">
        <f t="shared" si="7"/>
        <v>0</v>
      </c>
      <c r="W19" s="72"/>
      <c r="X19" s="79">
        <f t="shared" si="1"/>
        <v>0</v>
      </c>
      <c r="Y19" s="80"/>
      <c r="Z19" s="75" t="e">
        <f t="shared" si="8"/>
        <v>#DIV/0!</v>
      </c>
    </row>
    <row r="20" spans="1:26" x14ac:dyDescent="0.25">
      <c r="A20" s="10" t="s">
        <v>116</v>
      </c>
      <c r="B20" s="59">
        <f t="shared" si="9"/>
        <v>12</v>
      </c>
      <c r="C20" s="76"/>
      <c r="D20" s="61">
        <f t="shared" si="2"/>
        <v>0</v>
      </c>
      <c r="E20" s="76"/>
      <c r="F20" s="61">
        <f t="shared" si="10"/>
        <v>0</v>
      </c>
      <c r="G20" s="76"/>
      <c r="H20" s="61">
        <f t="shared" si="3"/>
        <v>0</v>
      </c>
      <c r="I20" s="60">
        <f t="shared" si="4"/>
        <v>0</v>
      </c>
      <c r="J20" s="64"/>
      <c r="K20" s="65">
        <f t="shared" si="5"/>
        <v>0</v>
      </c>
      <c r="L20" s="66"/>
      <c r="M20" s="77"/>
      <c r="N20" s="61">
        <f t="shared" si="11"/>
        <v>0</v>
      </c>
      <c r="O20" s="76"/>
      <c r="P20" s="61">
        <f t="shared" si="12"/>
        <v>0</v>
      </c>
      <c r="Q20" s="67">
        <f t="shared" si="0"/>
        <v>0</v>
      </c>
      <c r="R20" s="68">
        <f t="shared" si="6"/>
        <v>0</v>
      </c>
      <c r="S20" s="69"/>
      <c r="T20" s="83"/>
      <c r="U20" s="61">
        <f t="shared" si="13"/>
        <v>0</v>
      </c>
      <c r="V20" s="71">
        <f t="shared" si="7"/>
        <v>0</v>
      </c>
      <c r="W20" s="72"/>
      <c r="X20" s="79">
        <f t="shared" si="1"/>
        <v>0</v>
      </c>
      <c r="Y20" s="80"/>
      <c r="Z20" s="81" t="e">
        <f t="shared" si="8"/>
        <v>#DIV/0!</v>
      </c>
    </row>
    <row r="21" spans="1:26" x14ac:dyDescent="0.25">
      <c r="A21" s="10" t="s">
        <v>117</v>
      </c>
      <c r="B21" s="59">
        <f t="shared" si="9"/>
        <v>13</v>
      </c>
      <c r="C21" s="84"/>
      <c r="D21" s="61">
        <f t="shared" si="2"/>
        <v>0</v>
      </c>
      <c r="E21" s="76"/>
      <c r="F21" s="61">
        <f t="shared" si="10"/>
        <v>0</v>
      </c>
      <c r="G21" s="76"/>
      <c r="H21" s="61">
        <f t="shared" si="3"/>
        <v>0</v>
      </c>
      <c r="I21" s="60">
        <f t="shared" si="4"/>
        <v>0</v>
      </c>
      <c r="J21" s="64"/>
      <c r="K21" s="65">
        <f t="shared" si="5"/>
        <v>0</v>
      </c>
      <c r="L21" s="66"/>
      <c r="M21" s="77"/>
      <c r="N21" s="61">
        <f t="shared" si="11"/>
        <v>0</v>
      </c>
      <c r="O21" s="76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83"/>
      <c r="U21" s="61">
        <f t="shared" si="13"/>
        <v>0</v>
      </c>
      <c r="V21" s="71">
        <f t="shared" si="7"/>
        <v>0</v>
      </c>
      <c r="W21" s="72"/>
      <c r="X21" s="79">
        <f t="shared" si="1"/>
        <v>0</v>
      </c>
      <c r="Y21" s="80"/>
      <c r="Z21" s="81" t="e">
        <f t="shared" si="8"/>
        <v>#DIV/0!</v>
      </c>
    </row>
    <row r="22" spans="1:26" x14ac:dyDescent="0.25">
      <c r="A22" s="10" t="s">
        <v>118</v>
      </c>
      <c r="B22" s="59">
        <f t="shared" si="9"/>
        <v>14</v>
      </c>
      <c r="C22" s="84"/>
      <c r="D22" s="61">
        <f t="shared" si="2"/>
        <v>0</v>
      </c>
      <c r="E22" s="76"/>
      <c r="F22" s="61">
        <f t="shared" si="10"/>
        <v>0</v>
      </c>
      <c r="G22" s="76"/>
      <c r="H22" s="61">
        <f t="shared" si="3"/>
        <v>0</v>
      </c>
      <c r="I22" s="60">
        <f t="shared" si="4"/>
        <v>0</v>
      </c>
      <c r="J22" s="64"/>
      <c r="K22" s="65">
        <f t="shared" si="5"/>
        <v>0</v>
      </c>
      <c r="L22" s="66"/>
      <c r="M22" s="77"/>
      <c r="N22" s="61">
        <f t="shared" si="11"/>
        <v>0</v>
      </c>
      <c r="O22" s="76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83"/>
      <c r="U22" s="61">
        <f t="shared" si="13"/>
        <v>0</v>
      </c>
      <c r="V22" s="71">
        <f t="shared" si="7"/>
        <v>0</v>
      </c>
      <c r="W22" s="72"/>
      <c r="X22" s="79">
        <f t="shared" si="1"/>
        <v>0</v>
      </c>
      <c r="Y22" s="80"/>
      <c r="Z22" s="81" t="e">
        <f t="shared" si="8"/>
        <v>#DIV/0!</v>
      </c>
    </row>
    <row r="23" spans="1:26" x14ac:dyDescent="0.25">
      <c r="A23" s="10" t="s">
        <v>119</v>
      </c>
      <c r="B23" s="59">
        <f t="shared" si="9"/>
        <v>15</v>
      </c>
      <c r="C23" s="76"/>
      <c r="D23" s="61">
        <f t="shared" si="2"/>
        <v>0</v>
      </c>
      <c r="E23" s="76"/>
      <c r="F23" s="61">
        <f t="shared" si="10"/>
        <v>0</v>
      </c>
      <c r="G23" s="76"/>
      <c r="H23" s="61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>
        <f t="shared" si="11"/>
        <v>0</v>
      </c>
      <c r="O23" s="76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120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121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96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117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118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26434</v>
      </c>
      <c r="D40" s="99"/>
      <c r="E40" s="134">
        <f>SUMIF(F9:F36,"&gt;0")</f>
        <v>26294</v>
      </c>
      <c r="F40" s="135"/>
      <c r="G40" s="136">
        <f>SUMIF(H9:H36,"&gt;0")</f>
        <v>24867</v>
      </c>
      <c r="H40" s="135"/>
      <c r="I40" s="100">
        <f>SUMIF(I9:I36,"&gt;0")</f>
        <v>77595</v>
      </c>
      <c r="J40" s="101"/>
      <c r="K40" s="102">
        <f>SUMIF(K9:K36,"&gt;0")</f>
        <v>19476.345000000001</v>
      </c>
      <c r="L40" s="100"/>
      <c r="M40" s="136">
        <f>SUMIF(N9:N36,"&gt;0")</f>
        <v>711</v>
      </c>
      <c r="N40" s="135"/>
      <c r="O40" s="136">
        <f>SUMIF(P9:P36,"&gt;0")</f>
        <v>4139</v>
      </c>
      <c r="P40" s="135"/>
      <c r="Q40" s="101">
        <f>SUMIF(Q9:Q36,"&gt;0")</f>
        <v>4850</v>
      </c>
      <c r="R40" s="102">
        <f>SUMIF(R9:R36,"&gt;0")</f>
        <v>2842.6282004120003</v>
      </c>
      <c r="S40" s="103"/>
      <c r="T40" s="137">
        <f>SUMIF(U9:U36,"&gt;0")</f>
        <v>1553</v>
      </c>
      <c r="U40" s="138"/>
      <c r="V40" s="104">
        <f>SUMIF(V9:V36,"&gt;0")</f>
        <v>4433.8149999999996</v>
      </c>
      <c r="W40" s="105"/>
      <c r="X40" s="106">
        <f>SUMIF(X9:X36,"&gt;0")</f>
        <v>26752.788200411997</v>
      </c>
      <c r="Y40" s="107">
        <f>SUM(Y9:Y39)</f>
        <v>380</v>
      </c>
      <c r="Z40" s="108">
        <f>(SUMIF(Z9:Z36,"&gt;0")/31)</f>
        <v>12.053303877801683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M21" sqref="M21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81453</v>
      </c>
      <c r="C8" s="122">
        <v>115141</v>
      </c>
      <c r="D8" s="122">
        <v>20076</v>
      </c>
      <c r="E8" s="122">
        <v>22051</v>
      </c>
      <c r="F8" s="122">
        <v>279437</v>
      </c>
      <c r="G8" s="122">
        <v>5004</v>
      </c>
      <c r="H8" s="122">
        <v>10613</v>
      </c>
      <c r="I8" s="122">
        <v>552495</v>
      </c>
      <c r="J8" s="122">
        <v>92993</v>
      </c>
      <c r="K8" s="122">
        <v>8097</v>
      </c>
      <c r="L8" s="122">
        <v>40945</v>
      </c>
      <c r="M8" s="122">
        <v>62385</v>
      </c>
      <c r="N8" s="122">
        <v>56624</v>
      </c>
      <c r="O8" s="122">
        <v>276106</v>
      </c>
      <c r="P8" s="122">
        <v>580401</v>
      </c>
      <c r="Q8" s="122">
        <v>5311</v>
      </c>
      <c r="R8" s="122">
        <v>26986</v>
      </c>
      <c r="S8" s="122">
        <v>25503</v>
      </c>
      <c r="T8" s="122">
        <v>379798</v>
      </c>
      <c r="U8" s="122">
        <v>547936</v>
      </c>
      <c r="V8" s="122">
        <v>60775</v>
      </c>
      <c r="W8" s="122">
        <v>8146</v>
      </c>
      <c r="X8" s="122">
        <v>22495</v>
      </c>
      <c r="Y8" s="122">
        <v>126192</v>
      </c>
      <c r="Z8" s="122">
        <v>1303</v>
      </c>
      <c r="AA8" s="122">
        <v>240800</v>
      </c>
      <c r="AB8" s="122">
        <v>11410</v>
      </c>
      <c r="AC8" s="122">
        <v>2806</v>
      </c>
      <c r="AD8" s="122">
        <v>25797</v>
      </c>
      <c r="AE8" s="122">
        <v>125253</v>
      </c>
      <c r="AF8" s="122">
        <v>317698</v>
      </c>
      <c r="AG8" s="122">
        <v>1546301</v>
      </c>
      <c r="AH8" s="122">
        <v>14222</v>
      </c>
      <c r="AI8" s="122">
        <v>509977</v>
      </c>
      <c r="AJ8" s="122">
        <v>931683</v>
      </c>
      <c r="AK8" s="122">
        <v>14943</v>
      </c>
      <c r="AL8" s="123">
        <v>50920</v>
      </c>
      <c r="AM8" s="122">
        <v>50431</v>
      </c>
      <c r="AN8" s="124">
        <v>866987</v>
      </c>
      <c r="AO8" s="124">
        <v>5710</v>
      </c>
      <c r="AP8" s="124">
        <v>0</v>
      </c>
      <c r="AQ8" s="122">
        <v>155790</v>
      </c>
      <c r="AR8" s="122">
        <v>310812</v>
      </c>
      <c r="AS8" s="122">
        <v>87547</v>
      </c>
      <c r="AT8" s="122">
        <v>885</v>
      </c>
      <c r="AU8" s="122">
        <v>167099</v>
      </c>
      <c r="AV8" s="122">
        <v>62658</v>
      </c>
      <c r="AW8" s="122">
        <v>52505</v>
      </c>
      <c r="AX8" s="122">
        <v>263408</v>
      </c>
      <c r="AY8" s="133">
        <v>712686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81545</v>
      </c>
      <c r="C9" s="112">
        <v>115331</v>
      </c>
      <c r="D9" s="112">
        <v>20095</v>
      </c>
      <c r="E9" s="112">
        <v>22062</v>
      </c>
      <c r="F9" s="112">
        <v>279627</v>
      </c>
      <c r="G9" s="112">
        <v>5008</v>
      </c>
      <c r="H9" s="112">
        <v>10634</v>
      </c>
      <c r="I9" s="112">
        <v>552890</v>
      </c>
      <c r="J9" s="112">
        <v>93055</v>
      </c>
      <c r="K9" s="112">
        <v>8098</v>
      </c>
      <c r="L9" s="112">
        <v>40969</v>
      </c>
      <c r="M9" s="112">
        <v>62411</v>
      </c>
      <c r="N9" s="112">
        <v>56662</v>
      </c>
      <c r="O9" s="112">
        <v>276303</v>
      </c>
      <c r="P9" s="112">
        <v>581062</v>
      </c>
      <c r="Q9" s="112">
        <v>5318</v>
      </c>
      <c r="R9" s="112">
        <v>26996</v>
      </c>
      <c r="S9" s="112">
        <v>25503</v>
      </c>
      <c r="T9" s="112">
        <v>380025</v>
      </c>
      <c r="U9" s="112">
        <v>548305</v>
      </c>
      <c r="V9" s="112">
        <v>60817</v>
      </c>
      <c r="W9" s="112">
        <v>8152</v>
      </c>
      <c r="X9" s="112">
        <v>22513</v>
      </c>
      <c r="Y9" s="112">
        <v>126292</v>
      </c>
      <c r="Z9" s="112">
        <v>1303</v>
      </c>
      <c r="AA9" s="112">
        <v>240953</v>
      </c>
      <c r="AB9" s="112">
        <v>11413</v>
      </c>
      <c r="AC9" s="112">
        <v>2807</v>
      </c>
      <c r="AD9" s="112">
        <v>25822</v>
      </c>
      <c r="AE9" s="112">
        <v>125366</v>
      </c>
      <c r="AF9" s="112">
        <v>317965</v>
      </c>
      <c r="AG9" s="112">
        <v>1547377</v>
      </c>
      <c r="AH9" s="112">
        <v>14225</v>
      </c>
      <c r="AI9" s="112">
        <v>509997</v>
      </c>
      <c r="AJ9" s="112">
        <v>932399</v>
      </c>
      <c r="AK9" s="112">
        <v>14960</v>
      </c>
      <c r="AL9" s="126">
        <v>51024</v>
      </c>
      <c r="AM9" s="112">
        <v>50499</v>
      </c>
      <c r="AN9" s="116">
        <v>867520</v>
      </c>
      <c r="AO9" s="116">
        <v>5710</v>
      </c>
      <c r="AP9" s="116">
        <v>0</v>
      </c>
      <c r="AQ9" s="112">
        <v>155911</v>
      </c>
      <c r="AR9" s="112">
        <v>311076</v>
      </c>
      <c r="AS9" s="112">
        <v>87582</v>
      </c>
      <c r="AT9" s="112">
        <v>886</v>
      </c>
      <c r="AU9" s="112">
        <v>167217</v>
      </c>
      <c r="AV9" s="112">
        <v>62698</v>
      </c>
      <c r="AW9" s="112">
        <v>52543</v>
      </c>
      <c r="AX9" s="112">
        <v>263679</v>
      </c>
      <c r="AY9" s="112">
        <v>713302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81628</v>
      </c>
      <c r="C10" s="112">
        <v>115522</v>
      </c>
      <c r="D10" s="112">
        <v>20114</v>
      </c>
      <c r="E10" s="112">
        <v>22072</v>
      </c>
      <c r="F10" s="112">
        <v>279808</v>
      </c>
      <c r="G10" s="112">
        <v>5013</v>
      </c>
      <c r="H10" s="112">
        <v>10648</v>
      </c>
      <c r="I10" s="112">
        <v>553284</v>
      </c>
      <c r="J10" s="112">
        <v>93115</v>
      </c>
      <c r="K10" s="112">
        <v>8098</v>
      </c>
      <c r="L10" s="112">
        <v>40997</v>
      </c>
      <c r="M10" s="112">
        <v>62434</v>
      </c>
      <c r="N10" s="112">
        <v>56699</v>
      </c>
      <c r="O10" s="112">
        <v>276502</v>
      </c>
      <c r="P10" s="112">
        <v>581684</v>
      </c>
      <c r="Q10" s="112">
        <v>5325</v>
      </c>
      <c r="R10" s="112">
        <v>27009</v>
      </c>
      <c r="S10" s="112">
        <v>25503</v>
      </c>
      <c r="T10" s="112">
        <v>380283</v>
      </c>
      <c r="U10" s="112">
        <v>548698</v>
      </c>
      <c r="V10" s="112">
        <v>60860</v>
      </c>
      <c r="W10" s="112">
        <v>8156</v>
      </c>
      <c r="X10" s="112">
        <v>22536</v>
      </c>
      <c r="Y10" s="112">
        <v>126388</v>
      </c>
      <c r="Z10" s="112">
        <v>1303</v>
      </c>
      <c r="AA10" s="112">
        <v>241105</v>
      </c>
      <c r="AB10" s="112">
        <v>11415</v>
      </c>
      <c r="AC10" s="112">
        <v>2809</v>
      </c>
      <c r="AD10" s="112">
        <v>25835</v>
      </c>
      <c r="AE10" s="112">
        <v>125472</v>
      </c>
      <c r="AF10" s="112">
        <v>318245</v>
      </c>
      <c r="AG10" s="112">
        <v>1548452</v>
      </c>
      <c r="AH10" s="112">
        <v>14230</v>
      </c>
      <c r="AI10" s="112">
        <v>510014</v>
      </c>
      <c r="AJ10" s="112">
        <v>933033</v>
      </c>
      <c r="AK10" s="112">
        <v>14972</v>
      </c>
      <c r="AL10" s="126">
        <v>51147</v>
      </c>
      <c r="AM10" s="112">
        <v>50572</v>
      </c>
      <c r="AN10" s="116">
        <v>868159</v>
      </c>
      <c r="AO10" s="116">
        <v>5710</v>
      </c>
      <c r="AP10" s="116">
        <v>0</v>
      </c>
      <c r="AQ10" s="112">
        <v>156048</v>
      </c>
      <c r="AR10" s="112">
        <v>311309</v>
      </c>
      <c r="AS10" s="112">
        <v>87643</v>
      </c>
      <c r="AT10" s="112">
        <v>886</v>
      </c>
      <c r="AU10" s="112">
        <v>167339</v>
      </c>
      <c r="AV10" s="112">
        <v>62729</v>
      </c>
      <c r="AW10" s="112">
        <v>52571</v>
      </c>
      <c r="AX10" s="112">
        <v>263833</v>
      </c>
      <c r="AY10" s="112">
        <v>713925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81709</v>
      </c>
      <c r="C11" s="112">
        <v>115684</v>
      </c>
      <c r="D11" s="112">
        <v>20127</v>
      </c>
      <c r="E11" s="112">
        <v>22079</v>
      </c>
      <c r="F11" s="112">
        <v>279988</v>
      </c>
      <c r="G11" s="112">
        <v>5018</v>
      </c>
      <c r="H11" s="112">
        <v>10665</v>
      </c>
      <c r="I11" s="112">
        <v>553640</v>
      </c>
      <c r="J11" s="112">
        <v>93170</v>
      </c>
      <c r="K11" s="112">
        <v>8100</v>
      </c>
      <c r="L11" s="112">
        <v>41024</v>
      </c>
      <c r="M11" s="112">
        <v>62462</v>
      </c>
      <c r="N11" s="112">
        <v>56737</v>
      </c>
      <c r="O11" s="112">
        <v>276696</v>
      </c>
      <c r="P11" s="112">
        <v>582168</v>
      </c>
      <c r="Q11" s="112">
        <v>5331</v>
      </c>
      <c r="R11" s="112">
        <v>27022</v>
      </c>
      <c r="S11" s="112">
        <v>25503</v>
      </c>
      <c r="T11" s="112">
        <v>380498</v>
      </c>
      <c r="U11" s="112">
        <v>549087</v>
      </c>
      <c r="V11" s="112">
        <v>60907</v>
      </c>
      <c r="W11" s="112">
        <v>8158</v>
      </c>
      <c r="X11" s="112">
        <v>22553</v>
      </c>
      <c r="Y11" s="112">
        <v>126478</v>
      </c>
      <c r="Z11" s="112">
        <v>1303</v>
      </c>
      <c r="AA11" s="112">
        <v>241251</v>
      </c>
      <c r="AB11" s="112">
        <v>11416</v>
      </c>
      <c r="AC11" s="112">
        <v>2810</v>
      </c>
      <c r="AD11" s="112">
        <v>25857</v>
      </c>
      <c r="AE11" s="112">
        <v>125580</v>
      </c>
      <c r="AF11" s="112">
        <v>318520</v>
      </c>
      <c r="AG11" s="112">
        <v>1549416</v>
      </c>
      <c r="AH11" s="112">
        <v>14231</v>
      </c>
      <c r="AI11" s="132">
        <v>510032</v>
      </c>
      <c r="AJ11" s="112">
        <v>933764</v>
      </c>
      <c r="AK11" s="112">
        <v>14981</v>
      </c>
      <c r="AL11" s="112">
        <v>51246</v>
      </c>
      <c r="AM11" s="132">
        <v>50645</v>
      </c>
      <c r="AN11" s="126">
        <v>868613</v>
      </c>
      <c r="AO11" s="112">
        <v>5710</v>
      </c>
      <c r="AP11" s="116">
        <v>0</v>
      </c>
      <c r="AQ11" s="116">
        <v>156189</v>
      </c>
      <c r="AR11" s="112">
        <v>311551</v>
      </c>
      <c r="AS11" s="132">
        <v>87709</v>
      </c>
      <c r="AT11" s="112">
        <v>887</v>
      </c>
      <c r="AU11" s="112">
        <v>167455</v>
      </c>
      <c r="AV11" s="112">
        <v>62762</v>
      </c>
      <c r="AW11" s="112">
        <v>52598</v>
      </c>
      <c r="AX11" s="112">
        <v>264029</v>
      </c>
      <c r="AY11" s="112">
        <v>714454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81788</v>
      </c>
      <c r="C12" s="112">
        <v>115849</v>
      </c>
      <c r="D12" s="112">
        <v>20134</v>
      </c>
      <c r="E12" s="112">
        <v>22091</v>
      </c>
      <c r="F12" s="112">
        <v>280165</v>
      </c>
      <c r="G12" s="112">
        <v>5022</v>
      </c>
      <c r="H12" s="112">
        <v>10675</v>
      </c>
      <c r="I12" s="112">
        <v>554016</v>
      </c>
      <c r="J12" s="112">
        <v>93220</v>
      </c>
      <c r="K12" s="112">
        <v>8100</v>
      </c>
      <c r="L12" s="112">
        <v>41048</v>
      </c>
      <c r="M12" s="112">
        <v>62492</v>
      </c>
      <c r="N12" s="112">
        <v>56772</v>
      </c>
      <c r="O12" s="112">
        <v>276893</v>
      </c>
      <c r="P12" s="112">
        <v>582651</v>
      </c>
      <c r="Q12" s="112">
        <v>5339</v>
      </c>
      <c r="R12" s="132">
        <v>27036</v>
      </c>
      <c r="S12" s="112">
        <v>25503</v>
      </c>
      <c r="T12" s="112">
        <v>380725</v>
      </c>
      <c r="U12" s="112">
        <v>549466</v>
      </c>
      <c r="V12" s="112">
        <v>60949</v>
      </c>
      <c r="W12" s="112">
        <v>8159</v>
      </c>
      <c r="X12" s="112">
        <v>22573</v>
      </c>
      <c r="Y12" s="112">
        <v>126565</v>
      </c>
      <c r="Z12" s="112">
        <v>1303</v>
      </c>
      <c r="AA12" s="112">
        <v>241404</v>
      </c>
      <c r="AB12" s="112">
        <v>11421</v>
      </c>
      <c r="AC12" s="112">
        <v>2812</v>
      </c>
      <c r="AD12" s="112">
        <v>25876</v>
      </c>
      <c r="AE12" s="112">
        <v>125686</v>
      </c>
      <c r="AF12" s="112">
        <v>318800</v>
      </c>
      <c r="AG12" s="112">
        <v>1550380</v>
      </c>
      <c r="AH12" s="112">
        <v>14232</v>
      </c>
      <c r="AI12" s="112">
        <v>510051</v>
      </c>
      <c r="AJ12" s="112">
        <v>934553</v>
      </c>
      <c r="AK12" s="112">
        <v>14995</v>
      </c>
      <c r="AL12" s="112">
        <v>51341</v>
      </c>
      <c r="AM12" s="112">
        <v>51717</v>
      </c>
      <c r="AN12" s="112">
        <v>869351</v>
      </c>
      <c r="AO12" s="112">
        <v>5710</v>
      </c>
      <c r="AP12" s="112">
        <v>0</v>
      </c>
      <c r="AQ12" s="112">
        <v>156339</v>
      </c>
      <c r="AR12" s="112">
        <v>311798</v>
      </c>
      <c r="AS12" s="112">
        <v>87771</v>
      </c>
      <c r="AT12" s="112">
        <v>887</v>
      </c>
      <c r="AU12" s="112">
        <v>167595</v>
      </c>
      <c r="AV12" s="112">
        <v>62797</v>
      </c>
      <c r="AW12" s="112">
        <v>52621</v>
      </c>
      <c r="AX12" s="112">
        <v>264231</v>
      </c>
      <c r="AY12" s="112">
        <v>715041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26"/>
      <c r="AM13" s="112"/>
      <c r="AN13" s="116"/>
      <c r="AO13" s="116"/>
      <c r="AP13" s="116"/>
      <c r="AQ13" s="112"/>
      <c r="AR13" s="112"/>
      <c r="AS13" s="112"/>
      <c r="AT13" s="112"/>
      <c r="AU13" s="112"/>
      <c r="AV13" s="112"/>
      <c r="AW13" s="112"/>
      <c r="AX13" s="112"/>
      <c r="AY13" s="112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26"/>
      <c r="AM14" s="112"/>
      <c r="AN14" s="116"/>
      <c r="AO14" s="116"/>
      <c r="AP14" s="116"/>
      <c r="AQ14" s="112"/>
      <c r="AR14" s="112"/>
      <c r="AS14" s="112"/>
      <c r="AT14" s="112"/>
      <c r="AU14" s="112"/>
      <c r="AV14" s="112"/>
      <c r="AW14" s="112"/>
      <c r="AX14" s="112"/>
      <c r="AY14" s="112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26"/>
      <c r="AM15" s="112"/>
      <c r="AN15" s="116"/>
      <c r="AO15" s="116"/>
      <c r="AP15" s="116"/>
      <c r="AQ15" s="112"/>
      <c r="AR15" s="112"/>
      <c r="AS15" s="112"/>
      <c r="AT15" s="112"/>
      <c r="AU15" s="112"/>
      <c r="AV15" s="112"/>
      <c r="AW15" s="112"/>
      <c r="AX15" s="112"/>
      <c r="AY15" s="112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26"/>
      <c r="AM16" s="112"/>
      <c r="AN16" s="116"/>
      <c r="AO16" s="116"/>
      <c r="AP16" s="116"/>
      <c r="AQ16" s="112"/>
      <c r="AR16" s="112"/>
      <c r="AS16" s="112"/>
      <c r="AT16" s="112"/>
      <c r="AU16" s="112"/>
      <c r="AV16" s="112"/>
      <c r="AW16" s="112"/>
      <c r="AX16" s="112"/>
      <c r="AY16" s="112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26"/>
      <c r="AM17" s="112"/>
      <c r="AN17" s="116"/>
      <c r="AO17" s="116"/>
      <c r="AP17" s="116"/>
      <c r="AQ17" s="112"/>
      <c r="AR17" s="112"/>
      <c r="AS17" s="112"/>
      <c r="AT17" s="112"/>
      <c r="AU17" s="112"/>
      <c r="AV17" s="112"/>
      <c r="AW17" s="112"/>
      <c r="AX17" s="112"/>
      <c r="AY17" s="112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26"/>
      <c r="AM18" s="112"/>
      <c r="AN18" s="116"/>
      <c r="AO18" s="116"/>
      <c r="AP18" s="116"/>
      <c r="AQ18" s="112"/>
      <c r="AR18" s="112"/>
      <c r="AS18" s="112"/>
      <c r="AT18" s="112"/>
      <c r="AU18" s="112"/>
      <c r="AV18" s="112"/>
      <c r="AW18" s="112"/>
      <c r="AX18" s="112"/>
      <c r="AY18" s="112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26"/>
      <c r="AM19" s="112"/>
      <c r="AN19" s="116"/>
      <c r="AO19" s="116"/>
      <c r="AP19" s="116"/>
      <c r="AQ19" s="112"/>
      <c r="AR19" s="112"/>
      <c r="AS19" s="112"/>
      <c r="AT19" s="112"/>
      <c r="AU19" s="112"/>
      <c r="AV19" s="112"/>
      <c r="AW19" s="112"/>
      <c r="AX19" s="112"/>
      <c r="AY19" s="112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6"/>
      <c r="AK20" s="116"/>
      <c r="AL20" s="12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6"/>
      <c r="AK21" s="116"/>
      <c r="AL21" s="12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0"/>
      <c r="X22" s="112"/>
      <c r="Y22" s="112"/>
      <c r="Z22" s="112"/>
      <c r="AA22" s="112"/>
      <c r="AB22" s="112"/>
      <c r="AC22" s="112"/>
      <c r="AD22" s="10"/>
      <c r="AE22" s="112"/>
      <c r="AF22" s="112"/>
      <c r="AG22" s="112"/>
      <c r="AH22" s="112"/>
      <c r="AI22" s="112"/>
      <c r="AJ22" s="116"/>
      <c r="AK22" s="132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6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6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32"/>
      <c r="AM25" s="132"/>
      <c r="AN25" s="132"/>
      <c r="AO25" s="126"/>
      <c r="AP25" s="112"/>
      <c r="AQ25" s="116"/>
      <c r="AR25" s="116"/>
      <c r="AS25" s="116"/>
      <c r="AT25" s="112"/>
      <c r="AU25" s="112"/>
      <c r="AV25" s="112"/>
      <c r="AW25" s="112"/>
      <c r="AX25" s="112"/>
      <c r="AY25" s="112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3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6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6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32"/>
      <c r="AX27" s="112"/>
      <c r="AY27" s="112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32"/>
      <c r="S28" s="112"/>
      <c r="T28" s="112"/>
      <c r="U28" s="13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6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6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3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32"/>
      <c r="AN32" s="112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3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2021-09-06T11:35:09Z</dcterms:modified>
</cp:coreProperties>
</file>