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28800" windowHeight="1230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/>
  <c r="K32" i="1"/>
  <c r="N32" i="1" s="1"/>
  <c r="K33" i="1"/>
  <c r="N33" i="1"/>
  <c r="M30" i="1"/>
  <c r="P30" i="1" s="1"/>
  <c r="M31" i="1"/>
  <c r="P31" i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/>
  <c r="K38" i="1"/>
  <c r="N38" i="1" s="1"/>
  <c r="L37" i="1"/>
  <c r="O37" i="1"/>
  <c r="K37" i="1"/>
  <c r="N37" i="1" s="1"/>
  <c r="M36" i="1"/>
  <c r="P36" i="1"/>
  <c r="L36" i="1"/>
  <c r="O36" i="1" s="1"/>
  <c r="L35" i="1"/>
  <c r="O35" i="1"/>
  <c r="K35" i="1"/>
  <c r="N35" i="1" s="1"/>
  <c r="M34" i="1"/>
  <c r="P34" i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<sst xmlns="http://schemas.openxmlformats.org/spreadsheetml/2006/main" count="112" uniqueCount="45">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</sst>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9110</v>
      </c>
      <c r="F13" s="38">
        <f t="shared" si="1"/>
        <v>11.359820004894488</v>
      </c>
      <c r="G13" s="39">
        <f>'FS Desroches'!G20*0.51</f>
        <v>24.48</v>
      </c>
      <c r="H13" s="38">
        <f t="shared" si="2"/>
        <v>232.87671232876713</v>
      </c>
      <c r="I13" s="39">
        <f>'FS Desroches'!E20</f>
        <v>75</v>
      </c>
      <c r="J13" s="38">
        <f t="shared" si="3"/>
        <v>117.8082191780822</v>
      </c>
      <c r="K13" s="40">
        <f>'FS Desroches'!C20</f>
        <v>19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8810</v>
      </c>
      <c r="F14" s="38">
        <f t="shared" si="1"/>
        <v>11.359820004894488</v>
      </c>
      <c r="G14" s="39">
        <f>'FS Desroches'!G21*0.51</f>
        <v>24.48</v>
      </c>
      <c r="H14" s="38">
        <f t="shared" si="2"/>
        <v>232.87671232876713</v>
      </c>
      <c r="I14" s="39">
        <f>'FS Desroches'!E21</f>
        <v>69</v>
      </c>
      <c r="J14" s="38">
        <f t="shared" si="3"/>
        <v>117.8082191780822</v>
      </c>
      <c r="K14" s="40">
        <f>'FS Desroches'!C21</f>
        <v>20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9800</v>
      </c>
      <c r="F15" s="38">
        <f t="shared" si="1"/>
        <v>11.359820004894488</v>
      </c>
      <c r="G15" s="39">
        <f>'FS Desroches'!G22*0.51</f>
        <v>26.52</v>
      </c>
      <c r="H15" s="38">
        <f t="shared" si="2"/>
        <v>232.87671232876713</v>
      </c>
      <c r="I15" s="39">
        <f>'FS Desroches'!E22</f>
        <v>67.5</v>
      </c>
      <c r="J15" s="38">
        <f t="shared" si="3"/>
        <v>117.8082191780822</v>
      </c>
      <c r="K15" s="40">
        <f>'FS Desroches'!C22</f>
        <v>25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10700</v>
      </c>
      <c r="F16" s="38">
        <f t="shared" si="1"/>
        <v>11.359820004894488</v>
      </c>
      <c r="G16" s="39">
        <f>'FS Desroches'!G23*0.51</f>
        <v>34.17</v>
      </c>
      <c r="H16" s="38">
        <f t="shared" si="2"/>
        <v>232.87671232876713</v>
      </c>
      <c r="I16" s="39">
        <f>'FS Desroches'!E23</f>
        <v>92.6</v>
      </c>
      <c r="J16" s="38">
        <f t="shared" si="3"/>
        <v>117.8082191780822</v>
      </c>
      <c r="K16" s="40">
        <f>'FS Desroches'!C23</f>
        <v>26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10400</v>
      </c>
      <c r="F17" s="38">
        <f t="shared" si="1"/>
        <v>11.359820004894488</v>
      </c>
      <c r="G17" s="39">
        <f>'FS Desroches'!G24*0.51</f>
        <v>24.48</v>
      </c>
      <c r="H17" s="38">
        <f t="shared" si="2"/>
        <v>232.87671232876713</v>
      </c>
      <c r="I17" s="39">
        <f>'FS Desroches'!E24</f>
        <v>80.7</v>
      </c>
      <c r="J17" s="38">
        <f t="shared" si="3"/>
        <v>117.8082191780822</v>
      </c>
      <c r="K17" s="40">
        <f>'FS Desroches'!C24</f>
        <v>28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10800</v>
      </c>
      <c r="F18" s="38">
        <f t="shared" si="1"/>
        <v>11.359820004894488</v>
      </c>
      <c r="G18" s="39">
        <f>'FS Desroches'!G25*0.51</f>
        <v>26.52</v>
      </c>
      <c r="H18" s="38">
        <f t="shared" si="2"/>
        <v>232.87671232876713</v>
      </c>
      <c r="I18" s="39">
        <f>'FS Desroches'!E25</f>
        <v>86.1</v>
      </c>
      <c r="J18" s="38">
        <f t="shared" si="3"/>
        <v>117.8082191780822</v>
      </c>
      <c r="K18" s="40">
        <f>'FS Desroches'!C25</f>
        <v>32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11610</v>
      </c>
      <c r="F19" s="38">
        <f t="shared" si="1"/>
        <v>11.359820004894488</v>
      </c>
      <c r="G19" s="39">
        <f>'FS Desroches'!G26*0.51</f>
        <v>30.09</v>
      </c>
      <c r="H19" s="38">
        <f t="shared" si="2"/>
        <v>232.87671232876713</v>
      </c>
      <c r="I19" s="39">
        <f>'FS Desroches'!E26</f>
        <v>97.1</v>
      </c>
      <c r="J19" s="38">
        <f t="shared" si="3"/>
        <v>117.8082191780822</v>
      </c>
      <c r="K19" s="40">
        <f>'FS Desroches'!C26</f>
        <v>28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11220</v>
      </c>
      <c r="F20" s="38">
        <f t="shared" si="1"/>
        <v>11.359820004894488</v>
      </c>
      <c r="G20" s="39">
        <f>'FS Desroches'!G27*0.51</f>
        <v>32.130000000000003</v>
      </c>
      <c r="H20" s="38">
        <f t="shared" si="2"/>
        <v>232.87671232876713</v>
      </c>
      <c r="I20" s="39">
        <f>'FS Desroches'!E27</f>
        <v>87</v>
      </c>
      <c r="J20" s="38">
        <f t="shared" si="3"/>
        <v>117.8082191780822</v>
      </c>
      <c r="K20" s="40">
        <f>'FS Desroches'!C27</f>
        <v>38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12190</v>
      </c>
      <c r="F21" s="38">
        <f t="shared" si="1"/>
        <v>11.359820004894488</v>
      </c>
      <c r="G21" s="39">
        <f>'FS Desroches'!G28*0.51</f>
        <v>28.560000000000002</v>
      </c>
      <c r="H21" s="38">
        <f t="shared" si="2"/>
        <v>232.87671232876713</v>
      </c>
      <c r="I21" s="39">
        <f>'FS Desroches'!E28</f>
        <v>92.3</v>
      </c>
      <c r="J21" s="38">
        <f t="shared" si="3"/>
        <v>117.8082191780822</v>
      </c>
      <c r="K21" s="40">
        <f>'FS Desroches'!C28</f>
        <v>43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12550</v>
      </c>
      <c r="F22" s="38">
        <f t="shared" si="1"/>
        <v>11.359820004894488</v>
      </c>
      <c r="G22" s="39">
        <f>'FS Desroches'!G29*0.51</f>
        <v>28.560000000000002</v>
      </c>
      <c r="H22" s="38">
        <f t="shared" si="2"/>
        <v>232.87671232876713</v>
      </c>
      <c r="I22" s="39">
        <f>'FS Desroches'!E29</f>
        <v>89.7</v>
      </c>
      <c r="J22" s="38">
        <f t="shared" si="3"/>
        <v>117.8082191780822</v>
      </c>
      <c r="K22" s="40">
        <f>'FS Desroches'!C29</f>
        <v>47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13430</v>
      </c>
      <c r="F23" s="38">
        <f t="shared" si="1"/>
        <v>11.359820004894488</v>
      </c>
      <c r="G23" s="39">
        <f>'FS Desroches'!G30*0.51</f>
        <v>35.700000000000003</v>
      </c>
      <c r="H23" s="38">
        <f t="shared" si="2"/>
        <v>232.87671232876713</v>
      </c>
      <c r="I23" s="39">
        <f>'FS Desroches'!E30</f>
        <v>107</v>
      </c>
      <c r="J23" s="38">
        <f t="shared" si="3"/>
        <v>117.8082191780822</v>
      </c>
      <c r="K23" s="40">
        <f>'FS Desroches'!C30</f>
        <v>42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16" zoomScale="102" zoomScaleNormal="102" workbookViewId="0">
      <selection activeCell="R29" sqref="R29:R30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>
        <v>0.18</v>
      </c>
      <c r="C20" s="22">
        <v>19</v>
      </c>
      <c r="D20" s="22">
        <v>40</v>
      </c>
      <c r="E20" s="23">
        <v>75</v>
      </c>
      <c r="F20" s="24">
        <v>9110</v>
      </c>
      <c r="G20" s="25">
        <v>48</v>
      </c>
      <c r="H20" s="26">
        <f t="shared" si="3"/>
        <v>3.9473684210526314</v>
      </c>
      <c r="I20" s="27">
        <f t="shared" si="4"/>
        <v>479.4736842105263</v>
      </c>
      <c r="J20" s="28">
        <f t="shared" si="5"/>
        <v>2.5263157894736841</v>
      </c>
      <c r="K20" s="26">
        <f t="shared" si="0"/>
        <v>645</v>
      </c>
      <c r="L20" s="24">
        <f t="shared" si="1"/>
        <v>5921.5</v>
      </c>
      <c r="M20" s="28">
        <f t="shared" si="2"/>
        <v>367.2</v>
      </c>
      <c r="N20" s="26">
        <f t="shared" si="6"/>
        <v>16.125</v>
      </c>
      <c r="O20" s="27">
        <f t="shared" si="7"/>
        <v>148.03749999999999</v>
      </c>
      <c r="P20" s="28">
        <f t="shared" si="8"/>
        <v>9.18</v>
      </c>
      <c r="Q20" s="22">
        <v>26.6</v>
      </c>
      <c r="R20" s="22" t="s">
        <v>41</v>
      </c>
      <c r="S20" s="22"/>
    </row>
    <row r="21" spans="1:19" x14ac:dyDescent="0.25">
      <c r="A21" s="20">
        <v>43750</v>
      </c>
      <c r="B21" s="21">
        <v>0.2</v>
      </c>
      <c r="C21" s="22">
        <v>20</v>
      </c>
      <c r="D21" s="22">
        <v>45</v>
      </c>
      <c r="E21" s="23">
        <v>69</v>
      </c>
      <c r="F21" s="24">
        <v>8810</v>
      </c>
      <c r="G21" s="25">
        <v>48</v>
      </c>
      <c r="H21" s="26">
        <f t="shared" si="3"/>
        <v>3.45</v>
      </c>
      <c r="I21" s="27">
        <f t="shared" si="4"/>
        <v>440.5</v>
      </c>
      <c r="J21" s="28">
        <f t="shared" si="5"/>
        <v>2.4</v>
      </c>
      <c r="K21" s="26">
        <f t="shared" si="0"/>
        <v>593.4</v>
      </c>
      <c r="L21" s="24">
        <f t="shared" si="1"/>
        <v>5726.5</v>
      </c>
      <c r="M21" s="28">
        <f t="shared" si="2"/>
        <v>367.2</v>
      </c>
      <c r="N21" s="26">
        <f t="shared" si="6"/>
        <v>13.186666666666666</v>
      </c>
      <c r="O21" s="27">
        <f t="shared" si="7"/>
        <v>127.25555555555556</v>
      </c>
      <c r="P21" s="28">
        <f t="shared" si="8"/>
        <v>8.16</v>
      </c>
      <c r="Q21" s="22">
        <v>26.3</v>
      </c>
      <c r="R21" s="22" t="s">
        <v>42</v>
      </c>
      <c r="S21" s="22"/>
    </row>
    <row r="22" spans="1:19" x14ac:dyDescent="0.25">
      <c r="A22" s="20">
        <v>43751</v>
      </c>
      <c r="B22" s="21">
        <v>0.3</v>
      </c>
      <c r="C22" s="22">
        <v>25</v>
      </c>
      <c r="D22" s="22">
        <v>57</v>
      </c>
      <c r="E22" s="23">
        <v>67.5</v>
      </c>
      <c r="F22" s="24">
        <v>9800</v>
      </c>
      <c r="G22" s="25">
        <v>52</v>
      </c>
      <c r="H22" s="26">
        <f t="shared" si="3"/>
        <v>2.7</v>
      </c>
      <c r="I22" s="27">
        <f t="shared" si="4"/>
        <v>392</v>
      </c>
      <c r="J22" s="28">
        <f t="shared" si="5"/>
        <v>2.08</v>
      </c>
      <c r="K22" s="26">
        <f t="shared" si="0"/>
        <v>580.5</v>
      </c>
      <c r="L22" s="24">
        <f t="shared" si="1"/>
        <v>6370</v>
      </c>
      <c r="M22" s="28">
        <f t="shared" si="2"/>
        <v>397.8</v>
      </c>
      <c r="N22" s="26">
        <f t="shared" si="6"/>
        <v>10.184210526315789</v>
      </c>
      <c r="O22" s="27">
        <f t="shared" si="7"/>
        <v>111.75438596491227</v>
      </c>
      <c r="P22" s="28">
        <f t="shared" si="8"/>
        <v>6.9789473684210526</v>
      </c>
      <c r="Q22" s="22">
        <v>26.8</v>
      </c>
      <c r="R22" s="22" t="s">
        <v>42</v>
      </c>
      <c r="S22" s="22"/>
    </row>
    <row r="23" spans="1:19" x14ac:dyDescent="0.25">
      <c r="A23" s="20">
        <v>43752</v>
      </c>
      <c r="B23" s="21">
        <v>0.3</v>
      </c>
      <c r="C23" s="22">
        <v>26</v>
      </c>
      <c r="D23" s="22">
        <v>61</v>
      </c>
      <c r="E23" s="23">
        <v>92.6</v>
      </c>
      <c r="F23" s="24">
        <v>10700</v>
      </c>
      <c r="G23" s="25">
        <v>67</v>
      </c>
      <c r="H23" s="26">
        <f t="shared" si="3"/>
        <v>3.5615384615384613</v>
      </c>
      <c r="I23" s="27">
        <f t="shared" si="4"/>
        <v>411.53846153846155</v>
      </c>
      <c r="J23" s="28">
        <f t="shared" si="5"/>
        <v>2.5769230769230771</v>
      </c>
      <c r="K23" s="26">
        <f t="shared" si="0"/>
        <v>796.3599999999999</v>
      </c>
      <c r="L23" s="24">
        <f t="shared" si="1"/>
        <v>6955</v>
      </c>
      <c r="M23" s="28">
        <f t="shared" si="2"/>
        <v>512.54999999999995</v>
      </c>
      <c r="N23" s="26">
        <f t="shared" si="6"/>
        <v>13.055081967213113</v>
      </c>
      <c r="O23" s="27">
        <f t="shared" si="7"/>
        <v>114.01639344262296</v>
      </c>
      <c r="P23" s="28">
        <f t="shared" si="8"/>
        <v>8.4024590163934416</v>
      </c>
      <c r="Q23" s="22">
        <v>25.8</v>
      </c>
      <c r="R23" s="22" t="s">
        <v>42</v>
      </c>
      <c r="S23" s="22"/>
    </row>
    <row r="24" spans="1:19" x14ac:dyDescent="0.25">
      <c r="A24" s="20">
        <v>43753</v>
      </c>
      <c r="B24" s="21">
        <v>0.32</v>
      </c>
      <c r="C24" s="22">
        <v>28</v>
      </c>
      <c r="D24" s="22">
        <v>66</v>
      </c>
      <c r="E24" s="23">
        <v>80.7</v>
      </c>
      <c r="F24" s="24">
        <v>10400</v>
      </c>
      <c r="G24" s="25">
        <v>48</v>
      </c>
      <c r="H24" s="26">
        <f t="shared" si="3"/>
        <v>2.8821428571428571</v>
      </c>
      <c r="I24" s="27">
        <f t="shared" si="4"/>
        <v>371.42857142857144</v>
      </c>
      <c r="J24" s="28">
        <f t="shared" si="5"/>
        <v>1.7142857142857142</v>
      </c>
      <c r="K24" s="26">
        <f t="shared" si="0"/>
        <v>694.02</v>
      </c>
      <c r="L24" s="24">
        <f t="shared" si="1"/>
        <v>6760</v>
      </c>
      <c r="M24" s="28">
        <f t="shared" si="2"/>
        <v>367.2</v>
      </c>
      <c r="N24" s="26">
        <f t="shared" si="6"/>
        <v>10.515454545454546</v>
      </c>
      <c r="O24" s="27">
        <f t="shared" si="7"/>
        <v>102.42424242424242</v>
      </c>
      <c r="P24" s="28">
        <f t="shared" si="8"/>
        <v>5.5636363636363635</v>
      </c>
      <c r="Q24" s="22">
        <v>26.7</v>
      </c>
      <c r="R24" s="22" t="s">
        <v>42</v>
      </c>
      <c r="S24" s="22"/>
    </row>
    <row r="25" spans="1:19" x14ac:dyDescent="0.25">
      <c r="A25" s="20">
        <v>43754</v>
      </c>
      <c r="B25" s="21">
        <v>0.37</v>
      </c>
      <c r="C25" s="22">
        <v>32</v>
      </c>
      <c r="D25" s="22">
        <v>74</v>
      </c>
      <c r="E25" s="23">
        <v>86.1</v>
      </c>
      <c r="F25" s="24">
        <v>10800</v>
      </c>
      <c r="G25" s="25">
        <v>52</v>
      </c>
      <c r="H25" s="26">
        <f t="shared" si="3"/>
        <v>2.6906249999999998</v>
      </c>
      <c r="I25" s="27">
        <f t="shared" si="4"/>
        <v>337.5</v>
      </c>
      <c r="J25" s="28">
        <f t="shared" si="5"/>
        <v>1.625</v>
      </c>
      <c r="K25" s="26">
        <f t="shared" si="0"/>
        <v>740.45999999999992</v>
      </c>
      <c r="L25" s="24">
        <f t="shared" si="1"/>
        <v>7020</v>
      </c>
      <c r="M25" s="28">
        <f t="shared" si="2"/>
        <v>397.8</v>
      </c>
      <c r="N25" s="26">
        <f t="shared" si="6"/>
        <v>10.006216216216215</v>
      </c>
      <c r="O25" s="27">
        <f t="shared" si="7"/>
        <v>94.86486486486487</v>
      </c>
      <c r="P25" s="28">
        <f t="shared" si="8"/>
        <v>5.3756756756756756</v>
      </c>
      <c r="Q25" s="22">
        <v>26.8</v>
      </c>
      <c r="R25" s="22" t="s">
        <v>42</v>
      </c>
      <c r="S25" s="22"/>
    </row>
    <row r="26" spans="1:19" x14ac:dyDescent="0.25">
      <c r="A26" s="20">
        <v>43755</v>
      </c>
      <c r="B26" s="21">
        <v>0.32</v>
      </c>
      <c r="C26" s="22">
        <v>28</v>
      </c>
      <c r="D26" s="22">
        <v>70</v>
      </c>
      <c r="E26" s="23">
        <v>97.1</v>
      </c>
      <c r="F26" s="24">
        <v>11610</v>
      </c>
      <c r="G26" s="25">
        <v>59</v>
      </c>
      <c r="H26" s="26">
        <f t="shared" si="3"/>
        <v>3.4678571428571425</v>
      </c>
      <c r="I26" s="27">
        <f t="shared" si="4"/>
        <v>414.64285714285717</v>
      </c>
      <c r="J26" s="28">
        <f t="shared" si="5"/>
        <v>2.1071428571428572</v>
      </c>
      <c r="K26" s="26">
        <f t="shared" si="0"/>
        <v>835.06</v>
      </c>
      <c r="L26" s="24">
        <f t="shared" si="1"/>
        <v>7546.5</v>
      </c>
      <c r="M26" s="28">
        <f t="shared" si="2"/>
        <v>451.35</v>
      </c>
      <c r="N26" s="26">
        <f t="shared" si="6"/>
        <v>11.92942857142857</v>
      </c>
      <c r="O26" s="27">
        <f t="shared" si="7"/>
        <v>107.80714285714286</v>
      </c>
      <c r="P26" s="28">
        <f t="shared" si="8"/>
        <v>6.447857142857143</v>
      </c>
      <c r="Q26" s="22">
        <v>26.8</v>
      </c>
      <c r="R26" s="22" t="s">
        <v>41</v>
      </c>
      <c r="S26" s="22"/>
    </row>
    <row r="27" spans="1:19" x14ac:dyDescent="0.25">
      <c r="A27" s="20">
        <v>43756</v>
      </c>
      <c r="B27" s="21">
        <v>0.41</v>
      </c>
      <c r="C27" s="22">
        <v>38</v>
      </c>
      <c r="D27" s="22">
        <v>97</v>
      </c>
      <c r="E27" s="23">
        <v>87</v>
      </c>
      <c r="F27" s="24">
        <v>11220</v>
      </c>
      <c r="G27" s="25">
        <v>63</v>
      </c>
      <c r="H27" s="26">
        <f t="shared" si="3"/>
        <v>2.2894736842105261</v>
      </c>
      <c r="I27" s="27">
        <f t="shared" si="4"/>
        <v>295.26315789473682</v>
      </c>
      <c r="J27" s="28">
        <f t="shared" si="5"/>
        <v>1.6578947368421053</v>
      </c>
      <c r="K27" s="26">
        <f t="shared" si="0"/>
        <v>748.19999999999993</v>
      </c>
      <c r="L27" s="24">
        <f t="shared" si="1"/>
        <v>7293</v>
      </c>
      <c r="M27" s="28">
        <f t="shared" si="2"/>
        <v>481.95</v>
      </c>
      <c r="N27" s="26">
        <f t="shared" si="6"/>
        <v>7.7134020618556693</v>
      </c>
      <c r="O27" s="27">
        <f t="shared" si="7"/>
        <v>75.185567010309285</v>
      </c>
      <c r="P27" s="28">
        <f t="shared" si="8"/>
        <v>4.9685567010309279</v>
      </c>
      <c r="Q27" s="22">
        <v>26.3</v>
      </c>
      <c r="R27" s="22" t="s">
        <v>41</v>
      </c>
      <c r="S27" s="22"/>
    </row>
    <row r="28" spans="1:19" x14ac:dyDescent="0.25">
      <c r="A28" s="20">
        <v>43757</v>
      </c>
      <c r="B28" s="21">
        <v>0.51</v>
      </c>
      <c r="C28" s="22">
        <v>43</v>
      </c>
      <c r="D28" s="22">
        <v>113</v>
      </c>
      <c r="E28" s="23">
        <v>92.3</v>
      </c>
      <c r="F28" s="24">
        <v>12190</v>
      </c>
      <c r="G28" s="25">
        <v>56</v>
      </c>
      <c r="H28" s="26">
        <f t="shared" si="3"/>
        <v>2.1465116279069765</v>
      </c>
      <c r="I28" s="27">
        <f t="shared" si="4"/>
        <v>283.48837209302326</v>
      </c>
      <c r="J28" s="28">
        <f t="shared" si="5"/>
        <v>1.3023255813953489</v>
      </c>
      <c r="K28" s="26">
        <f t="shared" si="0"/>
        <v>793.78</v>
      </c>
      <c r="L28" s="24">
        <f t="shared" si="1"/>
        <v>7923.5</v>
      </c>
      <c r="M28" s="28">
        <f t="shared" si="2"/>
        <v>428.40000000000003</v>
      </c>
      <c r="N28" s="26">
        <f t="shared" si="6"/>
        <v>7.024601769911504</v>
      </c>
      <c r="O28" s="27">
        <f t="shared" si="7"/>
        <v>70.119469026548671</v>
      </c>
      <c r="P28" s="28">
        <f t="shared" si="8"/>
        <v>3.7911504424778766</v>
      </c>
      <c r="Q28" s="22">
        <v>26.5</v>
      </c>
      <c r="R28" s="22" t="s">
        <v>42</v>
      </c>
      <c r="S28" s="22"/>
    </row>
    <row r="29" spans="1:19" x14ac:dyDescent="0.25">
      <c r="A29" s="20">
        <v>43758</v>
      </c>
      <c r="B29" s="21">
        <v>0.46</v>
      </c>
      <c r="C29" s="22">
        <v>47</v>
      </c>
      <c r="D29" s="22">
        <v>114</v>
      </c>
      <c r="E29" s="23">
        <v>89.7</v>
      </c>
      <c r="F29" s="24">
        <v>12550</v>
      </c>
      <c r="G29" s="25">
        <v>56</v>
      </c>
      <c r="H29" s="26">
        <f t="shared" si="3"/>
        <v>1.9085106382978725</v>
      </c>
      <c r="I29" s="27">
        <f t="shared" si="4"/>
        <v>267.02127659574467</v>
      </c>
      <c r="J29" s="28">
        <f t="shared" si="5"/>
        <v>1.1914893617021276</v>
      </c>
      <c r="K29" s="26">
        <f t="shared" si="0"/>
        <v>771.42</v>
      </c>
      <c r="L29" s="24">
        <f t="shared" si="1"/>
        <v>8157.5</v>
      </c>
      <c r="M29" s="28">
        <f t="shared" si="2"/>
        <v>428.40000000000003</v>
      </c>
      <c r="N29" s="26">
        <f t="shared" si="6"/>
        <v>6.7668421052631578</v>
      </c>
      <c r="O29" s="27">
        <f t="shared" si="7"/>
        <v>71.557017543859644</v>
      </c>
      <c r="P29" s="28">
        <f t="shared" si="8"/>
        <v>3.7578947368421054</v>
      </c>
      <c r="Q29" s="22">
        <v>26.7</v>
      </c>
      <c r="R29" s="22" t="s">
        <v>42</v>
      </c>
      <c r="S29" s="22"/>
    </row>
    <row r="30" spans="1:19" x14ac:dyDescent="0.25">
      <c r="A30" s="20">
        <v>43759</v>
      </c>
      <c r="B30" s="21">
        <v>0.49</v>
      </c>
      <c r="C30" s="22">
        <v>42</v>
      </c>
      <c r="D30" s="22">
        <v>107</v>
      </c>
      <c r="E30" s="23">
        <v>107</v>
      </c>
      <c r="F30" s="24">
        <v>13430</v>
      </c>
      <c r="G30" s="25">
        <v>70</v>
      </c>
      <c r="H30" s="26">
        <f t="shared" si="3"/>
        <v>2.5476190476190474</v>
      </c>
      <c r="I30" s="27">
        <v>297.10000000000002</v>
      </c>
      <c r="J30" s="28">
        <f t="shared" si="5"/>
        <v>1.6666666666666667</v>
      </c>
      <c r="K30" s="26">
        <f t="shared" si="0"/>
        <v>920.19999999999993</v>
      </c>
      <c r="L30" s="24">
        <f t="shared" si="1"/>
        <v>8729.5</v>
      </c>
      <c r="M30" s="28">
        <f t="shared" si="2"/>
        <v>535.5</v>
      </c>
      <c r="N30" s="26">
        <f t="shared" si="6"/>
        <v>8.6</v>
      </c>
      <c r="O30" s="27">
        <f t="shared" si="7"/>
        <v>81.584112149532714</v>
      </c>
      <c r="P30" s="28">
        <f t="shared" si="8"/>
        <v>5.0046728971962615</v>
      </c>
      <c r="Q30" s="22">
        <v>26.9</v>
      </c>
      <c r="R30" s="22" t="s">
        <v>42</v>
      </c>
      <c r="S30" s="22"/>
    </row>
    <row r="31" spans="1:19" x14ac:dyDescent="0.25">
      <c r="A31" s="20">
        <v>43760</v>
      </c>
      <c r="B31" s="21" t="s">
        <v>40</v>
      </c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43761</v>
      </c>
      <c r="B32" s="21" t="s">
        <v>40</v>
      </c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43762</v>
      </c>
      <c r="B33" s="21" t="s">
        <v>40</v>
      </c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43763</v>
      </c>
      <c r="B34" s="21" t="s">
        <v>40</v>
      </c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43764</v>
      </c>
      <c r="B35" s="21" t="s">
        <v>40</v>
      </c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43765</v>
      </c>
      <c r="B36" s="21" t="s">
        <v>40</v>
      </c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43766</v>
      </c>
      <c r="B37" s="21" t="s">
        <v>40</v>
      </c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43767</v>
      </c>
      <c r="B38" s="21" t="s">
        <v>40</v>
      </c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43768</v>
      </c>
      <c r="B39" s="21" t="s">
        <v>40</v>
      </c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2019-10-21T23:14:31Z</dcterms:modified>
</cp:coreProperties>
</file>