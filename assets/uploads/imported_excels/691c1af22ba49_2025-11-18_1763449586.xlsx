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C8C6A3EA-8B85-4027-9E87-39C92B064EFA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23" i="1"/>
  <c r="T24" i="1"/>
  <c r="N4" i="1"/>
  <c r="N5" i="1"/>
  <c r="N6" i="1"/>
  <c r="N7" i="1"/>
  <c r="N8" i="1"/>
  <c r="N9" i="1"/>
  <c r="N10" i="1"/>
  <c r="N11" i="1"/>
  <c r="N12" i="1"/>
  <c r="N13" i="1"/>
  <c r="N14" i="1"/>
  <c r="N15" i="1"/>
  <c r="N31" i="1"/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C5" i="1" l="1"/>
  <c r="H3" i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N18" i="1" s="1"/>
  <c r="L19" i="1"/>
  <c r="L20" i="1"/>
  <c r="L21" i="1"/>
  <c r="L22" i="1"/>
  <c r="L23" i="1"/>
  <c r="L24" i="1"/>
  <c r="L25" i="1"/>
  <c r="L26" i="1"/>
  <c r="L27" i="1"/>
  <c r="L28" i="1"/>
  <c r="L29" i="1"/>
  <c r="L30" i="1"/>
  <c r="N30" i="1" s="1"/>
  <c r="L31" i="1"/>
  <c r="N29" i="1" l="1"/>
  <c r="N28" i="1"/>
  <c r="N27" i="1"/>
  <c r="N26" i="1"/>
  <c r="N25" i="1"/>
  <c r="N23" i="1"/>
  <c r="N24" i="1"/>
  <c r="N20" i="1"/>
  <c r="N19" i="1"/>
  <c r="N16" i="1"/>
  <c r="N17" i="1"/>
  <c r="N22" i="1"/>
  <c r="N21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33" i="1"/>
  <c r="R22" i="1"/>
  <c r="T22" i="1" s="1"/>
  <c r="R23" i="1"/>
  <c r="R24" i="1"/>
  <c r="R25" i="1"/>
  <c r="R26" i="1"/>
  <c r="R27" i="1"/>
  <c r="R28" i="1"/>
  <c r="R29" i="1"/>
  <c r="R30" i="1"/>
  <c r="R31" i="1"/>
  <c r="T31" i="1" s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5" i="1" l="1"/>
  <c r="T26" i="1"/>
  <c r="T30" i="1"/>
  <c r="T29" i="1"/>
  <c r="T27" i="1"/>
  <c r="T28" i="1"/>
  <c r="T19" i="1"/>
  <c r="T17" i="1"/>
  <c r="T18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L33" i="1"/>
  <c r="S34" i="1"/>
  <c r="N2" i="1" l="1"/>
  <c r="G2" i="2" s="1"/>
  <c r="U21" i="1"/>
  <c r="Z26" i="1"/>
  <c r="K26" i="2" s="1"/>
  <c r="N3" i="1"/>
  <c r="U3" i="1" s="1"/>
  <c r="U31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<sst xmlns="http://schemas.openxmlformats.org/spreadsheetml/2006/main" count="79" uniqueCount="39">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</sst>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/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1" fontId="7" fillId="0" borderId="15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3" fontId="2" fillId="2" borderId="16" xfId="0" applyNumberFormat="1" applyFont="1" applyFill="1" applyBorder="1" applyAlignment="1">
      <alignment horizontal="center" vertical="center" wrapText="1"/>
    </xf>
    <xf numFmtId="3" fontId="2" fillId="2" borderId="18" xfId="0" applyNumberFormat="1" applyFont="1" applyFill="1" applyBorder="1" applyAlignment="1">
      <alignment horizontal="center" vertical="center" wrapText="1"/>
    </xf>
    <xf numFmtId="1" fontId="3" fillId="0" borderId="17" xfId="0" applyNumberFormat="1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21" fillId="4" borderId="19" xfId="0" applyNumberFormat="1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1" fontId="21" fillId="5" borderId="19" xfId="0" applyNumberFormat="1" applyFont="1" applyFill="1" applyBorder="1" applyAlignment="1">
      <alignment horizontal="center" vertical="center" wrapText="1"/>
    </xf>
    <xf numFmtId="165" fontId="21" fillId="5" borderId="19" xfId="0" applyNumberFormat="1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 wrapText="1"/>
    </xf>
    <xf numFmtId="0" fontId="22" fillId="7" borderId="19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19" xfId="0" applyNumberFormat="1" applyFont="1" applyFill="1" applyBorder="1" applyAlignment="1">
      <alignment horizontal="center" vertical="center" wrapText="1"/>
    </xf>
    <xf numFmtId="166" fontId="24" fillId="9" borderId="19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9" fontId="4" fillId="0" borderId="30" xfId="0" applyNumberFormat="1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1" fontId="4" fillId="3" borderId="17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3" fillId="0" borderId="30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3" fontId="10" fillId="2" borderId="34" xfId="0" applyNumberFormat="1" applyFont="1" applyFill="1" applyBorder="1" applyAlignment="1">
      <alignment horizontal="center" vertical="center" textRotation="90" wrapText="1"/>
    </xf>
    <xf numFmtId="1" fontId="12" fillId="0" borderId="35" xfId="0" applyNumberFormat="1" applyFont="1" applyBorder="1" applyAlignment="1">
      <alignment horizontal="center" vertical="center" wrapText="1"/>
    </xf>
    <xf numFmtId="1" fontId="12" fillId="0" borderId="36" xfId="0" applyNumberFormat="1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1" fontId="13" fillId="0" borderId="36" xfId="0" applyNumberFormat="1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164" fontId="0" fillId="3" borderId="38" xfId="0" applyNumberFormat="1" applyFill="1" applyBorder="1" applyAlignment="1">
      <alignment horizontal="right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5" fillId="0" borderId="42" xfId="0" applyNumberFormat="1" applyFont="1" applyBorder="1" applyAlignment="1">
      <alignment horizontal="center"/>
    </xf>
    <xf numFmtId="9" fontId="4" fillId="0" borderId="42" xfId="0" applyNumberFormat="1" applyFont="1" applyBorder="1" applyAlignment="1">
      <alignment horizontal="center" vertical="center"/>
    </xf>
    <xf numFmtId="9" fontId="4" fillId="0" borderId="43" xfId="0" applyNumberFormat="1" applyFont="1" applyBorder="1" applyAlignment="1">
      <alignment horizontal="center" vertical="center"/>
    </xf>
    <xf numFmtId="1" fontId="4" fillId="0" borderId="43" xfId="0" applyNumberFormat="1" applyFont="1" applyBorder="1" applyAlignment="1">
      <alignment horizont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64" fontId="0" fillId="3" borderId="44" xfId="0" applyNumberFormat="1" applyFill="1" applyBorder="1" applyAlignment="1">
      <alignment horizontal="right" vertical="center"/>
    </xf>
    <xf numFmtId="164" fontId="0" fillId="3" borderId="45" xfId="0" applyNumberFormat="1" applyFill="1" applyBorder="1" applyAlignment="1">
      <alignment horizontal="right" vertical="center"/>
    </xf>
    <xf numFmtId="164" fontId="0" fillId="3" borderId="46" xfId="0" applyNumberFormat="1" applyFill="1" applyBorder="1" applyAlignment="1">
      <alignment horizontal="right" vertic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49" xfId="0" applyNumberFormat="1" applyFont="1" applyBorder="1" applyAlignment="1">
      <alignment horizontal="center" vertical="center"/>
    </xf>
    <xf numFmtId="3" fontId="2" fillId="2" borderId="50" xfId="0" applyNumberFormat="1" applyFont="1" applyFill="1" applyBorder="1" applyAlignment="1">
      <alignment horizontal="center"/>
    </xf>
    <xf numFmtId="1" fontId="5" fillId="0" borderId="51" xfId="0" applyNumberFormat="1" applyFont="1" applyBorder="1" applyAlignment="1">
      <alignment horizontal="center"/>
    </xf>
    <xf numFmtId="1" fontId="5" fillId="0" borderId="52" xfId="0" applyNumberFormat="1" applyFont="1" applyBorder="1" applyAlignment="1">
      <alignment horizontal="center"/>
    </xf>
    <xf numFmtId="9" fontId="4" fillId="0" borderId="51" xfId="0" applyNumberFormat="1" applyFont="1" applyBorder="1" applyAlignment="1">
      <alignment horizontal="center" vertical="center"/>
    </xf>
    <xf numFmtId="9" fontId="4" fillId="0" borderId="52" xfId="0" applyNumberFormat="1" applyFont="1" applyBorder="1" applyAlignment="1">
      <alignment horizontal="center" vertical="center"/>
    </xf>
    <xf numFmtId="1" fontId="4" fillId="3" borderId="52" xfId="0" applyNumberFormat="1" applyFont="1" applyFill="1" applyBorder="1" applyAlignment="1">
      <alignment horizontal="center" vertical="center"/>
    </xf>
    <xf numFmtId="1" fontId="4" fillId="0" borderId="52" xfId="0" applyNumberFormat="1" applyFont="1" applyBorder="1" applyAlignment="1">
      <alignment horizontal="center"/>
    </xf>
    <xf numFmtId="3" fontId="2" fillId="2" borderId="50" xfId="0" applyNumberFormat="1" applyFont="1" applyFill="1" applyBorder="1" applyAlignment="1">
      <alignment horizontal="center" vertical="center" wrapText="1"/>
    </xf>
    <xf numFmtId="3" fontId="2" fillId="2" borderId="53" xfId="0" applyNumberFormat="1" applyFont="1" applyFill="1" applyBorder="1" applyAlignment="1">
      <alignment horizontal="center" vertical="center" wrapText="1"/>
    </xf>
    <xf numFmtId="1" fontId="3" fillId="0" borderId="51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3" fillId="0" borderId="52" xfId="0" applyNumberFormat="1" applyFont="1" applyBorder="1" applyAlignment="1">
      <alignment horizontal="center" vertical="center"/>
    </xf>
    <xf numFmtId="1" fontId="6" fillId="0" borderId="51" xfId="0" applyNumberFormat="1" applyFont="1" applyBorder="1" applyAlignment="1">
      <alignment horizontal="center" vertical="center"/>
    </xf>
    <xf numFmtId="1" fontId="6" fillId="0" borderId="52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1" fontId="5" fillId="0" borderId="55" xfId="0" applyNumberFormat="1" applyFont="1" applyBorder="1" applyAlignment="1">
      <alignment horizontal="center"/>
    </xf>
    <xf numFmtId="1" fontId="4" fillId="3" borderId="5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I22" sqref="I2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6" customWidth="1"/>
    <col min="6" max="6" width="12.5703125" style="68" customWidth="1"/>
    <col min="7" max="7" width="8.85546875" style="58"/>
    <col min="8" max="8" width="8.85546875" style="64"/>
    <col min="9" max="9" width="8.85546875" style="60" customWidth="1"/>
    <col min="10" max="10" width="8.85546875" style="73"/>
    <col min="11" max="12" width="8.85546875" style="66"/>
    <col min="13" max="14" width="12.28515625" style="76" bestFit="1" customWidth="1"/>
    <col min="15" max="15" width="8.85546875" style="67"/>
    <col min="16" max="16" width="11.5703125" style="67" customWidth="1"/>
    <col min="17" max="16384" width="8.85546875" style="4"/>
  </cols>
  <sheetData>
    <row r="1" spans="1:16" ht="75.75" thickBot="1" x14ac:dyDescent="0.25">
      <c r="A1" s="47" t="s">
        <v>22</v>
      </c>
      <c r="B1" s="47" t="s">
        <v>23</v>
      </c>
      <c r="C1" s="47" t="s">
        <v>24</v>
      </c>
      <c r="D1" s="47" t="s">
        <v>25</v>
      </c>
      <c r="E1" s="48" t="s">
        <v>26</v>
      </c>
      <c r="F1" s="49" t="s">
        <v>27</v>
      </c>
      <c r="G1" s="50" t="s">
        <v>28</v>
      </c>
      <c r="H1" s="51" t="s">
        <v>38</v>
      </c>
      <c r="I1" s="69" t="s">
        <v>36</v>
      </c>
      <c r="J1" s="70" t="s">
        <v>37</v>
      </c>
      <c r="K1" s="52" t="s">
        <v>29</v>
      </c>
      <c r="L1" s="52" t="s">
        <v>30</v>
      </c>
      <c r="M1" s="53" t="s">
        <v>31</v>
      </c>
      <c r="N1" s="53" t="s">
        <v>32</v>
      </c>
      <c r="O1" s="54" t="s">
        <v>0</v>
      </c>
      <c r="P1" s="54" t="s">
        <v>33</v>
      </c>
    </row>
    <row r="2" spans="1:16" ht="15.75" thickTop="1" x14ac:dyDescent="0.25">
      <c r="A2" s="55" t="s">
        <v>34</v>
      </c>
      <c r="B2" s="4">
        <v>1</v>
      </c>
      <c r="C2" s="4">
        <v>8</v>
      </c>
      <c r="D2" s="3">
        <v>2025</v>
      </c>
      <c r="E2" s="56">
        <f>Anassa!D3-Anassa!D2</f>
        <v>19884.599999999627</v>
      </c>
      <c r="F2" s="57">
        <f>0.2563</f>
        <v>0.25629999999999997</v>
      </c>
      <c r="G2" s="58">
        <f>Anassa!N2</f>
        <v>249.99999999999909</v>
      </c>
      <c r="H2" s="59">
        <v>0.626</v>
      </c>
      <c r="I2" s="71">
        <f>Anassa!AC2*5.04</f>
        <v>2382.0552000000007</v>
      </c>
      <c r="J2" s="72">
        <v>8.2900000000000001E-2</v>
      </c>
      <c r="K2" s="60">
        <f>Anassa!Z2</f>
        <v>167</v>
      </c>
      <c r="L2" s="61">
        <v>1.25</v>
      </c>
      <c r="M2" s="74">
        <f>Anassa!H2</f>
        <v>0</v>
      </c>
      <c r="N2" s="75">
        <v>0.88</v>
      </c>
      <c r="O2" s="62">
        <f>Anassa!AD2</f>
        <v>133</v>
      </c>
      <c r="P2" s="62">
        <f>Anassa!AE2</f>
        <v>273</v>
      </c>
    </row>
    <row r="3" spans="1:16" ht="15" x14ac:dyDescent="0.25">
      <c r="A3" s="55" t="s">
        <v>34</v>
      </c>
      <c r="B3" s="4">
        <f>B2+1</f>
        <v>2</v>
      </c>
      <c r="C3" s="4">
        <v>8</v>
      </c>
      <c r="D3" s="3">
        <v>2025</v>
      </c>
      <c r="E3" s="56">
        <f>Anassa!D4-Anassa!D3</f>
        <v>19197.800000000745</v>
      </c>
      <c r="F3" s="57">
        <f t="shared" ref="F3:F32" si="0">0.2563</f>
        <v>0.25629999999999997</v>
      </c>
      <c r="G3" s="58">
        <f>Anassa!N3</f>
        <v>250.00000000000091</v>
      </c>
      <c r="H3" s="59">
        <v>0.626</v>
      </c>
      <c r="I3" s="71">
        <f>Anassa!AC3*5.04</f>
        <v>2382.0552000000007</v>
      </c>
      <c r="J3" s="72">
        <v>8.2900000000000001E-2</v>
      </c>
      <c r="K3" s="60">
        <f>Anassa!Z3</f>
        <v>23</v>
      </c>
      <c r="L3" s="61">
        <v>1.25</v>
      </c>
      <c r="M3" s="74">
        <f>Anassa!H3</f>
        <v>0</v>
      </c>
      <c r="N3" s="75">
        <v>0.88</v>
      </c>
      <c r="O3" s="62">
        <f>Anassa!AD3</f>
        <v>132</v>
      </c>
      <c r="P3" s="62">
        <f>Anassa!AE3</f>
        <v>273</v>
      </c>
    </row>
    <row r="4" spans="1:16" ht="15" x14ac:dyDescent="0.25">
      <c r="A4" s="55" t="s">
        <v>34</v>
      </c>
      <c r="B4" s="4">
        <f t="shared" ref="B4:B32" si="1">B3+1</f>
        <v>3</v>
      </c>
      <c r="C4" s="4">
        <v>8</v>
      </c>
      <c r="D4" s="3">
        <v>2025</v>
      </c>
      <c r="E4" s="56">
        <f>Anassa!D5-Anassa!D4</f>
        <v>16744.400000000373</v>
      </c>
      <c r="F4" s="57">
        <f t="shared" si="0"/>
        <v>0.25629999999999997</v>
      </c>
      <c r="G4" s="58">
        <f>Anassa!N4</f>
        <v>250</v>
      </c>
      <c r="H4" s="59">
        <v>0.626</v>
      </c>
      <c r="I4" s="71">
        <f>Anassa!AC4*5.04</f>
        <v>2382.0552000000007</v>
      </c>
      <c r="J4" s="72">
        <v>8.2900000000000001E-2</v>
      </c>
      <c r="K4" s="60">
        <f>Anassa!Z4</f>
        <v>155</v>
      </c>
      <c r="L4" s="61">
        <v>1.25</v>
      </c>
      <c r="M4" s="74">
        <f>Anassa!H4</f>
        <v>421</v>
      </c>
      <c r="N4" s="75">
        <v>0.88</v>
      </c>
      <c r="O4" s="62">
        <f>Anassa!AD4</f>
        <v>91</v>
      </c>
      <c r="P4" s="62">
        <f>Anassa!AE4</f>
        <v>182</v>
      </c>
    </row>
    <row r="5" spans="1:16" ht="15" x14ac:dyDescent="0.25">
      <c r="A5" s="55" t="s">
        <v>34</v>
      </c>
      <c r="B5" s="4">
        <f t="shared" si="1"/>
        <v>4</v>
      </c>
      <c r="C5" s="4">
        <v>8</v>
      </c>
      <c r="D5" s="3">
        <v>2025</v>
      </c>
      <c r="E5" s="56">
        <f>Anassa!D6-Anassa!D5</f>
        <v>17888.599999999627</v>
      </c>
      <c r="F5" s="57">
        <f t="shared" si="0"/>
        <v>0.25629999999999997</v>
      </c>
      <c r="G5" s="58">
        <f>Anassa!N5</f>
        <v>375.00000000000091</v>
      </c>
      <c r="H5" s="59">
        <v>0.626</v>
      </c>
      <c r="I5" s="71">
        <f>Anassa!AC5*5.04</f>
        <v>2382.0552000000007</v>
      </c>
      <c r="J5" s="72">
        <v>8.2900000000000001E-2</v>
      </c>
      <c r="K5" s="60">
        <f>Anassa!Z5</f>
        <v>126</v>
      </c>
      <c r="L5" s="61">
        <v>1.25</v>
      </c>
      <c r="M5" s="74">
        <f>Anassa!H5</f>
        <v>281</v>
      </c>
      <c r="N5" s="75">
        <v>0.88</v>
      </c>
      <c r="O5" s="62">
        <f>Anassa!AD5</f>
        <v>75</v>
      </c>
      <c r="P5" s="62">
        <f>Anassa!AE5</f>
        <v>145</v>
      </c>
    </row>
    <row r="6" spans="1:16" ht="15" x14ac:dyDescent="0.25">
      <c r="A6" s="55" t="s">
        <v>34</v>
      </c>
      <c r="B6" s="4">
        <f t="shared" si="1"/>
        <v>5</v>
      </c>
      <c r="C6" s="4">
        <v>8</v>
      </c>
      <c r="D6" s="3">
        <v>2025</v>
      </c>
      <c r="E6" s="56">
        <f>Anassa!D7-Anassa!D6</f>
        <v>18348.5</v>
      </c>
      <c r="F6" s="57">
        <f t="shared" si="0"/>
        <v>0.25629999999999997</v>
      </c>
      <c r="G6" s="58">
        <f>Anassa!N6</f>
        <v>249.99999999999909</v>
      </c>
      <c r="H6" s="59">
        <v>0.626</v>
      </c>
      <c r="I6" s="71">
        <f>Anassa!AC6*5.04</f>
        <v>2382.0551999999961</v>
      </c>
      <c r="J6" s="72">
        <v>8.2900000000000001E-2</v>
      </c>
      <c r="K6" s="60">
        <f>Anassa!Z6</f>
        <v>147</v>
      </c>
      <c r="L6" s="61">
        <v>1.25</v>
      </c>
      <c r="M6" s="74">
        <f>Anassa!H6</f>
        <v>0</v>
      </c>
      <c r="N6" s="75">
        <v>0.88</v>
      </c>
      <c r="O6" s="62">
        <f>Anassa!AD6</f>
        <v>83</v>
      </c>
      <c r="P6" s="62">
        <f>Anassa!AE6</f>
        <v>162</v>
      </c>
    </row>
    <row r="7" spans="1:16" ht="15" x14ac:dyDescent="0.25">
      <c r="A7" s="55" t="s">
        <v>34</v>
      </c>
      <c r="B7" s="4">
        <f t="shared" si="1"/>
        <v>6</v>
      </c>
      <c r="C7" s="4">
        <v>8</v>
      </c>
      <c r="D7" s="3">
        <v>2025</v>
      </c>
      <c r="E7" s="56">
        <f>Anassa!D8-Anassa!D7</f>
        <v>18168.799999998882</v>
      </c>
      <c r="F7" s="57">
        <f t="shared" si="0"/>
        <v>0.25629999999999997</v>
      </c>
      <c r="G7" s="58">
        <f>Anassa!N7</f>
        <v>125</v>
      </c>
      <c r="H7" s="59">
        <v>0.626</v>
      </c>
      <c r="I7" s="71">
        <f>Anassa!AC7*5.04</f>
        <v>2382.0552000000007</v>
      </c>
      <c r="J7" s="72">
        <v>8.2900000000000001E-2</v>
      </c>
      <c r="K7" s="60">
        <f>Anassa!Z7</f>
        <v>119</v>
      </c>
      <c r="L7" s="61">
        <v>1.25</v>
      </c>
      <c r="M7" s="74">
        <f>Anassa!H7</f>
        <v>0</v>
      </c>
      <c r="N7" s="75">
        <v>0.88</v>
      </c>
      <c r="O7" s="62">
        <f>Anassa!AD7</f>
        <v>75</v>
      </c>
      <c r="P7" s="62">
        <f>Anassa!AE7</f>
        <v>152</v>
      </c>
    </row>
    <row r="8" spans="1:16" ht="15" x14ac:dyDescent="0.25">
      <c r="A8" s="55" t="s">
        <v>34</v>
      </c>
      <c r="B8" s="4">
        <f t="shared" si="1"/>
        <v>7</v>
      </c>
      <c r="C8" s="4">
        <v>8</v>
      </c>
      <c r="D8" s="3">
        <v>2025</v>
      </c>
      <c r="E8" s="56">
        <f>Anassa!D9-Anassa!D8</f>
        <v>18496.700000001118</v>
      </c>
      <c r="F8" s="57">
        <f t="shared" si="0"/>
        <v>0.25629999999999997</v>
      </c>
      <c r="G8" s="58">
        <f>Anassa!N8</f>
        <v>485.61999999999898</v>
      </c>
      <c r="H8" s="59">
        <v>0.626</v>
      </c>
      <c r="I8" s="71">
        <f>Anassa!AC8*5.04</f>
        <v>2382.0552000000007</v>
      </c>
      <c r="J8" s="72">
        <v>8.2900000000000001E-2</v>
      </c>
      <c r="K8" s="60">
        <f>Anassa!Z8</f>
        <v>179</v>
      </c>
      <c r="L8" s="61">
        <v>1.25</v>
      </c>
      <c r="M8" s="74">
        <f>Anassa!H8</f>
        <v>1551</v>
      </c>
      <c r="N8" s="75">
        <v>0.88</v>
      </c>
      <c r="O8" s="62">
        <f>Anassa!AD8</f>
        <v>95</v>
      </c>
      <c r="P8" s="62">
        <f>Anassa!AE8</f>
        <v>193</v>
      </c>
    </row>
    <row r="9" spans="1:16" ht="15" x14ac:dyDescent="0.25">
      <c r="A9" s="55" t="s">
        <v>34</v>
      </c>
      <c r="B9" s="4">
        <f t="shared" si="1"/>
        <v>8</v>
      </c>
      <c r="C9" s="4">
        <v>8</v>
      </c>
      <c r="D9" s="3">
        <v>2025</v>
      </c>
      <c r="E9" s="56">
        <f>Anassa!D10-Anassa!D9</f>
        <v>19209</v>
      </c>
      <c r="F9" s="57">
        <f t="shared" si="0"/>
        <v>0.25629999999999997</v>
      </c>
      <c r="G9" s="58">
        <f>Anassa!N9</f>
        <v>250.00000000000091</v>
      </c>
      <c r="H9" s="59">
        <v>0.626</v>
      </c>
      <c r="I9" s="71">
        <f>Anassa!AC9*5.04</f>
        <v>2382.0552000000007</v>
      </c>
      <c r="J9" s="72">
        <v>8.2900000000000001E-2</v>
      </c>
      <c r="K9" s="60">
        <f>Anassa!Z9</f>
        <v>134</v>
      </c>
      <c r="L9" s="61">
        <v>1.25</v>
      </c>
      <c r="M9" s="74">
        <f>Anassa!H9</f>
        <v>0</v>
      </c>
      <c r="N9" s="75">
        <v>0.88</v>
      </c>
      <c r="O9" s="62">
        <f>Anassa!AD9</f>
        <v>101</v>
      </c>
      <c r="P9" s="62">
        <f>Anassa!AE9</f>
        <v>207</v>
      </c>
    </row>
    <row r="10" spans="1:16" ht="15" x14ac:dyDescent="0.25">
      <c r="A10" s="55" t="s">
        <v>34</v>
      </c>
      <c r="B10" s="4">
        <f t="shared" si="1"/>
        <v>9</v>
      </c>
      <c r="C10" s="4">
        <v>8</v>
      </c>
      <c r="D10" s="3">
        <v>2025</v>
      </c>
      <c r="E10" s="56">
        <f>Anassa!D11-Anassa!D10</f>
        <v>18914.299999998882</v>
      </c>
      <c r="F10" s="57">
        <f t="shared" si="0"/>
        <v>0.25629999999999997</v>
      </c>
      <c r="G10" s="58">
        <f>Anassa!N10</f>
        <v>250</v>
      </c>
      <c r="H10" s="59">
        <v>0.626</v>
      </c>
      <c r="I10" s="71">
        <f>Anassa!AC10*5.04</f>
        <v>2382.0552000000007</v>
      </c>
      <c r="J10" s="72">
        <v>8.2900000000000001E-2</v>
      </c>
      <c r="K10" s="60">
        <f>Anassa!Z10</f>
        <v>168</v>
      </c>
      <c r="L10" s="61">
        <v>1.25</v>
      </c>
      <c r="M10" s="74">
        <f>Anassa!H10</f>
        <v>0</v>
      </c>
      <c r="N10" s="75">
        <v>0.88</v>
      </c>
      <c r="O10" s="62">
        <f>Anassa!AD10</f>
        <v>122</v>
      </c>
      <c r="P10" s="62">
        <f>Anassa!AE10</f>
        <v>255</v>
      </c>
    </row>
    <row r="11" spans="1:16" ht="15" x14ac:dyDescent="0.25">
      <c r="A11" s="55" t="s">
        <v>34</v>
      </c>
      <c r="B11" s="4">
        <f t="shared" si="1"/>
        <v>10</v>
      </c>
      <c r="C11" s="4">
        <v>8</v>
      </c>
      <c r="D11" s="3">
        <v>2025</v>
      </c>
      <c r="E11" s="56">
        <f>Anassa!D12-Anassa!D11</f>
        <v>19742.700000001118</v>
      </c>
      <c r="F11" s="57">
        <f t="shared" si="0"/>
        <v>0.25629999999999997</v>
      </c>
      <c r="G11" s="58">
        <f>Anassa!N11</f>
        <v>50.000000000000909</v>
      </c>
      <c r="H11" s="59">
        <v>0.626</v>
      </c>
      <c r="I11" s="71">
        <f>Anassa!AC11*5.04</f>
        <v>2382.0552000000007</v>
      </c>
      <c r="J11" s="72">
        <v>8.2900000000000001E-2</v>
      </c>
      <c r="K11" s="60">
        <f>Anassa!Z11</f>
        <v>163</v>
      </c>
      <c r="L11" s="61">
        <v>1.25</v>
      </c>
      <c r="M11" s="74">
        <f>Anassa!H11</f>
        <v>0</v>
      </c>
      <c r="N11" s="75">
        <v>0.88</v>
      </c>
      <c r="O11" s="62">
        <f>Anassa!AD11</f>
        <v>108</v>
      </c>
      <c r="P11" s="62">
        <f>Anassa!AE11</f>
        <v>222</v>
      </c>
    </row>
    <row r="12" spans="1:16" ht="15" x14ac:dyDescent="0.25">
      <c r="A12" s="55" t="s">
        <v>34</v>
      </c>
      <c r="B12" s="4">
        <f t="shared" si="1"/>
        <v>11</v>
      </c>
      <c r="C12" s="4">
        <v>8</v>
      </c>
      <c r="D12" s="3">
        <v>2025</v>
      </c>
      <c r="E12" s="56">
        <f>Anassa!D13-Anassa!D12</f>
        <v>18088.199999999255</v>
      </c>
      <c r="F12" s="57">
        <f t="shared" si="0"/>
        <v>0.25629999999999997</v>
      </c>
      <c r="G12" s="58">
        <f>Anassa!N12</f>
        <v>200</v>
      </c>
      <c r="H12" s="59">
        <v>0.626</v>
      </c>
      <c r="I12" s="71">
        <f>Anassa!AC12*5.04</f>
        <v>2382.0551999999993</v>
      </c>
      <c r="J12" s="72">
        <v>8.2900000000000001E-2</v>
      </c>
      <c r="K12" s="60">
        <f>Anassa!Z12</f>
        <v>162</v>
      </c>
      <c r="L12" s="61">
        <v>1.25</v>
      </c>
      <c r="M12" s="74">
        <f>Anassa!H12</f>
        <v>563</v>
      </c>
      <c r="N12" s="75">
        <v>0.88</v>
      </c>
      <c r="O12" s="62">
        <f>Anassa!AD12</f>
        <v>110</v>
      </c>
      <c r="P12" s="62">
        <f>Anassa!AE12</f>
        <v>226</v>
      </c>
    </row>
    <row r="13" spans="1:16" ht="15" x14ac:dyDescent="0.25">
      <c r="A13" s="55" t="s">
        <v>34</v>
      </c>
      <c r="B13" s="4">
        <f t="shared" si="1"/>
        <v>12</v>
      </c>
      <c r="C13" s="4">
        <v>8</v>
      </c>
      <c r="D13" s="3">
        <v>2025</v>
      </c>
      <c r="E13" s="56">
        <f>Anassa!D14-Anassa!D13</f>
        <v>19110.800000000745</v>
      </c>
      <c r="F13" s="57">
        <f t="shared" si="0"/>
        <v>0.25629999999999997</v>
      </c>
      <c r="G13" s="58">
        <f>Anassa!N13</f>
        <v>499.99999999999909</v>
      </c>
      <c r="H13" s="59">
        <v>0.626</v>
      </c>
      <c r="I13" s="71">
        <f>Anassa!AC13*5.04</f>
        <v>2722.7591999999977</v>
      </c>
      <c r="J13" s="72">
        <v>8.2900000000000001E-2</v>
      </c>
      <c r="K13" s="60">
        <f>Anassa!Z13</f>
        <v>22</v>
      </c>
      <c r="L13" s="61">
        <v>1.25</v>
      </c>
      <c r="M13" s="74">
        <f>Anassa!H13</f>
        <v>-995</v>
      </c>
      <c r="N13" s="75">
        <v>0.88</v>
      </c>
      <c r="O13" s="62">
        <f>Anassa!AD13</f>
        <v>120</v>
      </c>
      <c r="P13" s="62">
        <f>Anassa!AE13</f>
        <v>245</v>
      </c>
    </row>
    <row r="14" spans="1:16" ht="15" x14ac:dyDescent="0.25">
      <c r="A14" s="55" t="s">
        <v>34</v>
      </c>
      <c r="B14" s="4">
        <f t="shared" si="1"/>
        <v>13</v>
      </c>
      <c r="C14" s="4">
        <v>8</v>
      </c>
      <c r="D14" s="3">
        <v>2025</v>
      </c>
      <c r="E14" s="56">
        <f>Anassa!D15-Anassa!D14</f>
        <v>21465.299999998882</v>
      </c>
      <c r="F14" s="57">
        <f t="shared" si="0"/>
        <v>0.25629999999999997</v>
      </c>
      <c r="G14" s="58">
        <f>Anassa!N14</f>
        <v>60.779999999998836</v>
      </c>
      <c r="H14" s="59">
        <v>0.626</v>
      </c>
      <c r="I14" s="71">
        <f>Anassa!AC14*5.04</f>
        <v>2722.3056000000015</v>
      </c>
      <c r="J14" s="72">
        <v>8.2900000000000001E-2</v>
      </c>
      <c r="K14" s="60">
        <f>Anassa!Z14</f>
        <v>186</v>
      </c>
      <c r="L14" s="61">
        <v>1.25</v>
      </c>
      <c r="M14" s="74">
        <f>Anassa!H14</f>
        <v>9</v>
      </c>
      <c r="N14" s="75">
        <v>0.88</v>
      </c>
      <c r="O14" s="62">
        <f>Anassa!AD14</f>
        <v>130</v>
      </c>
      <c r="P14" s="62">
        <f>Anassa!AE14</f>
        <v>285</v>
      </c>
    </row>
    <row r="15" spans="1:16" ht="15" x14ac:dyDescent="0.25">
      <c r="A15" s="55" t="s">
        <v>34</v>
      </c>
      <c r="B15" s="4">
        <f t="shared" si="1"/>
        <v>14</v>
      </c>
      <c r="C15" s="4">
        <v>8</v>
      </c>
      <c r="D15" s="3">
        <v>2025</v>
      </c>
      <c r="E15" s="56">
        <f>Anassa!D16-Anassa!D15</f>
        <v>20839.800000000745</v>
      </c>
      <c r="F15" s="57">
        <f t="shared" si="0"/>
        <v>0.25629999999999997</v>
      </c>
      <c r="G15" s="58">
        <f>Anassa!N15</f>
        <v>250.00000000000091</v>
      </c>
      <c r="H15" s="59">
        <v>0.626</v>
      </c>
      <c r="I15" s="71">
        <f>Anassa!AC15*5.04</f>
        <v>2722.305599999997</v>
      </c>
      <c r="J15" s="72">
        <v>8.2900000000000001E-2</v>
      </c>
      <c r="K15" s="60">
        <f>Anassa!Z15</f>
        <v>188</v>
      </c>
      <c r="L15" s="61">
        <v>1.25</v>
      </c>
      <c r="M15" s="74">
        <f>Anassa!H15</f>
        <v>141</v>
      </c>
      <c r="N15" s="75">
        <v>0.88</v>
      </c>
      <c r="O15" s="62">
        <f>Anassa!AD15</f>
        <v>152</v>
      </c>
      <c r="P15" s="62">
        <f>Anassa!AE15</f>
        <v>354</v>
      </c>
    </row>
    <row r="16" spans="1:16" ht="15" x14ac:dyDescent="0.25">
      <c r="A16" s="55" t="s">
        <v>34</v>
      </c>
      <c r="B16" s="4">
        <f t="shared" si="1"/>
        <v>15</v>
      </c>
      <c r="C16" s="4">
        <v>8</v>
      </c>
      <c r="D16" s="3">
        <v>2025</v>
      </c>
      <c r="E16" s="56">
        <f>Anassa!D17-Anassa!D16</f>
        <v>22610.300000000745</v>
      </c>
      <c r="F16" s="57">
        <f t="shared" si="0"/>
        <v>0.25629999999999997</v>
      </c>
      <c r="G16" s="58">
        <f>Anassa!N16</f>
        <v>300</v>
      </c>
      <c r="H16" s="59">
        <v>0.626</v>
      </c>
      <c r="I16" s="71">
        <f>Anassa!AC16*5.04</f>
        <v>2722.3056000000015</v>
      </c>
      <c r="J16" s="72">
        <v>8.2900000000000001E-2</v>
      </c>
      <c r="K16" s="60">
        <f>Anassa!Z16</f>
        <v>179</v>
      </c>
      <c r="L16" s="61">
        <v>1.25</v>
      </c>
      <c r="M16" s="74">
        <f>Anassa!H16</f>
        <v>282</v>
      </c>
      <c r="N16" s="75">
        <v>1.25</v>
      </c>
      <c r="O16" s="62">
        <f>Anassa!AD16</f>
        <v>168</v>
      </c>
      <c r="P16" s="62">
        <f>Anassa!AE16</f>
        <v>395</v>
      </c>
    </row>
    <row r="17" spans="1:16" ht="15" x14ac:dyDescent="0.25">
      <c r="A17" s="55" t="s">
        <v>34</v>
      </c>
      <c r="B17" s="4">
        <f t="shared" si="1"/>
        <v>16</v>
      </c>
      <c r="C17" s="4">
        <v>8</v>
      </c>
      <c r="D17" s="3">
        <v>2025</v>
      </c>
      <c r="E17" s="56">
        <f>Anassa!D18-Anassa!D17</f>
        <v>21507.099999999627</v>
      </c>
      <c r="F17" s="57">
        <f t="shared" si="0"/>
        <v>0.25629999999999997</v>
      </c>
      <c r="G17" s="58">
        <f>Anassa!N17</f>
        <v>250</v>
      </c>
      <c r="H17" s="59">
        <v>0.626</v>
      </c>
      <c r="I17" s="71">
        <f>Anassa!AC17*5.04</f>
        <v>2722.3056000000015</v>
      </c>
      <c r="J17" s="72">
        <v>8.2900000000000001E-2</v>
      </c>
      <c r="K17" s="60">
        <f>Anassa!Z17</f>
        <v>201</v>
      </c>
      <c r="L17" s="61">
        <v>1.25</v>
      </c>
      <c r="M17" s="74">
        <f>Anassa!H17</f>
        <v>282</v>
      </c>
      <c r="N17" s="75">
        <v>0.88</v>
      </c>
      <c r="O17" s="62">
        <f>Anassa!AD17</f>
        <v>169</v>
      </c>
      <c r="P17" s="62">
        <f>Anassa!AE17</f>
        <v>397</v>
      </c>
    </row>
    <row r="18" spans="1:16" ht="15" x14ac:dyDescent="0.25">
      <c r="A18" s="55" t="s">
        <v>34</v>
      </c>
      <c r="B18" s="4">
        <f t="shared" si="1"/>
        <v>17</v>
      </c>
      <c r="C18" s="4">
        <v>8</v>
      </c>
      <c r="D18" s="3">
        <v>2025</v>
      </c>
      <c r="E18" s="56">
        <f>Anassa!D19-Anassa!D18</f>
        <v>19385.900000000373</v>
      </c>
      <c r="F18" s="57">
        <f t="shared" si="0"/>
        <v>0.25629999999999997</v>
      </c>
      <c r="G18" s="58">
        <f>Anassa!N18</f>
        <v>200.00000000000091</v>
      </c>
      <c r="H18" s="59">
        <v>0.626</v>
      </c>
      <c r="I18" s="71">
        <f>Anassa!AC18*5.04</f>
        <v>2722.305599999997</v>
      </c>
      <c r="J18" s="72">
        <v>8.2900000000000001E-2</v>
      </c>
      <c r="K18" s="60">
        <f>Anassa!Z18</f>
        <v>263</v>
      </c>
      <c r="L18" s="61">
        <v>1.25</v>
      </c>
      <c r="M18" s="74">
        <f>Anassa!H18</f>
        <v>422</v>
      </c>
      <c r="N18" s="75">
        <v>0.88</v>
      </c>
      <c r="O18" s="62">
        <f>Anassa!AD18</f>
        <v>129</v>
      </c>
      <c r="P18" s="62">
        <f>Anassa!AE18</f>
        <v>295</v>
      </c>
    </row>
    <row r="19" spans="1:16" ht="15" x14ac:dyDescent="0.25">
      <c r="A19" s="55" t="s">
        <v>34</v>
      </c>
      <c r="B19" s="4">
        <f t="shared" si="1"/>
        <v>18</v>
      </c>
      <c r="C19" s="4">
        <v>8</v>
      </c>
      <c r="D19" s="3">
        <v>2025</v>
      </c>
      <c r="E19" s="56">
        <f>Anassa!D20-Anassa!D19</f>
        <v>18807.39999999851</v>
      </c>
      <c r="F19" s="57">
        <f t="shared" si="0"/>
        <v>0.25629999999999997</v>
      </c>
      <c r="G19" s="58">
        <f>Anassa!N19</f>
        <v>174.99999999999909</v>
      </c>
      <c r="H19" s="59">
        <v>0.626</v>
      </c>
      <c r="I19" s="71">
        <f>Anassa!AC19*5.04</f>
        <v>2722.3056000000015</v>
      </c>
      <c r="J19" s="72">
        <v>8.2900000000000001E-2</v>
      </c>
      <c r="K19" s="60">
        <f>Anassa!Z19</f>
        <v>183</v>
      </c>
      <c r="L19" s="61">
        <v>1.25</v>
      </c>
      <c r="M19" s="74">
        <f>Anassa!H19</f>
        <v>-6000</v>
      </c>
      <c r="N19" s="75">
        <v>0.88</v>
      </c>
      <c r="O19" s="62">
        <f>Anassa!AD19</f>
        <v>122</v>
      </c>
      <c r="P19" s="62">
        <f>Anassa!AE19</f>
        <v>280</v>
      </c>
    </row>
    <row r="20" spans="1:16" ht="15" x14ac:dyDescent="0.25">
      <c r="A20" s="55" t="s">
        <v>34</v>
      </c>
      <c r="B20" s="4">
        <f t="shared" si="1"/>
        <v>19</v>
      </c>
      <c r="C20" s="4">
        <v>8</v>
      </c>
      <c r="D20" s="3">
        <v>2025</v>
      </c>
      <c r="E20" s="56">
        <f>Anassa!D21-Anassa!D20</f>
        <v>19396.300000000745</v>
      </c>
      <c r="F20" s="57">
        <f t="shared" si="0"/>
        <v>0.25629999999999997</v>
      </c>
      <c r="G20" s="58">
        <f>Anassa!N20</f>
        <v>200</v>
      </c>
      <c r="H20" s="59">
        <v>0.626</v>
      </c>
      <c r="I20" s="71">
        <f>Anassa!AC20*5.04</f>
        <v>2741.0040000000017</v>
      </c>
      <c r="J20" s="72">
        <v>8.2900000000000001E-2</v>
      </c>
      <c r="K20" s="60">
        <f>Anassa!Z20</f>
        <v>94</v>
      </c>
      <c r="L20" s="61">
        <v>1.25</v>
      </c>
      <c r="M20" s="74">
        <f>Anassa!H20</f>
        <v>6281</v>
      </c>
      <c r="N20" s="75">
        <v>0.88</v>
      </c>
      <c r="O20" s="62">
        <f>Anassa!AD20</f>
        <v>130</v>
      </c>
      <c r="P20" s="62">
        <f>Anassa!AE20</f>
        <v>291</v>
      </c>
    </row>
    <row r="21" spans="1:16" ht="15" x14ac:dyDescent="0.25">
      <c r="A21" s="55" t="s">
        <v>34</v>
      </c>
      <c r="B21" s="4">
        <f t="shared" si="1"/>
        <v>20</v>
      </c>
      <c r="C21" s="4">
        <v>8</v>
      </c>
      <c r="D21" s="3">
        <v>2025</v>
      </c>
      <c r="E21" s="56">
        <f>Anassa!D22-Anassa!D21</f>
        <v>21014.300000000745</v>
      </c>
      <c r="F21" s="57">
        <f t="shared" si="0"/>
        <v>0.25629999999999997</v>
      </c>
      <c r="G21" s="58">
        <f>Anassa!N21</f>
        <v>375</v>
      </c>
      <c r="H21" s="59">
        <v>0.626</v>
      </c>
      <c r="I21" s="71">
        <f>Anassa!AC21*5.04</f>
        <v>2741.0040000000017</v>
      </c>
      <c r="J21" s="72">
        <v>8.2900000000000001E-2</v>
      </c>
      <c r="K21" s="60">
        <f>Anassa!Z21</f>
        <v>186</v>
      </c>
      <c r="L21" s="61">
        <v>1.25</v>
      </c>
      <c r="M21" s="74">
        <f>Anassa!H21</f>
        <v>137</v>
      </c>
      <c r="N21" s="75">
        <v>0.88</v>
      </c>
      <c r="O21" s="62">
        <f>Anassa!AD21</f>
        <v>125</v>
      </c>
      <c r="P21" s="62">
        <f>Anassa!AE21</f>
        <v>270</v>
      </c>
    </row>
    <row r="22" spans="1:16" ht="15" x14ac:dyDescent="0.25">
      <c r="A22" s="55" t="s">
        <v>34</v>
      </c>
      <c r="B22" s="4">
        <f t="shared" si="1"/>
        <v>21</v>
      </c>
      <c r="C22" s="4">
        <v>8</v>
      </c>
      <c r="D22" s="3">
        <v>2025</v>
      </c>
      <c r="E22" s="56">
        <f>Anassa!D23-Anassa!D22</f>
        <v>19468.39999999851</v>
      </c>
      <c r="F22" s="57">
        <f t="shared" si="0"/>
        <v>0.25629999999999997</v>
      </c>
      <c r="G22" s="58">
        <f>Anassa!N22</f>
        <v>121.97999999999865</v>
      </c>
      <c r="H22" s="59">
        <v>0.626</v>
      </c>
      <c r="I22" s="71">
        <f>Anassa!AC22*5.04</f>
        <v>2741.0039999999926</v>
      </c>
      <c r="J22" s="72">
        <v>8.2900000000000001E-2</v>
      </c>
      <c r="K22" s="60">
        <f>Anassa!Z22</f>
        <v>210</v>
      </c>
      <c r="L22" s="61">
        <v>1.25</v>
      </c>
      <c r="M22" s="74">
        <f>Anassa!H22</f>
        <v>3</v>
      </c>
      <c r="N22" s="75">
        <v>0.88</v>
      </c>
      <c r="O22" s="62">
        <f>Anassa!AD22</f>
        <v>135</v>
      </c>
      <c r="P22" s="62">
        <f>Anassa!AE22</f>
        <v>291</v>
      </c>
    </row>
    <row r="23" spans="1:16" ht="15" x14ac:dyDescent="0.25">
      <c r="A23" s="55" t="s">
        <v>34</v>
      </c>
      <c r="B23" s="4">
        <f t="shared" si="1"/>
        <v>22</v>
      </c>
      <c r="C23" s="4">
        <v>8</v>
      </c>
      <c r="D23" s="3">
        <v>2025</v>
      </c>
      <c r="E23" s="56">
        <f>Anassa!D24-Anassa!D23</f>
        <v>21455</v>
      </c>
      <c r="F23" s="57">
        <f t="shared" si="0"/>
        <v>0.25629999999999997</v>
      </c>
      <c r="G23" s="58">
        <f>Anassa!N23</f>
        <v>200</v>
      </c>
      <c r="H23" s="59">
        <v>0.626</v>
      </c>
      <c r="I23" s="71">
        <f>Anassa!AC23*5.04</f>
        <v>2741.0040000000017</v>
      </c>
      <c r="J23" s="72">
        <v>8.2900000000000001E-2</v>
      </c>
      <c r="K23" s="60">
        <f>Anassa!Z23</f>
        <v>181</v>
      </c>
      <c r="L23" s="61">
        <v>1.25</v>
      </c>
      <c r="M23" s="74">
        <f>Anassa!H23</f>
        <v>280</v>
      </c>
      <c r="N23" s="75">
        <v>0.88</v>
      </c>
      <c r="O23" s="62">
        <f>Anassa!AD23</f>
        <v>154</v>
      </c>
      <c r="P23" s="62">
        <f>Anassa!AE23</f>
        <v>338</v>
      </c>
    </row>
    <row r="24" spans="1:16" ht="15" x14ac:dyDescent="0.25">
      <c r="A24" s="55" t="s">
        <v>34</v>
      </c>
      <c r="B24" s="4">
        <f t="shared" si="1"/>
        <v>23</v>
      </c>
      <c r="C24" s="4">
        <v>8</v>
      </c>
      <c r="D24" s="3">
        <v>2025</v>
      </c>
      <c r="E24" s="56">
        <f>Anassa!D25-Anassa!D24</f>
        <v>21779.900000000373</v>
      </c>
      <c r="F24" s="57">
        <f t="shared" si="0"/>
        <v>0.25629999999999997</v>
      </c>
      <c r="G24" s="58">
        <f>Anassa!N24</f>
        <v>100</v>
      </c>
      <c r="H24" s="59">
        <v>0.626</v>
      </c>
      <c r="I24" s="71">
        <f>Anassa!AC24*5.04</f>
        <v>2741.0040000000017</v>
      </c>
      <c r="J24" s="72">
        <v>8.2900000000000001E-2</v>
      </c>
      <c r="K24" s="60">
        <f>Anassa!Z24</f>
        <v>32</v>
      </c>
      <c r="L24" s="61">
        <v>1.25</v>
      </c>
      <c r="M24" s="74">
        <f>Anassa!H24</f>
        <v>0</v>
      </c>
      <c r="N24" s="75">
        <v>0.88</v>
      </c>
      <c r="O24" s="62">
        <f>Anassa!AD24</f>
        <v>149</v>
      </c>
      <c r="P24" s="62">
        <f>Anassa!AE24</f>
        <v>319</v>
      </c>
    </row>
    <row r="25" spans="1:16" ht="15" x14ac:dyDescent="0.25">
      <c r="A25" s="55" t="s">
        <v>34</v>
      </c>
      <c r="B25" s="4">
        <f t="shared" si="1"/>
        <v>24</v>
      </c>
      <c r="C25" s="4">
        <v>8</v>
      </c>
      <c r="D25" s="3">
        <v>2025</v>
      </c>
      <c r="E25" s="56">
        <f>Anassa!D26-Anassa!D25</f>
        <v>18733.599999999627</v>
      </c>
      <c r="F25" s="57">
        <f t="shared" si="0"/>
        <v>0.25629999999999997</v>
      </c>
      <c r="G25" s="58">
        <f>Anassa!N25</f>
        <v>175.00000000000091</v>
      </c>
      <c r="H25" s="59">
        <v>0.626</v>
      </c>
      <c r="I25" s="71">
        <f>Anassa!AC25*5.04</f>
        <v>2741.0040000000017</v>
      </c>
      <c r="J25" s="72">
        <v>8.2900000000000001E-2</v>
      </c>
      <c r="K25" s="60">
        <f>Anassa!Z25</f>
        <v>142</v>
      </c>
      <c r="L25" s="61">
        <v>1.25</v>
      </c>
      <c r="M25" s="74">
        <f>Anassa!H25</f>
        <v>0</v>
      </c>
      <c r="N25" s="75">
        <v>0.88</v>
      </c>
      <c r="O25" s="62">
        <f>Anassa!AD25</f>
        <v>117</v>
      </c>
      <c r="P25" s="62">
        <f>Anassa!AE25</f>
        <v>246</v>
      </c>
    </row>
    <row r="26" spans="1:16" ht="15" x14ac:dyDescent="0.25">
      <c r="A26" s="55" t="s">
        <v>34</v>
      </c>
      <c r="B26" s="4">
        <f>B25+1</f>
        <v>25</v>
      </c>
      <c r="C26" s="4">
        <v>8</v>
      </c>
      <c r="D26" s="3">
        <v>2025</v>
      </c>
      <c r="E26" s="56">
        <f>Anassa!D27-Anassa!D26</f>
        <v>19262</v>
      </c>
      <c r="F26" s="57">
        <f t="shared" si="0"/>
        <v>0.25629999999999997</v>
      </c>
      <c r="G26" s="58">
        <f>Anassa!N26</f>
        <v>175.00000000000091</v>
      </c>
      <c r="H26" s="59">
        <v>0.626</v>
      </c>
      <c r="I26" s="71">
        <f>Anassa!AC26*5.04</f>
        <v>2741.0039999999972</v>
      </c>
      <c r="J26" s="72">
        <v>8.2900000000000001E-2</v>
      </c>
      <c r="K26" s="60">
        <f>Anassa!Z26</f>
        <v>166</v>
      </c>
      <c r="L26" s="61">
        <v>1.25</v>
      </c>
      <c r="M26" s="74">
        <f>Anassa!H26</f>
        <v>0</v>
      </c>
      <c r="N26" s="75">
        <v>0.88</v>
      </c>
      <c r="O26" s="62">
        <f>Anassa!AD26</f>
        <v>117</v>
      </c>
      <c r="P26" s="62">
        <f>Anassa!AE26</f>
        <v>232</v>
      </c>
    </row>
    <row r="27" spans="1:16" ht="15" x14ac:dyDescent="0.25">
      <c r="A27" s="55" t="s">
        <v>34</v>
      </c>
      <c r="B27" s="4">
        <f t="shared" si="1"/>
        <v>26</v>
      </c>
      <c r="C27" s="4">
        <v>8</v>
      </c>
      <c r="D27" s="3">
        <v>2025</v>
      </c>
      <c r="E27" s="56">
        <f>Anassa!D28-Anassa!D27</f>
        <v>19332.900000000373</v>
      </c>
      <c r="F27" s="57">
        <f t="shared" si="0"/>
        <v>0.25629999999999997</v>
      </c>
      <c r="G27" s="58">
        <f>Anassa!N27</f>
        <v>200</v>
      </c>
      <c r="H27" s="59">
        <v>0.626</v>
      </c>
      <c r="I27" s="71">
        <f>Anassa!AC27*5.04</f>
        <v>2741.0040000000017</v>
      </c>
      <c r="J27" s="72">
        <v>8.2900000000000001E-2</v>
      </c>
      <c r="K27" s="60">
        <f>Anassa!Z27</f>
        <v>142</v>
      </c>
      <c r="L27" s="61">
        <v>1.25</v>
      </c>
      <c r="M27" s="74">
        <f>Anassa!H27</f>
        <v>140</v>
      </c>
      <c r="N27" s="75">
        <v>0.88</v>
      </c>
      <c r="O27" s="62">
        <f>Anassa!AD27</f>
        <v>106</v>
      </c>
      <c r="P27" s="62">
        <f>Anassa!AE27</f>
        <v>208</v>
      </c>
    </row>
    <row r="28" spans="1:16" ht="15" x14ac:dyDescent="0.25">
      <c r="A28" s="55" t="s">
        <v>34</v>
      </c>
      <c r="B28" s="4">
        <f t="shared" si="1"/>
        <v>27</v>
      </c>
      <c r="C28" s="4">
        <v>8</v>
      </c>
      <c r="D28" s="3">
        <v>2025</v>
      </c>
      <c r="E28" s="56">
        <f>Anassa!D29-Anassa!D28</f>
        <v>18306.599999999627</v>
      </c>
      <c r="F28" s="57">
        <f t="shared" si="0"/>
        <v>0.25629999999999997</v>
      </c>
      <c r="G28" s="58">
        <f>Anassa!N28</f>
        <v>274.99999999999818</v>
      </c>
      <c r="H28" s="59">
        <v>0.626</v>
      </c>
      <c r="I28" s="71">
        <f>Anassa!AC28*5.04</f>
        <v>2741.0039999999972</v>
      </c>
      <c r="J28" s="72">
        <v>8.2900000000000001E-2</v>
      </c>
      <c r="K28" s="60">
        <f>Anassa!Z28</f>
        <v>185</v>
      </c>
      <c r="L28" s="61">
        <v>1.25</v>
      </c>
      <c r="M28" s="74">
        <f>Anassa!H28</f>
        <v>557</v>
      </c>
      <c r="N28" s="75">
        <v>0.88</v>
      </c>
      <c r="O28" s="62">
        <f>Anassa!AD28</f>
        <v>94</v>
      </c>
      <c r="P28" s="62">
        <f>Anassa!AE28</f>
        <v>176</v>
      </c>
    </row>
    <row r="29" spans="1:16" ht="15" x14ac:dyDescent="0.25">
      <c r="A29" s="55" t="s">
        <v>34</v>
      </c>
      <c r="B29" s="4">
        <f t="shared" si="1"/>
        <v>28</v>
      </c>
      <c r="C29" s="4">
        <v>8</v>
      </c>
      <c r="D29" s="3">
        <v>2025</v>
      </c>
      <c r="E29" s="56">
        <f>Anassa!D30-Anassa!D29</f>
        <v>18876.5</v>
      </c>
      <c r="F29" s="57">
        <f t="shared" si="0"/>
        <v>0.25629999999999997</v>
      </c>
      <c r="G29" s="58">
        <f>Anassa!N29</f>
        <v>86.880000000001019</v>
      </c>
      <c r="H29" s="59">
        <v>0.626</v>
      </c>
      <c r="I29" s="71">
        <f>Anassa!AC29*5.04</f>
        <v>2741.0040000000017</v>
      </c>
      <c r="J29" s="72">
        <v>8.2900000000000001E-2</v>
      </c>
      <c r="K29" s="60">
        <f>Anassa!Z29</f>
        <v>149</v>
      </c>
      <c r="L29" s="61">
        <v>1.25</v>
      </c>
      <c r="M29" s="74">
        <f>Anassa!H29</f>
        <v>0</v>
      </c>
      <c r="N29" s="75">
        <v>0.88</v>
      </c>
      <c r="O29" s="62">
        <f>Anassa!AD29</f>
        <v>94</v>
      </c>
      <c r="P29" s="62">
        <f>Anassa!AE29</f>
        <v>175</v>
      </c>
    </row>
    <row r="30" spans="1:16" ht="15" x14ac:dyDescent="0.25">
      <c r="A30" s="55" t="s">
        <v>34</v>
      </c>
      <c r="B30" s="4">
        <f t="shared" si="1"/>
        <v>29</v>
      </c>
      <c r="C30" s="4">
        <v>8</v>
      </c>
      <c r="D30" s="3">
        <v>2025</v>
      </c>
      <c r="E30" s="56">
        <f>Anassa!D31-Anassa!D30</f>
        <v>18925.700000001118</v>
      </c>
      <c r="F30" s="57">
        <f t="shared" si="0"/>
        <v>0.25629999999999997</v>
      </c>
      <c r="G30" s="58">
        <f>Anassa!N30</f>
        <v>249.99999999999909</v>
      </c>
      <c r="H30" s="59">
        <v>0.626</v>
      </c>
      <c r="I30" s="71">
        <f>Anassa!AC30*5.04</f>
        <v>2741.0039999999995</v>
      </c>
      <c r="J30" s="72">
        <v>8.2900000000000001E-2</v>
      </c>
      <c r="K30" s="60">
        <f>Anassa!Z30</f>
        <v>178</v>
      </c>
      <c r="L30" s="61">
        <v>1.25</v>
      </c>
      <c r="M30" s="74">
        <f>Anassa!H30</f>
        <v>139</v>
      </c>
      <c r="N30" s="75">
        <v>0.88</v>
      </c>
      <c r="O30" s="62">
        <f>Anassa!AD30</f>
        <v>155</v>
      </c>
      <c r="P30" s="62">
        <f>Anassa!AE30</f>
        <v>213</v>
      </c>
    </row>
    <row r="31" spans="1:16" ht="15" x14ac:dyDescent="0.25">
      <c r="A31" s="55" t="s">
        <v>34</v>
      </c>
      <c r="B31" s="4">
        <f t="shared" si="1"/>
        <v>30</v>
      </c>
      <c r="C31" s="4">
        <v>8</v>
      </c>
      <c r="D31" s="3">
        <v>2025</v>
      </c>
      <c r="E31" s="56">
        <f>Anassa!D32-Anassa!D31</f>
        <v>17984.599999999627</v>
      </c>
      <c r="F31" s="57">
        <f t="shared" si="0"/>
        <v>0.25629999999999997</v>
      </c>
      <c r="G31" s="58">
        <f>Anassa!N31</f>
        <v>375.00000000000091</v>
      </c>
      <c r="H31" s="59">
        <v>0.626</v>
      </c>
      <c r="I31" s="71">
        <f>Anassa!AC31*5.04</f>
        <v>2741.0039999999995</v>
      </c>
      <c r="J31" s="72">
        <v>8.2900000000000001E-2</v>
      </c>
      <c r="K31" s="60">
        <f>Anassa!Z31</f>
        <v>188</v>
      </c>
      <c r="L31" s="61">
        <v>1.25</v>
      </c>
      <c r="M31" s="74">
        <f>Anassa!H31</f>
        <v>138</v>
      </c>
      <c r="N31" s="75">
        <v>0.88</v>
      </c>
      <c r="O31" s="62">
        <f>Anassa!AD31</f>
        <v>135</v>
      </c>
      <c r="P31" s="62">
        <f>Anassa!AE31</f>
        <v>274</v>
      </c>
    </row>
    <row r="32" spans="1:16" ht="15" x14ac:dyDescent="0.25">
      <c r="A32" s="55" t="s">
        <v>34</v>
      </c>
      <c r="B32" s="4">
        <f t="shared" si="1"/>
        <v>31</v>
      </c>
      <c r="C32" s="4">
        <v>8</v>
      </c>
      <c r="D32" s="3">
        <v>2025</v>
      </c>
      <c r="E32" s="56">
        <f>Anassa!D33-Anassa!D32</f>
        <v>16933</v>
      </c>
      <c r="F32" s="57">
        <f t="shared" si="0"/>
        <v>0.25629999999999997</v>
      </c>
      <c r="G32" s="58">
        <f>Anassa!N32</f>
        <v>0</v>
      </c>
      <c r="H32" s="59">
        <v>0.626</v>
      </c>
      <c r="I32" s="71">
        <f>Anassa!AC32*5.04</f>
        <v>0</v>
      </c>
      <c r="J32" s="72">
        <v>8.2900000000000001E-2</v>
      </c>
      <c r="K32" s="60">
        <f>Anassa!Z32</f>
        <v>0</v>
      </c>
      <c r="L32" s="61">
        <v>1.25</v>
      </c>
      <c r="M32" s="74">
        <f>Anassa!H32</f>
        <v>0</v>
      </c>
      <c r="N32" s="75">
        <v>0.88</v>
      </c>
      <c r="O32" s="62">
        <f>Anassa!AD32</f>
        <v>87</v>
      </c>
      <c r="P32" s="62">
        <f>Anassa!AE32</f>
        <v>166</v>
      </c>
    </row>
    <row r="33" spans="4:16" x14ac:dyDescent="0.2">
      <c r="D33" s="63"/>
      <c r="E33" s="56" t="s">
        <v>35</v>
      </c>
      <c r="F33" s="57"/>
      <c r="I33" s="71"/>
      <c r="J33" s="72"/>
      <c r="K33" s="61"/>
      <c r="L33" s="61"/>
      <c r="O33" s="65"/>
      <c r="P33" s="65"/>
    </row>
    <row r="34" spans="4:16" x14ac:dyDescent="0.2">
      <c r="D34" s="63"/>
      <c r="F34" s="57"/>
      <c r="I34" s="71"/>
      <c r="J34" s="72"/>
      <c r="K34" s="61"/>
      <c r="L34" s="61"/>
      <c r="O34" s="65"/>
      <c r="P34" s="65"/>
    </row>
    <row r="35" spans="4:16" x14ac:dyDescent="0.2">
      <c r="D35" s="63"/>
      <c r="F35" s="57"/>
      <c r="I35" s="71"/>
      <c r="J35" s="72"/>
      <c r="K35" s="61"/>
      <c r="L35" s="61"/>
      <c r="O35" s="65"/>
      <c r="P35" s="65"/>
    </row>
    <row r="36" spans="4:16" x14ac:dyDescent="0.2">
      <c r="D36" s="63"/>
      <c r="F36" s="57"/>
      <c r="I36" s="71"/>
      <c r="J36" s="72"/>
      <c r="K36" s="61"/>
      <c r="L36" s="61"/>
      <c r="O36" s="65"/>
      <c r="P36" s="65"/>
    </row>
    <row r="37" spans="4:16" x14ac:dyDescent="0.2">
      <c r="D37" s="63"/>
      <c r="F37" s="57"/>
      <c r="I37" s="71"/>
      <c r="J37" s="72"/>
      <c r="K37" s="61"/>
      <c r="L37" s="61"/>
      <c r="O37" s="65"/>
      <c r="P37" s="65"/>
    </row>
    <row r="38" spans="4:16" x14ac:dyDescent="0.2">
      <c r="D38" s="63"/>
      <c r="F38" s="57"/>
      <c r="I38" s="71"/>
      <c r="J38" s="72"/>
      <c r="K38" s="61"/>
      <c r="L38" s="61"/>
      <c r="O38" s="65"/>
      <c r="P38" s="65"/>
    </row>
    <row r="39" spans="4:16" x14ac:dyDescent="0.2">
      <c r="D39" s="63"/>
      <c r="F39" s="57"/>
      <c r="I39" s="71"/>
      <c r="J39" s="72"/>
      <c r="K39" s="61"/>
      <c r="L39" s="61"/>
      <c r="O39" s="65"/>
      <c r="P39" s="65"/>
    </row>
    <row r="40" spans="4:16" x14ac:dyDescent="0.2">
      <c r="F40" s="57"/>
      <c r="I40" s="71"/>
      <c r="J40" s="72"/>
    </row>
    <row r="41" spans="4:16" x14ac:dyDescent="0.2">
      <c r="F41" s="57"/>
      <c r="I41" s="71"/>
      <c r="J41" s="72"/>
    </row>
    <row r="42" spans="4:16" x14ac:dyDescent="0.2">
      <c r="F42" s="57"/>
      <c r="I42" s="71"/>
      <c r="J42" s="72"/>
    </row>
    <row r="43" spans="4:16" x14ac:dyDescent="0.2">
      <c r="F43" s="57"/>
      <c r="I43" s="71"/>
      <c r="J43" s="72"/>
    </row>
    <row r="44" spans="4:16" x14ac:dyDescent="0.2">
      <c r="I44" s="71"/>
      <c r="J44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B1" zoomScale="115" zoomScaleNormal="115" workbookViewId="0">
      <selection activeCell="N35" sqref="N35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8" customWidth="1"/>
    <col min="6" max="6" width="6.7109375" style="3" customWidth="1"/>
    <col min="7" max="7" width="7.5703125" style="3" customWidth="1"/>
    <col min="8" max="8" width="7.140625" style="8" customWidth="1"/>
    <col min="9" max="11" width="4.7109375" customWidth="1"/>
    <col min="12" max="12" width="7.85546875" customWidth="1"/>
    <col min="13" max="13" width="7.85546875" style="3" customWidth="1"/>
    <col min="14" max="14" width="6.42578125" style="8" customWidth="1"/>
    <col min="15" max="17" width="4.7109375" customWidth="1"/>
    <col min="18" max="18" width="7.85546875" customWidth="1"/>
    <col min="19" max="19" width="7.85546875" style="3" customWidth="1"/>
    <col min="20" max="20" width="5.7109375" style="8" customWidth="1"/>
    <col min="21" max="21" width="6.140625" style="8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5" customFormat="1" ht="90.75" thickTop="1" x14ac:dyDescent="0.2">
      <c r="A1" s="126" t="s">
        <v>1</v>
      </c>
      <c r="B1" s="109" t="s">
        <v>19</v>
      </c>
      <c r="C1" s="110" t="s">
        <v>20</v>
      </c>
      <c r="D1" s="111" t="s">
        <v>12</v>
      </c>
      <c r="E1" s="112" t="s">
        <v>3</v>
      </c>
      <c r="F1" s="113" t="s">
        <v>2</v>
      </c>
      <c r="G1" s="114" t="s">
        <v>8</v>
      </c>
      <c r="H1" s="112" t="s">
        <v>3</v>
      </c>
      <c r="I1" s="115" t="s">
        <v>4</v>
      </c>
      <c r="J1" s="116" t="s">
        <v>5</v>
      </c>
      <c r="K1" s="116" t="s">
        <v>13</v>
      </c>
      <c r="L1" s="117" t="s">
        <v>9</v>
      </c>
      <c r="M1" s="118" t="s">
        <v>7</v>
      </c>
      <c r="N1" s="112" t="s">
        <v>3</v>
      </c>
      <c r="O1" s="115" t="s">
        <v>4</v>
      </c>
      <c r="P1" s="116" t="s">
        <v>5</v>
      </c>
      <c r="Q1" s="116" t="s">
        <v>13</v>
      </c>
      <c r="R1" s="117" t="s">
        <v>14</v>
      </c>
      <c r="S1" s="118" t="s">
        <v>7</v>
      </c>
      <c r="T1" s="112" t="s">
        <v>3</v>
      </c>
      <c r="U1" s="112" t="s">
        <v>21</v>
      </c>
      <c r="V1" s="119" t="s">
        <v>15</v>
      </c>
      <c r="W1" s="120" t="s">
        <v>16</v>
      </c>
      <c r="X1" s="120" t="s">
        <v>17</v>
      </c>
      <c r="Y1" s="121" t="s">
        <v>18</v>
      </c>
      <c r="Z1" s="112" t="s">
        <v>3</v>
      </c>
      <c r="AA1" s="122" t="s">
        <v>10</v>
      </c>
      <c r="AB1" s="123" t="s">
        <v>11</v>
      </c>
      <c r="AC1" s="112" t="s">
        <v>3</v>
      </c>
      <c r="AD1" s="124" t="s">
        <v>0</v>
      </c>
      <c r="AE1" s="125" t="s">
        <v>6</v>
      </c>
    </row>
    <row r="2" spans="1:31" x14ac:dyDescent="0.2">
      <c r="A2" s="11">
        <v>45870</v>
      </c>
      <c r="B2" s="77">
        <v>18237709</v>
      </c>
      <c r="C2" s="78">
        <v>2655523</v>
      </c>
      <c r="D2" s="40">
        <f>B2-C2</f>
        <v>15582186</v>
      </c>
      <c r="E2" s="81">
        <f t="shared" ref="E2:E31" si="0">B3-B2</f>
        <v>20371</v>
      </c>
      <c r="F2" s="12">
        <v>13653</v>
      </c>
      <c r="G2" s="80"/>
      <c r="H2" s="81">
        <f>F2+G2-F3</f>
        <v>0</v>
      </c>
      <c r="I2" s="9">
        <v>0.8</v>
      </c>
      <c r="J2" s="15">
        <v>0.85</v>
      </c>
      <c r="K2" s="15">
        <v>0.85</v>
      </c>
      <c r="L2" s="17">
        <f>SUM(I2:K2)/3*7500</f>
        <v>6250</v>
      </c>
      <c r="M2" s="33"/>
      <c r="N2" s="81">
        <f>SUM(L2+M2-L3)</f>
        <v>249.99999999999909</v>
      </c>
      <c r="O2" s="9">
        <v>0.85</v>
      </c>
      <c r="P2" s="15">
        <v>0.85</v>
      </c>
      <c r="Q2" s="15">
        <v>0.85</v>
      </c>
      <c r="R2" s="17">
        <f>SUM(O2:Q2)/3*1500</f>
        <v>1275</v>
      </c>
      <c r="S2" s="33"/>
      <c r="T2" s="81">
        <f>SUM(R2+S2-R3)</f>
        <v>25</v>
      </c>
      <c r="U2" s="82">
        <f>SUM(N2+T2)</f>
        <v>274.99999999999909</v>
      </c>
      <c r="V2" s="20">
        <v>674446</v>
      </c>
      <c r="W2" s="34">
        <v>75630</v>
      </c>
      <c r="X2" s="34">
        <v>16545</v>
      </c>
      <c r="Y2" s="83">
        <f>SUM(V2-W2-X2)</f>
        <v>582271</v>
      </c>
      <c r="Z2" s="81">
        <f t="shared" ref="Z2:Z31" si="1">SUM(Y3-Y2)</f>
        <v>167</v>
      </c>
      <c r="AA2" s="21">
        <v>7000</v>
      </c>
      <c r="AB2" s="22"/>
      <c r="AC2" s="81">
        <f>SUM(AA2+AB2-AA3)</f>
        <v>472.63000000000011</v>
      </c>
      <c r="AD2" s="7">
        <v>133</v>
      </c>
      <c r="AE2" s="10">
        <v>273</v>
      </c>
    </row>
    <row r="3" spans="1:31" x14ac:dyDescent="0.2">
      <c r="A3" s="127">
        <v>45871</v>
      </c>
      <c r="B3" s="37">
        <v>18258080</v>
      </c>
      <c r="C3" s="84">
        <f>SUM(4111.1+1762488.6+588907+9938.7+261829+28735)</f>
        <v>2656009.4000000004</v>
      </c>
      <c r="D3" s="85">
        <f t="shared" ref="D3:D33" si="2">B3-C3</f>
        <v>15602070.6</v>
      </c>
      <c r="E3" s="14">
        <f t="shared" si="0"/>
        <v>19765</v>
      </c>
      <c r="F3" s="86">
        <v>13653</v>
      </c>
      <c r="G3" s="13"/>
      <c r="H3" s="14">
        <f>SUM(F4-G3-F3)</f>
        <v>0</v>
      </c>
      <c r="I3" s="87">
        <v>0.8</v>
      </c>
      <c r="J3" s="88">
        <v>0.8</v>
      </c>
      <c r="K3" s="88">
        <v>0.8</v>
      </c>
      <c r="L3" s="18">
        <f>SUM(I3:K3)/3*7500</f>
        <v>6000.0000000000009</v>
      </c>
      <c r="M3" s="16"/>
      <c r="N3" s="19">
        <f>SUM(L3+M3-L4)</f>
        <v>250.00000000000091</v>
      </c>
      <c r="O3" s="87">
        <v>0.8</v>
      </c>
      <c r="P3" s="88">
        <v>0.85</v>
      </c>
      <c r="Q3" s="88">
        <v>0.85</v>
      </c>
      <c r="R3" s="18">
        <f t="shared" ref="R3:R33" si="3">SUM(O3:Q3)/3*1500</f>
        <v>1250</v>
      </c>
      <c r="S3" s="16"/>
      <c r="T3" s="19">
        <f t="shared" ref="T3:T31" si="4">SUM(R3+S3-R4)</f>
        <v>150</v>
      </c>
      <c r="U3" s="36">
        <f t="shared" ref="U3:U31" si="5">SUM(N3+T3)</f>
        <v>400.00000000000091</v>
      </c>
      <c r="V3" s="89">
        <v>674711</v>
      </c>
      <c r="W3" s="90">
        <v>75718</v>
      </c>
      <c r="X3" s="90">
        <v>16555</v>
      </c>
      <c r="Y3" s="41">
        <f t="shared" ref="Y3:Y10" si="6">SUM(V3-W3-X3)</f>
        <v>582438</v>
      </c>
      <c r="Z3" s="19">
        <v>23</v>
      </c>
      <c r="AA3" s="91">
        <v>6527.37</v>
      </c>
      <c r="AB3" s="92"/>
      <c r="AC3" s="19">
        <f>SUM(AA3+AB3-AA4)</f>
        <v>472.63000000000011</v>
      </c>
      <c r="AD3" s="93">
        <v>132</v>
      </c>
      <c r="AE3" s="94">
        <v>273</v>
      </c>
    </row>
    <row r="4" spans="1:31" x14ac:dyDescent="0.2">
      <c r="A4" s="141">
        <v>45872</v>
      </c>
      <c r="B4" s="142">
        <v>18277845</v>
      </c>
      <c r="C4" s="143">
        <f>SUM(4112.2+1762896.5+588907+9938.9+261971+28751)</f>
        <v>2656576.6</v>
      </c>
      <c r="D4" s="144">
        <f t="shared" si="2"/>
        <v>15621268.4</v>
      </c>
      <c r="E4" s="145">
        <f t="shared" si="0"/>
        <v>17197</v>
      </c>
      <c r="F4" s="146">
        <v>13653</v>
      </c>
      <c r="G4" s="147"/>
      <c r="H4" s="145">
        <f t="shared" ref="H4:H29" si="7">F4+G4-F5</f>
        <v>421</v>
      </c>
      <c r="I4" s="148">
        <v>0.75</v>
      </c>
      <c r="J4" s="149">
        <v>0.75</v>
      </c>
      <c r="K4" s="149">
        <v>0.8</v>
      </c>
      <c r="L4" s="150">
        <f t="shared" ref="L4:L33" si="8">SUM(I4:K4)/3*7500</f>
        <v>5750</v>
      </c>
      <c r="M4" s="151"/>
      <c r="N4" s="152">
        <f t="shared" ref="N4:N31" si="9">SUM(L4+M4-L5)</f>
        <v>250</v>
      </c>
      <c r="O4" s="148">
        <v>0.75</v>
      </c>
      <c r="P4" s="149">
        <v>0.75</v>
      </c>
      <c r="Q4" s="149">
        <v>0.7</v>
      </c>
      <c r="R4" s="150">
        <f t="shared" si="3"/>
        <v>1100</v>
      </c>
      <c r="S4" s="151"/>
      <c r="T4" s="152">
        <f t="shared" si="4"/>
        <v>75.000000000000227</v>
      </c>
      <c r="U4" s="153">
        <f t="shared" si="5"/>
        <v>325.00000000000023</v>
      </c>
      <c r="V4" s="154">
        <v>675032</v>
      </c>
      <c r="W4" s="155">
        <v>75813</v>
      </c>
      <c r="X4" s="155">
        <v>16567</v>
      </c>
      <c r="Y4" s="156">
        <f t="shared" si="6"/>
        <v>582652</v>
      </c>
      <c r="Z4" s="152">
        <f t="shared" si="1"/>
        <v>155</v>
      </c>
      <c r="AA4" s="157">
        <v>6054.74</v>
      </c>
      <c r="AB4" s="158"/>
      <c r="AC4" s="152">
        <f t="shared" ref="AC4" si="10">AA4-AA5</f>
        <v>472.63000000000011</v>
      </c>
      <c r="AD4" s="159">
        <v>91</v>
      </c>
      <c r="AE4" s="160">
        <v>182</v>
      </c>
    </row>
    <row r="5" spans="1:31" x14ac:dyDescent="0.2">
      <c r="A5" s="11">
        <v>45873</v>
      </c>
      <c r="B5" s="77">
        <v>18295042</v>
      </c>
      <c r="C5" s="78">
        <f>SUM(4112.9+1763222.2+588907+9939.1+262082+28766)</f>
        <v>2657029.1999999997</v>
      </c>
      <c r="D5" s="40">
        <f t="shared" si="2"/>
        <v>15638012.800000001</v>
      </c>
      <c r="E5" s="79">
        <f t="shared" si="0"/>
        <v>18455</v>
      </c>
      <c r="F5" s="12">
        <v>13232</v>
      </c>
      <c r="G5" s="80"/>
      <c r="H5" s="79">
        <f t="shared" si="7"/>
        <v>281</v>
      </c>
      <c r="I5" s="9">
        <v>0.75</v>
      </c>
      <c r="J5" s="15">
        <v>0.75</v>
      </c>
      <c r="K5" s="15">
        <v>0.7</v>
      </c>
      <c r="L5" s="17">
        <f t="shared" si="8"/>
        <v>5500</v>
      </c>
      <c r="M5" s="33"/>
      <c r="N5" s="81">
        <f t="shared" si="9"/>
        <v>375.00000000000091</v>
      </c>
      <c r="O5" s="9">
        <v>0.7</v>
      </c>
      <c r="P5" s="15">
        <v>0.7</v>
      </c>
      <c r="Q5" s="15">
        <v>0.65</v>
      </c>
      <c r="R5" s="17">
        <f t="shared" si="3"/>
        <v>1024.9999999999998</v>
      </c>
      <c r="S5" s="33"/>
      <c r="T5" s="81">
        <f t="shared" si="4"/>
        <v>24.999999999999773</v>
      </c>
      <c r="U5" s="82">
        <f t="shared" si="5"/>
        <v>400.00000000000068</v>
      </c>
      <c r="V5" s="20">
        <v>675280</v>
      </c>
      <c r="W5" s="34">
        <v>75894</v>
      </c>
      <c r="X5" s="34">
        <v>16579</v>
      </c>
      <c r="Y5" s="83">
        <f t="shared" si="6"/>
        <v>582807</v>
      </c>
      <c r="Z5" s="81">
        <f t="shared" si="1"/>
        <v>126</v>
      </c>
      <c r="AA5" s="21">
        <v>5582.11</v>
      </c>
      <c r="AB5" s="22"/>
      <c r="AC5" s="81">
        <f>SUM(AA5+AB5-AA6)</f>
        <v>472.63000000000011</v>
      </c>
      <c r="AD5" s="7">
        <v>75</v>
      </c>
      <c r="AE5" s="10">
        <v>145</v>
      </c>
    </row>
    <row r="6" spans="1:31" x14ac:dyDescent="0.2">
      <c r="A6" s="127">
        <v>45874</v>
      </c>
      <c r="B6" s="37">
        <v>18313497</v>
      </c>
      <c r="C6" s="84">
        <f>SUM(4113.9+1763631.4+588907+9939.3+262226+28778)</f>
        <v>2657595.5999999996</v>
      </c>
      <c r="D6" s="85">
        <f t="shared" si="2"/>
        <v>15655901.4</v>
      </c>
      <c r="E6" s="14">
        <f t="shared" si="0"/>
        <v>18827</v>
      </c>
      <c r="F6" s="86">
        <v>12951</v>
      </c>
      <c r="G6" s="13"/>
      <c r="H6" s="14">
        <f t="shared" si="7"/>
        <v>0</v>
      </c>
      <c r="I6" s="87">
        <v>0.7</v>
      </c>
      <c r="J6" s="88">
        <v>0.7</v>
      </c>
      <c r="K6" s="88">
        <v>0.65</v>
      </c>
      <c r="L6" s="18">
        <f t="shared" si="8"/>
        <v>5124.9999999999991</v>
      </c>
      <c r="M6" s="16"/>
      <c r="N6" s="19">
        <f t="shared" si="9"/>
        <v>249.99999999999909</v>
      </c>
      <c r="O6" s="87">
        <v>0.7</v>
      </c>
      <c r="P6" s="88">
        <v>0.65</v>
      </c>
      <c r="Q6" s="88">
        <v>0.65</v>
      </c>
      <c r="R6" s="18">
        <f t="shared" si="3"/>
        <v>1000</v>
      </c>
      <c r="S6" s="16"/>
      <c r="T6" s="19">
        <f t="shared" si="4"/>
        <v>224.99999999999989</v>
      </c>
      <c r="U6" s="36">
        <f t="shared" si="5"/>
        <v>474.99999999999898</v>
      </c>
      <c r="V6" s="89">
        <v>675519</v>
      </c>
      <c r="W6" s="90">
        <v>75996</v>
      </c>
      <c r="X6" s="90">
        <v>16590</v>
      </c>
      <c r="Y6" s="41">
        <f t="shared" si="6"/>
        <v>582933</v>
      </c>
      <c r="Z6" s="19">
        <f t="shared" si="1"/>
        <v>147</v>
      </c>
      <c r="AA6" s="91">
        <v>5109.4799999999996</v>
      </c>
      <c r="AB6" s="92"/>
      <c r="AC6" s="19">
        <f>SUM(AA6+AB6-AA7)</f>
        <v>472.6299999999992</v>
      </c>
      <c r="AD6" s="93">
        <v>83</v>
      </c>
      <c r="AE6" s="94">
        <v>162</v>
      </c>
    </row>
    <row r="7" spans="1:31" x14ac:dyDescent="0.2">
      <c r="A7" s="127">
        <v>45875</v>
      </c>
      <c r="B7" s="37">
        <v>18332324</v>
      </c>
      <c r="C7" s="84">
        <f>SUM(4114.7+1763969.9+588907+9939.5+262351+28792)</f>
        <v>2658074.0999999996</v>
      </c>
      <c r="D7" s="85">
        <f>B7-C7</f>
        <v>15674249.9</v>
      </c>
      <c r="E7" s="14">
        <f t="shared" si="0"/>
        <v>18661</v>
      </c>
      <c r="F7" s="86">
        <v>12951</v>
      </c>
      <c r="G7" s="13"/>
      <c r="H7" s="14">
        <f t="shared" si="7"/>
        <v>0</v>
      </c>
      <c r="I7" s="87">
        <v>0.65</v>
      </c>
      <c r="J7" s="88">
        <v>0.65</v>
      </c>
      <c r="K7" s="88">
        <v>0.65</v>
      </c>
      <c r="L7" s="18">
        <f t="shared" si="8"/>
        <v>4875</v>
      </c>
      <c r="M7" s="16"/>
      <c r="N7" s="19">
        <f t="shared" si="9"/>
        <v>125</v>
      </c>
      <c r="O7" s="87">
        <v>0.45</v>
      </c>
      <c r="P7" s="88">
        <v>0.6</v>
      </c>
      <c r="Q7" s="88">
        <v>0.5</v>
      </c>
      <c r="R7" s="18">
        <f t="shared" si="3"/>
        <v>775.00000000000011</v>
      </c>
      <c r="S7" s="16"/>
      <c r="T7" s="19">
        <f t="shared" si="4"/>
        <v>25.000000000000114</v>
      </c>
      <c r="U7" s="36">
        <f t="shared" si="5"/>
        <v>150.00000000000011</v>
      </c>
      <c r="V7" s="89">
        <v>675761</v>
      </c>
      <c r="W7" s="90">
        <v>76081</v>
      </c>
      <c r="X7" s="90">
        <v>16600</v>
      </c>
      <c r="Y7" s="41">
        <f t="shared" si="6"/>
        <v>583080</v>
      </c>
      <c r="Z7" s="19">
        <f t="shared" si="1"/>
        <v>119</v>
      </c>
      <c r="AA7" s="91">
        <v>4636.8500000000004</v>
      </c>
      <c r="AB7" s="92"/>
      <c r="AC7" s="19">
        <f>SUM(AA7+AB7-AA8)</f>
        <v>472.63000000000011</v>
      </c>
      <c r="AD7" s="93">
        <v>75</v>
      </c>
      <c r="AE7" s="94">
        <v>152</v>
      </c>
    </row>
    <row r="8" spans="1:31" x14ac:dyDescent="0.2">
      <c r="A8" s="127">
        <v>45876</v>
      </c>
      <c r="B8" s="37">
        <v>18350985</v>
      </c>
      <c r="C8" s="84">
        <f>SUM(4115.6+1764318.9+588907+9939.8+262480+28805)</f>
        <v>2658566.2999999998</v>
      </c>
      <c r="D8" s="85">
        <f t="shared" si="2"/>
        <v>15692418.699999999</v>
      </c>
      <c r="E8" s="14">
        <f t="shared" si="0"/>
        <v>18985</v>
      </c>
      <c r="F8" s="86">
        <v>12951</v>
      </c>
      <c r="G8" s="13"/>
      <c r="H8" s="14">
        <f t="shared" si="7"/>
        <v>1551</v>
      </c>
      <c r="I8" s="87">
        <v>0.65</v>
      </c>
      <c r="J8" s="88">
        <v>0.65</v>
      </c>
      <c r="K8" s="88">
        <v>0.6</v>
      </c>
      <c r="L8" s="18">
        <f t="shared" si="8"/>
        <v>4750</v>
      </c>
      <c r="M8" s="16">
        <v>1735.62</v>
      </c>
      <c r="N8" s="19">
        <f t="shared" si="9"/>
        <v>485.61999999999898</v>
      </c>
      <c r="O8" s="87">
        <v>0.45</v>
      </c>
      <c r="P8" s="88">
        <v>0.55000000000000004</v>
      </c>
      <c r="Q8" s="88">
        <v>0.5</v>
      </c>
      <c r="R8" s="18">
        <f t="shared" si="3"/>
        <v>750</v>
      </c>
      <c r="S8" s="16">
        <v>529.11</v>
      </c>
      <c r="T8" s="19">
        <f t="shared" si="4"/>
        <v>29.110000000000127</v>
      </c>
      <c r="U8" s="36">
        <f t="shared" si="5"/>
        <v>514.72999999999911</v>
      </c>
      <c r="V8" s="89">
        <v>675983</v>
      </c>
      <c r="W8" s="90">
        <v>76174</v>
      </c>
      <c r="X8" s="90">
        <v>16610</v>
      </c>
      <c r="Y8" s="41">
        <f t="shared" si="6"/>
        <v>583199</v>
      </c>
      <c r="Z8" s="19">
        <f t="shared" si="1"/>
        <v>179</v>
      </c>
      <c r="AA8" s="91">
        <v>4164.22</v>
      </c>
      <c r="AB8" s="92"/>
      <c r="AC8" s="19">
        <f t="shared" ref="AC8:AC31" si="11">SUM(AA8+AB8-AA9)</f>
        <v>472.63000000000011</v>
      </c>
      <c r="AD8" s="93">
        <v>95</v>
      </c>
      <c r="AE8" s="94">
        <v>193</v>
      </c>
    </row>
    <row r="9" spans="1:31" x14ac:dyDescent="0.2">
      <c r="A9" s="127">
        <v>45877</v>
      </c>
      <c r="B9" s="37">
        <v>18369970</v>
      </c>
      <c r="C9" s="84">
        <f>SUM(4116.5+1764668+588907+9940.1+262605+28818)</f>
        <v>2659054.6</v>
      </c>
      <c r="D9" s="85">
        <f t="shared" si="2"/>
        <v>15710915.4</v>
      </c>
      <c r="E9" s="14">
        <f t="shared" si="0"/>
        <v>19739</v>
      </c>
      <c r="F9" s="86">
        <v>11400</v>
      </c>
      <c r="G9" s="13"/>
      <c r="H9" s="14">
        <f t="shared" si="7"/>
        <v>0</v>
      </c>
      <c r="I9" s="87">
        <v>0.8</v>
      </c>
      <c r="J9" s="88">
        <v>0.8</v>
      </c>
      <c r="K9" s="88">
        <v>0.8</v>
      </c>
      <c r="L9" s="18">
        <f t="shared" si="8"/>
        <v>6000.0000000000009</v>
      </c>
      <c r="M9" s="16"/>
      <c r="N9" s="19">
        <f t="shared" si="9"/>
        <v>250.00000000000091</v>
      </c>
      <c r="O9" s="87">
        <v>0.85</v>
      </c>
      <c r="P9" s="88">
        <v>0.85</v>
      </c>
      <c r="Q9" s="88">
        <v>0.8</v>
      </c>
      <c r="R9" s="18">
        <f t="shared" si="3"/>
        <v>1250</v>
      </c>
      <c r="S9" s="16"/>
      <c r="T9" s="19">
        <f t="shared" si="4"/>
        <v>24.999999999999773</v>
      </c>
      <c r="U9" s="36">
        <f t="shared" si="5"/>
        <v>275.00000000000068</v>
      </c>
      <c r="V9" s="89">
        <v>676270</v>
      </c>
      <c r="W9" s="90">
        <v>76272</v>
      </c>
      <c r="X9" s="90">
        <v>16620</v>
      </c>
      <c r="Y9" s="41">
        <f t="shared" si="6"/>
        <v>583378</v>
      </c>
      <c r="Z9" s="19">
        <f t="shared" si="1"/>
        <v>134</v>
      </c>
      <c r="AA9" s="91">
        <v>3691.59</v>
      </c>
      <c r="AB9" s="92"/>
      <c r="AC9" s="19">
        <f t="shared" si="11"/>
        <v>472.63000000000011</v>
      </c>
      <c r="AD9" s="93">
        <v>101</v>
      </c>
      <c r="AE9" s="94">
        <v>207</v>
      </c>
    </row>
    <row r="10" spans="1:31" x14ac:dyDescent="0.2">
      <c r="A10" s="127">
        <v>45878</v>
      </c>
      <c r="B10" s="37">
        <v>18389709</v>
      </c>
      <c r="C10" s="84">
        <f>SUM(4117.3+1765051+588907+9940.3+262736+28833)</f>
        <v>2659584.5999999996</v>
      </c>
      <c r="D10" s="85">
        <f t="shared" si="2"/>
        <v>15730124.4</v>
      </c>
      <c r="E10" s="14">
        <f t="shared" si="0"/>
        <v>19423</v>
      </c>
      <c r="F10" s="86">
        <v>11400</v>
      </c>
      <c r="G10" s="13"/>
      <c r="H10" s="14">
        <f t="shared" si="7"/>
        <v>0</v>
      </c>
      <c r="I10" s="87">
        <v>0.75</v>
      </c>
      <c r="J10" s="88">
        <v>0.75</v>
      </c>
      <c r="K10" s="88">
        <v>0.8</v>
      </c>
      <c r="L10" s="18">
        <f t="shared" si="8"/>
        <v>5750</v>
      </c>
      <c r="M10" s="16"/>
      <c r="N10" s="19">
        <f t="shared" si="9"/>
        <v>250</v>
      </c>
      <c r="O10" s="87">
        <v>0.8</v>
      </c>
      <c r="P10" s="88">
        <v>0.8</v>
      </c>
      <c r="Q10" s="88">
        <v>0.85</v>
      </c>
      <c r="R10" s="18">
        <f t="shared" si="3"/>
        <v>1225.0000000000002</v>
      </c>
      <c r="S10" s="16"/>
      <c r="T10" s="19">
        <f t="shared" si="4"/>
        <v>50.000000000000227</v>
      </c>
      <c r="U10" s="36">
        <f t="shared" si="5"/>
        <v>300.00000000000023</v>
      </c>
      <c r="V10" s="89">
        <v>676517</v>
      </c>
      <c r="W10" s="90">
        <v>76372</v>
      </c>
      <c r="X10" s="90">
        <v>16633</v>
      </c>
      <c r="Y10" s="41">
        <f t="shared" si="6"/>
        <v>583512</v>
      </c>
      <c r="Z10" s="19">
        <f t="shared" si="1"/>
        <v>168</v>
      </c>
      <c r="AA10" s="91">
        <v>3218.96</v>
      </c>
      <c r="AB10" s="92"/>
      <c r="AC10" s="19">
        <f t="shared" si="11"/>
        <v>472.63000000000011</v>
      </c>
      <c r="AD10" s="93">
        <v>122</v>
      </c>
      <c r="AE10" s="94">
        <v>255</v>
      </c>
    </row>
    <row r="11" spans="1:31" x14ac:dyDescent="0.2">
      <c r="A11" s="140">
        <v>45879</v>
      </c>
      <c r="B11" s="95">
        <v>18409132</v>
      </c>
      <c r="C11" s="96">
        <f>SUM(4118.3+1765400+588907+9940+262880+28848)</f>
        <v>2660093.2999999998</v>
      </c>
      <c r="D11" s="97">
        <f t="shared" si="2"/>
        <v>15749038.699999999</v>
      </c>
      <c r="E11" s="42">
        <f t="shared" si="0"/>
        <v>19617</v>
      </c>
      <c r="F11" s="98">
        <v>11400</v>
      </c>
      <c r="G11" s="43"/>
      <c r="H11" s="42">
        <f t="shared" si="7"/>
        <v>0</v>
      </c>
      <c r="I11" s="99">
        <v>0.7</v>
      </c>
      <c r="J11" s="100">
        <v>0.75</v>
      </c>
      <c r="K11" s="100">
        <v>0.75</v>
      </c>
      <c r="L11" s="101">
        <f t="shared" si="8"/>
        <v>5500</v>
      </c>
      <c r="M11" s="102"/>
      <c r="N11" s="44">
        <f t="shared" si="9"/>
        <v>50.000000000000909</v>
      </c>
      <c r="O11" s="99">
        <v>0.75</v>
      </c>
      <c r="P11" s="100">
        <v>0.8</v>
      </c>
      <c r="Q11" s="100">
        <v>0.8</v>
      </c>
      <c r="R11" s="101">
        <f t="shared" si="3"/>
        <v>1175</v>
      </c>
      <c r="S11" s="102"/>
      <c r="T11" s="44">
        <f t="shared" si="4"/>
        <v>75</v>
      </c>
      <c r="U11" s="45">
        <f t="shared" si="5"/>
        <v>125.00000000000091</v>
      </c>
      <c r="V11" s="103">
        <v>676787</v>
      </c>
      <c r="W11" s="104">
        <v>76464</v>
      </c>
      <c r="X11" s="104">
        <v>16643</v>
      </c>
      <c r="Y11" s="46">
        <f t="shared" ref="Y11:Y33" si="12">SUM(V11-W11-X11)</f>
        <v>583680</v>
      </c>
      <c r="Z11" s="44">
        <f t="shared" si="1"/>
        <v>163</v>
      </c>
      <c r="AA11" s="105">
        <v>2746.33</v>
      </c>
      <c r="AB11" s="106"/>
      <c r="AC11" s="44">
        <f t="shared" si="11"/>
        <v>472.63000000000011</v>
      </c>
      <c r="AD11" s="107">
        <v>108</v>
      </c>
      <c r="AE11" s="108">
        <v>222</v>
      </c>
    </row>
    <row r="12" spans="1:31" x14ac:dyDescent="0.2">
      <c r="A12" s="11">
        <v>45880</v>
      </c>
      <c r="B12" s="77">
        <v>18428749</v>
      </c>
      <c r="C12" s="78">
        <f>SUM(4119+1765149.9+588907+9940.7+262992+28859)</f>
        <v>2659967.6</v>
      </c>
      <c r="D12" s="40">
        <f t="shared" si="2"/>
        <v>15768781.4</v>
      </c>
      <c r="E12" s="79">
        <f t="shared" si="0"/>
        <v>19223</v>
      </c>
      <c r="F12" s="12">
        <v>11400</v>
      </c>
      <c r="G12" s="80"/>
      <c r="H12" s="79">
        <f t="shared" si="7"/>
        <v>563</v>
      </c>
      <c r="I12" s="9">
        <v>0.7</v>
      </c>
      <c r="J12" s="15">
        <v>0.75</v>
      </c>
      <c r="K12" s="15">
        <v>0.73</v>
      </c>
      <c r="L12" s="17">
        <f t="shared" si="8"/>
        <v>5449.9999999999991</v>
      </c>
      <c r="M12" s="33"/>
      <c r="N12" s="81">
        <f t="shared" si="9"/>
        <v>200</v>
      </c>
      <c r="O12" s="9">
        <v>0.75</v>
      </c>
      <c r="P12" s="15">
        <v>0.75</v>
      </c>
      <c r="Q12" s="15">
        <v>0.7</v>
      </c>
      <c r="R12" s="17">
        <f t="shared" si="3"/>
        <v>1100</v>
      </c>
      <c r="S12" s="33"/>
      <c r="T12" s="81">
        <f t="shared" si="4"/>
        <v>125</v>
      </c>
      <c r="U12" s="82">
        <f t="shared" si="5"/>
        <v>325</v>
      </c>
      <c r="V12" s="20">
        <v>677042</v>
      </c>
      <c r="W12" s="34">
        <v>76544</v>
      </c>
      <c r="X12" s="34">
        <v>16655</v>
      </c>
      <c r="Y12" s="83">
        <f t="shared" si="12"/>
        <v>583843</v>
      </c>
      <c r="Z12" s="81">
        <f t="shared" si="1"/>
        <v>162</v>
      </c>
      <c r="AA12" s="21">
        <v>2273.6999999999998</v>
      </c>
      <c r="AB12" s="22"/>
      <c r="AC12" s="81">
        <f t="shared" si="11"/>
        <v>472.62999999999988</v>
      </c>
      <c r="AD12" s="7">
        <v>110</v>
      </c>
      <c r="AE12" s="10">
        <v>226</v>
      </c>
    </row>
    <row r="13" spans="1:31" x14ac:dyDescent="0.2">
      <c r="A13" s="127">
        <v>45881</v>
      </c>
      <c r="B13" s="37">
        <v>18447972</v>
      </c>
      <c r="C13" s="84">
        <f>SUM(4120+1766134.9+588907+9941.5+263128+28871)</f>
        <v>2661102.4</v>
      </c>
      <c r="D13" s="85">
        <f t="shared" si="2"/>
        <v>15786869.6</v>
      </c>
      <c r="E13" s="14">
        <f t="shared" si="0"/>
        <v>19783</v>
      </c>
      <c r="F13" s="86">
        <v>10837</v>
      </c>
      <c r="G13" s="13"/>
      <c r="H13" s="14">
        <f t="shared" si="7"/>
        <v>-995</v>
      </c>
      <c r="I13" s="87">
        <v>0.7</v>
      </c>
      <c r="J13" s="88">
        <v>0.7</v>
      </c>
      <c r="K13" s="88">
        <v>0.7</v>
      </c>
      <c r="L13" s="18">
        <f t="shared" si="8"/>
        <v>5249.9999999999991</v>
      </c>
      <c r="M13" s="16"/>
      <c r="N13" s="19">
        <f t="shared" si="9"/>
        <v>499.99999999999909</v>
      </c>
      <c r="O13" s="87">
        <v>0.65</v>
      </c>
      <c r="P13" s="88">
        <v>0.65</v>
      </c>
      <c r="Q13" s="88">
        <v>0.65</v>
      </c>
      <c r="R13" s="18">
        <f t="shared" si="3"/>
        <v>975</v>
      </c>
      <c r="S13" s="16"/>
      <c r="T13" s="19">
        <f t="shared" si="4"/>
        <v>50</v>
      </c>
      <c r="U13" s="36">
        <f t="shared" si="5"/>
        <v>549.99999999999909</v>
      </c>
      <c r="V13" s="89">
        <v>677298</v>
      </c>
      <c r="W13" s="90">
        <v>76638</v>
      </c>
      <c r="X13" s="90">
        <v>16655</v>
      </c>
      <c r="Y13" s="41">
        <f t="shared" si="12"/>
        <v>584005</v>
      </c>
      <c r="Z13" s="19">
        <v>22</v>
      </c>
      <c r="AA13" s="91">
        <v>1801.07</v>
      </c>
      <c r="AB13" s="92">
        <v>5980</v>
      </c>
      <c r="AC13" s="19">
        <f t="shared" si="11"/>
        <v>540.22999999999956</v>
      </c>
      <c r="AD13" s="93">
        <v>120</v>
      </c>
      <c r="AE13" s="94">
        <v>245</v>
      </c>
    </row>
    <row r="14" spans="1:31" x14ac:dyDescent="0.2">
      <c r="A14" s="127">
        <v>45882</v>
      </c>
      <c r="B14" s="37">
        <v>18467755</v>
      </c>
      <c r="C14" s="84">
        <f>SUM(4121.3+1766606.8+588907+9942.5+263307+28890)</f>
        <v>2661774.6</v>
      </c>
      <c r="D14" s="85">
        <f t="shared" si="2"/>
        <v>15805980.4</v>
      </c>
      <c r="E14" s="14">
        <f t="shared" si="0"/>
        <v>22148</v>
      </c>
      <c r="F14" s="86">
        <v>11832</v>
      </c>
      <c r="G14" s="13"/>
      <c r="H14" s="14">
        <f t="shared" si="7"/>
        <v>9</v>
      </c>
      <c r="I14" s="87">
        <v>0.65</v>
      </c>
      <c r="J14" s="88">
        <v>0.6</v>
      </c>
      <c r="K14" s="88">
        <v>0.65</v>
      </c>
      <c r="L14" s="18">
        <f t="shared" si="8"/>
        <v>4750</v>
      </c>
      <c r="M14" s="16">
        <v>1435.78</v>
      </c>
      <c r="N14" s="19">
        <f t="shared" si="9"/>
        <v>60.779999999998836</v>
      </c>
      <c r="O14" s="87">
        <v>0.6</v>
      </c>
      <c r="P14" s="88">
        <v>0.6</v>
      </c>
      <c r="Q14" s="88">
        <v>0.65</v>
      </c>
      <c r="R14" s="18">
        <f t="shared" si="3"/>
        <v>925</v>
      </c>
      <c r="S14" s="16">
        <v>431.75</v>
      </c>
      <c r="T14" s="19">
        <f t="shared" si="4"/>
        <v>81.75</v>
      </c>
      <c r="U14" s="36">
        <f t="shared" si="5"/>
        <v>142.52999999999884</v>
      </c>
      <c r="V14" s="89">
        <v>677590</v>
      </c>
      <c r="W14" s="90">
        <v>76759</v>
      </c>
      <c r="X14" s="90">
        <v>16677</v>
      </c>
      <c r="Y14" s="41">
        <f t="shared" si="12"/>
        <v>584154</v>
      </c>
      <c r="Z14" s="19">
        <f t="shared" si="1"/>
        <v>186</v>
      </c>
      <c r="AA14" s="91">
        <v>7240.84</v>
      </c>
      <c r="AB14" s="92"/>
      <c r="AC14" s="19">
        <f t="shared" si="11"/>
        <v>540.14000000000033</v>
      </c>
      <c r="AD14" s="93">
        <v>130</v>
      </c>
      <c r="AE14" s="94">
        <v>285</v>
      </c>
    </row>
    <row r="15" spans="1:31" x14ac:dyDescent="0.2">
      <c r="A15" s="127">
        <v>45883</v>
      </c>
      <c r="B15" s="37">
        <v>18489903</v>
      </c>
      <c r="C15" s="84">
        <f>SUM(4122.6+1767091+588907+9942.7+263484+28910)</f>
        <v>2662457.3000000003</v>
      </c>
      <c r="D15" s="85">
        <f t="shared" si="2"/>
        <v>15827445.699999999</v>
      </c>
      <c r="E15" s="14">
        <f t="shared" si="0"/>
        <v>21457</v>
      </c>
      <c r="F15" s="86">
        <v>11823</v>
      </c>
      <c r="G15" s="13"/>
      <c r="H15" s="14">
        <f t="shared" si="7"/>
        <v>141</v>
      </c>
      <c r="I15" s="87">
        <v>0.8</v>
      </c>
      <c r="J15" s="88">
        <v>0.8</v>
      </c>
      <c r="K15" s="88">
        <v>0.85</v>
      </c>
      <c r="L15" s="18">
        <f t="shared" si="8"/>
        <v>6125.0000000000009</v>
      </c>
      <c r="M15" s="16"/>
      <c r="N15" s="19">
        <f t="shared" si="9"/>
        <v>250.00000000000091</v>
      </c>
      <c r="O15" s="87">
        <v>0.85</v>
      </c>
      <c r="P15" s="88">
        <v>0.85</v>
      </c>
      <c r="Q15" s="88">
        <v>0.85</v>
      </c>
      <c r="R15" s="18">
        <f t="shared" si="3"/>
        <v>1275</v>
      </c>
      <c r="S15" s="16"/>
      <c r="T15" s="19">
        <f t="shared" si="4"/>
        <v>74.999999999999773</v>
      </c>
      <c r="U15" s="36">
        <f t="shared" si="5"/>
        <v>325.00000000000068</v>
      </c>
      <c r="V15" s="89">
        <v>677911</v>
      </c>
      <c r="W15" s="90">
        <v>76881</v>
      </c>
      <c r="X15" s="90">
        <v>16690</v>
      </c>
      <c r="Y15" s="41">
        <f t="shared" si="12"/>
        <v>584340</v>
      </c>
      <c r="Z15" s="19">
        <f t="shared" si="1"/>
        <v>188</v>
      </c>
      <c r="AA15" s="91">
        <v>6700.7</v>
      </c>
      <c r="AB15" s="92"/>
      <c r="AC15" s="19">
        <f t="shared" si="11"/>
        <v>540.13999999999942</v>
      </c>
      <c r="AD15" s="93">
        <v>152</v>
      </c>
      <c r="AE15" s="94">
        <v>354</v>
      </c>
    </row>
    <row r="16" spans="1:31" x14ac:dyDescent="0.2">
      <c r="A16" s="127">
        <v>45884</v>
      </c>
      <c r="B16" s="37">
        <v>18511360</v>
      </c>
      <c r="C16" s="84">
        <f>SUM(4123.6+1767533.9+588907+9943+263644+28923)</f>
        <v>2663074.5</v>
      </c>
      <c r="D16" s="85">
        <f t="shared" si="2"/>
        <v>15848285.5</v>
      </c>
      <c r="E16" s="14">
        <f t="shared" si="0"/>
        <v>23264</v>
      </c>
      <c r="F16" s="86">
        <v>11682</v>
      </c>
      <c r="G16" s="13"/>
      <c r="H16" s="14">
        <f t="shared" si="7"/>
        <v>282</v>
      </c>
      <c r="I16" s="87">
        <v>0.8</v>
      </c>
      <c r="J16" s="88">
        <v>0.8</v>
      </c>
      <c r="K16" s="88">
        <v>0.75</v>
      </c>
      <c r="L16" s="18">
        <f t="shared" si="8"/>
        <v>5875</v>
      </c>
      <c r="M16" s="16"/>
      <c r="N16" s="19">
        <f t="shared" si="9"/>
        <v>300</v>
      </c>
      <c r="O16" s="87">
        <v>0.8</v>
      </c>
      <c r="P16" s="88">
        <v>0.8</v>
      </c>
      <c r="Q16" s="88">
        <v>0.8</v>
      </c>
      <c r="R16" s="18">
        <f t="shared" si="3"/>
        <v>1200.0000000000002</v>
      </c>
      <c r="S16" s="16"/>
      <c r="T16" s="19">
        <f t="shared" si="4"/>
        <v>60</v>
      </c>
      <c r="U16" s="36">
        <f t="shared" si="5"/>
        <v>360</v>
      </c>
      <c r="V16" s="89">
        <v>678221</v>
      </c>
      <c r="W16" s="90">
        <v>76991</v>
      </c>
      <c r="X16" s="90">
        <v>16702</v>
      </c>
      <c r="Y16" s="41">
        <f t="shared" si="12"/>
        <v>584528</v>
      </c>
      <c r="Z16" s="19">
        <f t="shared" si="1"/>
        <v>179</v>
      </c>
      <c r="AA16" s="91">
        <v>6160.56</v>
      </c>
      <c r="AB16" s="92"/>
      <c r="AC16" s="19">
        <f t="shared" si="11"/>
        <v>540.14000000000033</v>
      </c>
      <c r="AD16" s="93">
        <v>168</v>
      </c>
      <c r="AE16" s="94">
        <v>395</v>
      </c>
    </row>
    <row r="17" spans="1:31" x14ac:dyDescent="0.2">
      <c r="A17" s="127">
        <v>45885</v>
      </c>
      <c r="B17" s="37">
        <v>18534624</v>
      </c>
      <c r="C17" s="84">
        <f>SUM(4124.7+1768006+588907+9943.5+263805+28942)</f>
        <v>2663728.2000000002</v>
      </c>
      <c r="D17" s="85">
        <f t="shared" si="2"/>
        <v>15870895.800000001</v>
      </c>
      <c r="E17" s="14">
        <f t="shared" si="0"/>
        <v>22104</v>
      </c>
      <c r="F17" s="86">
        <v>11400</v>
      </c>
      <c r="G17" s="13"/>
      <c r="H17" s="14">
        <f t="shared" si="7"/>
        <v>282</v>
      </c>
      <c r="I17" s="87">
        <v>0.7</v>
      </c>
      <c r="J17" s="88">
        <v>0.75</v>
      </c>
      <c r="K17" s="88">
        <v>0.78</v>
      </c>
      <c r="L17" s="18">
        <f t="shared" si="8"/>
        <v>5575</v>
      </c>
      <c r="M17" s="16"/>
      <c r="N17" s="19">
        <f t="shared" si="9"/>
        <v>250</v>
      </c>
      <c r="O17" s="87">
        <v>0.8</v>
      </c>
      <c r="P17" s="88">
        <v>0.78</v>
      </c>
      <c r="Q17" s="88">
        <v>0.7</v>
      </c>
      <c r="R17" s="18">
        <f t="shared" si="3"/>
        <v>1140.0000000000002</v>
      </c>
      <c r="S17" s="16"/>
      <c r="T17" s="19">
        <f t="shared" si="4"/>
        <v>85</v>
      </c>
      <c r="U17" s="36">
        <f t="shared" si="5"/>
        <v>335</v>
      </c>
      <c r="V17" s="89">
        <v>678532</v>
      </c>
      <c r="W17" s="90">
        <v>77112</v>
      </c>
      <c r="X17" s="90">
        <v>16713</v>
      </c>
      <c r="Y17" s="41">
        <f t="shared" si="12"/>
        <v>584707</v>
      </c>
      <c r="Z17" s="19">
        <f t="shared" si="1"/>
        <v>201</v>
      </c>
      <c r="AA17" s="91">
        <v>5620.42</v>
      </c>
      <c r="AB17" s="92"/>
      <c r="AC17" s="19">
        <f t="shared" si="11"/>
        <v>540.14000000000033</v>
      </c>
      <c r="AD17" s="93">
        <v>169</v>
      </c>
      <c r="AE17" s="94">
        <v>397</v>
      </c>
    </row>
    <row r="18" spans="1:31" x14ac:dyDescent="0.2">
      <c r="A18" s="140">
        <v>45886</v>
      </c>
      <c r="B18" s="95">
        <v>18556728</v>
      </c>
      <c r="C18" s="96">
        <f>SUM(4125.7+1768435.1+588907+9944.3+263952+28961)</f>
        <v>2664325.0999999996</v>
      </c>
      <c r="D18" s="97">
        <f t="shared" si="2"/>
        <v>15892402.9</v>
      </c>
      <c r="E18" s="42">
        <f t="shared" si="0"/>
        <v>19977</v>
      </c>
      <c r="F18" s="98">
        <v>11118</v>
      </c>
      <c r="G18" s="43"/>
      <c r="H18" s="42">
        <f t="shared" si="7"/>
        <v>422</v>
      </c>
      <c r="I18" s="99">
        <v>0.7</v>
      </c>
      <c r="J18" s="100">
        <v>0.73</v>
      </c>
      <c r="K18" s="100">
        <v>0.7</v>
      </c>
      <c r="L18" s="101">
        <f t="shared" si="8"/>
        <v>5325</v>
      </c>
      <c r="M18" s="102"/>
      <c r="N18" s="44">
        <f t="shared" si="9"/>
        <v>200.00000000000091</v>
      </c>
      <c r="O18" s="99">
        <v>0.68</v>
      </c>
      <c r="P18" s="100">
        <v>0.75</v>
      </c>
      <c r="Q18" s="100">
        <v>0.68</v>
      </c>
      <c r="R18" s="101">
        <f t="shared" si="3"/>
        <v>1055.0000000000002</v>
      </c>
      <c r="S18" s="102"/>
      <c r="T18" s="44">
        <f t="shared" si="4"/>
        <v>105.00000000000023</v>
      </c>
      <c r="U18" s="45">
        <f t="shared" si="5"/>
        <v>305.00000000000114</v>
      </c>
      <c r="V18" s="103">
        <v>678857</v>
      </c>
      <c r="W18" s="104">
        <v>77224</v>
      </c>
      <c r="X18" s="104">
        <v>16725</v>
      </c>
      <c r="Y18" s="46">
        <f t="shared" si="12"/>
        <v>584908</v>
      </c>
      <c r="Z18" s="44">
        <f t="shared" si="1"/>
        <v>263</v>
      </c>
      <c r="AA18" s="105">
        <v>5080.28</v>
      </c>
      <c r="AB18" s="106"/>
      <c r="AC18" s="44">
        <f t="shared" si="11"/>
        <v>540.13999999999942</v>
      </c>
      <c r="AD18" s="107">
        <v>129</v>
      </c>
      <c r="AE18" s="108">
        <v>295</v>
      </c>
    </row>
    <row r="19" spans="1:31" x14ac:dyDescent="0.2">
      <c r="A19" s="11">
        <v>45887</v>
      </c>
      <c r="B19" s="77">
        <v>18576705</v>
      </c>
      <c r="C19" s="78">
        <f>SUM(4126.6+1768847.3+588907+9945.3+264115+28975)</f>
        <v>2664916.2000000002</v>
      </c>
      <c r="D19" s="40">
        <f t="shared" si="2"/>
        <v>15911788.800000001</v>
      </c>
      <c r="E19" s="79">
        <f t="shared" si="0"/>
        <v>19392</v>
      </c>
      <c r="F19" s="12">
        <v>10696</v>
      </c>
      <c r="G19" s="80"/>
      <c r="H19" s="79">
        <f t="shared" si="7"/>
        <v>-6000</v>
      </c>
      <c r="I19" s="9">
        <v>0.65</v>
      </c>
      <c r="J19" s="15">
        <v>0.7</v>
      </c>
      <c r="K19" s="15">
        <v>0.7</v>
      </c>
      <c r="L19" s="17">
        <f t="shared" si="8"/>
        <v>5124.9999999999991</v>
      </c>
      <c r="M19" s="33"/>
      <c r="N19" s="81">
        <f t="shared" si="9"/>
        <v>174.99999999999909</v>
      </c>
      <c r="O19" s="9">
        <v>0.6</v>
      </c>
      <c r="P19" s="15">
        <v>0.7</v>
      </c>
      <c r="Q19" s="15">
        <v>0.6</v>
      </c>
      <c r="R19" s="17">
        <f t="shared" si="3"/>
        <v>950</v>
      </c>
      <c r="S19" s="33"/>
      <c r="T19" s="81">
        <f t="shared" si="4"/>
        <v>19.999999999999886</v>
      </c>
      <c r="U19" s="82">
        <f t="shared" si="5"/>
        <v>194.99999999999898</v>
      </c>
      <c r="V19" s="20">
        <v>679244</v>
      </c>
      <c r="W19" s="34">
        <v>77335</v>
      </c>
      <c r="X19" s="34">
        <v>16738</v>
      </c>
      <c r="Y19" s="83">
        <f t="shared" si="12"/>
        <v>585171</v>
      </c>
      <c r="Z19" s="81">
        <f t="shared" si="1"/>
        <v>183</v>
      </c>
      <c r="AA19" s="21">
        <v>4540.1400000000003</v>
      </c>
      <c r="AB19" s="22"/>
      <c r="AC19" s="81">
        <f t="shared" si="11"/>
        <v>540.14000000000033</v>
      </c>
      <c r="AD19" s="7">
        <v>122</v>
      </c>
      <c r="AE19" s="10">
        <v>280</v>
      </c>
    </row>
    <row r="20" spans="1:31" x14ac:dyDescent="0.2">
      <c r="A20" s="127">
        <v>45888</v>
      </c>
      <c r="B20" s="37">
        <v>18596097</v>
      </c>
      <c r="C20" s="84">
        <f>SUM(4127.6+1769269.6+588907+9945.6+264258+28993)</f>
        <v>2665500.8000000003</v>
      </c>
      <c r="D20" s="85">
        <f t="shared" si="2"/>
        <v>15930596.199999999</v>
      </c>
      <c r="E20" s="14">
        <f t="shared" si="0"/>
        <v>20049</v>
      </c>
      <c r="F20" s="86">
        <v>16696</v>
      </c>
      <c r="G20" s="13"/>
      <c r="H20" s="14">
        <f t="shared" si="7"/>
        <v>6281</v>
      </c>
      <c r="I20" s="87">
        <v>0.65</v>
      </c>
      <c r="J20" s="88">
        <v>0.68</v>
      </c>
      <c r="K20" s="88">
        <v>0.65</v>
      </c>
      <c r="L20" s="18">
        <f t="shared" si="8"/>
        <v>4950</v>
      </c>
      <c r="M20" s="16"/>
      <c r="N20" s="19">
        <f t="shared" si="9"/>
        <v>200</v>
      </c>
      <c r="O20" s="87">
        <v>0.55000000000000004</v>
      </c>
      <c r="P20" s="88">
        <v>0.65</v>
      </c>
      <c r="Q20" s="88">
        <v>0.66</v>
      </c>
      <c r="R20" s="18">
        <f t="shared" si="3"/>
        <v>930.00000000000011</v>
      </c>
      <c r="S20" s="16"/>
      <c r="T20" s="19">
        <f t="shared" si="4"/>
        <v>115.00000000000011</v>
      </c>
      <c r="U20" s="36">
        <f t="shared" si="5"/>
        <v>315.00000000000011</v>
      </c>
      <c r="V20" s="89">
        <v>679551</v>
      </c>
      <c r="W20" s="90">
        <v>77448</v>
      </c>
      <c r="X20" s="90">
        <v>16749</v>
      </c>
      <c r="Y20" s="41">
        <f t="shared" si="12"/>
        <v>585354</v>
      </c>
      <c r="Z20" s="19">
        <v>94</v>
      </c>
      <c r="AA20" s="91">
        <v>4000</v>
      </c>
      <c r="AB20" s="92">
        <v>6070</v>
      </c>
      <c r="AC20" s="19">
        <f t="shared" si="11"/>
        <v>543.85000000000036</v>
      </c>
      <c r="AD20" s="93">
        <v>130</v>
      </c>
      <c r="AE20" s="94">
        <v>291</v>
      </c>
    </row>
    <row r="21" spans="1:31" x14ac:dyDescent="0.2">
      <c r="A21" s="127">
        <v>45889</v>
      </c>
      <c r="B21" s="37">
        <v>18616146</v>
      </c>
      <c r="C21" s="84">
        <f>SUM(4128.7+1769735.7+588907+9946.1+264426+29010)</f>
        <v>2666153.5</v>
      </c>
      <c r="D21" s="85">
        <f t="shared" si="2"/>
        <v>15949992.5</v>
      </c>
      <c r="E21" s="14">
        <f t="shared" si="0"/>
        <v>21700</v>
      </c>
      <c r="F21" s="86">
        <v>10415</v>
      </c>
      <c r="G21" s="13"/>
      <c r="H21" s="14">
        <f t="shared" si="7"/>
        <v>137</v>
      </c>
      <c r="I21" s="87">
        <v>0.65</v>
      </c>
      <c r="J21" s="88">
        <v>0.65</v>
      </c>
      <c r="K21" s="88">
        <v>0.6</v>
      </c>
      <c r="L21" s="18">
        <f t="shared" si="8"/>
        <v>4750</v>
      </c>
      <c r="M21" s="16"/>
      <c r="N21" s="19">
        <f t="shared" si="9"/>
        <v>375</v>
      </c>
      <c r="O21" s="87">
        <v>0.45</v>
      </c>
      <c r="P21" s="88">
        <v>0.63</v>
      </c>
      <c r="Q21" s="88">
        <v>0.55000000000000004</v>
      </c>
      <c r="R21" s="18">
        <f t="shared" si="3"/>
        <v>815</v>
      </c>
      <c r="S21" s="16"/>
      <c r="T21" s="19">
        <f t="shared" si="4"/>
        <v>65</v>
      </c>
      <c r="U21" s="36">
        <f t="shared" si="5"/>
        <v>440</v>
      </c>
      <c r="V21" s="89">
        <v>679855</v>
      </c>
      <c r="W21" s="90">
        <v>77569</v>
      </c>
      <c r="X21" s="90">
        <v>16763</v>
      </c>
      <c r="Y21" s="41">
        <f t="shared" si="12"/>
        <v>585523</v>
      </c>
      <c r="Z21" s="19">
        <f t="shared" si="1"/>
        <v>186</v>
      </c>
      <c r="AA21" s="91">
        <v>9526.15</v>
      </c>
      <c r="AB21" s="92"/>
      <c r="AC21" s="19">
        <f t="shared" si="11"/>
        <v>543.85000000000036</v>
      </c>
      <c r="AD21" s="93">
        <v>125</v>
      </c>
      <c r="AE21" s="94">
        <v>270</v>
      </c>
    </row>
    <row r="22" spans="1:31" x14ac:dyDescent="0.2">
      <c r="A22" s="127">
        <v>45890</v>
      </c>
      <c r="B22" s="37">
        <v>18637846</v>
      </c>
      <c r="C22" s="84">
        <f>SUM(4129.8+1770225.9+588907+9946.5+264602+29028)</f>
        <v>2666839.2000000002</v>
      </c>
      <c r="D22" s="85">
        <f t="shared" si="2"/>
        <v>15971006.800000001</v>
      </c>
      <c r="E22" s="14">
        <f t="shared" si="0"/>
        <v>20184</v>
      </c>
      <c r="F22" s="86">
        <v>10278</v>
      </c>
      <c r="G22" s="13"/>
      <c r="H22" s="14">
        <f t="shared" si="7"/>
        <v>3</v>
      </c>
      <c r="I22" s="87">
        <v>0.6</v>
      </c>
      <c r="J22" s="88">
        <v>0.6</v>
      </c>
      <c r="K22" s="88">
        <v>0.55000000000000004</v>
      </c>
      <c r="L22" s="18">
        <f t="shared" si="8"/>
        <v>4375</v>
      </c>
      <c r="M22" s="16">
        <v>1946.98</v>
      </c>
      <c r="N22" s="19">
        <f t="shared" si="9"/>
        <v>121.97999999999865</v>
      </c>
      <c r="O22" s="87">
        <v>0.4</v>
      </c>
      <c r="P22" s="88">
        <v>0.6</v>
      </c>
      <c r="Q22" s="88">
        <v>0.5</v>
      </c>
      <c r="R22" s="18">
        <f>SUM(O22:Q22)/3*1500</f>
        <v>750</v>
      </c>
      <c r="S22" s="16">
        <v>650.16999999999996</v>
      </c>
      <c r="T22" s="19">
        <f t="shared" si="4"/>
        <v>125.17000000000007</v>
      </c>
      <c r="U22" s="36">
        <f t="shared" si="5"/>
        <v>247.14999999999873</v>
      </c>
      <c r="V22" s="89">
        <v>680183</v>
      </c>
      <c r="W22" s="90">
        <v>77698</v>
      </c>
      <c r="X22" s="90">
        <v>16776</v>
      </c>
      <c r="Y22" s="41">
        <f t="shared" si="12"/>
        <v>585709</v>
      </c>
      <c r="Z22" s="19">
        <f t="shared" si="1"/>
        <v>210</v>
      </c>
      <c r="AA22" s="91">
        <v>8982.2999999999993</v>
      </c>
      <c r="AB22" s="92"/>
      <c r="AC22" s="19">
        <f t="shared" si="11"/>
        <v>543.84999999999854</v>
      </c>
      <c r="AD22" s="93">
        <v>135</v>
      </c>
      <c r="AE22" s="94">
        <v>291</v>
      </c>
    </row>
    <row r="23" spans="1:31" x14ac:dyDescent="0.2">
      <c r="A23" s="127">
        <v>45891</v>
      </c>
      <c r="B23" s="37">
        <v>18658030</v>
      </c>
      <c r="C23" s="84">
        <f>SUM(4131+1770741+588907+9946.8+264783+29046)</f>
        <v>2667554.7999999998</v>
      </c>
      <c r="D23" s="85">
        <f t="shared" si="2"/>
        <v>15990475.199999999</v>
      </c>
      <c r="E23" s="14">
        <f t="shared" si="0"/>
        <v>22074</v>
      </c>
      <c r="F23" s="86">
        <v>10275</v>
      </c>
      <c r="G23" s="13"/>
      <c r="H23" s="14">
        <f t="shared" si="7"/>
        <v>280</v>
      </c>
      <c r="I23" s="87">
        <v>0.8</v>
      </c>
      <c r="J23" s="88">
        <v>0.88</v>
      </c>
      <c r="K23" s="88">
        <v>0.8</v>
      </c>
      <c r="L23" s="18">
        <f t="shared" si="8"/>
        <v>6200.0000000000009</v>
      </c>
      <c r="M23" s="16"/>
      <c r="N23" s="19">
        <f t="shared" si="9"/>
        <v>200</v>
      </c>
      <c r="O23" s="87">
        <v>0.85</v>
      </c>
      <c r="P23" s="88">
        <v>0.85</v>
      </c>
      <c r="Q23" s="88">
        <v>0.85</v>
      </c>
      <c r="R23" s="18">
        <f t="shared" si="3"/>
        <v>1275</v>
      </c>
      <c r="S23" s="16"/>
      <c r="T23" s="19">
        <f t="shared" si="4"/>
        <v>0</v>
      </c>
      <c r="U23" s="36">
        <f t="shared" si="5"/>
        <v>200</v>
      </c>
      <c r="V23" s="89">
        <v>680528</v>
      </c>
      <c r="W23" s="90">
        <v>77821</v>
      </c>
      <c r="X23" s="90">
        <v>16788</v>
      </c>
      <c r="Y23" s="41">
        <f t="shared" si="12"/>
        <v>585919</v>
      </c>
      <c r="Z23" s="19">
        <f t="shared" si="1"/>
        <v>181</v>
      </c>
      <c r="AA23" s="91">
        <v>8438.4500000000007</v>
      </c>
      <c r="AB23" s="92"/>
      <c r="AC23" s="19">
        <f t="shared" si="11"/>
        <v>543.85000000000036</v>
      </c>
      <c r="AD23" s="93">
        <v>154</v>
      </c>
      <c r="AE23" s="94">
        <v>338</v>
      </c>
    </row>
    <row r="24" spans="1:31" x14ac:dyDescent="0.2">
      <c r="A24" s="127">
        <v>45892</v>
      </c>
      <c r="B24" s="37">
        <v>18680104</v>
      </c>
      <c r="C24" s="84">
        <f>SUM(4131.9+1771185.9+588907+9947+264940+29062)</f>
        <v>2668173.7999999998</v>
      </c>
      <c r="D24" s="85">
        <f t="shared" si="2"/>
        <v>16011930.199999999</v>
      </c>
      <c r="E24" s="14">
        <f t="shared" si="0"/>
        <v>25639</v>
      </c>
      <c r="F24" s="86">
        <v>9995</v>
      </c>
      <c r="G24" s="13"/>
      <c r="H24" s="14">
        <f t="shared" si="7"/>
        <v>0</v>
      </c>
      <c r="I24" s="87">
        <v>0.75</v>
      </c>
      <c r="J24" s="88">
        <v>0.85</v>
      </c>
      <c r="K24" s="88">
        <v>0.8</v>
      </c>
      <c r="L24" s="18">
        <f t="shared" si="8"/>
        <v>6000.0000000000009</v>
      </c>
      <c r="M24" s="16"/>
      <c r="N24" s="19">
        <f t="shared" si="9"/>
        <v>100</v>
      </c>
      <c r="O24" s="87">
        <v>0.85</v>
      </c>
      <c r="P24" s="88">
        <v>0.85</v>
      </c>
      <c r="Q24" s="88">
        <v>0.85</v>
      </c>
      <c r="R24" s="18">
        <f t="shared" si="3"/>
        <v>1275</v>
      </c>
      <c r="S24" s="16"/>
      <c r="T24" s="19">
        <f t="shared" si="4"/>
        <v>49.999999999999773</v>
      </c>
      <c r="U24" s="36">
        <f t="shared" si="5"/>
        <v>149.99999999999977</v>
      </c>
      <c r="V24" s="89">
        <v>680841</v>
      </c>
      <c r="W24" s="90">
        <v>77940</v>
      </c>
      <c r="X24" s="90">
        <v>16801</v>
      </c>
      <c r="Y24" s="41">
        <f t="shared" si="12"/>
        <v>586100</v>
      </c>
      <c r="Z24" s="19">
        <v>32</v>
      </c>
      <c r="AA24" s="91">
        <v>7894.6</v>
      </c>
      <c r="AB24" s="92"/>
      <c r="AC24" s="19">
        <f t="shared" si="11"/>
        <v>543.85000000000036</v>
      </c>
      <c r="AD24" s="93">
        <v>149</v>
      </c>
      <c r="AE24" s="94">
        <v>319</v>
      </c>
    </row>
    <row r="25" spans="1:31" x14ac:dyDescent="0.2">
      <c r="A25" s="140">
        <v>45893</v>
      </c>
      <c r="B25" s="95">
        <v>18705743</v>
      </c>
      <c r="C25" s="96">
        <f>SUM(4133.2+1771787.5+588907+9947.2+268173+29085)</f>
        <v>2672032.9000000004</v>
      </c>
      <c r="D25" s="97">
        <f t="shared" si="2"/>
        <v>16033710.1</v>
      </c>
      <c r="E25" s="42">
        <f t="shared" si="0"/>
        <v>16204</v>
      </c>
      <c r="F25" s="98">
        <v>9995</v>
      </c>
      <c r="G25" s="43"/>
      <c r="H25" s="42">
        <f t="shared" si="7"/>
        <v>0</v>
      </c>
      <c r="I25" s="99">
        <v>0.75</v>
      </c>
      <c r="J25" s="100">
        <v>0.83</v>
      </c>
      <c r="K25" s="100">
        <v>0.78</v>
      </c>
      <c r="L25" s="101">
        <f t="shared" si="8"/>
        <v>5900.0000000000009</v>
      </c>
      <c r="M25" s="102"/>
      <c r="N25" s="44">
        <f t="shared" si="9"/>
        <v>175.00000000000091</v>
      </c>
      <c r="O25" s="99">
        <v>0.8</v>
      </c>
      <c r="P25" s="100">
        <v>0.85</v>
      </c>
      <c r="Q25" s="100">
        <v>0.8</v>
      </c>
      <c r="R25" s="101">
        <f t="shared" si="3"/>
        <v>1225.0000000000002</v>
      </c>
      <c r="S25" s="102"/>
      <c r="T25" s="44">
        <f t="shared" si="4"/>
        <v>150.00000000000023</v>
      </c>
      <c r="U25" s="45">
        <f t="shared" si="5"/>
        <v>325.00000000000114</v>
      </c>
      <c r="V25" s="103">
        <v>681231</v>
      </c>
      <c r="W25" s="104">
        <v>78097</v>
      </c>
      <c r="X25" s="104">
        <v>16820</v>
      </c>
      <c r="Y25" s="46">
        <f t="shared" si="12"/>
        <v>586314</v>
      </c>
      <c r="Z25" s="44">
        <f t="shared" si="1"/>
        <v>142</v>
      </c>
      <c r="AA25" s="105">
        <v>7350.75</v>
      </c>
      <c r="AB25" s="106"/>
      <c r="AC25" s="44">
        <f t="shared" si="11"/>
        <v>543.85000000000036</v>
      </c>
      <c r="AD25" s="107">
        <v>117</v>
      </c>
      <c r="AE25" s="108">
        <v>246</v>
      </c>
    </row>
    <row r="26" spans="1:31" x14ac:dyDescent="0.2">
      <c r="A26" s="11">
        <v>45894</v>
      </c>
      <c r="B26" s="77">
        <v>18721947</v>
      </c>
      <c r="C26" s="78">
        <f>SUM(4133.8+1772107.9+588946+9947.6+265273+29095)</f>
        <v>2669503.3000000003</v>
      </c>
      <c r="D26" s="40">
        <f t="shared" si="2"/>
        <v>16052443.699999999</v>
      </c>
      <c r="E26" s="79">
        <f t="shared" si="0"/>
        <v>20013</v>
      </c>
      <c r="F26" s="12">
        <v>9995</v>
      </c>
      <c r="G26" s="80"/>
      <c r="H26" s="79">
        <f t="shared" si="7"/>
        <v>0</v>
      </c>
      <c r="I26" s="9">
        <v>0.75</v>
      </c>
      <c r="J26" s="15">
        <v>0.8</v>
      </c>
      <c r="K26" s="15">
        <v>0.74</v>
      </c>
      <c r="L26" s="17">
        <f t="shared" si="8"/>
        <v>5725</v>
      </c>
      <c r="M26" s="33"/>
      <c r="N26" s="81">
        <f t="shared" si="9"/>
        <v>175.00000000000091</v>
      </c>
      <c r="O26" s="9">
        <v>0.7</v>
      </c>
      <c r="P26" s="15">
        <v>0.75</v>
      </c>
      <c r="Q26" s="15">
        <v>0.7</v>
      </c>
      <c r="R26" s="17">
        <f t="shared" si="3"/>
        <v>1075</v>
      </c>
      <c r="S26" s="33"/>
      <c r="T26" s="81">
        <f t="shared" si="4"/>
        <v>75</v>
      </c>
      <c r="U26" s="82">
        <f t="shared" si="5"/>
        <v>250.00000000000091</v>
      </c>
      <c r="V26" s="20">
        <v>681449</v>
      </c>
      <c r="W26" s="34">
        <v>78163</v>
      </c>
      <c r="X26" s="34">
        <v>16830</v>
      </c>
      <c r="Y26" s="83">
        <f t="shared" si="12"/>
        <v>586456</v>
      </c>
      <c r="Z26" s="81">
        <f t="shared" si="1"/>
        <v>166</v>
      </c>
      <c r="AA26" s="21">
        <v>6806.9</v>
      </c>
      <c r="AB26" s="22"/>
      <c r="AC26" s="81">
        <f t="shared" si="11"/>
        <v>543.84999999999945</v>
      </c>
      <c r="AD26" s="7">
        <v>117</v>
      </c>
      <c r="AE26" s="10">
        <v>232</v>
      </c>
    </row>
    <row r="27" spans="1:31" x14ac:dyDescent="0.2">
      <c r="A27" s="127">
        <v>45895</v>
      </c>
      <c r="B27" s="37">
        <v>18741960</v>
      </c>
      <c r="C27" s="84">
        <f>SUM(4134.9+1772614.3+588997+9948.1+265450+29110)</f>
        <v>2670254.3000000003</v>
      </c>
      <c r="D27" s="85">
        <f t="shared" si="2"/>
        <v>16071705.699999999</v>
      </c>
      <c r="E27" s="14">
        <f t="shared" si="0"/>
        <v>19985</v>
      </c>
      <c r="F27" s="86">
        <v>9995</v>
      </c>
      <c r="G27" s="13"/>
      <c r="H27" s="14">
        <f t="shared" si="7"/>
        <v>140</v>
      </c>
      <c r="I27" s="87">
        <v>0.73</v>
      </c>
      <c r="J27" s="88">
        <v>0.76</v>
      </c>
      <c r="K27" s="88">
        <v>0.73</v>
      </c>
      <c r="L27" s="18">
        <f t="shared" si="8"/>
        <v>5549.9999999999991</v>
      </c>
      <c r="M27" s="16"/>
      <c r="N27" s="19">
        <f t="shared" si="9"/>
        <v>200</v>
      </c>
      <c r="O27" s="87">
        <v>0.65</v>
      </c>
      <c r="P27" s="88">
        <v>0.7</v>
      </c>
      <c r="Q27" s="88">
        <v>0.65</v>
      </c>
      <c r="R27" s="18">
        <f t="shared" si="3"/>
        <v>1000</v>
      </c>
      <c r="S27" s="16"/>
      <c r="T27" s="19">
        <f t="shared" si="4"/>
        <v>125</v>
      </c>
      <c r="U27" s="36">
        <f t="shared" si="5"/>
        <v>325</v>
      </c>
      <c r="V27" s="89">
        <v>681755</v>
      </c>
      <c r="W27" s="90">
        <v>78289</v>
      </c>
      <c r="X27" s="90">
        <v>16844</v>
      </c>
      <c r="Y27" s="41">
        <f t="shared" si="12"/>
        <v>586622</v>
      </c>
      <c r="Z27" s="19">
        <f t="shared" si="1"/>
        <v>142</v>
      </c>
      <c r="AA27" s="91">
        <v>6263.05</v>
      </c>
      <c r="AB27" s="92"/>
      <c r="AC27" s="19">
        <f t="shared" si="11"/>
        <v>543.85000000000036</v>
      </c>
      <c r="AD27" s="93">
        <v>106</v>
      </c>
      <c r="AE27" s="94">
        <v>208</v>
      </c>
    </row>
    <row r="28" spans="1:31" x14ac:dyDescent="0.2">
      <c r="A28" s="127">
        <v>45896</v>
      </c>
      <c r="B28" s="37">
        <v>18761945</v>
      </c>
      <c r="C28" s="84">
        <f>SUM(4136+1773081.1+588997+9948.3+265614+29130)</f>
        <v>2670906.4</v>
      </c>
      <c r="D28" s="85">
        <f t="shared" si="2"/>
        <v>16091038.6</v>
      </c>
      <c r="E28" s="14">
        <f t="shared" si="0"/>
        <v>18864</v>
      </c>
      <c r="F28" s="86">
        <v>9855</v>
      </c>
      <c r="G28" s="13"/>
      <c r="H28" s="14">
        <f t="shared" si="7"/>
        <v>557</v>
      </c>
      <c r="I28" s="87">
        <v>0.7</v>
      </c>
      <c r="J28" s="88">
        <v>0.74</v>
      </c>
      <c r="K28" s="88">
        <v>0.7</v>
      </c>
      <c r="L28" s="18">
        <f t="shared" si="8"/>
        <v>5349.9999999999991</v>
      </c>
      <c r="M28" s="16"/>
      <c r="N28" s="19">
        <f t="shared" si="9"/>
        <v>274.99999999999818</v>
      </c>
      <c r="O28" s="87">
        <v>0.55000000000000004</v>
      </c>
      <c r="P28" s="88">
        <v>0.65</v>
      </c>
      <c r="Q28" s="88">
        <v>0.55000000000000004</v>
      </c>
      <c r="R28" s="18">
        <f t="shared" si="3"/>
        <v>875</v>
      </c>
      <c r="S28" s="16"/>
      <c r="T28" s="19">
        <f t="shared" si="4"/>
        <v>125</v>
      </c>
      <c r="U28" s="36">
        <f t="shared" si="5"/>
        <v>399.99999999999818</v>
      </c>
      <c r="V28" s="89">
        <v>682023</v>
      </c>
      <c r="W28" s="90">
        <v>78403</v>
      </c>
      <c r="X28" s="90">
        <v>16856</v>
      </c>
      <c r="Y28" s="41">
        <f t="shared" si="12"/>
        <v>586764</v>
      </c>
      <c r="Z28" s="19">
        <f t="shared" si="1"/>
        <v>185</v>
      </c>
      <c r="AA28" s="91">
        <v>5719.2</v>
      </c>
      <c r="AB28" s="92"/>
      <c r="AC28" s="19">
        <f t="shared" si="11"/>
        <v>543.84999999999945</v>
      </c>
      <c r="AD28" s="93">
        <v>94</v>
      </c>
      <c r="AE28" s="94">
        <v>176</v>
      </c>
    </row>
    <row r="29" spans="1:31" x14ac:dyDescent="0.2">
      <c r="A29" s="127">
        <v>45897</v>
      </c>
      <c r="B29" s="37">
        <v>18780809</v>
      </c>
      <c r="C29" s="84">
        <f>SUM(4136.9+1773470.6+588997+9949.3+265761+29149)</f>
        <v>2671463.7999999998</v>
      </c>
      <c r="D29" s="85">
        <f t="shared" si="2"/>
        <v>16109345.199999999</v>
      </c>
      <c r="E29" s="14">
        <f t="shared" si="0"/>
        <v>19516</v>
      </c>
      <c r="F29" s="86">
        <v>9298</v>
      </c>
      <c r="G29" s="13"/>
      <c r="H29" s="14">
        <f t="shared" si="7"/>
        <v>0</v>
      </c>
      <c r="I29" s="87">
        <v>0.65</v>
      </c>
      <c r="J29" s="88">
        <v>0.7</v>
      </c>
      <c r="K29" s="88">
        <v>0.68</v>
      </c>
      <c r="L29" s="18">
        <f t="shared" si="8"/>
        <v>5075.0000000000009</v>
      </c>
      <c r="M29" s="16">
        <v>1386.88</v>
      </c>
      <c r="N29" s="19">
        <f t="shared" si="9"/>
        <v>86.880000000001019</v>
      </c>
      <c r="O29" s="87">
        <v>0.5</v>
      </c>
      <c r="P29" s="88">
        <v>0.55000000000000004</v>
      </c>
      <c r="Q29" s="88">
        <v>0.45</v>
      </c>
      <c r="R29" s="18">
        <f t="shared" si="3"/>
        <v>750</v>
      </c>
      <c r="S29" s="16">
        <v>546.79</v>
      </c>
      <c r="T29" s="19">
        <f t="shared" si="4"/>
        <v>21.789999999999964</v>
      </c>
      <c r="U29" s="36">
        <f t="shared" si="5"/>
        <v>108.67000000000098</v>
      </c>
      <c r="V29" s="89">
        <v>682319</v>
      </c>
      <c r="W29" s="90">
        <v>78501</v>
      </c>
      <c r="X29" s="90">
        <v>16869</v>
      </c>
      <c r="Y29" s="41">
        <f t="shared" si="12"/>
        <v>586949</v>
      </c>
      <c r="Z29" s="19">
        <f t="shared" si="1"/>
        <v>149</v>
      </c>
      <c r="AA29" s="91">
        <v>5175.3500000000004</v>
      </c>
      <c r="AB29" s="92"/>
      <c r="AC29" s="19">
        <f t="shared" si="11"/>
        <v>543.85000000000036</v>
      </c>
      <c r="AD29" s="93">
        <v>94</v>
      </c>
      <c r="AE29" s="94">
        <v>175</v>
      </c>
    </row>
    <row r="30" spans="1:31" x14ac:dyDescent="0.2">
      <c r="A30" s="127">
        <v>45898</v>
      </c>
      <c r="B30" s="37">
        <v>18800325</v>
      </c>
      <c r="C30" s="84">
        <f>SUM(4137.9+1773920.9+588997+9949.5+265924+29174)</f>
        <v>2672103.2999999998</v>
      </c>
      <c r="D30" s="85">
        <f t="shared" si="2"/>
        <v>16128221.699999999</v>
      </c>
      <c r="E30" s="14">
        <f t="shared" si="0"/>
        <v>19587</v>
      </c>
      <c r="F30" s="86">
        <v>9298</v>
      </c>
      <c r="G30" s="13"/>
      <c r="H30" s="14">
        <f>F30+G30-F31</f>
        <v>139</v>
      </c>
      <c r="I30" s="87">
        <v>0.85</v>
      </c>
      <c r="J30" s="88">
        <v>0.85</v>
      </c>
      <c r="K30" s="88">
        <v>0.85</v>
      </c>
      <c r="L30" s="18">
        <f t="shared" si="8"/>
        <v>6375</v>
      </c>
      <c r="M30" s="16"/>
      <c r="N30" s="19">
        <f t="shared" si="9"/>
        <v>249.99999999999909</v>
      </c>
      <c r="O30" s="87">
        <v>0.85</v>
      </c>
      <c r="P30" s="88">
        <v>0.85</v>
      </c>
      <c r="Q30" s="88">
        <v>0.85</v>
      </c>
      <c r="R30" s="18">
        <f t="shared" si="3"/>
        <v>1275</v>
      </c>
      <c r="S30" s="16"/>
      <c r="T30" s="19">
        <f t="shared" si="4"/>
        <v>49.999999999999773</v>
      </c>
      <c r="U30" s="36">
        <f t="shared" si="5"/>
        <v>299.99999999999886</v>
      </c>
      <c r="V30" s="89">
        <v>682594</v>
      </c>
      <c r="W30" s="90">
        <v>78612</v>
      </c>
      <c r="X30" s="90">
        <v>16884</v>
      </c>
      <c r="Y30" s="41">
        <f t="shared" si="12"/>
        <v>587098</v>
      </c>
      <c r="Z30" s="19">
        <f t="shared" si="1"/>
        <v>178</v>
      </c>
      <c r="AA30" s="91">
        <v>4631.5</v>
      </c>
      <c r="AB30" s="92"/>
      <c r="AC30" s="19">
        <f t="shared" si="11"/>
        <v>543.84999999999991</v>
      </c>
      <c r="AD30" s="93">
        <v>155</v>
      </c>
      <c r="AE30" s="94">
        <v>213</v>
      </c>
    </row>
    <row r="31" spans="1:31" x14ac:dyDescent="0.2">
      <c r="A31" s="127">
        <v>45899</v>
      </c>
      <c r="B31" s="37">
        <v>18819912</v>
      </c>
      <c r="C31" s="84">
        <f>SUM(4138.9+1774337+589060+9949.7+266080+29199)</f>
        <v>2672764.6</v>
      </c>
      <c r="D31" s="85">
        <f t="shared" si="2"/>
        <v>16147147.4</v>
      </c>
      <c r="E31" s="14">
        <f t="shared" si="0"/>
        <v>18715</v>
      </c>
      <c r="F31" s="86">
        <v>9159</v>
      </c>
      <c r="G31" s="13"/>
      <c r="H31" s="14">
        <f>F31+G31-F32</f>
        <v>138</v>
      </c>
      <c r="I31" s="87">
        <v>0.8</v>
      </c>
      <c r="J31" s="88">
        <v>0.85</v>
      </c>
      <c r="K31" s="88">
        <v>0.8</v>
      </c>
      <c r="L31" s="18">
        <f t="shared" si="8"/>
        <v>6125.0000000000009</v>
      </c>
      <c r="M31" s="16"/>
      <c r="N31" s="19">
        <f t="shared" si="9"/>
        <v>375.00000000000091</v>
      </c>
      <c r="O31" s="87">
        <v>0.8</v>
      </c>
      <c r="P31" s="88">
        <v>0.85</v>
      </c>
      <c r="Q31" s="88">
        <v>0.8</v>
      </c>
      <c r="R31" s="18">
        <f t="shared" si="3"/>
        <v>1225.0000000000002</v>
      </c>
      <c r="S31" s="16"/>
      <c r="T31" s="19">
        <f t="shared" si="4"/>
        <v>50.000000000000227</v>
      </c>
      <c r="U31" s="36">
        <f t="shared" si="5"/>
        <v>425.00000000000114</v>
      </c>
      <c r="V31" s="89">
        <v>682926</v>
      </c>
      <c r="W31" s="90">
        <v>78722</v>
      </c>
      <c r="X31" s="90">
        <v>16928</v>
      </c>
      <c r="Y31" s="41">
        <f t="shared" si="12"/>
        <v>587276</v>
      </c>
      <c r="Z31" s="19">
        <f t="shared" si="1"/>
        <v>188</v>
      </c>
      <c r="AA31" s="91">
        <v>4087.65</v>
      </c>
      <c r="AB31" s="92"/>
      <c r="AC31" s="19">
        <f t="shared" si="11"/>
        <v>543.84999999999991</v>
      </c>
      <c r="AD31" s="93">
        <v>135</v>
      </c>
      <c r="AE31" s="94">
        <v>274</v>
      </c>
    </row>
    <row r="32" spans="1:31" ht="13.5" thickBot="1" x14ac:dyDescent="0.25">
      <c r="A32" s="140">
        <v>45900</v>
      </c>
      <c r="B32" s="95">
        <v>18838627</v>
      </c>
      <c r="C32" s="164">
        <f>SUM(4139.8+1774768.3+589155+9949.9+266258+29224)</f>
        <v>2673495</v>
      </c>
      <c r="D32" s="164">
        <f t="shared" si="2"/>
        <v>16165132</v>
      </c>
      <c r="E32" s="14"/>
      <c r="F32" s="98">
        <v>9021</v>
      </c>
      <c r="G32" s="43"/>
      <c r="H32" s="14"/>
      <c r="I32" s="99">
        <v>0.75</v>
      </c>
      <c r="J32" s="100">
        <v>0.75</v>
      </c>
      <c r="K32" s="100">
        <v>0.8</v>
      </c>
      <c r="L32" s="101">
        <f t="shared" si="8"/>
        <v>5750</v>
      </c>
      <c r="M32" s="102"/>
      <c r="N32" s="19"/>
      <c r="O32" s="99">
        <v>0.8</v>
      </c>
      <c r="P32" s="100">
        <v>0.75</v>
      </c>
      <c r="Q32" s="100">
        <v>0.8</v>
      </c>
      <c r="R32" s="101">
        <f t="shared" si="3"/>
        <v>1175</v>
      </c>
      <c r="S32" s="102"/>
      <c r="T32" s="19"/>
      <c r="U32" s="36"/>
      <c r="V32" s="103">
        <v>683251</v>
      </c>
      <c r="W32" s="104">
        <v>78845</v>
      </c>
      <c r="X32" s="104">
        <v>16942</v>
      </c>
      <c r="Y32" s="46">
        <f t="shared" si="12"/>
        <v>587464</v>
      </c>
      <c r="Z32" s="19"/>
      <c r="AA32" s="105">
        <v>3543.8</v>
      </c>
      <c r="AB32" s="106"/>
      <c r="AC32" s="19"/>
      <c r="AD32" s="93">
        <v>87</v>
      </c>
      <c r="AE32" s="94">
        <v>166</v>
      </c>
    </row>
    <row r="33" spans="1:31" ht="14.25" thickTop="1" thickBot="1" x14ac:dyDescent="0.25">
      <c r="A33" s="139">
        <v>45901</v>
      </c>
      <c r="B33" s="128">
        <v>18856146</v>
      </c>
      <c r="C33" s="161">
        <v>2674081</v>
      </c>
      <c r="D33" s="129">
        <f t="shared" si="2"/>
        <v>16182065</v>
      </c>
      <c r="E33" s="25"/>
      <c r="F33" s="130">
        <v>9021</v>
      </c>
      <c r="G33" s="162"/>
      <c r="H33" s="25"/>
      <c r="I33" s="131">
        <v>0.75</v>
      </c>
      <c r="J33" s="132">
        <v>0.78</v>
      </c>
      <c r="K33" s="132">
        <v>0.75</v>
      </c>
      <c r="L33" s="163">
        <f t="shared" si="8"/>
        <v>5700.0000000000009</v>
      </c>
      <c r="M33" s="133"/>
      <c r="N33" s="25"/>
      <c r="O33" s="131">
        <v>0.65</v>
      </c>
      <c r="P33" s="132">
        <v>0.65</v>
      </c>
      <c r="Q33" s="132">
        <v>0.65</v>
      </c>
      <c r="R33" s="163">
        <f t="shared" si="3"/>
        <v>975</v>
      </c>
      <c r="S33" s="133"/>
      <c r="T33" s="38"/>
      <c r="U33" s="39"/>
      <c r="V33" s="134">
        <v>683490</v>
      </c>
      <c r="W33" s="135">
        <v>78924</v>
      </c>
      <c r="X33" s="135">
        <v>16952</v>
      </c>
      <c r="Y33" s="136">
        <f t="shared" si="12"/>
        <v>587614</v>
      </c>
      <c r="Z33" s="25"/>
      <c r="AA33" s="137">
        <v>3000</v>
      </c>
      <c r="AB33" s="138"/>
      <c r="AC33" s="23"/>
      <c r="AD33" s="24"/>
      <c r="AE33" s="24"/>
    </row>
    <row r="34" spans="1:31" s="32" customFormat="1" ht="10.5" thickTop="1" x14ac:dyDescent="0.2">
      <c r="A34" s="26"/>
      <c r="B34" s="29"/>
      <c r="C34" s="29"/>
      <c r="D34" s="29"/>
      <c r="E34" s="27">
        <f>SUM(E2:E33)</f>
        <v>600918</v>
      </c>
      <c r="F34" s="28"/>
      <c r="G34" s="28"/>
      <c r="H34" s="27">
        <f>SUM(H2:H33)</f>
        <v>4632</v>
      </c>
      <c r="I34" s="26"/>
      <c r="J34" s="26"/>
      <c r="K34" s="26"/>
      <c r="L34" s="26"/>
      <c r="M34" s="28">
        <f>SUM(M2:M33)</f>
        <v>6505.2599999999993</v>
      </c>
      <c r="N34" s="27">
        <f>SUM(N2:N33)</f>
        <v>7005.2599999999993</v>
      </c>
      <c r="O34" s="26"/>
      <c r="P34" s="26"/>
      <c r="Q34" s="26"/>
      <c r="R34" s="26"/>
      <c r="S34" s="28">
        <f>SUM(S2:S33)</f>
        <v>2157.8199999999997</v>
      </c>
      <c r="T34" s="27">
        <f>SUM(T2:T33)</f>
        <v>2257.8199999999997</v>
      </c>
      <c r="U34" s="27">
        <f>SUM(U2:U33)</f>
        <v>9263.0799999999981</v>
      </c>
      <c r="V34" s="26"/>
      <c r="W34" s="26"/>
      <c r="X34" s="26"/>
      <c r="Y34" s="26"/>
      <c r="Z34" s="27">
        <f>SUM(Z2:Z33)</f>
        <v>4618</v>
      </c>
      <c r="AA34" s="26"/>
      <c r="AB34" s="26">
        <f>SUM(AB2:AB33)</f>
        <v>12050</v>
      </c>
      <c r="AC34" s="27">
        <f>SUM(AC2:AC33)</f>
        <v>15506.200000000003</v>
      </c>
      <c r="AD34" s="30">
        <f>SUM(AD2:AD33)</f>
        <v>3713</v>
      </c>
      <c r="AE34" s="31">
        <f>SUM(AE2:AE32)</f>
        <v>7740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H3 AC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2025-11-18T07:01:52Z</dcterms:modified>
  <cp:category/>
  <cp:contentStatus/>
</cp:coreProperties>
</file>