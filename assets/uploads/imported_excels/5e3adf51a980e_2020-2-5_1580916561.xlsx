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</calcChain>
</file>

<file path=xl/sharedStrings.xml><?xml version="1.0" encoding="utf-8"?>
<sst xmlns="http://schemas.openxmlformats.org/spreadsheetml/2006/main" count="145" uniqueCount="33">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</sst>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E2" sqref="E2:K29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2</v>
      </c>
      <c r="D2" s="9">
        <v>2020</v>
      </c>
      <c r="E2" s="20">
        <f>Submetering!E3</f>
        <v>7305.75</v>
      </c>
      <c r="F2" s="16">
        <v>0.12</v>
      </c>
      <c r="G2" s="20">
        <f>Submetering!F3+Submetering!G3</f>
        <v>516.85148377457949</v>
      </c>
      <c r="H2" s="16">
        <v>0.71</v>
      </c>
      <c r="I2" s="20">
        <f>Submetering!J3+Submetering!I3+Submetering!H3</f>
        <v>75.573485900499989</v>
      </c>
      <c r="J2" s="16">
        <v>2.3196172978505634</v>
      </c>
      <c r="K2" s="20">
        <f>Submetering!K2</f>
        <v>96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2</v>
      </c>
      <c r="D3" s="9">
        <v>2020</v>
      </c>
      <c r="E3" s="20">
        <f>Submetering!E4</f>
        <v>7380</v>
      </c>
      <c r="F3" s="16">
        <v>0.12</v>
      </c>
      <c r="G3" s="20">
        <f>Submetering!F4+Submetering!G4</f>
        <v>460.02099753158882</v>
      </c>
      <c r="H3" s="16">
        <v>0.71</v>
      </c>
      <c r="I3" s="20">
        <f>Submetering!J4+Submetering!I4+Submetering!H4</f>
        <v>74.822760841699989</v>
      </c>
      <c r="J3" s="16">
        <v>2.3196172978505634</v>
      </c>
      <c r="K3" s="20">
        <f>Submetering!K3</f>
        <v>101</v>
      </c>
      <c r="L3" s="20">
        <f>Submetering!L3</f>
        <v>0</v>
      </c>
    </row>
    <row r="4" spans="1:24" x14ac:dyDescent="0.25">
      <c r="A4" s="17" t="s">
        <v>32</v>
      </c>
      <c r="B4" s="9">
        <f t="shared" ref="B4:B30" si="0">B3+1</f>
        <v>3</v>
      </c>
      <c r="C4" s="6">
        <v>2</v>
      </c>
      <c r="D4" s="9">
        <v>2020</v>
      </c>
      <c r="E4" s="20">
        <f>Submetering!E5</f>
        <v>7425</v>
      </c>
      <c r="F4" s="16">
        <v>0.12</v>
      </c>
      <c r="G4" s="20">
        <f>Submetering!F5+Submetering!G5</f>
        <v>17.111476998317759</v>
      </c>
      <c r="H4" s="16">
        <v>0.71</v>
      </c>
      <c r="I4" s="20">
        <f>Submetering!J5+Submetering!I5+Submetering!H5</f>
        <v>65.331994413400011</v>
      </c>
      <c r="J4" s="16">
        <v>2.3196172978505634</v>
      </c>
      <c r="K4" s="20">
        <f>Submetering!K4</f>
        <v>84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2</v>
      </c>
      <c r="D5" s="9">
        <v>2020</v>
      </c>
      <c r="E5" s="20">
        <f>Submetering!E6</f>
        <v>0</v>
      </c>
      <c r="F5" s="16">
        <v>0.12</v>
      </c>
      <c r="G5" s="20">
        <f>Submetering!F6+Submetering!G6</f>
        <v>0</v>
      </c>
      <c r="H5" s="16">
        <v>0.71</v>
      </c>
      <c r="I5" s="20">
        <f>Submetering!J6+Submetering!I6+Submetering!H6</f>
        <v>0</v>
      </c>
      <c r="J5" s="16">
        <v>2.3196172978505634</v>
      </c>
      <c r="K5" s="20">
        <f>Submetering!K5</f>
        <v>86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2</v>
      </c>
      <c r="D6" s="9">
        <v>2020</v>
      </c>
      <c r="E6" s="20">
        <f>Submetering!E7</f>
        <v>0</v>
      </c>
      <c r="F6" s="16">
        <v>0.12</v>
      </c>
      <c r="G6" s="20">
        <f>Submetering!F7+Submetering!G7</f>
        <v>0</v>
      </c>
      <c r="H6" s="16">
        <v>0.71</v>
      </c>
      <c r="I6" s="20">
        <f>Submetering!J7+Submetering!I7+Submetering!H7</f>
        <v>0</v>
      </c>
      <c r="J6" s="16">
        <v>2.3196172978505634</v>
      </c>
      <c r="K6" s="20">
        <f>Submetering!K6</f>
        <v>0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2</v>
      </c>
      <c r="D7" s="9">
        <v>2020</v>
      </c>
      <c r="E7" s="20">
        <f>Submetering!E8</f>
        <v>0</v>
      </c>
      <c r="F7" s="16">
        <v>0.12</v>
      </c>
      <c r="G7" s="20">
        <f>Submetering!F8+Submetering!G8</f>
        <v>0</v>
      </c>
      <c r="H7" s="16">
        <v>0.71</v>
      </c>
      <c r="I7" s="20">
        <f>Submetering!J8+Submetering!I8+Submetering!H8</f>
        <v>0</v>
      </c>
      <c r="J7" s="16">
        <v>2.3196172978505634</v>
      </c>
      <c r="K7" s="20">
        <f>Submetering!K7</f>
        <v>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2</v>
      </c>
      <c r="D8" s="9">
        <v>2020</v>
      </c>
      <c r="E8" s="20">
        <f>Submetering!E9</f>
        <v>0</v>
      </c>
      <c r="F8" s="16">
        <v>0.12</v>
      </c>
      <c r="G8" s="20">
        <f>Submetering!F9+Submetering!G9</f>
        <v>0</v>
      </c>
      <c r="H8" s="16">
        <v>0.71</v>
      </c>
      <c r="I8" s="20">
        <f>Submetering!J9+Submetering!I9+Submetering!H9</f>
        <v>0</v>
      </c>
      <c r="J8" s="16">
        <v>2.3196172978505634</v>
      </c>
      <c r="K8" s="20">
        <f>Submetering!K8</f>
        <v>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2</v>
      </c>
      <c r="D9" s="9">
        <v>2020</v>
      </c>
      <c r="E9" s="20">
        <f>Submetering!E9</f>
        <v>0</v>
      </c>
      <c r="F9" s="16">
        <v>0.12</v>
      </c>
      <c r="G9" s="20">
        <f>Submetering!F10+Submetering!G10</f>
        <v>0</v>
      </c>
      <c r="H9" s="16">
        <v>0.71</v>
      </c>
      <c r="I9" s="20">
        <f>Submetering!J10+Submetering!I10+Submetering!H10</f>
        <v>0</v>
      </c>
      <c r="J9" s="16">
        <v>2.3196172978505634</v>
      </c>
      <c r="K9" s="20">
        <f>Submetering!K9</f>
        <v>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2</v>
      </c>
      <c r="D10" s="9">
        <v>2020</v>
      </c>
      <c r="E10" s="20">
        <f>Submetering!E10</f>
        <v>0</v>
      </c>
      <c r="F10" s="16">
        <v>0.12</v>
      </c>
      <c r="G10" s="20">
        <f>Submetering!F11+Submetering!G11</f>
        <v>0</v>
      </c>
      <c r="H10" s="16">
        <v>0.71</v>
      </c>
      <c r="I10" s="20">
        <f>Submetering!J10+Submetering!I10+Submetering!H10</f>
        <v>0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2</v>
      </c>
      <c r="D11" s="9">
        <v>2020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2</v>
      </c>
      <c r="D12" s="9">
        <v>2020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2</v>
      </c>
      <c r="D13" s="9">
        <v>2020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2</v>
      </c>
      <c r="D14" s="9">
        <v>2020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Submetering!H12+Submetering!J12+Submetering!I12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2</v>
      </c>
      <c r="D15" s="9">
        <v>2020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2</v>
      </c>
      <c r="D16" s="9">
        <v>2020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2</v>
      </c>
      <c r="D17" s="9">
        <v>2020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2</v>
      </c>
      <c r="D18" s="9">
        <v>2020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2</v>
      </c>
      <c r="D19" s="9">
        <v>2020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2</v>
      </c>
      <c r="D20" s="9">
        <v>2020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2</v>
      </c>
      <c r="D21" s="9">
        <v>2020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2</v>
      </c>
      <c r="D22" s="9">
        <v>2020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2</v>
      </c>
      <c r="D23" s="9">
        <v>2020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2</v>
      </c>
      <c r="D24" s="9">
        <v>2020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2</v>
      </c>
      <c r="D25" s="9">
        <v>2020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2</v>
      </c>
      <c r="D26" s="9">
        <v>2020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2</v>
      </c>
      <c r="D27" s="9">
        <v>2020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2</v>
      </c>
      <c r="D28" s="9">
        <v>2020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2</v>
      </c>
      <c r="D29" s="9">
        <v>2020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2</v>
      </c>
      <c r="D30" s="9">
        <v>2020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C31" s="6"/>
      <c r="E31" s="20"/>
      <c r="G31" s="20"/>
      <c r="I31" s="20"/>
      <c r="J31" s="16"/>
      <c r="K31" s="20"/>
      <c r="L31" s="20"/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4" sqref="K4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2</v>
      </c>
      <c r="D2" s="6">
        <v>2020</v>
      </c>
      <c r="E2" s="20">
        <v>7269.75</v>
      </c>
      <c r="F2" s="20">
        <v>536.0798109009346</v>
      </c>
      <c r="G2" s="20">
        <v>16.332591857383179</v>
      </c>
      <c r="H2" s="20">
        <v>1.2649999999999999</v>
      </c>
      <c r="I2" s="20">
        <v>47</v>
      </c>
      <c r="J2" s="20">
        <v>25.0093010147</v>
      </c>
      <c r="K2" s="20">
        <v>96</v>
      </c>
    </row>
    <row r="3" spans="1:12" x14ac:dyDescent="0.25">
      <c r="A3" s="17" t="s">
        <v>32</v>
      </c>
      <c r="B3" s="6">
        <f>B2+1</f>
        <v>2</v>
      </c>
      <c r="C3" s="6">
        <v>2</v>
      </c>
      <c r="D3" s="6">
        <v>2020</v>
      </c>
      <c r="E3" s="20">
        <v>7305.75</v>
      </c>
      <c r="F3" s="20">
        <v>501.17839484205615</v>
      </c>
      <c r="G3" s="20">
        <v>15.673088932523367</v>
      </c>
      <c r="H3" s="20">
        <v>1.2070000000000001</v>
      </c>
      <c r="I3" s="20">
        <v>47</v>
      </c>
      <c r="J3" s="20">
        <v>27.366485900499999</v>
      </c>
      <c r="K3" s="20">
        <v>101</v>
      </c>
    </row>
    <row r="4" spans="1:12" x14ac:dyDescent="0.25">
      <c r="A4" s="17" t="s">
        <v>32</v>
      </c>
      <c r="B4" s="6">
        <f t="shared" ref="B4:B30" si="0">B3+1</f>
        <v>3</v>
      </c>
      <c r="C4" s="6">
        <v>2</v>
      </c>
      <c r="D4" s="6">
        <v>2020</v>
      </c>
      <c r="E4" s="20">
        <v>7380</v>
      </c>
      <c r="F4" s="20">
        <v>444.66031483457948</v>
      </c>
      <c r="G4" s="20">
        <v>15.360682697009347</v>
      </c>
      <c r="H4" s="20">
        <v>1.2010000000000001</v>
      </c>
      <c r="I4" s="20">
        <v>45</v>
      </c>
      <c r="J4" s="20">
        <v>28.621760841699999</v>
      </c>
      <c r="K4" s="20">
        <v>84</v>
      </c>
    </row>
    <row r="5" spans="1:12" x14ac:dyDescent="0.25">
      <c r="A5" s="17" t="s">
        <v>32</v>
      </c>
      <c r="B5" s="6">
        <f t="shared" si="0"/>
        <v>4</v>
      </c>
      <c r="C5" s="6">
        <v>2</v>
      </c>
      <c r="D5" s="6">
        <v>2020</v>
      </c>
      <c r="E5" s="20">
        <v>7425</v>
      </c>
      <c r="F5" s="20">
        <v>0</v>
      </c>
      <c r="G5" s="20">
        <v>17.111476998317759</v>
      </c>
      <c r="H5" s="20">
        <v>1.3129999999999999</v>
      </c>
      <c r="I5" s="20">
        <v>38</v>
      </c>
      <c r="J5" s="20">
        <v>26.018994413400002</v>
      </c>
      <c r="K5" s="20">
        <v>86</v>
      </c>
    </row>
    <row r="6" spans="1:12" x14ac:dyDescent="0.25">
      <c r="A6" s="17" t="s">
        <v>32</v>
      </c>
      <c r="B6" s="6">
        <f t="shared" si="0"/>
        <v>5</v>
      </c>
      <c r="C6" s="6">
        <v>2</v>
      </c>
      <c r="D6" s="6">
        <v>2020</v>
      </c>
      <c r="K6" s="20"/>
    </row>
    <row r="7" spans="1:12" x14ac:dyDescent="0.25">
      <c r="A7" s="17" t="s">
        <v>32</v>
      </c>
      <c r="B7" s="6">
        <f t="shared" si="0"/>
        <v>6</v>
      </c>
      <c r="C7" s="6">
        <v>2</v>
      </c>
      <c r="D7" s="6">
        <v>2020</v>
      </c>
      <c r="K7" s="20"/>
    </row>
    <row r="8" spans="1:12" x14ac:dyDescent="0.25">
      <c r="A8" s="17" t="s">
        <v>32</v>
      </c>
      <c r="B8" s="6">
        <f t="shared" si="0"/>
        <v>7</v>
      </c>
      <c r="C8" s="6">
        <v>2</v>
      </c>
      <c r="D8" s="6">
        <v>2020</v>
      </c>
      <c r="I8" s="6"/>
      <c r="K8" s="20"/>
    </row>
    <row r="9" spans="1:12" x14ac:dyDescent="0.25">
      <c r="A9" s="17" t="s">
        <v>32</v>
      </c>
      <c r="B9" s="6">
        <f t="shared" si="0"/>
        <v>8</v>
      </c>
      <c r="C9" s="6">
        <v>2</v>
      </c>
      <c r="D9" s="6">
        <v>2020</v>
      </c>
      <c r="I9" s="6"/>
      <c r="K9" s="20"/>
    </row>
    <row r="10" spans="1:12" x14ac:dyDescent="0.25">
      <c r="A10" s="17" t="s">
        <v>32</v>
      </c>
      <c r="B10" s="6">
        <f t="shared" si="0"/>
        <v>9</v>
      </c>
      <c r="C10" s="6">
        <v>2</v>
      </c>
      <c r="D10" s="6">
        <v>2020</v>
      </c>
      <c r="I10" s="6"/>
      <c r="K10" s="20"/>
    </row>
    <row r="11" spans="1:12" x14ac:dyDescent="0.25">
      <c r="A11" s="17" t="s">
        <v>32</v>
      </c>
      <c r="B11" s="6">
        <f t="shared" si="0"/>
        <v>10</v>
      </c>
      <c r="C11" s="6">
        <v>2</v>
      </c>
      <c r="D11" s="6">
        <v>2020</v>
      </c>
      <c r="I11" s="6"/>
      <c r="K11" s="20"/>
    </row>
    <row r="12" spans="1:12" x14ac:dyDescent="0.25">
      <c r="A12" s="17" t="s">
        <v>32</v>
      </c>
      <c r="B12" s="6">
        <f t="shared" si="0"/>
        <v>11</v>
      </c>
      <c r="C12" s="6">
        <v>2</v>
      </c>
      <c r="D12" s="6">
        <v>2020</v>
      </c>
      <c r="K12" s="20"/>
    </row>
    <row r="13" spans="1:12" x14ac:dyDescent="0.25">
      <c r="A13" s="17" t="s">
        <v>32</v>
      </c>
      <c r="B13" s="6">
        <f t="shared" si="0"/>
        <v>12</v>
      </c>
      <c r="C13" s="6">
        <v>2</v>
      </c>
      <c r="D13" s="6">
        <v>2020</v>
      </c>
      <c r="K13" s="20"/>
    </row>
    <row r="14" spans="1:12" x14ac:dyDescent="0.25">
      <c r="A14" s="17" t="s">
        <v>32</v>
      </c>
      <c r="B14" s="6">
        <f t="shared" si="0"/>
        <v>13</v>
      </c>
      <c r="C14" s="6">
        <v>2</v>
      </c>
      <c r="D14" s="6">
        <v>2020</v>
      </c>
      <c r="K14" s="20"/>
    </row>
    <row r="15" spans="1:12" x14ac:dyDescent="0.25">
      <c r="A15" s="17" t="s">
        <v>32</v>
      </c>
      <c r="B15" s="6">
        <f t="shared" si="0"/>
        <v>14</v>
      </c>
      <c r="C15" s="6">
        <v>2</v>
      </c>
      <c r="D15" s="6">
        <v>2020</v>
      </c>
      <c r="K15" s="20"/>
    </row>
    <row r="16" spans="1:12" x14ac:dyDescent="0.25">
      <c r="A16" s="17" t="s">
        <v>32</v>
      </c>
      <c r="B16" s="6">
        <f t="shared" si="0"/>
        <v>15</v>
      </c>
      <c r="C16" s="6">
        <v>2</v>
      </c>
      <c r="D16" s="6">
        <v>2020</v>
      </c>
      <c r="K16" s="20"/>
    </row>
    <row r="17" spans="1:11" x14ac:dyDescent="0.25">
      <c r="A17" s="17" t="s">
        <v>32</v>
      </c>
      <c r="B17" s="6">
        <f t="shared" si="0"/>
        <v>16</v>
      </c>
      <c r="C17" s="6">
        <v>2</v>
      </c>
      <c r="D17" s="6">
        <v>2020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2</v>
      </c>
      <c r="D18" s="6">
        <v>2020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2</v>
      </c>
      <c r="D19" s="6">
        <v>2020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2</v>
      </c>
      <c r="D20" s="6">
        <v>2020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2</v>
      </c>
      <c r="D21" s="6">
        <v>2020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2</v>
      </c>
      <c r="D22" s="6">
        <v>2020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2</v>
      </c>
      <c r="D23" s="6">
        <v>2020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2</v>
      </c>
      <c r="D24" s="6">
        <v>2020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2</v>
      </c>
      <c r="D25" s="6">
        <v>2020</v>
      </c>
      <c r="K25" s="20"/>
    </row>
    <row r="26" spans="1:11" x14ac:dyDescent="0.25">
      <c r="A26" s="17" t="s">
        <v>32</v>
      </c>
      <c r="B26" s="6">
        <f>B25+1</f>
        <v>25</v>
      </c>
      <c r="C26" s="6">
        <v>2</v>
      </c>
      <c r="D26" s="6">
        <v>2020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2</v>
      </c>
      <c r="D27" s="6">
        <v>2020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2</v>
      </c>
      <c r="D28" s="6">
        <v>2020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2</v>
      </c>
      <c r="D29" s="6">
        <v>2020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2</v>
      </c>
      <c r="D30" s="6">
        <v>2020</v>
      </c>
      <c r="K30" s="20"/>
    </row>
    <row r="31" spans="1:11" x14ac:dyDescent="0.25">
      <c r="K31" s="20"/>
    </row>
    <row r="32" spans="1:11" x14ac:dyDescent="0.25"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2"/>
      <c r="C1" s="1"/>
      <c r="D1" s="11"/>
      <c r="E1" s="1"/>
      <c r="F1" s="14"/>
      <c r="G1" s="1"/>
      <c r="H1" s="1"/>
      <c r="I1" s="33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32"/>
      <c r="C2" s="42" t="s">
        <v>22</v>
      </c>
      <c r="D2" s="43"/>
      <c r="E2" s="36" t="s">
        <v>23</v>
      </c>
      <c r="F2" s="36"/>
      <c r="G2" s="36" t="s">
        <v>24</v>
      </c>
      <c r="H2" s="36"/>
      <c r="I2" s="34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3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2"/>
      <c r="C4" s="18">
        <v>22342913</v>
      </c>
      <c r="D4" s="37">
        <f>IF((C5-C4&lt;0), "",C5-C4)</f>
        <v>7975</v>
      </c>
      <c r="E4" s="18">
        <v>23837512</v>
      </c>
      <c r="F4" s="45">
        <f>IF((E5-E4&lt;0), "",E5-E4)</f>
        <v>5799</v>
      </c>
      <c r="G4" s="18">
        <v>9975816</v>
      </c>
      <c r="H4" s="37">
        <f>IF((G5-G4&lt;0), "",G5-G4)</f>
        <v>3477</v>
      </c>
      <c r="I4" s="34"/>
      <c r="J4" s="18"/>
      <c r="K4" s="37">
        <v>0</v>
      </c>
      <c r="L4" s="18"/>
      <c r="M4" s="37">
        <v>0</v>
      </c>
      <c r="N4" s="18">
        <v>75776</v>
      </c>
      <c r="O4" s="3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2"/>
      <c r="C5" s="18">
        <v>22350888</v>
      </c>
      <c r="D5" s="37"/>
      <c r="E5" s="18">
        <v>23843311</v>
      </c>
      <c r="F5" s="46"/>
      <c r="G5" s="18">
        <v>9979293</v>
      </c>
      <c r="H5" s="37"/>
      <c r="I5" s="34"/>
      <c r="J5" s="18">
        <v>0</v>
      </c>
      <c r="K5" s="37"/>
      <c r="L5" s="18">
        <v>0</v>
      </c>
      <c r="M5" s="37"/>
      <c r="N5" s="18">
        <v>75809</v>
      </c>
      <c r="O5" s="37"/>
      <c r="P5" s="23"/>
      <c r="Q5" s="23"/>
    </row>
    <row r="6" spans="1:17" ht="45" customHeight="1" x14ac:dyDescent="0.3">
      <c r="A6" s="7">
        <v>43557</v>
      </c>
      <c r="B6" s="3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2020-02-05T15:28:32Z</dcterms:modified>
</cp:coreProperties>
</file>