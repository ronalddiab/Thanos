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M29" i="7" l="1"/>
  <c r="CW24" i="7" l="1"/>
  <c r="T24" i="10" l="1"/>
  <c r="X16" i="7" l="1"/>
  <c r="X17" i="7"/>
  <c r="CL10" i="7" l="1"/>
  <c r="F9" i="7" l="1"/>
  <c r="F8" i="7"/>
  <c r="CL9" i="7"/>
  <c r="G28" i="3" l="1"/>
  <c r="G29" i="3"/>
  <c r="G30" i="3"/>
  <c r="G31" i="3"/>
  <c r="G32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I21" i="3" s="1"/>
  <c r="CM24" i="7"/>
  <c r="I22" i="3" s="1"/>
  <c r="CM25" i="7"/>
  <c r="I23" i="3" s="1"/>
  <c r="CM26" i="7"/>
  <c r="I24" i="3" s="1"/>
  <c r="CM27" i="7"/>
  <c r="I25" i="3" s="1"/>
  <c r="CM28" i="7"/>
  <c r="I26" i="3" s="1"/>
  <c r="I27" i="3"/>
  <c r="CM30" i="7"/>
  <c r="I28" i="3" s="1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27" i="3" l="1"/>
  <c r="G26" i="3"/>
  <c r="G25" i="3"/>
  <c r="G24" i="3"/>
  <c r="G23" i="3"/>
  <c r="G22" i="3"/>
  <c r="G21" i="3"/>
  <c r="G20" i="3"/>
  <c r="G19" i="3"/>
  <c r="G18" i="3"/>
  <c r="G17" i="3"/>
  <c r="G16" i="3"/>
  <c r="G14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<sst xmlns="http://schemas.openxmlformats.org/spreadsheetml/2006/main" count="313" uniqueCount="148">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</sst>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21.977999999999994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9320.0000000000236</v>
      </c>
      <c r="F20" s="11">
        <f t="shared" si="1"/>
        <v>0.58765030286592534</v>
      </c>
      <c r="G20" s="12">
        <f>(Submetering!AX20+Submetering!AY20+Submetering!AZ20+Submetering!BA20+Submetering!BB20)</f>
        <v>21.977999999999998</v>
      </c>
      <c r="H20" s="11">
        <f t="shared" si="2"/>
        <v>0.99</v>
      </c>
      <c r="I20" s="12">
        <f>'FS Desroches Daily'!CM22</f>
        <v>84.399999999999636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8659.9999999998417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63.100000000000364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8609.9999999997781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66.699999999998909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8400.0000000001437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58.100000000000364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7729.9999999997808</v>
      </c>
      <c r="F24" s="11">
        <f t="shared" si="1"/>
        <v>0.58765030286592534</v>
      </c>
      <c r="G24" s="12">
        <f>(Submetering!AX24+Submetering!AY24+Submetering!AZ24+Submetering!BA24+Submetering!BB24)</f>
        <v>18.314999999999998</v>
      </c>
      <c r="H24" s="11">
        <f t="shared" si="2"/>
        <v>0.99</v>
      </c>
      <c r="I24" s="12">
        <f>'FS Desroches Daily'!CM26</f>
        <v>58.600000000000364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8420.0000000000764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69.100000000000364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8070.000000000191</v>
      </c>
      <c r="F26" s="11">
        <f t="shared" si="1"/>
        <v>0.58765030286592534</v>
      </c>
      <c r="G26" s="12">
        <f>(Submetering!AX26+Submetering!AY26+Submetering!AZ26+Submetering!BA26+Submetering!BB26)</f>
        <v>25.640999999999998</v>
      </c>
      <c r="H26" s="11">
        <f t="shared" si="2"/>
        <v>0.99</v>
      </c>
      <c r="I26" s="12">
        <f>'FS Desroches Daily'!CM28</f>
        <v>54.600000000000364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8710.0000000000509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57.799999999999272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 t="e">
        <f>Submetering!E28+Submetering!F28+Submetering!G28+Submetering!H28+Submetering!J28-Submetering!AV28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'FS Desroches Daily'!CM30</f>
        <v>#VALUE!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8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8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2099.9999999999909</v>
      </c>
      <c r="F20" s="32">
        <f>'FS Desroches Daily'!F22</f>
        <v>2699.9999999999245</v>
      </c>
      <c r="G20" s="31">
        <f>'FS Desroches Daily'!H22</f>
        <v>3000.0000000001137</v>
      </c>
      <c r="H20" s="32">
        <f>'FS Desroches Daily'!J22</f>
        <v>1299.9999999998568</v>
      </c>
      <c r="I20" s="31">
        <f>'FS Desroches Daily'!L22</f>
        <v>2199.9999999997576</v>
      </c>
      <c r="J20" s="32">
        <f>'FS Desroches Daily'!N22</f>
        <v>1000.0000000001119</v>
      </c>
      <c r="K20" s="13">
        <f>'FS Desroches Daily'!P22</f>
        <v>17</v>
      </c>
      <c r="L20" s="31">
        <f>'FS Desroches Daily'!R22</f>
        <v>4</v>
      </c>
      <c r="M20" s="31">
        <f>'FS Desroches Daily'!T22</f>
        <v>928.40000000002328</v>
      </c>
      <c r="N20" s="31">
        <f>'FS Desroches Daily'!V22</f>
        <v>332.59999999997672</v>
      </c>
      <c r="O20" s="31">
        <f>'FS Desroches Daily'!X22</f>
        <v>299.99999999995453</v>
      </c>
      <c r="P20" s="31">
        <f>'FS Desroches Daily'!Z22</f>
        <v>2400.0000000001796</v>
      </c>
      <c r="Q20" s="31">
        <f>'FS Desroches Daily'!AB22</f>
        <v>269.99999999998181</v>
      </c>
      <c r="R20" s="31">
        <f>'FS Desroches Daily'!AD22</f>
        <v>280.00000000002956</v>
      </c>
      <c r="S20" s="31">
        <f>'FS Desroches Daily'!AF22</f>
        <v>289.99999999996362</v>
      </c>
      <c r="T20" s="31">
        <f>'FS Desroches Daily'!AH22</f>
        <v>34</v>
      </c>
      <c r="U20" s="35">
        <f>'FS Desroches Daily'!AJ22</f>
        <v>370.00000000000455</v>
      </c>
      <c r="V20" s="35">
        <f>'FS Desroches Daily'!AL22</f>
        <v>229.99999999998977</v>
      </c>
      <c r="W20" s="35">
        <f>'FS Desroches Daily'!AN22</f>
        <v>250</v>
      </c>
      <c r="X20" s="35">
        <f>'FS Desroches Daily'!AP22</f>
        <v>140.00000000001478</v>
      </c>
      <c r="Y20" s="35">
        <f>'FS Desroches Daily'!AR22</f>
        <v>129.99999999999545</v>
      </c>
      <c r="Z20" s="35">
        <f>'FS Desroches Daily'!AT22</f>
        <v>279.99999999997272</v>
      </c>
      <c r="AA20" s="35">
        <f>'FS Desroches Daily'!AT22</f>
        <v>279.99999999997272</v>
      </c>
      <c r="AB20" s="35">
        <f>'FS Desroches Daily'!AV22</f>
        <v>60.000000000002274</v>
      </c>
      <c r="AC20" s="35">
        <f>'FS Desroches Daily'!AZ22</f>
        <v>40.000000000020464</v>
      </c>
      <c r="AD20" s="35">
        <f>'FS Desroches Daily'!BB22</f>
        <v>19.99999999998181</v>
      </c>
      <c r="AE20" s="35">
        <f>'FS Desroches Daily'!BD22</f>
        <v>20.000000000010232</v>
      </c>
      <c r="AF20" s="31">
        <f>'FS Desroches Daily'!BF22</f>
        <v>28</v>
      </c>
      <c r="AG20" s="32">
        <f>'FS Desroches Daily'!BH22</f>
        <v>40.000000000020464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30.000000000029559</v>
      </c>
      <c r="AL20" s="32">
        <f>'FS Desroches Daily'!BR22</f>
        <v>35</v>
      </c>
      <c r="AM20" s="32">
        <f>'FS Desroches Daily'!BT22</f>
        <v>0</v>
      </c>
      <c r="AN20" s="32">
        <f>'FS Desroches Daily'!BV22</f>
        <v>38</v>
      </c>
      <c r="AO20" s="32">
        <f>'FS Desroches Daily'!BX22</f>
        <v>20.000000000010232</v>
      </c>
      <c r="AP20" s="32">
        <f>'FS Desroches Daily'!BZ22</f>
        <v>54</v>
      </c>
      <c r="AQ20" s="31">
        <f>'FS Desroches Daily'!CB22</f>
        <v>30.900000000001455</v>
      </c>
      <c r="AR20" s="31">
        <f>'FS Desroches Daily'!CD22</f>
        <v>6.5</v>
      </c>
      <c r="AS20" s="31">
        <f>'FS Desroches Daily'!CF22</f>
        <v>0.3000000000001819</v>
      </c>
      <c r="AT20" s="31">
        <f>'FS Desroches Daily'!CH22</f>
        <v>30.400000000001455</v>
      </c>
      <c r="AU20" s="31">
        <f>'FS Desroches Daily'!CJ22</f>
        <v>269</v>
      </c>
      <c r="AV20" s="31">
        <f>'FS Desroches Daily'!CL22</f>
        <v>779.99999999997272</v>
      </c>
      <c r="AW20" s="31">
        <f>'FS Desroches Daily'!CM22</f>
        <v>84.399999999999636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1900.0000000000127</v>
      </c>
      <c r="F21" s="32">
        <f>'FS Desroches Daily'!F23</f>
        <v>2699.9999999999245</v>
      </c>
      <c r="G21" s="31">
        <f>'FS Desroches Daily'!H23</f>
        <v>2499.9999999999468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999.99999999988984</v>
      </c>
      <c r="K21" s="13">
        <f>'FS Desroches Daily'!P23</f>
        <v>9</v>
      </c>
      <c r="L21" s="31">
        <f>'FS Desroches Daily'!R23</f>
        <v>2</v>
      </c>
      <c r="M21" s="31">
        <f>'FS Desroches Daily'!T23</f>
        <v>797.40000000002328</v>
      </c>
      <c r="N21" s="31">
        <f>'FS Desroches Daily'!V23</f>
        <v>323.10000000003492</v>
      </c>
      <c r="O21" s="31">
        <f>'FS Desroches Daily'!X23</f>
        <v>280.00000000002956</v>
      </c>
      <c r="P21" s="31">
        <f>'FS Desroches Daily'!Z23</f>
        <v>2399.9999999997358</v>
      </c>
      <c r="Q21" s="31">
        <f>'FS Desroches Daily'!AB23</f>
        <v>340.00000000003183</v>
      </c>
      <c r="R21" s="31">
        <f>'FS Desroches Daily'!AD23</f>
        <v>250</v>
      </c>
      <c r="S21" s="31">
        <f>'FS Desroches Daily'!AF23</f>
        <v>279.99999999997272</v>
      </c>
      <c r="T21" s="31">
        <f>'FS Desroches Daily'!AH23</f>
        <v>37</v>
      </c>
      <c r="U21" s="35">
        <f>'FS Desroches Daily'!AJ23</f>
        <v>759.99999999999091</v>
      </c>
      <c r="V21" s="35">
        <f>'FS Desroches Daily'!AL23</f>
        <v>180.00000000000682</v>
      </c>
      <c r="W21" s="35">
        <f>'FS Desroches Daily'!AN23</f>
        <v>229.99999999998977</v>
      </c>
      <c r="X21" s="35">
        <f>'FS Desroches Daily'!AP23</f>
        <v>99.999999999994316</v>
      </c>
      <c r="Y21" s="35">
        <f>'FS Desroches Daily'!AR23</f>
        <v>120.00000000000455</v>
      </c>
      <c r="Z21" s="35">
        <f>'FS Desroches Daily'!AT23</f>
        <v>259.99999999999091</v>
      </c>
      <c r="AA21" s="35">
        <f>'FS Desroches Daily'!AT23</f>
        <v>259.99999999999091</v>
      </c>
      <c r="AB21" s="35">
        <f>'FS Desroches Daily'!AV23</f>
        <v>69.999999999993179</v>
      </c>
      <c r="AC21" s="35">
        <f>'FS Desroches Daily'!AZ23</f>
        <v>49.999999999954525</v>
      </c>
      <c r="AD21" s="35">
        <f>'FS Desroches Daily'!BB23</f>
        <v>29.999999999972715</v>
      </c>
      <c r="AE21" s="35">
        <f>'FS Desroches Daily'!BD23</f>
        <v>39.999999999992042</v>
      </c>
      <c r="AF21" s="31">
        <f>'FS Desroches Daily'!BF23</f>
        <v>20</v>
      </c>
      <c r="AG21" s="32">
        <f>'FS Desroches Daily'!BH23</f>
        <v>49.999999999982947</v>
      </c>
      <c r="AH21" s="32">
        <f>'FS Desroches Daily'!BJ23</f>
        <v>29.999999999972715</v>
      </c>
      <c r="AI21" s="32">
        <f>'FS Desroches Daily'!BL23</f>
        <v>39.999999999992042</v>
      </c>
      <c r="AJ21" s="32">
        <f>'FS Desroches Daily'!BN23</f>
        <v>50.000000000011369</v>
      </c>
      <c r="AK21" s="32">
        <f>'FS Desroches Daily'!BP23</f>
        <v>19.99999999998181</v>
      </c>
      <c r="AL21" s="32">
        <f>'FS Desroches Daily'!BR23</f>
        <v>40</v>
      </c>
      <c r="AM21" s="32">
        <f>'FS Desroches Daily'!BT23</f>
        <v>50.000000000011369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75</v>
      </c>
      <c r="AQ21" s="31">
        <f>'FS Desroches Daily'!CB23</f>
        <v>43.599999999998545</v>
      </c>
      <c r="AR21" s="31">
        <f>'FS Desroches Daily'!CD23</f>
        <v>7.0999999999985448</v>
      </c>
      <c r="AS21" s="31">
        <f>'FS Desroches Daily'!CF23</f>
        <v>10.599999999999454</v>
      </c>
      <c r="AT21" s="31">
        <f>'FS Desroches Daily'!CH23</f>
        <v>11.69999999999709</v>
      </c>
      <c r="AU21" s="31">
        <f>'FS Desroches Daily'!CJ23</f>
        <v>252</v>
      </c>
      <c r="AV21" s="31">
        <f>'FS Desroches Daily'!CL23</f>
        <v>740.00000000000909</v>
      </c>
      <c r="AW21" s="31">
        <f>'FS Desroches Daily'!CM23</f>
        <v>63.100000000000364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9.1574999999999989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1799.9999999998017</v>
      </c>
      <c r="F22" s="32">
        <f>'FS Desroches Daily'!F24</f>
        <v>2499.9999999999468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2000.0000000002237</v>
      </c>
      <c r="J22" s="32">
        <f>'FS Desroches Daily'!N24</f>
        <v>1000.0000000001119</v>
      </c>
      <c r="K22" s="13">
        <f>'FS Desroches Daily'!P24</f>
        <v>5</v>
      </c>
      <c r="L22" s="31">
        <f>'FS Desroches Daily'!R24</f>
        <v>3</v>
      </c>
      <c r="M22" s="31">
        <f>'FS Desroches Daily'!T24</f>
        <v>647.59999999997672</v>
      </c>
      <c r="N22" s="31">
        <f>'FS Desroches Daily'!V24</f>
        <v>295</v>
      </c>
      <c r="O22" s="31">
        <f>'FS Desroches Daily'!X24</f>
        <v>300.00000000001137</v>
      </c>
      <c r="P22" s="31">
        <f>'FS Desroches Daily'!Z24</f>
        <v>2200.0000000002019</v>
      </c>
      <c r="Q22" s="31">
        <f>'FS Desroches Daily'!AB24</f>
        <v>310.00000000000227</v>
      </c>
      <c r="R22" s="31">
        <f>'FS Desroches Daily'!AD24</f>
        <v>259.99999999999091</v>
      </c>
      <c r="S22" s="31">
        <f>'FS Desroches Daily'!AF24</f>
        <v>360.00000000001364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169.99999999998749</v>
      </c>
      <c r="W22" s="35">
        <f>'FS Desroches Daily'!AN24</f>
        <v>189.99999999999773</v>
      </c>
      <c r="X22" s="35">
        <f>'FS Desroches Daily'!AP24</f>
        <v>120.00000000000455</v>
      </c>
      <c r="Y22" s="35">
        <f>'FS Desroches Daily'!AR24</f>
        <v>80.000000000012506</v>
      </c>
      <c r="Z22" s="35">
        <f>'FS Desroches Daily'!AT24</f>
        <v>230.00000000001819</v>
      </c>
      <c r="AA22" s="35">
        <f>'FS Desroches Daily'!AT24</f>
        <v>230.00000000001819</v>
      </c>
      <c r="AB22" s="35">
        <f>'FS Desroches Daily'!AV24</f>
        <v>60.000000000002274</v>
      </c>
      <c r="AC22" s="35">
        <f>'FS Desroches Daily'!AZ24</f>
        <v>50.000000000011369</v>
      </c>
      <c r="AD22" s="35">
        <f>'FS Desroches Daily'!BB24</f>
        <v>30.000000000029559</v>
      </c>
      <c r="AE22" s="35">
        <f>'FS Desroches Daily'!BD24</f>
        <v>30.000000000001137</v>
      </c>
      <c r="AF22" s="31">
        <f>'FS Desroches Daily'!BF24</f>
        <v>35</v>
      </c>
      <c r="AG22" s="32">
        <f>'FS Desroches Daily'!BH24</f>
        <v>30.000000000001137</v>
      </c>
      <c r="AH22" s="32">
        <f>'FS Desroches Daily'!BJ24</f>
        <v>30.000000000029559</v>
      </c>
      <c r="AI22" s="32">
        <f>'FS Desroches Daily'!BL24</f>
        <v>30.000000000001137</v>
      </c>
      <c r="AJ22" s="32">
        <f>'FS Desroches Daily'!BN24</f>
        <v>30.000000000001137</v>
      </c>
      <c r="AK22" s="32">
        <f>'FS Desroches Daily'!BP24</f>
        <v>30.000000000029559</v>
      </c>
      <c r="AL22" s="32">
        <f>'FS Desroches Daily'!BR24</f>
        <v>29</v>
      </c>
      <c r="AM22" s="32">
        <f>'FS Desroches Daily'!BT24</f>
        <v>29.999999999972715</v>
      </c>
      <c r="AN22" s="32">
        <f>'FS Desroches Daily'!BV24</f>
        <v>38</v>
      </c>
      <c r="AO22" s="32">
        <f>'FS Desroches Daily'!BX24</f>
        <v>30.000000000001137</v>
      </c>
      <c r="AP22" s="32">
        <f>'FS Desroches Daily'!BZ24</f>
        <v>66</v>
      </c>
      <c r="AQ22" s="31">
        <f>'FS Desroches Daily'!CB24</f>
        <v>17.100000000002183</v>
      </c>
      <c r="AR22" s="31">
        <f>'FS Desroches Daily'!CD24</f>
        <v>5.7000000000007276</v>
      </c>
      <c r="AS22" s="31">
        <f>'FS Desroches Daily'!CF24</f>
        <v>7.5</v>
      </c>
      <c r="AT22" s="31">
        <f>'FS Desroches Daily'!CH24</f>
        <v>32.30000000000291</v>
      </c>
      <c r="AU22" s="31">
        <f>'FS Desroches Daily'!CJ24</f>
        <v>290</v>
      </c>
      <c r="AV22" s="31">
        <f>'FS Desroches Daily'!CL24</f>
        <v>790.00000000007731</v>
      </c>
      <c r="AW22" s="31">
        <f>'FS Desroches Daily'!CM24</f>
        <v>66.699999999998909</v>
      </c>
      <c r="AX22" s="31">
        <f>IF(LPG!F29-LPG!F28&lt;0,"0",(LPG!F29-LPG!F28)*1.8315)</f>
        <v>9.1574999999999989</v>
      </c>
      <c r="AY22" s="31">
        <f>IF(LPG!H29-LPG!H28&lt;0,"0",(LPG!H29-LPG!H28)*1.8315)</f>
        <v>1.8314999999999999</v>
      </c>
      <c r="AZ22" s="31">
        <f>IF(LPG!J29-LPG!J28&lt;0,"0",(LPG!J29-LPG!J28)*1.8315)</f>
        <v>5.4944999999999995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1800.0000000002458</v>
      </c>
      <c r="F23" s="32">
        <f>'FS Desroches Daily'!F25</f>
        <v>2600.0000000001578</v>
      </c>
      <c r="G23" s="31">
        <f>'FS Desroches Daily'!H25</f>
        <v>2699.9999999999245</v>
      </c>
      <c r="H23" s="32">
        <f>'FS Desroches Daily'!J25</f>
        <v>1199.9999999998679</v>
      </c>
      <c r="I23" s="31">
        <f>'FS Desroches Daily'!L25</f>
        <v>1999.9999999997797</v>
      </c>
      <c r="J23" s="32">
        <f>'FS Desroches Daily'!N25</f>
        <v>899.99999999990087</v>
      </c>
      <c r="K23" s="13">
        <f>'FS Desroches Daily'!P25</f>
        <v>8</v>
      </c>
      <c r="L23" s="31">
        <f>'FS Desroches Daily'!R25</f>
        <v>3</v>
      </c>
      <c r="M23" s="31">
        <f>'FS Desroches Daily'!T25</f>
        <v>787.19999999995343</v>
      </c>
      <c r="N23" s="31">
        <f>'FS Desroches Daily'!V25</f>
        <v>278.39999999996508</v>
      </c>
      <c r="O23" s="31">
        <f>'FS Desroches Daily'!X25</f>
        <v>279.99999999997272</v>
      </c>
      <c r="P23" s="31">
        <f>'FS Desroches Daily'!Z25</f>
        <v>2299.9999999999686</v>
      </c>
      <c r="Q23" s="31">
        <f>'FS Desroches Daily'!AB25</f>
        <v>189.99999999999773</v>
      </c>
      <c r="R23" s="31">
        <f>'FS Desroches Daily'!AD25</f>
        <v>269.99999999998181</v>
      </c>
      <c r="S23" s="31">
        <f>'FS Desroches Daily'!AF25</f>
        <v>290.00000000007731</v>
      </c>
      <c r="T23" s="31">
        <f>'FS Desroches Daily'!AH25</f>
        <v>35</v>
      </c>
      <c r="U23" s="35">
        <f>'FS Desroches Daily'!AJ25</f>
        <v>519.99999999998181</v>
      </c>
      <c r="V23" s="35">
        <f>'FS Desroches Daily'!AL25</f>
        <v>180.00000000000682</v>
      </c>
      <c r="W23" s="35">
        <f>'FS Desroches Daily'!AN25</f>
        <v>189.99999999999773</v>
      </c>
      <c r="X23" s="35">
        <f>'FS Desroches Daily'!AP25</f>
        <v>120.00000000000455</v>
      </c>
      <c r="Y23" s="35">
        <f>'FS Desroches Daily'!AR25</f>
        <v>79.999999999984084</v>
      </c>
      <c r="Z23" s="35">
        <f>'FS Desroches Daily'!AT25</f>
        <v>209.99999999997954</v>
      </c>
      <c r="AA23" s="35">
        <f>'FS Desroches Daily'!AT25</f>
        <v>209.99999999997954</v>
      </c>
      <c r="AB23" s="35">
        <f>'FS Desroches Daily'!AV25</f>
        <v>40.000000000020464</v>
      </c>
      <c r="AC23" s="35">
        <f>'FS Desroches Daily'!AZ25</f>
        <v>40.000000000020464</v>
      </c>
      <c r="AD23" s="35">
        <f>'FS Desroches Daily'!BB25</f>
        <v>19.99999999998181</v>
      </c>
      <c r="AE23" s="35">
        <f>'FS Desroches Daily'!BD25</f>
        <v>19.99999999998181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19.99999999998181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19.99999999998181</v>
      </c>
      <c r="AL23" s="32">
        <f>'FS Desroches Daily'!BR25</f>
        <v>25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30.000000000001137</v>
      </c>
      <c r="AP23" s="32">
        <f>'FS Desroches Daily'!BZ25</f>
        <v>58</v>
      </c>
      <c r="AQ23" s="31">
        <f>'FS Desroches Daily'!CB25</f>
        <v>48</v>
      </c>
      <c r="AR23" s="31">
        <f>'FS Desroches Daily'!CD25</f>
        <v>6.8999999999996362</v>
      </c>
      <c r="AS23" s="31">
        <f>'FS Desroches Daily'!CF25</f>
        <v>2.3000000000001819</v>
      </c>
      <c r="AT23" s="31">
        <f>'FS Desroches Daily'!CH25</f>
        <v>18.099999999998545</v>
      </c>
      <c r="AU23" s="31">
        <f>'FS Desroches Daily'!CJ25</f>
        <v>280</v>
      </c>
      <c r="AV23" s="31">
        <f>'FS Desroches Daily'!CL25</f>
        <v>799.99999999995453</v>
      </c>
      <c r="AW23" s="31">
        <f>'FS Desroches Daily'!CM25</f>
        <v>58.100000000000364</v>
      </c>
      <c r="AX23" s="31">
        <f>IF(LPG!F30-LPG!F29&lt;0,"0",(LPG!F30-LPG!F29)*1.8315)</f>
        <v>9.1574999999999989</v>
      </c>
      <c r="AY23" s="31">
        <f>IF(LPG!H30-LPG!H29&lt;0,"0",(LPG!H30-LPG!H29)*1.8315)</f>
        <v>3.6629999999999998</v>
      </c>
      <c r="AZ23" s="31">
        <f>IF(LPG!J30-LPG!J29&lt;0,"0",(LPG!J30-LPG!J29)*1.8315)</f>
        <v>1.8314999999999999</v>
      </c>
      <c r="BA23" s="31">
        <f>IF(LPG!M30-LPG!M29&lt;0,"0",(LPG!M30-LPG!M29)*1.8315)</f>
        <v>1.8314999999999999</v>
      </c>
      <c r="BB23" s="31">
        <f>IF(LPG!Q30-LPG!Q29&lt;0,"0",(LPG!Q30-LPG!Q29)*1.8315)</f>
        <v>5.4944999999999995</v>
      </c>
      <c r="BC23" s="13">
        <f>'FS Desroches Daily'!CN25</f>
        <v>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1499.9999999996128</v>
      </c>
      <c r="F24" s="32">
        <f>'FS Desroches Daily'!F26</f>
        <v>2599.9999999997135</v>
      </c>
      <c r="G24" s="31">
        <f>'FS Desroches Daily'!H26</f>
        <v>2400.0000000001796</v>
      </c>
      <c r="H24" s="32">
        <f>'FS Desroches Daily'!J26</f>
        <v>1100.000000000101</v>
      </c>
      <c r="I24" s="31">
        <f>'FS Desroches Daily'!L26</f>
        <v>1900.0000000000127</v>
      </c>
      <c r="J24" s="32">
        <f>'FS Desroches Daily'!N26</f>
        <v>800.00000000013392</v>
      </c>
      <c r="K24" s="13">
        <f>'FS Desroches Daily'!P26</f>
        <v>0</v>
      </c>
      <c r="L24" s="31">
        <f>'FS Desroches Daily'!R26</f>
        <v>1</v>
      </c>
      <c r="M24" s="31">
        <f>'FS Desroches Daily'!T26</f>
        <v>892</v>
      </c>
      <c r="N24" s="31">
        <f>'FS Desroches Daily'!V26</f>
        <v>309.40000000002328</v>
      </c>
      <c r="O24" s="31">
        <f>'FS Desroches Daily'!X26</f>
        <v>270.00000000003865</v>
      </c>
      <c r="P24" s="31">
        <f>'FS Desroches Daily'!Z26</f>
        <v>2299.9999999999686</v>
      </c>
      <c r="Q24" s="31">
        <f>'FS Desroches Daily'!AB26</f>
        <v>289.99999999996362</v>
      </c>
      <c r="R24" s="31">
        <f>'FS Desroches Daily'!AD26</f>
        <v>170.00000000001592</v>
      </c>
      <c r="S24" s="31">
        <f>'FS Desroches Daily'!AF26</f>
        <v>259.99999999999091</v>
      </c>
      <c r="T24" s="31">
        <f>'FS Desroches Daily'!AH26</f>
        <v>33</v>
      </c>
      <c r="U24" s="35">
        <f>'FS Desroches Daily'!AJ26</f>
        <v>450.00000000004547</v>
      </c>
      <c r="V24" s="35">
        <f>'FS Desroches Daily'!AL26</f>
        <v>169.99999999998749</v>
      </c>
      <c r="W24" s="35">
        <f>'FS Desroches Daily'!AN26</f>
        <v>140.00000000001478</v>
      </c>
      <c r="X24" s="35">
        <f>'FS Desroches Daily'!AP26</f>
        <v>109.99999999998522</v>
      </c>
      <c r="Y24" s="35">
        <f>'FS Desroches Daily'!AR26</f>
        <v>60.000000000002274</v>
      </c>
      <c r="Z24" s="35">
        <f>'FS Desroches Daily'!AT26</f>
        <v>150.00000000003411</v>
      </c>
      <c r="AA24" s="35">
        <f>'FS Desroches Daily'!AT26</f>
        <v>150.00000000003411</v>
      </c>
      <c r="AB24" s="35">
        <f>'FS Desroches Daily'!AV26</f>
        <v>60.000000000002274</v>
      </c>
      <c r="AC24" s="35">
        <f>'FS Desroches Daily'!AZ26</f>
        <v>50.000000000011369</v>
      </c>
      <c r="AD24" s="35">
        <f>'FS Desroches Daily'!BB26</f>
        <v>19.99999999998181</v>
      </c>
      <c r="AE24" s="35">
        <f>'FS Desroches Daily'!BD26</f>
        <v>20.000000000010232</v>
      </c>
      <c r="AF24" s="31">
        <f>'FS Desroches Daily'!BF26</f>
        <v>26</v>
      </c>
      <c r="AG24" s="32">
        <f>'FS Desroches Daily'!BH26</f>
        <v>30.000000000001137</v>
      </c>
      <c r="AH24" s="32">
        <f>'FS Desroches Daily'!BJ26</f>
        <v>29.999999999972715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29.999999999972715</v>
      </c>
      <c r="AL24" s="32">
        <f>'FS Desroches Daily'!BR26</f>
        <v>23</v>
      </c>
      <c r="AM24" s="32">
        <f>'FS Desroches Daily'!BT26</f>
        <v>9.9999999999909051</v>
      </c>
      <c r="AN24" s="32">
        <f>'FS Desroches Daily'!BV26</f>
        <v>37</v>
      </c>
      <c r="AO24" s="32">
        <f>'FS Desroches Daily'!BX26</f>
        <v>20.000000000010232</v>
      </c>
      <c r="AP24" s="32">
        <f>'FS Desroches Daily'!BZ26</f>
        <v>45</v>
      </c>
      <c r="AQ24" s="31">
        <f>'FS Desroches Daily'!CB26</f>
        <v>60.799999999999272</v>
      </c>
      <c r="AR24" s="31">
        <f>'FS Desroches Daily'!CD26</f>
        <v>6.3999999999996362</v>
      </c>
      <c r="AS24" s="31">
        <f>'FS Desroches Daily'!CF26</f>
        <v>8.3999999999996362</v>
      </c>
      <c r="AT24" s="31">
        <f>'FS Desroches Daily'!CH26</f>
        <v>33.700000000004366</v>
      </c>
      <c r="AU24" s="31">
        <f>'FS Desroches Daily'!CJ26</f>
        <v>271</v>
      </c>
      <c r="AV24" s="31">
        <f>'FS Desroches Daily'!CL26</f>
        <v>669.99999999995907</v>
      </c>
      <c r="AW24" s="31">
        <f>'FS Desroches Daily'!CM26</f>
        <v>58.600000000000364</v>
      </c>
      <c r="AX24" s="31">
        <f>IF(LPG!F31-LPG!F30&lt;0,"0",(LPG!F31-LPG!F30)*1.8315)</f>
        <v>9.1574999999999989</v>
      </c>
      <c r="AY24" s="31">
        <f>IF(LPG!H31-LPG!H30&lt;0,"0",(LPG!H31-LPG!H30)*1.8315)</f>
        <v>1.8314999999999999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8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1700.0000000000348</v>
      </c>
      <c r="F25" s="32">
        <f>'FS Desroches Daily'!F27</f>
        <v>2800.0000000001355</v>
      </c>
      <c r="G25" s="31">
        <f>'FS Desroches Daily'!H27</f>
        <v>2400.0000000001796</v>
      </c>
      <c r="H25" s="32">
        <f>'FS Desroches Daily'!J27</f>
        <v>1299.9999999998568</v>
      </c>
      <c r="I25" s="31">
        <f>'FS Desroches Daily'!L27</f>
        <v>999.99999999988984</v>
      </c>
      <c r="J25" s="32">
        <f>'FS Desroches Daily'!N27</f>
        <v>799.99999999991189</v>
      </c>
      <c r="K25" s="13">
        <f>'FS Desroches Daily'!P27</f>
        <v>5</v>
      </c>
      <c r="L25" s="31">
        <f>'FS Desroches Daily'!R27</f>
        <v>2</v>
      </c>
      <c r="M25" s="31">
        <f>'FS Desroches Daily'!T27</f>
        <v>603.40000000002328</v>
      </c>
      <c r="N25" s="31">
        <f>'FS Desroches Daily'!V27</f>
        <v>266.20000000001164</v>
      </c>
      <c r="O25" s="31">
        <f>'FS Desroches Daily'!X27</f>
        <v>279.99999999997272</v>
      </c>
      <c r="P25" s="31">
        <f>'FS Desroches Daily'!Z27</f>
        <v>2499.9999999999468</v>
      </c>
      <c r="Q25" s="31">
        <f>'FS Desroches Daily'!AB27</f>
        <v>160.00000000002501</v>
      </c>
      <c r="R25" s="31">
        <f>'FS Desroches Daily'!AD27</f>
        <v>230.00000000001819</v>
      </c>
      <c r="S25" s="31">
        <f>'FS Desroches Daily'!AF27</f>
        <v>279.99999999997272</v>
      </c>
      <c r="T25" s="31">
        <f>'FS Desroches Daily'!AH27</f>
        <v>35</v>
      </c>
      <c r="U25" s="35">
        <f>'FS Desroches Daily'!AJ27</f>
        <v>529.99999999997272</v>
      </c>
      <c r="V25" s="35">
        <f>'FS Desroches Daily'!AL27</f>
        <v>180.00000000000682</v>
      </c>
      <c r="W25" s="35">
        <f>'FS Desroches Daily'!AN27</f>
        <v>149.99999999997726</v>
      </c>
      <c r="X25" s="35">
        <f>'FS Desroches Daily'!AP27</f>
        <v>120.00000000000455</v>
      </c>
      <c r="Y25" s="35">
        <f>'FS Desroches Daily'!AR27</f>
        <v>80.000000000012506</v>
      </c>
      <c r="Z25" s="35">
        <f>'FS Desroches Daily'!AT27</f>
        <v>129.99999999999545</v>
      </c>
      <c r="AA25" s="35">
        <f>'FS Desroches Daily'!AT27</f>
        <v>129.99999999999545</v>
      </c>
      <c r="AB25" s="35">
        <f>'FS Desroches Daily'!AV27</f>
        <v>60.000000000002274</v>
      </c>
      <c r="AC25" s="35">
        <f>'FS Desroches Daily'!AZ27</f>
        <v>60.000000000002274</v>
      </c>
      <c r="AD25" s="35">
        <f>'FS Desroches Daily'!BB27</f>
        <v>30.000000000029559</v>
      </c>
      <c r="AE25" s="35">
        <f>'FS Desroches Daily'!BD27</f>
        <v>39.999999999992042</v>
      </c>
      <c r="AF25" s="31">
        <f>'FS Desroches Daily'!BF27</f>
        <v>20</v>
      </c>
      <c r="AG25" s="32">
        <f>'FS Desroches Daily'!BH27</f>
        <v>40.000000000020464</v>
      </c>
      <c r="AH25" s="32">
        <f>'FS Desroches Daily'!BJ27</f>
        <v>30.000000000029559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30.000000000029559</v>
      </c>
      <c r="AL25" s="32">
        <f>'FS Desroches Daily'!BR27</f>
        <v>27</v>
      </c>
      <c r="AM25" s="32">
        <f>'FS Desroches Daily'!BT27</f>
        <v>20.000000000010232</v>
      </c>
      <c r="AN25" s="32">
        <f>'FS Desroches Daily'!BV27</f>
        <v>36</v>
      </c>
      <c r="AO25" s="32">
        <f>'FS Desroches Daily'!BX27</f>
        <v>19.99999999998181</v>
      </c>
      <c r="AP25" s="32">
        <f>'FS Desroches Daily'!BZ27</f>
        <v>57</v>
      </c>
      <c r="AQ25" s="31">
        <f>'FS Desroches Daily'!CB27</f>
        <v>28.099999999998545</v>
      </c>
      <c r="AR25" s="31">
        <f>'FS Desroches Daily'!CD27</f>
        <v>4</v>
      </c>
      <c r="AS25" s="31">
        <f>'FS Desroches Daily'!CF27</f>
        <v>8.1000000000003638</v>
      </c>
      <c r="AT25" s="31">
        <f>'FS Desroches Daily'!CH27</f>
        <v>38.299999999995634</v>
      </c>
      <c r="AU25" s="31">
        <f>'FS Desroches Daily'!CJ27</f>
        <v>294</v>
      </c>
      <c r="AV25" s="31">
        <f>'FS Desroches Daily'!CL27</f>
        <v>580.00000000004093</v>
      </c>
      <c r="AW25" s="31">
        <f>'FS Desroches Daily'!CM27</f>
        <v>69.100000000000364</v>
      </c>
      <c r="AX25" s="31">
        <f>IF(LPG!F32-LPG!F31&lt;0,"0",(LPG!F32-LPG!F31)*1.8315)</f>
        <v>7.3259999999999996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5.4944999999999995</v>
      </c>
      <c r="BC25" s="13">
        <f>'FS Desroches Daily'!CN27</f>
        <v>8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1700.0000000000348</v>
      </c>
      <c r="F26" s="32">
        <f>'FS Desroches Daily'!F28</f>
        <v>2600.0000000001578</v>
      </c>
      <c r="G26" s="31">
        <f>'FS Desroches Daily'!H28</f>
        <v>2199.9999999997576</v>
      </c>
      <c r="H26" s="32">
        <f>'FS Desroches Daily'!J28</f>
        <v>1200.0000000000898</v>
      </c>
      <c r="I26" s="31">
        <f>'FS Desroches Daily'!L28</f>
        <v>3000.0000000001137</v>
      </c>
      <c r="J26" s="32">
        <f>'FS Desroches Daily'!N28</f>
        <v>900.0000000001229</v>
      </c>
      <c r="K26" s="13">
        <f>'FS Desroches Daily'!P28</f>
        <v>4</v>
      </c>
      <c r="L26" s="31">
        <f>'FS Desroches Daily'!R28</f>
        <v>2</v>
      </c>
      <c r="M26" s="31">
        <f>'FS Desroches Daily'!T28</f>
        <v>546.59999999997672</v>
      </c>
      <c r="N26" s="31">
        <f>'FS Desroches Daily'!V28</f>
        <v>252.89999999996508</v>
      </c>
      <c r="O26" s="31">
        <f>'FS Desroches Daily'!X28</f>
        <v>240.00000000000909</v>
      </c>
      <c r="P26" s="31">
        <f>'FS Desroches Daily'!Z28</f>
        <v>2299.9999999999686</v>
      </c>
      <c r="Q26" s="31">
        <f>'FS Desroches Daily'!AB28</f>
        <v>289.99999999996362</v>
      </c>
      <c r="R26" s="31">
        <f>'FS Desroches Daily'!AD28</f>
        <v>229.99999999996135</v>
      </c>
      <c r="S26" s="31">
        <f>'FS Desroches Daily'!AF28</f>
        <v>320.00000000005002</v>
      </c>
      <c r="T26" s="31">
        <f>'FS Desroches Daily'!AH28</f>
        <v>34</v>
      </c>
      <c r="U26" s="35">
        <f>'FS Desroches Daily'!AJ28</f>
        <v>519.99999999998181</v>
      </c>
      <c r="V26" s="35">
        <f>'FS Desroches Daily'!AL28</f>
        <v>189.99999999999773</v>
      </c>
      <c r="W26" s="35">
        <f>'FS Desroches Daily'!AN28</f>
        <v>150.00000000000568</v>
      </c>
      <c r="X26" s="35">
        <f>'FS Desroches Daily'!AP28</f>
        <v>189.99999999999773</v>
      </c>
      <c r="Y26" s="35">
        <f>'FS Desroches Daily'!AR28</f>
        <v>79.999999999984084</v>
      </c>
      <c r="Z26" s="35">
        <f>'FS Desroches Daily'!AT28</f>
        <v>99.999999999965894</v>
      </c>
      <c r="AA26" s="35">
        <f>'FS Desroches Daily'!AT28</f>
        <v>99.999999999965894</v>
      </c>
      <c r="AB26" s="35">
        <f>'FS Desroches Daily'!AV28</f>
        <v>39.99999999996362</v>
      </c>
      <c r="AC26" s="35">
        <f>'FS Desroches Daily'!AZ28</f>
        <v>49.999999999954525</v>
      </c>
      <c r="AD26" s="35">
        <f>'FS Desroches Daily'!BB28</f>
        <v>29.999999999972715</v>
      </c>
      <c r="AE26" s="35">
        <f>'FS Desroches Daily'!BD28</f>
        <v>20.000000000010232</v>
      </c>
      <c r="AF26" s="31">
        <f>'FS Desroches Daily'!BF28</f>
        <v>49</v>
      </c>
      <c r="AG26" s="32">
        <f>'FS Desroches Daily'!BH28</f>
        <v>39.999999999992042</v>
      </c>
      <c r="AH26" s="32">
        <f>'FS Desroches Daily'!BJ28</f>
        <v>9.9999999999909051</v>
      </c>
      <c r="AI26" s="32">
        <f>'FS Desroches Daily'!BL28</f>
        <v>30.000000000001137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25</v>
      </c>
      <c r="AM26" s="32">
        <f>'FS Desroches Daily'!BT28</f>
        <v>20.000000000010232</v>
      </c>
      <c r="AN26" s="32">
        <f>'FS Desroches Daily'!BV28</f>
        <v>35</v>
      </c>
      <c r="AO26" s="32">
        <f>'FS Desroches Daily'!BX28</f>
        <v>30.000000000001137</v>
      </c>
      <c r="AP26" s="32">
        <f>'FS Desroches Daily'!BZ28</f>
        <v>41</v>
      </c>
      <c r="AQ26" s="31">
        <f>'FS Desroches Daily'!CB28</f>
        <v>25.700000000000728</v>
      </c>
      <c r="AR26" s="31">
        <f>'FS Desroches Daily'!CD28</f>
        <v>6.8000000000010914</v>
      </c>
      <c r="AS26" s="31">
        <f>'FS Desroches Daily'!CF28</f>
        <v>0</v>
      </c>
      <c r="AT26" s="31">
        <f>'FS Desroches Daily'!CH28</f>
        <v>37.30000000000291</v>
      </c>
      <c r="AU26" s="31">
        <f>'FS Desroches Daily'!CJ28</f>
        <v>326</v>
      </c>
      <c r="AV26" s="31">
        <f>'FS Desroches Daily'!CL28</f>
        <v>529.99999999997272</v>
      </c>
      <c r="AW26" s="31">
        <f>'FS Desroches Daily'!CM28</f>
        <v>54.600000000000364</v>
      </c>
      <c r="AX26" s="31">
        <f>IF(LPG!F33-LPG!F32&lt;0,"0",(LPG!F33-LPG!F32)*1.8315)</f>
        <v>10.988999999999999</v>
      </c>
      <c r="AY26" s="31">
        <f>IF(LPG!H33-LPG!H32&lt;0,"0",(LPG!H33-LPG!H32)*1.8315)</f>
        <v>3.6629999999999998</v>
      </c>
      <c r="AZ26" s="31">
        <f>IF(LPG!J33-LPG!J32&lt;0,"0",(LPG!J33-LPG!J32)*1.8315)</f>
        <v>1.8314999999999999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1800.0000000002458</v>
      </c>
      <c r="F27" s="32">
        <f>'FS Desroches Daily'!F29</f>
        <v>2799.9999999996917</v>
      </c>
      <c r="G27" s="31">
        <f>'FS Desroches Daily'!H29</f>
        <v>2400.0000000001796</v>
      </c>
      <c r="H27" s="32">
        <f>'FS Desroches Daily'!J29</f>
        <v>1400.0000000000678</v>
      </c>
      <c r="I27" s="31">
        <f>'FS Desroches Daily'!L29</f>
        <v>2000.0000000002237</v>
      </c>
      <c r="J27" s="32">
        <f>'FS Desroches Daily'!N29</f>
        <v>899.99999999990087</v>
      </c>
      <c r="K27" s="13">
        <f>'FS Desroches Daily'!P29</f>
        <v>9</v>
      </c>
      <c r="L27" s="31">
        <f>'FS Desroches Daily'!R29</f>
        <v>3</v>
      </c>
      <c r="M27" s="31">
        <f>'FS Desroches Daily'!T29</f>
        <v>809</v>
      </c>
      <c r="N27" s="31">
        <f>'FS Desroches Daily'!V29</f>
        <v>304.90000000002328</v>
      </c>
      <c r="O27" s="31">
        <f>'FS Desroches Daily'!X29</f>
        <v>279.99999999997272</v>
      </c>
      <c r="P27" s="31">
        <f>'FS Desroches Daily'!Z29</f>
        <v>2600.0000000001578</v>
      </c>
      <c r="Q27" s="31">
        <f>'FS Desroches Daily'!AB29</f>
        <v>260.00000000004775</v>
      </c>
      <c r="R27" s="31">
        <f>'FS Desroches Daily'!AD29</f>
        <v>260.00000000004775</v>
      </c>
      <c r="S27" s="31">
        <f>'FS Desroches Daily'!AF29</f>
        <v>549.99999999995453</v>
      </c>
      <c r="T27" s="31">
        <f>'FS Desroches Daily'!AH29</f>
        <v>33</v>
      </c>
      <c r="U27" s="35">
        <f>'FS Desroches Daily'!AJ29</f>
        <v>730.00000000001819</v>
      </c>
      <c r="V27" s="35">
        <f>'FS Desroches Daily'!AL29</f>
        <v>189.99999999999773</v>
      </c>
      <c r="W27" s="35">
        <f>'FS Desroches Daily'!AN29</f>
        <v>159.99999999999659</v>
      </c>
      <c r="X27" s="35">
        <f>'FS Desroches Daily'!AP29</f>
        <v>219.99999999999886</v>
      </c>
      <c r="Y27" s="35">
        <f>'FS Desroches Daily'!AR29</f>
        <v>60.000000000002274</v>
      </c>
      <c r="Z27" s="35">
        <f>'FS Desroches Daily'!AT29</f>
        <v>110.00000000001364</v>
      </c>
      <c r="AA27" s="35">
        <f>'FS Desroches Daily'!AT29</f>
        <v>110.00000000001364</v>
      </c>
      <c r="AB27" s="35">
        <f>'FS Desroches Daily'!AV29</f>
        <v>60.000000000002274</v>
      </c>
      <c r="AC27" s="35">
        <f>'FS Desroches Daily'!AZ29</f>
        <v>40.000000000020464</v>
      </c>
      <c r="AD27" s="35">
        <f>'FS Desroches Daily'!BB29</f>
        <v>20.000000000038654</v>
      </c>
      <c r="AE27" s="35">
        <f>'FS Desroches Daily'!BD29</f>
        <v>30.000000000001137</v>
      </c>
      <c r="AF27" s="31" t="str">
        <f>'FS Desroches Daily'!BF29</f>
        <v/>
      </c>
      <c r="AG27" s="32">
        <f>'FS Desroches Daily'!BH29</f>
        <v>60.000000000002274</v>
      </c>
      <c r="AH27" s="32">
        <f>'FS Desroches Daily'!BJ29</f>
        <v>30.000000000029559</v>
      </c>
      <c r="AI27" s="32">
        <f>'FS Desroches Daily'!BL29</f>
        <v>20.000000000010232</v>
      </c>
      <c r="AJ27" s="32">
        <f>'FS Desroches Daily'!BN29</f>
        <v>39.999999999992042</v>
      </c>
      <c r="AK27" s="32">
        <f>'FS Desroches Daily'!BP29</f>
        <v>30.000000000029559</v>
      </c>
      <c r="AL27" s="32">
        <f>'FS Desroches Daily'!BR29</f>
        <v>25</v>
      </c>
      <c r="AM27" s="32">
        <f>'FS Desroches Daily'!BT29</f>
        <v>30.000000000001137</v>
      </c>
      <c r="AN27" s="32">
        <f>'FS Desroches Daily'!BV29</f>
        <v>39</v>
      </c>
      <c r="AO27" s="32">
        <f>'FS Desroches Daily'!BX29</f>
        <v>30.000000000001137</v>
      </c>
      <c r="AP27" s="32">
        <f>'FS Desroches Daily'!BZ29</f>
        <v>65</v>
      </c>
      <c r="AQ27" s="31">
        <f>'FS Desroches Daily'!CB29</f>
        <v>18.100000000002183</v>
      </c>
      <c r="AR27" s="31">
        <f>'FS Desroches Daily'!CD29</f>
        <v>8.6000000000003638</v>
      </c>
      <c r="AS27" s="31">
        <f>'FS Desroches Daily'!CF29</f>
        <v>2.3000000000001819</v>
      </c>
      <c r="AT27" s="31">
        <f>'FS Desroches Daily'!CH29</f>
        <v>36.69999999999709</v>
      </c>
      <c r="AU27" s="31">
        <f>'FS Desroches Daily'!CJ29</f>
        <v>370</v>
      </c>
      <c r="AV27" s="31">
        <f>'FS Desroches Daily'!CL29</f>
        <v>590.00000000003183</v>
      </c>
      <c r="AW27" s="31">
        <f>'FS Desroches Daily'!CM29</f>
        <v>57.799999999999272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str">
        <f>'FS Desroches Daily'!T30</f>
        <v/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>
        <f>'FS Desroches Daily'!BF30</f>
        <v>0</v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48500.000000000218</v>
      </c>
      <c r="F33" s="17">
        <f t="shared" ref="F33:BC33" si="1">SUM(F2:F32)</f>
        <v>71799.99999999968</v>
      </c>
      <c r="G33" s="17">
        <f t="shared" si="1"/>
        <v>66000.000000000306</v>
      </c>
      <c r="H33" s="17">
        <f t="shared" si="1"/>
        <v>33100.000000000138</v>
      </c>
      <c r="I33" s="17">
        <f t="shared" si="1"/>
        <v>53400.000000000357</v>
      </c>
      <c r="J33" s="17">
        <f t="shared" si="1"/>
        <v>24699.999999999953</v>
      </c>
      <c r="K33" s="17">
        <f t="shared" si="1"/>
        <v>187</v>
      </c>
      <c r="L33" s="17">
        <f t="shared" si="1"/>
        <v>73</v>
      </c>
      <c r="M33" s="17">
        <f t="shared" si="1"/>
        <v>18958.199999999953</v>
      </c>
      <c r="N33" s="17">
        <f t="shared" si="1"/>
        <v>7878.7999999999884</v>
      </c>
      <c r="O33" s="17">
        <f t="shared" si="1"/>
        <v>7729.99999999996</v>
      </c>
      <c r="P33" s="17">
        <f t="shared" si="1"/>
        <v>63699.999999999891</v>
      </c>
      <c r="Q33" s="17">
        <f t="shared" si="1"/>
        <v>7290.0000000000218</v>
      </c>
      <c r="R33" s="17">
        <f t="shared" si="1"/>
        <v>7020.0000000000382</v>
      </c>
      <c r="S33" s="17">
        <f t="shared" si="1"/>
        <v>7870.0000000000045</v>
      </c>
      <c r="T33" s="17">
        <f t="shared" si="1"/>
        <v>899</v>
      </c>
      <c r="U33" s="35">
        <f t="shared" si="1"/>
        <v>13709.999999999924</v>
      </c>
      <c r="V33" s="35">
        <f t="shared" si="1"/>
        <v>5079.9999999999854</v>
      </c>
      <c r="W33" s="35">
        <f t="shared" si="1"/>
        <v>4219.9999999999982</v>
      </c>
      <c r="X33" s="35">
        <f t="shared" si="1"/>
        <v>2960.0000000000082</v>
      </c>
      <c r="Y33" s="35">
        <f t="shared" si="1"/>
        <v>3409.9999999999964</v>
      </c>
      <c r="Z33" s="35">
        <f t="shared" si="1"/>
        <v>5284.9499999999434</v>
      </c>
      <c r="AA33" s="35">
        <f t="shared" si="1"/>
        <v>5284.9499999999434</v>
      </c>
      <c r="AB33" s="35">
        <f t="shared" si="1"/>
        <v>1569.9999999999932</v>
      </c>
      <c r="AC33" s="35">
        <f t="shared" si="1"/>
        <v>1199.9999999999886</v>
      </c>
      <c r="AD33" s="35">
        <f t="shared" si="1"/>
        <v>670.00000000001592</v>
      </c>
      <c r="AE33" s="35">
        <f t="shared" si="1"/>
        <v>680.00000000000682</v>
      </c>
      <c r="AF33" s="17">
        <f t="shared" si="1"/>
        <v>745</v>
      </c>
      <c r="AG33" s="32">
        <f t="shared" si="1"/>
        <v>909.99999999999659</v>
      </c>
      <c r="AH33" s="32">
        <f t="shared" si="1"/>
        <v>730.00000000001819</v>
      </c>
      <c r="AI33" s="32">
        <f t="shared" si="1"/>
        <v>830.00000000001251</v>
      </c>
      <c r="AJ33" s="32">
        <f t="shared" si="1"/>
        <v>949.99999999998863</v>
      </c>
      <c r="AK33" s="32">
        <f t="shared" si="1"/>
        <v>759.99999999999091</v>
      </c>
      <c r="AL33" s="32">
        <f t="shared" si="1"/>
        <v>638</v>
      </c>
      <c r="AM33" s="32">
        <f t="shared" si="1"/>
        <v>620.00000000000455</v>
      </c>
      <c r="AN33" s="32">
        <f t="shared" si="1"/>
        <v>1067</v>
      </c>
      <c r="AO33" s="32">
        <f t="shared" si="1"/>
        <v>680.00000000000682</v>
      </c>
      <c r="AP33" s="32">
        <f t="shared" si="1"/>
        <v>1222</v>
      </c>
      <c r="AQ33" s="17">
        <f t="shared" si="1"/>
        <v>817.40000000000146</v>
      </c>
      <c r="AR33" s="17">
        <f t="shared" si="1"/>
        <v>187.20000000000073</v>
      </c>
      <c r="AS33" s="17">
        <f t="shared" si="1"/>
        <v>119.80000000000018</v>
      </c>
      <c r="AT33" s="17">
        <f t="shared" si="1"/>
        <v>850</v>
      </c>
      <c r="AU33" s="17">
        <f t="shared" si="1"/>
        <v>7314</v>
      </c>
      <c r="AV33" s="17">
        <f t="shared" si="1"/>
        <v>18299.999999999953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199.63349999999994</v>
      </c>
      <c r="BC33" s="17">
        <f t="shared" si="1"/>
        <v>215</v>
      </c>
    </row>
    <row r="35" spans="5:55" x14ac:dyDescent="0.25">
      <c r="E35" s="38">
        <f>E33/E37</f>
        <v>0.2061741725401515</v>
      </c>
      <c r="G35" s="29">
        <f>G33-M36</f>
        <v>39163.000000000364</v>
      </c>
      <c r="AE35" s="35">
        <f>SUM(U33:AE33)</f>
        <v>44069.899999999798</v>
      </c>
      <c r="AG35" s="32">
        <f>SUM(AG33:AP33)</f>
        <v>8407.0000000000182</v>
      </c>
    </row>
    <row r="36" spans="5:55" x14ac:dyDescent="0.25">
      <c r="G36" s="29">
        <f>G35-633*14</f>
        <v>30301.000000000364</v>
      </c>
      <c r="M36" s="29">
        <f>M33+N33</f>
        <v>26836.999999999942</v>
      </c>
    </row>
    <row r="37" spans="5:55" x14ac:dyDescent="0.25">
      <c r="E37" s="17">
        <f>E33+F33+G33+H33+J33-633*14</f>
        <v>235238.00000000029</v>
      </c>
      <c r="G37" s="37">
        <f>M36/E37</f>
        <v>0.11408445914350533</v>
      </c>
      <c r="M37" s="35">
        <f>AE35</f>
        <v>44069.899999999798</v>
      </c>
    </row>
    <row r="38" spans="5:55" x14ac:dyDescent="0.25">
      <c r="L38" s="27">
        <f>M38/E37</f>
        <v>3.5738273578248443E-2</v>
      </c>
      <c r="M38" s="29">
        <f>AG35</f>
        <v>8407.0000000000182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BR1" zoomScale="80" zoomScaleNormal="80" workbookViewId="0">
      <pane ySplit="1" topLeftCell="A12" activePane="bottomLeft" state="frozen"/>
      <selection pane="bottomLeft" activeCell="CN38" sqref="CN3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8</v>
      </c>
      <c r="CO20" s="62">
        <v>25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>
        <v>40337</v>
      </c>
      <c r="BV21" s="65">
        <f t="shared" si="29"/>
        <v>43</v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8</v>
      </c>
      <c r="CO21" s="62">
        <v>25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>
        <v>2.2770000000000001</v>
      </c>
      <c r="D22" s="64">
        <f t="shared" si="0"/>
        <v>2099.9999999999909</v>
      </c>
      <c r="E22" s="58">
        <v>3.2414000000000001</v>
      </c>
      <c r="F22" s="64">
        <f t="shared" si="1"/>
        <v>2699.9999999999245</v>
      </c>
      <c r="G22" s="58">
        <v>3.3003</v>
      </c>
      <c r="H22" s="64">
        <f t="shared" si="2"/>
        <v>3000.0000000001137</v>
      </c>
      <c r="I22" s="58">
        <v>1.6274999999999999</v>
      </c>
      <c r="J22" s="64">
        <f t="shared" si="3"/>
        <v>1299.9999999998568</v>
      </c>
      <c r="K22" s="58">
        <v>2.6297999999999999</v>
      </c>
      <c r="L22" s="64">
        <f t="shared" si="4"/>
        <v>2199.9999999997576</v>
      </c>
      <c r="M22" s="58">
        <v>1.4513</v>
      </c>
      <c r="N22" s="64">
        <f t="shared" si="5"/>
        <v>1000.0000000001119</v>
      </c>
      <c r="O22" s="58">
        <v>14348</v>
      </c>
      <c r="P22" s="67">
        <f t="shared" si="44"/>
        <v>17</v>
      </c>
      <c r="Q22" s="58">
        <v>1008</v>
      </c>
      <c r="R22" s="67">
        <f t="shared" si="6"/>
        <v>4</v>
      </c>
      <c r="S22" s="58">
        <v>987017</v>
      </c>
      <c r="T22" s="67">
        <f t="shared" si="7"/>
        <v>928.40000000002328</v>
      </c>
      <c r="U22" s="58">
        <v>415056.8</v>
      </c>
      <c r="V22" s="67">
        <f t="shared" si="8"/>
        <v>332.59999999997672</v>
      </c>
      <c r="W22" s="58">
        <v>396.03</v>
      </c>
      <c r="X22" s="65">
        <f t="shared" si="9"/>
        <v>299.99999999995453</v>
      </c>
      <c r="Y22" s="58">
        <v>2.8321000000000001</v>
      </c>
      <c r="Z22" s="65">
        <f t="shared" si="10"/>
        <v>2400.0000000001796</v>
      </c>
      <c r="AA22" s="58">
        <v>394.01</v>
      </c>
      <c r="AB22" s="65">
        <f t="shared" si="11"/>
        <v>269.99999999998181</v>
      </c>
      <c r="AC22" s="58">
        <v>368.74</v>
      </c>
      <c r="AD22" s="65">
        <f t="shared" si="12"/>
        <v>280.00000000002956</v>
      </c>
      <c r="AE22" s="58">
        <v>564.4</v>
      </c>
      <c r="AF22" s="65">
        <f t="shared" si="13"/>
        <v>289.99999999996362</v>
      </c>
      <c r="AG22" s="58">
        <v>4183</v>
      </c>
      <c r="AH22" s="67">
        <f t="shared" si="14"/>
        <v>34</v>
      </c>
      <c r="AI22" s="58">
        <v>608.38</v>
      </c>
      <c r="AJ22" s="65">
        <f t="shared" si="15"/>
        <v>370.00000000000455</v>
      </c>
      <c r="AK22" s="58">
        <v>203.22</v>
      </c>
      <c r="AL22" s="65">
        <f t="shared" si="15"/>
        <v>229.99999999998977</v>
      </c>
      <c r="AM22" s="58">
        <v>193.49</v>
      </c>
      <c r="AN22" s="65">
        <f t="shared" si="15"/>
        <v>250</v>
      </c>
      <c r="AO22" s="58">
        <v>188.12</v>
      </c>
      <c r="AP22" s="65">
        <f t="shared" si="15"/>
        <v>140.00000000001478</v>
      </c>
      <c r="AQ22" s="58">
        <v>246.6</v>
      </c>
      <c r="AR22" s="65">
        <f t="shared" si="16"/>
        <v>129.99999999999545</v>
      </c>
      <c r="AS22" s="58">
        <v>371.51</v>
      </c>
      <c r="AT22" s="65">
        <f t="shared" si="17"/>
        <v>279.99999999997272</v>
      </c>
      <c r="AU22" s="58">
        <v>285.07</v>
      </c>
      <c r="AV22" s="65">
        <f t="shared" si="18"/>
        <v>60.000000000002274</v>
      </c>
      <c r="AW22" s="58">
        <v>319.56</v>
      </c>
      <c r="AX22" s="65">
        <f t="shared" si="19"/>
        <v>69.999999999993179</v>
      </c>
      <c r="AY22" s="58">
        <v>361.1</v>
      </c>
      <c r="AZ22" s="65">
        <f t="shared" si="20"/>
        <v>40.000000000020464</v>
      </c>
      <c r="BA22" s="58">
        <v>380.99</v>
      </c>
      <c r="BB22" s="65">
        <f t="shared" si="21"/>
        <v>19.99999999998181</v>
      </c>
      <c r="BC22" s="58">
        <v>241.61</v>
      </c>
      <c r="BD22" s="65">
        <f t="shared" si="22"/>
        <v>20.000000000010232</v>
      </c>
      <c r="BE22" s="59">
        <v>40131</v>
      </c>
      <c r="BF22" s="67">
        <f t="shared" si="39"/>
        <v>28</v>
      </c>
      <c r="BG22" s="60">
        <v>233.8</v>
      </c>
      <c r="BH22" s="65">
        <f t="shared" si="23"/>
        <v>40.000000000020464</v>
      </c>
      <c r="BI22" s="60">
        <v>292.98</v>
      </c>
      <c r="BJ22" s="65">
        <f t="shared" si="40"/>
        <v>30.000000000029559</v>
      </c>
      <c r="BK22" s="60">
        <v>236.71</v>
      </c>
      <c r="BL22" s="65">
        <f t="shared" si="24"/>
        <v>30.000000000001137</v>
      </c>
      <c r="BM22" s="60">
        <v>223.53</v>
      </c>
      <c r="BN22" s="65">
        <f t="shared" si="25"/>
        <v>30.000000000001137</v>
      </c>
      <c r="BO22" s="60">
        <v>287.43</v>
      </c>
      <c r="BP22" s="65">
        <f t="shared" si="26"/>
        <v>30.000000000029559</v>
      </c>
      <c r="BQ22" s="60">
        <v>45041</v>
      </c>
      <c r="BR22" s="65">
        <f t="shared" si="27"/>
        <v>35</v>
      </c>
      <c r="BS22" s="60">
        <v>200.56</v>
      </c>
      <c r="BT22" s="65">
        <f t="shared" si="42"/>
        <v>0</v>
      </c>
      <c r="BU22" s="60">
        <v>40375</v>
      </c>
      <c r="BV22" s="65">
        <f t="shared" si="29"/>
        <v>38</v>
      </c>
      <c r="BW22" s="60">
        <v>231.72</v>
      </c>
      <c r="BX22" s="65">
        <f t="shared" si="30"/>
        <v>20.000000000010232</v>
      </c>
      <c r="BY22" s="60">
        <v>59800</v>
      </c>
      <c r="BZ22" s="67">
        <f t="shared" si="31"/>
        <v>54</v>
      </c>
      <c r="CA22" s="60">
        <v>31686</v>
      </c>
      <c r="CB22" s="67">
        <f t="shared" si="32"/>
        <v>30.900000000001455</v>
      </c>
      <c r="CC22" s="60">
        <v>12107.2</v>
      </c>
      <c r="CD22" s="67">
        <f t="shared" si="33"/>
        <v>6.5</v>
      </c>
      <c r="CE22" s="60">
        <v>6368.1</v>
      </c>
      <c r="CF22" s="67">
        <f t="shared" si="34"/>
        <v>0.3000000000001819</v>
      </c>
      <c r="CG22" s="60">
        <v>59281.5</v>
      </c>
      <c r="CH22" s="67">
        <f t="shared" si="35"/>
        <v>30.400000000001455</v>
      </c>
      <c r="CI22" s="60">
        <v>946372</v>
      </c>
      <c r="CJ22" s="67">
        <f t="shared" si="36"/>
        <v>269</v>
      </c>
      <c r="CK22" s="60">
        <v>758.68</v>
      </c>
      <c r="CL22" s="64">
        <f t="shared" si="37"/>
        <v>779.99999999997272</v>
      </c>
      <c r="CM22" s="65">
        <f t="shared" si="41"/>
        <v>84.399999999999636</v>
      </c>
      <c r="CN22" s="62">
        <v>8</v>
      </c>
      <c r="CO22" s="62">
        <v>25</v>
      </c>
      <c r="CP22" s="68">
        <v>9192</v>
      </c>
      <c r="CQ22" s="67">
        <f t="shared" si="38"/>
        <v>61.399999999999636</v>
      </c>
      <c r="CR22" s="68">
        <v>14014</v>
      </c>
      <c r="CS22" s="67">
        <f t="shared" si="38"/>
        <v>23</v>
      </c>
      <c r="CT22" s="75">
        <v>6349</v>
      </c>
      <c r="CU22" s="67">
        <f t="shared" si="38"/>
        <v>13</v>
      </c>
      <c r="CV22" s="68">
        <v>15161</v>
      </c>
      <c r="CW22" s="67">
        <f t="shared" si="38"/>
        <v>24</v>
      </c>
    </row>
    <row r="23" spans="1:101" ht="25.5" customHeight="1" thickBot="1" x14ac:dyDescent="0.45">
      <c r="A23" s="63">
        <v>44367</v>
      </c>
      <c r="B23" s="44"/>
      <c r="C23" s="58">
        <v>2.2789000000000001</v>
      </c>
      <c r="D23" s="64">
        <f t="shared" si="0"/>
        <v>1900.0000000000127</v>
      </c>
      <c r="E23" s="58">
        <v>3.2441</v>
      </c>
      <c r="F23" s="64">
        <f t="shared" si="1"/>
        <v>2699.9999999999245</v>
      </c>
      <c r="G23" s="58">
        <v>3.3028</v>
      </c>
      <c r="H23" s="64">
        <f t="shared" si="2"/>
        <v>2499.9999999999468</v>
      </c>
      <c r="I23" s="58">
        <v>1.6288</v>
      </c>
      <c r="J23" s="64">
        <f t="shared" si="3"/>
        <v>1300.0000000000789</v>
      </c>
      <c r="K23" s="58">
        <v>2.6316999999999999</v>
      </c>
      <c r="L23" s="64">
        <f t="shared" si="4"/>
        <v>1900.0000000000127</v>
      </c>
      <c r="M23" s="58">
        <v>1.4522999999999999</v>
      </c>
      <c r="N23" s="64">
        <f t="shared" si="5"/>
        <v>999.99999999988984</v>
      </c>
      <c r="O23" s="58">
        <v>14357</v>
      </c>
      <c r="P23" s="67">
        <f t="shared" si="44"/>
        <v>9</v>
      </c>
      <c r="Q23" s="58">
        <v>1010</v>
      </c>
      <c r="R23" s="67">
        <f t="shared" si="6"/>
        <v>2</v>
      </c>
      <c r="S23" s="58">
        <v>987814.40000000002</v>
      </c>
      <c r="T23" s="67">
        <f t="shared" si="7"/>
        <v>797.40000000002328</v>
      </c>
      <c r="U23" s="58">
        <v>415379.9</v>
      </c>
      <c r="V23" s="67">
        <f t="shared" si="8"/>
        <v>323.10000000003492</v>
      </c>
      <c r="W23" s="58">
        <v>396.31</v>
      </c>
      <c r="X23" s="65">
        <f t="shared" si="9"/>
        <v>280.00000000002956</v>
      </c>
      <c r="Y23" s="58">
        <v>2.8344999999999998</v>
      </c>
      <c r="Z23" s="65">
        <f t="shared" si="10"/>
        <v>2399.9999999997358</v>
      </c>
      <c r="AA23" s="58">
        <v>394.35</v>
      </c>
      <c r="AB23" s="65">
        <f t="shared" si="11"/>
        <v>340.00000000003183</v>
      </c>
      <c r="AC23" s="58">
        <v>368.99</v>
      </c>
      <c r="AD23" s="65">
        <f t="shared" si="12"/>
        <v>250</v>
      </c>
      <c r="AE23" s="58">
        <v>564.67999999999995</v>
      </c>
      <c r="AF23" s="65">
        <f t="shared" si="13"/>
        <v>279.99999999997272</v>
      </c>
      <c r="AG23" s="58">
        <v>4220</v>
      </c>
      <c r="AH23" s="67">
        <f t="shared" si="14"/>
        <v>37</v>
      </c>
      <c r="AI23" s="58">
        <v>609.14</v>
      </c>
      <c r="AJ23" s="65">
        <f t="shared" si="15"/>
        <v>759.99999999999091</v>
      </c>
      <c r="AK23" s="58">
        <v>203.4</v>
      </c>
      <c r="AL23" s="65">
        <f t="shared" si="15"/>
        <v>180.00000000000682</v>
      </c>
      <c r="AM23" s="58">
        <v>193.72</v>
      </c>
      <c r="AN23" s="65">
        <f t="shared" si="15"/>
        <v>229.99999999998977</v>
      </c>
      <c r="AO23" s="58">
        <v>188.22</v>
      </c>
      <c r="AP23" s="65">
        <f t="shared" si="15"/>
        <v>99.999999999994316</v>
      </c>
      <c r="AQ23" s="58">
        <v>246.72</v>
      </c>
      <c r="AR23" s="65">
        <f t="shared" si="16"/>
        <v>120.00000000000455</v>
      </c>
      <c r="AS23" s="58">
        <v>371.77</v>
      </c>
      <c r="AT23" s="65">
        <f t="shared" si="17"/>
        <v>259.99999999999091</v>
      </c>
      <c r="AU23" s="58">
        <v>285.14</v>
      </c>
      <c r="AV23" s="65">
        <f t="shared" si="18"/>
        <v>69.999999999993179</v>
      </c>
      <c r="AW23" s="58">
        <v>319.66000000000003</v>
      </c>
      <c r="AX23" s="65">
        <f t="shared" si="19"/>
        <v>100.00000000002274</v>
      </c>
      <c r="AY23" s="58">
        <v>361.15</v>
      </c>
      <c r="AZ23" s="65">
        <f t="shared" si="20"/>
        <v>49.999999999954525</v>
      </c>
      <c r="BA23" s="58">
        <v>381.02</v>
      </c>
      <c r="BB23" s="65">
        <f t="shared" si="21"/>
        <v>29.999999999972715</v>
      </c>
      <c r="BC23" s="58">
        <v>241.65</v>
      </c>
      <c r="BD23" s="65">
        <f t="shared" si="22"/>
        <v>39.999999999992042</v>
      </c>
      <c r="BE23" s="59">
        <v>40151</v>
      </c>
      <c r="BF23" s="67">
        <f t="shared" si="39"/>
        <v>20</v>
      </c>
      <c r="BG23" s="60">
        <v>233.85</v>
      </c>
      <c r="BH23" s="65">
        <f t="shared" si="23"/>
        <v>49.999999999982947</v>
      </c>
      <c r="BI23" s="60">
        <v>293.01</v>
      </c>
      <c r="BJ23" s="65">
        <f t="shared" si="40"/>
        <v>29.999999999972715</v>
      </c>
      <c r="BK23" s="60">
        <v>236.75</v>
      </c>
      <c r="BL23" s="65">
        <f t="shared" si="24"/>
        <v>39.999999999992042</v>
      </c>
      <c r="BM23" s="60">
        <v>223.58</v>
      </c>
      <c r="BN23" s="65">
        <f t="shared" si="25"/>
        <v>50.000000000011369</v>
      </c>
      <c r="BO23" s="60">
        <v>287.45</v>
      </c>
      <c r="BP23" s="65">
        <f t="shared" si="26"/>
        <v>19.99999999998181</v>
      </c>
      <c r="BQ23" s="60">
        <v>45081</v>
      </c>
      <c r="BR23" s="65">
        <f t="shared" si="27"/>
        <v>40</v>
      </c>
      <c r="BS23" s="60">
        <v>200.61</v>
      </c>
      <c r="BT23" s="65">
        <f t="shared" si="42"/>
        <v>50.000000000011369</v>
      </c>
      <c r="BU23" s="60">
        <v>40424</v>
      </c>
      <c r="BV23" s="65">
        <f t="shared" si="29"/>
        <v>49</v>
      </c>
      <c r="BW23" s="60">
        <v>231.75</v>
      </c>
      <c r="BX23" s="65">
        <f t="shared" si="30"/>
        <v>30.000000000001137</v>
      </c>
      <c r="BY23" s="60">
        <v>59875</v>
      </c>
      <c r="BZ23" s="67">
        <f t="shared" si="31"/>
        <v>75</v>
      </c>
      <c r="CA23" s="60">
        <v>31729.599999999999</v>
      </c>
      <c r="CB23" s="67">
        <f t="shared" si="32"/>
        <v>43.599999999998545</v>
      </c>
      <c r="CC23" s="60">
        <v>12114.3</v>
      </c>
      <c r="CD23" s="67">
        <f t="shared" si="33"/>
        <v>7.0999999999985448</v>
      </c>
      <c r="CE23" s="60">
        <v>6378.7</v>
      </c>
      <c r="CF23" s="67">
        <f t="shared" si="34"/>
        <v>10.599999999999454</v>
      </c>
      <c r="CG23" s="60">
        <v>59293.2</v>
      </c>
      <c r="CH23" s="67">
        <f t="shared" si="35"/>
        <v>11.69999999999709</v>
      </c>
      <c r="CI23" s="60">
        <v>946624</v>
      </c>
      <c r="CJ23" s="67">
        <f t="shared" si="36"/>
        <v>252</v>
      </c>
      <c r="CK23" s="60">
        <v>759.42</v>
      </c>
      <c r="CL23" s="64">
        <f t="shared" si="37"/>
        <v>740.00000000000909</v>
      </c>
      <c r="CM23" s="65">
        <f t="shared" si="41"/>
        <v>63.100000000000364</v>
      </c>
      <c r="CN23" s="62">
        <v>8</v>
      </c>
      <c r="CO23" s="62">
        <v>25</v>
      </c>
      <c r="CP23" s="68">
        <v>9237.1</v>
      </c>
      <c r="CQ23" s="67">
        <f t="shared" si="38"/>
        <v>45.100000000000364</v>
      </c>
      <c r="CR23" s="68">
        <v>14032</v>
      </c>
      <c r="CS23" s="67">
        <f t="shared" si="38"/>
        <v>18</v>
      </c>
      <c r="CT23" s="75">
        <v>6362</v>
      </c>
      <c r="CU23" s="67">
        <f t="shared" si="38"/>
        <v>13</v>
      </c>
      <c r="CV23" s="68">
        <v>15182</v>
      </c>
      <c r="CW23" s="67">
        <f t="shared" si="38"/>
        <v>21</v>
      </c>
    </row>
    <row r="24" spans="1:101" ht="25.5" customHeight="1" thickBot="1" x14ac:dyDescent="0.45">
      <c r="A24" s="63">
        <v>44368</v>
      </c>
      <c r="B24" s="44"/>
      <c r="C24" s="58">
        <v>2.2806999999999999</v>
      </c>
      <c r="D24" s="64">
        <f t="shared" si="0"/>
        <v>1799.9999999998017</v>
      </c>
      <c r="E24" s="58">
        <v>3.2465999999999999</v>
      </c>
      <c r="F24" s="64">
        <f t="shared" si="1"/>
        <v>2499.9999999999468</v>
      </c>
      <c r="G24" s="58">
        <v>3.3054999999999999</v>
      </c>
      <c r="H24" s="64">
        <f t="shared" si="2"/>
        <v>2699.9999999999245</v>
      </c>
      <c r="I24" s="58">
        <v>1.6302000000000001</v>
      </c>
      <c r="J24" s="64">
        <f t="shared" si="3"/>
        <v>1400.0000000000678</v>
      </c>
      <c r="K24" s="58">
        <v>2.6337000000000002</v>
      </c>
      <c r="L24" s="64">
        <f t="shared" si="4"/>
        <v>2000.0000000002237</v>
      </c>
      <c r="M24" s="58">
        <v>1.4533</v>
      </c>
      <c r="N24" s="64">
        <f t="shared" si="5"/>
        <v>1000.0000000001119</v>
      </c>
      <c r="O24" s="58">
        <v>14362</v>
      </c>
      <c r="P24" s="67">
        <f t="shared" si="44"/>
        <v>5</v>
      </c>
      <c r="Q24" s="58">
        <v>1013</v>
      </c>
      <c r="R24" s="67">
        <f t="shared" si="6"/>
        <v>3</v>
      </c>
      <c r="S24" s="58">
        <v>988462</v>
      </c>
      <c r="T24" s="67">
        <f t="shared" si="7"/>
        <v>647.59999999997672</v>
      </c>
      <c r="U24" s="58">
        <v>415674.9</v>
      </c>
      <c r="V24" s="67">
        <f t="shared" si="8"/>
        <v>295</v>
      </c>
      <c r="W24" s="58">
        <v>396.61</v>
      </c>
      <c r="X24" s="65">
        <f t="shared" si="9"/>
        <v>300.00000000001137</v>
      </c>
      <c r="Y24" s="58">
        <v>2.8367</v>
      </c>
      <c r="Z24" s="65">
        <f t="shared" si="10"/>
        <v>2200.0000000002019</v>
      </c>
      <c r="AA24" s="58">
        <v>394.66</v>
      </c>
      <c r="AB24" s="65">
        <f t="shared" si="11"/>
        <v>310.00000000000227</v>
      </c>
      <c r="AC24" s="58">
        <v>369.25</v>
      </c>
      <c r="AD24" s="65">
        <f t="shared" si="12"/>
        <v>259.99999999999091</v>
      </c>
      <c r="AE24" s="58">
        <v>565.04</v>
      </c>
      <c r="AF24" s="65">
        <f t="shared" si="13"/>
        <v>360.00000000001364</v>
      </c>
      <c r="AG24" s="58">
        <v>4256</v>
      </c>
      <c r="AH24" s="67">
        <f t="shared" si="14"/>
        <v>36</v>
      </c>
      <c r="AI24" s="58">
        <v>609.65</v>
      </c>
      <c r="AJ24" s="65">
        <f t="shared" si="15"/>
        <v>509.99999999999091</v>
      </c>
      <c r="AK24" s="58">
        <v>203.57</v>
      </c>
      <c r="AL24" s="65">
        <f t="shared" si="15"/>
        <v>169.99999999998749</v>
      </c>
      <c r="AM24" s="58">
        <v>193.91</v>
      </c>
      <c r="AN24" s="65">
        <f t="shared" si="15"/>
        <v>189.99999999999773</v>
      </c>
      <c r="AO24" s="58">
        <v>188.34</v>
      </c>
      <c r="AP24" s="65">
        <f t="shared" si="15"/>
        <v>120.00000000000455</v>
      </c>
      <c r="AQ24" s="58">
        <v>246.8</v>
      </c>
      <c r="AR24" s="65">
        <f t="shared" si="16"/>
        <v>80.000000000012506</v>
      </c>
      <c r="AS24" s="58">
        <v>372</v>
      </c>
      <c r="AT24" s="65">
        <f t="shared" si="17"/>
        <v>230.00000000001819</v>
      </c>
      <c r="AU24" s="58">
        <v>285.2</v>
      </c>
      <c r="AV24" s="65">
        <f t="shared" si="18"/>
        <v>60.000000000002274</v>
      </c>
      <c r="AW24" s="58">
        <v>319.74</v>
      </c>
      <c r="AX24" s="65">
        <f t="shared" si="19"/>
        <v>79.999999999984084</v>
      </c>
      <c r="AY24" s="58">
        <v>361.2</v>
      </c>
      <c r="AZ24" s="65">
        <f t="shared" si="20"/>
        <v>50.000000000011369</v>
      </c>
      <c r="BA24" s="58">
        <v>381.05</v>
      </c>
      <c r="BB24" s="65">
        <f t="shared" si="21"/>
        <v>30.000000000029559</v>
      </c>
      <c r="BC24" s="58">
        <v>241.68</v>
      </c>
      <c r="BD24" s="65">
        <f t="shared" si="22"/>
        <v>30.000000000001137</v>
      </c>
      <c r="BE24" s="59">
        <v>40186</v>
      </c>
      <c r="BF24" s="67">
        <f t="shared" si="39"/>
        <v>35</v>
      </c>
      <c r="BG24" s="60">
        <v>233.88</v>
      </c>
      <c r="BH24" s="65">
        <f t="shared" si="23"/>
        <v>30.000000000001137</v>
      </c>
      <c r="BI24" s="60">
        <v>293.04000000000002</v>
      </c>
      <c r="BJ24" s="65">
        <f t="shared" si="40"/>
        <v>30.000000000029559</v>
      </c>
      <c r="BK24" s="60">
        <v>236.78</v>
      </c>
      <c r="BL24" s="65">
        <f t="shared" si="24"/>
        <v>30.000000000001137</v>
      </c>
      <c r="BM24" s="60">
        <v>223.61</v>
      </c>
      <c r="BN24" s="65">
        <f t="shared" si="25"/>
        <v>30.000000000001137</v>
      </c>
      <c r="BO24" s="60">
        <v>287.48</v>
      </c>
      <c r="BP24" s="65">
        <f t="shared" si="26"/>
        <v>30.000000000029559</v>
      </c>
      <c r="BQ24" s="60">
        <v>45110</v>
      </c>
      <c r="BR24" s="65">
        <f t="shared" si="27"/>
        <v>29</v>
      </c>
      <c r="BS24" s="60">
        <v>200.64</v>
      </c>
      <c r="BT24" s="65">
        <f t="shared" si="42"/>
        <v>29.999999999972715</v>
      </c>
      <c r="BU24" s="60">
        <v>40462</v>
      </c>
      <c r="BV24" s="65">
        <f t="shared" si="29"/>
        <v>38</v>
      </c>
      <c r="BW24" s="60">
        <v>231.78</v>
      </c>
      <c r="BX24" s="65">
        <f t="shared" si="30"/>
        <v>30.000000000001137</v>
      </c>
      <c r="BY24" s="60">
        <v>59941</v>
      </c>
      <c r="BZ24" s="67">
        <f t="shared" si="31"/>
        <v>66</v>
      </c>
      <c r="CA24" s="60">
        <v>31746.7</v>
      </c>
      <c r="CB24" s="67">
        <f t="shared" si="32"/>
        <v>17.100000000002183</v>
      </c>
      <c r="CC24" s="60">
        <v>12120</v>
      </c>
      <c r="CD24" s="67">
        <f t="shared" si="33"/>
        <v>5.7000000000007276</v>
      </c>
      <c r="CE24" s="60">
        <v>6386.2</v>
      </c>
      <c r="CF24" s="67">
        <f t="shared" si="34"/>
        <v>7.5</v>
      </c>
      <c r="CG24" s="60">
        <v>59325.5</v>
      </c>
      <c r="CH24" s="67">
        <f t="shared" si="35"/>
        <v>32.30000000000291</v>
      </c>
      <c r="CI24" s="60">
        <v>946914</v>
      </c>
      <c r="CJ24" s="67">
        <f t="shared" si="36"/>
        <v>290</v>
      </c>
      <c r="CK24" s="60">
        <v>760.21</v>
      </c>
      <c r="CL24" s="64">
        <f t="shared" si="37"/>
        <v>790.00000000007731</v>
      </c>
      <c r="CM24" s="65">
        <f t="shared" si="41"/>
        <v>66.699999999998909</v>
      </c>
      <c r="CN24" s="62">
        <v>8</v>
      </c>
      <c r="CO24" s="62">
        <v>25</v>
      </c>
      <c r="CP24" s="68">
        <v>9281.7999999999993</v>
      </c>
      <c r="CQ24" s="67">
        <f t="shared" si="38"/>
        <v>44.699999999998909</v>
      </c>
      <c r="CR24" s="68">
        <v>14054</v>
      </c>
      <c r="CS24" s="67">
        <f t="shared" si="38"/>
        <v>22</v>
      </c>
      <c r="CT24" s="75">
        <v>6377</v>
      </c>
      <c r="CU24" s="67">
        <f t="shared" si="38"/>
        <v>15</v>
      </c>
      <c r="CV24" s="68">
        <v>15199</v>
      </c>
      <c r="CW24" s="67">
        <f t="shared" si="38"/>
        <v>17</v>
      </c>
    </row>
    <row r="25" spans="1:101" ht="25.5" customHeight="1" thickBot="1" x14ac:dyDescent="0.45">
      <c r="A25" s="63">
        <v>44369</v>
      </c>
      <c r="B25" s="44"/>
      <c r="C25" s="58">
        <v>2.2825000000000002</v>
      </c>
      <c r="D25" s="64">
        <f t="shared" si="0"/>
        <v>1800.0000000002458</v>
      </c>
      <c r="E25" s="58">
        <v>3.2492000000000001</v>
      </c>
      <c r="F25" s="64">
        <f t="shared" si="1"/>
        <v>2600.0000000001578</v>
      </c>
      <c r="G25" s="58">
        <v>3.3081999999999998</v>
      </c>
      <c r="H25" s="64">
        <f t="shared" si="2"/>
        <v>2699.9999999999245</v>
      </c>
      <c r="I25" s="58">
        <v>1.6314</v>
      </c>
      <c r="J25" s="64">
        <f t="shared" si="3"/>
        <v>1199.9999999998679</v>
      </c>
      <c r="K25" s="58">
        <v>2.6356999999999999</v>
      </c>
      <c r="L25" s="64">
        <f t="shared" si="4"/>
        <v>1999.9999999997797</v>
      </c>
      <c r="M25" s="58">
        <v>1.4541999999999999</v>
      </c>
      <c r="N25" s="64">
        <f t="shared" si="5"/>
        <v>899.99999999990087</v>
      </c>
      <c r="O25" s="58">
        <v>14370</v>
      </c>
      <c r="P25" s="67">
        <f t="shared" si="44"/>
        <v>8</v>
      </c>
      <c r="Q25" s="58">
        <v>1016</v>
      </c>
      <c r="R25" s="67">
        <f t="shared" si="6"/>
        <v>3</v>
      </c>
      <c r="S25" s="58">
        <v>989249.2</v>
      </c>
      <c r="T25" s="67">
        <f t="shared" si="7"/>
        <v>787.19999999995343</v>
      </c>
      <c r="U25" s="58">
        <v>415953.3</v>
      </c>
      <c r="V25" s="67">
        <f t="shared" si="8"/>
        <v>278.39999999996508</v>
      </c>
      <c r="W25" s="58">
        <v>396.89</v>
      </c>
      <c r="X25" s="65">
        <f t="shared" si="9"/>
        <v>279.99999999997272</v>
      </c>
      <c r="Y25" s="58">
        <v>2.839</v>
      </c>
      <c r="Z25" s="65">
        <f t="shared" si="10"/>
        <v>2299.9999999999686</v>
      </c>
      <c r="AA25" s="58">
        <v>394.85</v>
      </c>
      <c r="AB25" s="65">
        <f t="shared" si="11"/>
        <v>189.99999999999773</v>
      </c>
      <c r="AC25" s="58">
        <v>369.52</v>
      </c>
      <c r="AD25" s="65">
        <f t="shared" si="12"/>
        <v>269.99999999998181</v>
      </c>
      <c r="AE25" s="58">
        <v>565.33000000000004</v>
      </c>
      <c r="AF25" s="65">
        <f t="shared" si="13"/>
        <v>290.00000000007731</v>
      </c>
      <c r="AG25" s="58">
        <v>4291</v>
      </c>
      <c r="AH25" s="67">
        <f t="shared" si="14"/>
        <v>35</v>
      </c>
      <c r="AI25" s="58">
        <v>610.16999999999996</v>
      </c>
      <c r="AJ25" s="65">
        <f t="shared" si="15"/>
        <v>519.99999999998181</v>
      </c>
      <c r="AK25" s="58">
        <v>203.75</v>
      </c>
      <c r="AL25" s="65">
        <f t="shared" si="15"/>
        <v>180.00000000000682</v>
      </c>
      <c r="AM25" s="58">
        <v>194.1</v>
      </c>
      <c r="AN25" s="65">
        <f t="shared" si="15"/>
        <v>189.99999999999773</v>
      </c>
      <c r="AO25" s="58">
        <v>188.46</v>
      </c>
      <c r="AP25" s="65">
        <f t="shared" si="15"/>
        <v>120.00000000000455</v>
      </c>
      <c r="AQ25" s="58">
        <v>246.88</v>
      </c>
      <c r="AR25" s="65">
        <f t="shared" si="16"/>
        <v>79.999999999984084</v>
      </c>
      <c r="AS25" s="58">
        <v>372.21</v>
      </c>
      <c r="AT25" s="65">
        <f t="shared" si="17"/>
        <v>209.99999999997954</v>
      </c>
      <c r="AU25" s="58">
        <v>285.24</v>
      </c>
      <c r="AV25" s="65">
        <f t="shared" si="18"/>
        <v>40.000000000020464</v>
      </c>
      <c r="AW25" s="58">
        <v>319.81</v>
      </c>
      <c r="AX25" s="65">
        <f t="shared" si="19"/>
        <v>69.999999999993179</v>
      </c>
      <c r="AY25" s="58">
        <v>361.24</v>
      </c>
      <c r="AZ25" s="65">
        <f t="shared" si="20"/>
        <v>40.000000000020464</v>
      </c>
      <c r="BA25" s="58">
        <v>381.07</v>
      </c>
      <c r="BB25" s="65">
        <f t="shared" si="21"/>
        <v>19.99999999998181</v>
      </c>
      <c r="BC25" s="58">
        <v>241.7</v>
      </c>
      <c r="BD25" s="65">
        <f t="shared" si="22"/>
        <v>19.99999999998181</v>
      </c>
      <c r="BE25" s="59">
        <v>40203</v>
      </c>
      <c r="BF25" s="67">
        <f t="shared" si="39"/>
        <v>17</v>
      </c>
      <c r="BG25" s="60">
        <v>233.92</v>
      </c>
      <c r="BH25" s="65">
        <f t="shared" si="23"/>
        <v>39.999999999992042</v>
      </c>
      <c r="BI25" s="60">
        <v>293.06</v>
      </c>
      <c r="BJ25" s="65">
        <f t="shared" si="40"/>
        <v>19.99999999998181</v>
      </c>
      <c r="BK25" s="60">
        <v>236.82</v>
      </c>
      <c r="BL25" s="65">
        <f t="shared" si="24"/>
        <v>39.999999999992042</v>
      </c>
      <c r="BM25" s="60">
        <v>223.65</v>
      </c>
      <c r="BN25" s="65">
        <f t="shared" si="25"/>
        <v>39.999999999992042</v>
      </c>
      <c r="BO25" s="60">
        <v>287.5</v>
      </c>
      <c r="BP25" s="65">
        <f t="shared" si="26"/>
        <v>19.99999999998181</v>
      </c>
      <c r="BQ25" s="60">
        <v>45135</v>
      </c>
      <c r="BR25" s="65">
        <f t="shared" si="27"/>
        <v>25</v>
      </c>
      <c r="BS25" s="60">
        <v>200.66</v>
      </c>
      <c r="BT25" s="65">
        <f t="shared" si="42"/>
        <v>20.000000000010232</v>
      </c>
      <c r="BU25" s="60">
        <v>40498</v>
      </c>
      <c r="BV25" s="65">
        <f t="shared" si="29"/>
        <v>36</v>
      </c>
      <c r="BW25" s="60">
        <v>231.81</v>
      </c>
      <c r="BX25" s="65">
        <f t="shared" si="30"/>
        <v>30.000000000001137</v>
      </c>
      <c r="BY25" s="60">
        <v>59999</v>
      </c>
      <c r="BZ25" s="67">
        <f t="shared" si="31"/>
        <v>58</v>
      </c>
      <c r="CA25" s="60">
        <v>31794.7</v>
      </c>
      <c r="CB25" s="67">
        <f t="shared" si="32"/>
        <v>48</v>
      </c>
      <c r="CC25" s="60">
        <v>12126.9</v>
      </c>
      <c r="CD25" s="67">
        <f t="shared" si="33"/>
        <v>6.8999999999996362</v>
      </c>
      <c r="CE25" s="60">
        <v>6388.5</v>
      </c>
      <c r="CF25" s="67">
        <f t="shared" si="34"/>
        <v>2.3000000000001819</v>
      </c>
      <c r="CG25" s="60">
        <v>59343.6</v>
      </c>
      <c r="CH25" s="67">
        <f t="shared" si="35"/>
        <v>18.099999999998545</v>
      </c>
      <c r="CI25" s="60">
        <v>947194</v>
      </c>
      <c r="CJ25" s="67">
        <f t="shared" si="36"/>
        <v>280</v>
      </c>
      <c r="CK25" s="60">
        <v>761.01</v>
      </c>
      <c r="CL25" s="64">
        <f t="shared" si="37"/>
        <v>799.99999999995453</v>
      </c>
      <c r="CM25" s="65">
        <f t="shared" si="41"/>
        <v>58.100000000000364</v>
      </c>
      <c r="CN25" s="62">
        <v>8</v>
      </c>
      <c r="CO25" s="62">
        <v>25</v>
      </c>
      <c r="CP25" s="68">
        <v>9320.9</v>
      </c>
      <c r="CQ25" s="67">
        <f t="shared" si="38"/>
        <v>39.100000000000364</v>
      </c>
      <c r="CR25" s="68">
        <v>14073</v>
      </c>
      <c r="CS25" s="67">
        <f t="shared" si="38"/>
        <v>19</v>
      </c>
      <c r="CT25" s="75">
        <v>6388</v>
      </c>
      <c r="CU25" s="67">
        <f t="shared" si="38"/>
        <v>11</v>
      </c>
      <c r="CV25" s="68">
        <v>15223</v>
      </c>
      <c r="CW25" s="67">
        <f t="shared" si="38"/>
        <v>24</v>
      </c>
    </row>
    <row r="26" spans="1:101" ht="25.5" customHeight="1" thickBot="1" x14ac:dyDescent="0.45">
      <c r="A26" s="63">
        <v>44370</v>
      </c>
      <c r="B26" s="44"/>
      <c r="C26" s="58">
        <v>2.2839999999999998</v>
      </c>
      <c r="D26" s="64">
        <f t="shared" si="0"/>
        <v>1499.9999999996128</v>
      </c>
      <c r="E26" s="58">
        <v>3.2517999999999998</v>
      </c>
      <c r="F26" s="64">
        <f t="shared" si="1"/>
        <v>2599.9999999997135</v>
      </c>
      <c r="G26" s="58">
        <v>3.3106</v>
      </c>
      <c r="H26" s="64">
        <f t="shared" si="2"/>
        <v>2400.0000000001796</v>
      </c>
      <c r="I26" s="58">
        <v>1.6325000000000001</v>
      </c>
      <c r="J26" s="64">
        <f t="shared" si="3"/>
        <v>1100.000000000101</v>
      </c>
      <c r="K26" s="58">
        <v>2.6375999999999999</v>
      </c>
      <c r="L26" s="64">
        <f t="shared" si="4"/>
        <v>1900.0000000000127</v>
      </c>
      <c r="M26" s="58">
        <v>1.4550000000000001</v>
      </c>
      <c r="N26" s="64">
        <f t="shared" si="5"/>
        <v>800.00000000013392</v>
      </c>
      <c r="O26" s="58">
        <v>14370</v>
      </c>
      <c r="P26" s="67">
        <f t="shared" si="44"/>
        <v>0</v>
      </c>
      <c r="Q26" s="58">
        <v>1017</v>
      </c>
      <c r="R26" s="67">
        <f t="shared" si="6"/>
        <v>1</v>
      </c>
      <c r="S26" s="58">
        <v>990141.2</v>
      </c>
      <c r="T26" s="67">
        <f t="shared" si="7"/>
        <v>892</v>
      </c>
      <c r="U26" s="58">
        <v>416262.7</v>
      </c>
      <c r="V26" s="67">
        <f t="shared" si="8"/>
        <v>309.40000000002328</v>
      </c>
      <c r="W26" s="58">
        <v>397.16</v>
      </c>
      <c r="X26" s="65">
        <f t="shared" si="9"/>
        <v>270.00000000003865</v>
      </c>
      <c r="Y26" s="58">
        <v>2.8412999999999999</v>
      </c>
      <c r="Z26" s="65">
        <f t="shared" si="10"/>
        <v>2299.9999999999686</v>
      </c>
      <c r="AA26" s="58">
        <v>395.14</v>
      </c>
      <c r="AB26" s="65">
        <f t="shared" si="11"/>
        <v>289.99999999996362</v>
      </c>
      <c r="AC26" s="58">
        <v>369.69</v>
      </c>
      <c r="AD26" s="65">
        <f t="shared" si="12"/>
        <v>170.00000000001592</v>
      </c>
      <c r="AE26" s="58">
        <v>565.59</v>
      </c>
      <c r="AF26" s="65">
        <f t="shared" si="13"/>
        <v>259.99999999999091</v>
      </c>
      <c r="AG26" s="58">
        <v>4324</v>
      </c>
      <c r="AH26" s="67">
        <f t="shared" si="14"/>
        <v>33</v>
      </c>
      <c r="AI26" s="58">
        <v>610.62</v>
      </c>
      <c r="AJ26" s="65">
        <f t="shared" si="15"/>
        <v>450.00000000004547</v>
      </c>
      <c r="AK26" s="58">
        <v>203.92</v>
      </c>
      <c r="AL26" s="65">
        <f t="shared" si="15"/>
        <v>169.99999999998749</v>
      </c>
      <c r="AM26" s="58">
        <v>194.24</v>
      </c>
      <c r="AN26" s="65">
        <f t="shared" si="15"/>
        <v>140.00000000001478</v>
      </c>
      <c r="AO26" s="58">
        <v>188.57</v>
      </c>
      <c r="AP26" s="65">
        <f t="shared" si="15"/>
        <v>109.99999999998522</v>
      </c>
      <c r="AQ26" s="58">
        <v>246.94</v>
      </c>
      <c r="AR26" s="65">
        <f t="shared" si="16"/>
        <v>60.000000000002274</v>
      </c>
      <c r="AS26" s="58">
        <v>372.36</v>
      </c>
      <c r="AT26" s="65">
        <f t="shared" si="17"/>
        <v>150.00000000003411</v>
      </c>
      <c r="AU26" s="58">
        <v>285.3</v>
      </c>
      <c r="AV26" s="65">
        <f t="shared" si="18"/>
        <v>60.000000000002274</v>
      </c>
      <c r="AW26" s="58">
        <v>319.88</v>
      </c>
      <c r="AX26" s="65">
        <f t="shared" si="19"/>
        <v>69.999999999993179</v>
      </c>
      <c r="AY26" s="58">
        <v>361.29</v>
      </c>
      <c r="AZ26" s="65">
        <f t="shared" si="20"/>
        <v>50.000000000011369</v>
      </c>
      <c r="BA26" s="58">
        <v>381.09</v>
      </c>
      <c r="BB26" s="65">
        <f t="shared" si="21"/>
        <v>19.99999999998181</v>
      </c>
      <c r="BC26" s="58">
        <v>241.72</v>
      </c>
      <c r="BD26" s="65">
        <f t="shared" si="22"/>
        <v>20.000000000010232</v>
      </c>
      <c r="BE26" s="59">
        <v>40229</v>
      </c>
      <c r="BF26" s="67">
        <f t="shared" si="39"/>
        <v>26</v>
      </c>
      <c r="BG26" s="60">
        <v>233.95</v>
      </c>
      <c r="BH26" s="65">
        <f t="shared" si="23"/>
        <v>30.000000000001137</v>
      </c>
      <c r="BI26" s="60">
        <v>293.08999999999997</v>
      </c>
      <c r="BJ26" s="65">
        <f t="shared" si="40"/>
        <v>29.999999999972715</v>
      </c>
      <c r="BK26" s="60">
        <v>236.85</v>
      </c>
      <c r="BL26" s="65">
        <f t="shared" si="24"/>
        <v>30.000000000001137</v>
      </c>
      <c r="BM26" s="60">
        <v>223.69</v>
      </c>
      <c r="BN26" s="65">
        <f t="shared" si="25"/>
        <v>39.999999999992042</v>
      </c>
      <c r="BO26" s="60">
        <v>287.52999999999997</v>
      </c>
      <c r="BP26" s="65">
        <f t="shared" si="26"/>
        <v>29.999999999972715</v>
      </c>
      <c r="BQ26" s="60">
        <v>45158</v>
      </c>
      <c r="BR26" s="65">
        <f t="shared" si="27"/>
        <v>23</v>
      </c>
      <c r="BS26" s="60">
        <v>200.67</v>
      </c>
      <c r="BT26" s="65">
        <f t="shared" si="42"/>
        <v>9.9999999999909051</v>
      </c>
      <c r="BU26" s="60">
        <v>40535</v>
      </c>
      <c r="BV26" s="65">
        <f t="shared" si="29"/>
        <v>37</v>
      </c>
      <c r="BW26" s="60">
        <v>231.83</v>
      </c>
      <c r="BX26" s="65">
        <f t="shared" si="30"/>
        <v>20.000000000010232</v>
      </c>
      <c r="BY26" s="60">
        <v>60044</v>
      </c>
      <c r="BZ26" s="67">
        <f t="shared" si="31"/>
        <v>45</v>
      </c>
      <c r="CA26" s="60">
        <v>31855.5</v>
      </c>
      <c r="CB26" s="67">
        <f t="shared" si="32"/>
        <v>60.799999999999272</v>
      </c>
      <c r="CC26" s="60">
        <v>12133.3</v>
      </c>
      <c r="CD26" s="67">
        <f t="shared" si="33"/>
        <v>6.3999999999996362</v>
      </c>
      <c r="CE26" s="60">
        <v>6396.9</v>
      </c>
      <c r="CF26" s="67">
        <f t="shared" si="34"/>
        <v>8.3999999999996362</v>
      </c>
      <c r="CG26" s="60">
        <v>59377.3</v>
      </c>
      <c r="CH26" s="67">
        <f t="shared" si="35"/>
        <v>33.700000000004366</v>
      </c>
      <c r="CI26" s="60">
        <v>947465</v>
      </c>
      <c r="CJ26" s="67">
        <f t="shared" si="36"/>
        <v>271</v>
      </c>
      <c r="CK26" s="60">
        <v>761.68</v>
      </c>
      <c r="CL26" s="64">
        <f t="shared" si="37"/>
        <v>669.99999999995907</v>
      </c>
      <c r="CM26" s="65">
        <f t="shared" si="41"/>
        <v>58.600000000000364</v>
      </c>
      <c r="CN26" s="62">
        <v>8</v>
      </c>
      <c r="CO26" s="62">
        <v>25</v>
      </c>
      <c r="CP26" s="68">
        <v>9363.5</v>
      </c>
      <c r="CQ26" s="67">
        <f t="shared" si="38"/>
        <v>42.600000000000364</v>
      </c>
      <c r="CR26" s="68">
        <v>14089</v>
      </c>
      <c r="CS26" s="67">
        <f t="shared" si="38"/>
        <v>16</v>
      </c>
      <c r="CT26" s="75">
        <v>6401</v>
      </c>
      <c r="CU26" s="67">
        <f t="shared" si="38"/>
        <v>13</v>
      </c>
      <c r="CV26" s="68">
        <v>15244</v>
      </c>
      <c r="CW26" s="67">
        <f t="shared" si="38"/>
        <v>21</v>
      </c>
    </row>
    <row r="27" spans="1:101" ht="25.5" customHeight="1" thickBot="1" x14ac:dyDescent="0.45">
      <c r="A27" s="63">
        <v>44371</v>
      </c>
      <c r="B27" s="44"/>
      <c r="C27" s="58">
        <v>2.2856999999999998</v>
      </c>
      <c r="D27" s="64">
        <f t="shared" si="0"/>
        <v>1700.0000000000348</v>
      </c>
      <c r="E27" s="58">
        <v>3.2545999999999999</v>
      </c>
      <c r="F27" s="64">
        <f t="shared" si="1"/>
        <v>2800.0000000001355</v>
      </c>
      <c r="G27" s="58">
        <v>3.3130000000000002</v>
      </c>
      <c r="H27" s="64">
        <f t="shared" si="2"/>
        <v>2400.0000000001796</v>
      </c>
      <c r="I27" s="58">
        <v>1.6337999999999999</v>
      </c>
      <c r="J27" s="64">
        <f t="shared" si="3"/>
        <v>1299.9999999998568</v>
      </c>
      <c r="K27" s="58">
        <v>2.6385999999999998</v>
      </c>
      <c r="L27" s="64">
        <f t="shared" si="4"/>
        <v>999.99999999988984</v>
      </c>
      <c r="M27" s="58">
        <v>1.4558</v>
      </c>
      <c r="N27" s="64">
        <f t="shared" si="5"/>
        <v>799.99999999991189</v>
      </c>
      <c r="O27" s="58">
        <v>14375</v>
      </c>
      <c r="P27" s="67">
        <f t="shared" si="44"/>
        <v>5</v>
      </c>
      <c r="Q27" s="58">
        <v>1019</v>
      </c>
      <c r="R27" s="67">
        <f t="shared" si="6"/>
        <v>2</v>
      </c>
      <c r="S27" s="58">
        <v>990744.6</v>
      </c>
      <c r="T27" s="67">
        <f t="shared" si="7"/>
        <v>603.40000000002328</v>
      </c>
      <c r="U27" s="58">
        <v>416528.9</v>
      </c>
      <c r="V27" s="67">
        <f t="shared" si="8"/>
        <v>266.20000000001164</v>
      </c>
      <c r="W27" s="58">
        <v>397.44</v>
      </c>
      <c r="X27" s="65">
        <f t="shared" si="9"/>
        <v>279.99999999997272</v>
      </c>
      <c r="Y27" s="58">
        <v>2.8437999999999999</v>
      </c>
      <c r="Z27" s="65">
        <f t="shared" si="10"/>
        <v>2499.9999999999468</v>
      </c>
      <c r="AA27" s="58">
        <v>395.3</v>
      </c>
      <c r="AB27" s="65">
        <f t="shared" si="11"/>
        <v>160.00000000002501</v>
      </c>
      <c r="AC27" s="58">
        <v>369.92</v>
      </c>
      <c r="AD27" s="65">
        <f t="shared" si="12"/>
        <v>230.00000000001819</v>
      </c>
      <c r="AE27" s="58">
        <v>565.87</v>
      </c>
      <c r="AF27" s="65">
        <f t="shared" si="13"/>
        <v>279.99999999997272</v>
      </c>
      <c r="AG27" s="58">
        <v>4359</v>
      </c>
      <c r="AH27" s="67">
        <f t="shared" si="14"/>
        <v>35</v>
      </c>
      <c r="AI27" s="58">
        <v>611.15</v>
      </c>
      <c r="AJ27" s="65">
        <f t="shared" si="15"/>
        <v>529.99999999997272</v>
      </c>
      <c r="AK27" s="58">
        <v>204.1</v>
      </c>
      <c r="AL27" s="65">
        <f t="shared" si="15"/>
        <v>180.00000000000682</v>
      </c>
      <c r="AM27" s="58">
        <v>194.39</v>
      </c>
      <c r="AN27" s="65">
        <f t="shared" si="15"/>
        <v>149.99999999997726</v>
      </c>
      <c r="AO27" s="58">
        <v>188.69</v>
      </c>
      <c r="AP27" s="65">
        <f t="shared" si="15"/>
        <v>120.00000000000455</v>
      </c>
      <c r="AQ27" s="58">
        <v>247.02</v>
      </c>
      <c r="AR27" s="65">
        <f t="shared" si="16"/>
        <v>80.000000000012506</v>
      </c>
      <c r="AS27" s="58">
        <v>372.49</v>
      </c>
      <c r="AT27" s="65">
        <f t="shared" si="17"/>
        <v>129.99999999999545</v>
      </c>
      <c r="AU27" s="58">
        <v>285.36</v>
      </c>
      <c r="AV27" s="65">
        <f t="shared" si="18"/>
        <v>60.000000000002274</v>
      </c>
      <c r="AW27" s="58">
        <v>319.95999999999998</v>
      </c>
      <c r="AX27" s="65">
        <f t="shared" si="19"/>
        <v>79.999999999984084</v>
      </c>
      <c r="AY27" s="58">
        <v>361.35</v>
      </c>
      <c r="AZ27" s="65">
        <f t="shared" si="20"/>
        <v>60.000000000002274</v>
      </c>
      <c r="BA27" s="58">
        <v>381.12</v>
      </c>
      <c r="BB27" s="65">
        <f t="shared" si="21"/>
        <v>30.000000000029559</v>
      </c>
      <c r="BC27" s="58">
        <v>241.76</v>
      </c>
      <c r="BD27" s="65">
        <f t="shared" si="22"/>
        <v>39.999999999992042</v>
      </c>
      <c r="BE27" s="59">
        <v>40249</v>
      </c>
      <c r="BF27" s="67">
        <f t="shared" si="39"/>
        <v>20</v>
      </c>
      <c r="BG27" s="60">
        <v>233.99</v>
      </c>
      <c r="BH27" s="65">
        <f t="shared" si="23"/>
        <v>40.000000000020464</v>
      </c>
      <c r="BI27" s="60">
        <v>293.12</v>
      </c>
      <c r="BJ27" s="65">
        <f t="shared" si="40"/>
        <v>30.000000000029559</v>
      </c>
      <c r="BK27" s="60">
        <v>236.88</v>
      </c>
      <c r="BL27" s="65">
        <f t="shared" si="24"/>
        <v>30.000000000001137</v>
      </c>
      <c r="BM27" s="60">
        <v>223.72</v>
      </c>
      <c r="BN27" s="65">
        <f t="shared" si="25"/>
        <v>30.000000000001137</v>
      </c>
      <c r="BO27" s="60">
        <v>287.56</v>
      </c>
      <c r="BP27" s="65">
        <f t="shared" si="26"/>
        <v>30.000000000029559</v>
      </c>
      <c r="BQ27" s="60">
        <v>45185</v>
      </c>
      <c r="BR27" s="65">
        <f t="shared" si="27"/>
        <v>27</v>
      </c>
      <c r="BS27" s="60">
        <v>200.69</v>
      </c>
      <c r="BT27" s="65">
        <f t="shared" si="42"/>
        <v>20.000000000010232</v>
      </c>
      <c r="BU27" s="60">
        <v>40571</v>
      </c>
      <c r="BV27" s="65">
        <f t="shared" si="29"/>
        <v>36</v>
      </c>
      <c r="BW27" s="60">
        <v>231.85</v>
      </c>
      <c r="BX27" s="65">
        <f t="shared" si="30"/>
        <v>19.99999999998181</v>
      </c>
      <c r="BY27" s="60">
        <v>60101</v>
      </c>
      <c r="BZ27" s="67">
        <f t="shared" si="31"/>
        <v>57</v>
      </c>
      <c r="CA27" s="60">
        <v>31883.599999999999</v>
      </c>
      <c r="CB27" s="67">
        <f t="shared" si="32"/>
        <v>28.099999999998545</v>
      </c>
      <c r="CC27" s="60">
        <v>12137.3</v>
      </c>
      <c r="CD27" s="67">
        <f t="shared" si="33"/>
        <v>4</v>
      </c>
      <c r="CE27" s="60">
        <v>6405</v>
      </c>
      <c r="CF27" s="67">
        <f t="shared" si="34"/>
        <v>8.1000000000003638</v>
      </c>
      <c r="CG27" s="60">
        <v>59415.6</v>
      </c>
      <c r="CH27" s="67">
        <f t="shared" si="35"/>
        <v>38.299999999995634</v>
      </c>
      <c r="CI27" s="60">
        <v>947759</v>
      </c>
      <c r="CJ27" s="67">
        <f t="shared" si="36"/>
        <v>294</v>
      </c>
      <c r="CK27" s="60">
        <v>762.26</v>
      </c>
      <c r="CL27" s="64">
        <f t="shared" si="37"/>
        <v>580.00000000004093</v>
      </c>
      <c r="CM27" s="65">
        <f t="shared" si="41"/>
        <v>69.100000000000364</v>
      </c>
      <c r="CN27" s="62">
        <v>8</v>
      </c>
      <c r="CO27" s="62">
        <v>25</v>
      </c>
      <c r="CP27" s="68">
        <v>9405.6</v>
      </c>
      <c r="CQ27" s="67">
        <f t="shared" si="38"/>
        <v>42.100000000000364</v>
      </c>
      <c r="CR27" s="68">
        <v>14116</v>
      </c>
      <c r="CS27" s="67">
        <f t="shared" si="38"/>
        <v>27</v>
      </c>
      <c r="CT27" s="75">
        <v>6412</v>
      </c>
      <c r="CU27" s="67">
        <f t="shared" si="38"/>
        <v>11</v>
      </c>
      <c r="CV27" s="68">
        <v>15260</v>
      </c>
      <c r="CW27" s="67">
        <f t="shared" si="38"/>
        <v>16</v>
      </c>
    </row>
    <row r="28" spans="1:101" ht="25.5" customHeight="1" thickBot="1" x14ac:dyDescent="0.45">
      <c r="A28" s="63">
        <v>44372</v>
      </c>
      <c r="B28" s="44"/>
      <c r="C28" s="58">
        <v>2.2873999999999999</v>
      </c>
      <c r="D28" s="64">
        <f t="shared" si="0"/>
        <v>1700.0000000000348</v>
      </c>
      <c r="E28" s="58">
        <v>3.2572000000000001</v>
      </c>
      <c r="F28" s="64">
        <f t="shared" si="1"/>
        <v>2600.0000000001578</v>
      </c>
      <c r="G28" s="58">
        <v>3.3151999999999999</v>
      </c>
      <c r="H28" s="64">
        <f t="shared" si="2"/>
        <v>2199.9999999997576</v>
      </c>
      <c r="I28" s="58">
        <v>1.635</v>
      </c>
      <c r="J28" s="64">
        <f t="shared" si="3"/>
        <v>1200.0000000000898</v>
      </c>
      <c r="K28" s="58">
        <v>2.6415999999999999</v>
      </c>
      <c r="L28" s="64">
        <f t="shared" si="4"/>
        <v>3000.0000000001137</v>
      </c>
      <c r="M28" s="58">
        <v>1.4567000000000001</v>
      </c>
      <c r="N28" s="64">
        <f t="shared" si="5"/>
        <v>900.0000000001229</v>
      </c>
      <c r="O28" s="58">
        <v>14379</v>
      </c>
      <c r="P28" s="67">
        <f t="shared" si="44"/>
        <v>4</v>
      </c>
      <c r="Q28" s="58">
        <v>1021</v>
      </c>
      <c r="R28" s="67">
        <f t="shared" si="6"/>
        <v>2</v>
      </c>
      <c r="S28" s="58">
        <v>991291.2</v>
      </c>
      <c r="T28" s="67">
        <f t="shared" si="7"/>
        <v>546.59999999997672</v>
      </c>
      <c r="U28" s="58">
        <v>416781.8</v>
      </c>
      <c r="V28" s="67">
        <f t="shared" si="8"/>
        <v>252.89999999996508</v>
      </c>
      <c r="W28" s="58">
        <v>397.68</v>
      </c>
      <c r="X28" s="65">
        <f t="shared" si="9"/>
        <v>240.00000000000909</v>
      </c>
      <c r="Y28" s="58">
        <v>2.8460999999999999</v>
      </c>
      <c r="Z28" s="65">
        <f t="shared" si="10"/>
        <v>2299.9999999999686</v>
      </c>
      <c r="AA28" s="58">
        <v>395.59</v>
      </c>
      <c r="AB28" s="65">
        <f t="shared" si="11"/>
        <v>289.99999999996362</v>
      </c>
      <c r="AC28" s="58">
        <v>370.15</v>
      </c>
      <c r="AD28" s="65">
        <f t="shared" si="12"/>
        <v>229.99999999996135</v>
      </c>
      <c r="AE28" s="58">
        <v>566.19000000000005</v>
      </c>
      <c r="AF28" s="65">
        <f t="shared" si="13"/>
        <v>320.00000000005002</v>
      </c>
      <c r="AG28" s="58">
        <v>4393</v>
      </c>
      <c r="AH28" s="67">
        <f t="shared" si="14"/>
        <v>34</v>
      </c>
      <c r="AI28" s="58">
        <v>611.66999999999996</v>
      </c>
      <c r="AJ28" s="65">
        <f t="shared" si="15"/>
        <v>519.99999999998181</v>
      </c>
      <c r="AK28" s="58">
        <v>204.29</v>
      </c>
      <c r="AL28" s="65">
        <f t="shared" si="15"/>
        <v>189.99999999999773</v>
      </c>
      <c r="AM28" s="58">
        <v>194.54</v>
      </c>
      <c r="AN28" s="65">
        <f t="shared" si="15"/>
        <v>150.00000000000568</v>
      </c>
      <c r="AO28" s="58">
        <v>188.88</v>
      </c>
      <c r="AP28" s="65">
        <f t="shared" si="15"/>
        <v>189.99999999999773</v>
      </c>
      <c r="AQ28" s="58">
        <v>247.1</v>
      </c>
      <c r="AR28" s="65">
        <f t="shared" si="16"/>
        <v>79.999999999984084</v>
      </c>
      <c r="AS28" s="58">
        <v>372.59</v>
      </c>
      <c r="AT28" s="65">
        <f t="shared" si="17"/>
        <v>99.999999999965894</v>
      </c>
      <c r="AU28" s="58">
        <v>285.39999999999998</v>
      </c>
      <c r="AV28" s="65">
        <f t="shared" si="18"/>
        <v>39.99999999996362</v>
      </c>
      <c r="AW28" s="58">
        <v>320.04000000000002</v>
      </c>
      <c r="AX28" s="65">
        <f t="shared" si="19"/>
        <v>80.000000000040927</v>
      </c>
      <c r="AY28" s="58">
        <v>361.4</v>
      </c>
      <c r="AZ28" s="65">
        <f t="shared" si="20"/>
        <v>49.999999999954525</v>
      </c>
      <c r="BA28" s="58">
        <v>381.15</v>
      </c>
      <c r="BB28" s="65">
        <f t="shared" si="21"/>
        <v>29.999999999972715</v>
      </c>
      <c r="BC28" s="58">
        <v>241.78</v>
      </c>
      <c r="BD28" s="65">
        <f t="shared" si="22"/>
        <v>20.000000000010232</v>
      </c>
      <c r="BE28" s="59">
        <v>40298</v>
      </c>
      <c r="BF28" s="67">
        <f t="shared" si="39"/>
        <v>49</v>
      </c>
      <c r="BG28" s="60">
        <v>234.03</v>
      </c>
      <c r="BH28" s="65">
        <f t="shared" si="23"/>
        <v>39.999999999992042</v>
      </c>
      <c r="BI28" s="60">
        <v>293.13</v>
      </c>
      <c r="BJ28" s="65">
        <f t="shared" si="40"/>
        <v>9.9999999999909051</v>
      </c>
      <c r="BK28" s="60">
        <v>236.91</v>
      </c>
      <c r="BL28" s="65">
        <f t="shared" si="24"/>
        <v>30.000000000001137</v>
      </c>
      <c r="BM28" s="60">
        <v>223.75</v>
      </c>
      <c r="BN28" s="65">
        <f t="shared" si="25"/>
        <v>30.000000000001137</v>
      </c>
      <c r="BO28" s="60">
        <v>287.58</v>
      </c>
      <c r="BP28" s="65">
        <f t="shared" si="26"/>
        <v>19.99999999998181</v>
      </c>
      <c r="BQ28" s="60">
        <v>45210</v>
      </c>
      <c r="BR28" s="65">
        <f t="shared" si="27"/>
        <v>25</v>
      </c>
      <c r="BS28" s="60">
        <v>200.71</v>
      </c>
      <c r="BT28" s="65">
        <f t="shared" si="42"/>
        <v>20.000000000010232</v>
      </c>
      <c r="BU28" s="60">
        <v>40606</v>
      </c>
      <c r="BV28" s="65">
        <f t="shared" si="29"/>
        <v>35</v>
      </c>
      <c r="BW28" s="60">
        <v>231.88</v>
      </c>
      <c r="BX28" s="65">
        <f t="shared" si="30"/>
        <v>30.000000000001137</v>
      </c>
      <c r="BY28" s="60">
        <v>60142</v>
      </c>
      <c r="BZ28" s="67">
        <f t="shared" si="31"/>
        <v>41</v>
      </c>
      <c r="CA28" s="60">
        <v>31909.3</v>
      </c>
      <c r="CB28" s="67">
        <f t="shared" si="32"/>
        <v>25.700000000000728</v>
      </c>
      <c r="CC28" s="60">
        <v>12144.1</v>
      </c>
      <c r="CD28" s="67">
        <f t="shared" si="33"/>
        <v>6.8000000000010914</v>
      </c>
      <c r="CE28" s="60">
        <v>6405</v>
      </c>
      <c r="CF28" s="67">
        <f t="shared" si="34"/>
        <v>0</v>
      </c>
      <c r="CG28" s="60">
        <v>59452.9</v>
      </c>
      <c r="CH28" s="67">
        <f t="shared" si="35"/>
        <v>37.30000000000291</v>
      </c>
      <c r="CI28" s="60">
        <v>948085</v>
      </c>
      <c r="CJ28" s="67">
        <f t="shared" si="36"/>
        <v>326</v>
      </c>
      <c r="CK28" s="60">
        <v>762.79</v>
      </c>
      <c r="CL28" s="64">
        <f t="shared" si="37"/>
        <v>529.99999999997272</v>
      </c>
      <c r="CM28" s="65">
        <f t="shared" si="41"/>
        <v>54.600000000000364</v>
      </c>
      <c r="CN28" s="62">
        <v>9</v>
      </c>
      <c r="CO28" s="62">
        <v>26</v>
      </c>
      <c r="CP28" s="68">
        <v>9437.2000000000007</v>
      </c>
      <c r="CQ28" s="67">
        <f t="shared" si="38"/>
        <v>31.600000000000364</v>
      </c>
      <c r="CR28" s="68">
        <v>14139</v>
      </c>
      <c r="CS28" s="67">
        <f t="shared" si="38"/>
        <v>23</v>
      </c>
      <c r="CT28" s="75">
        <v>6424</v>
      </c>
      <c r="CU28" s="67">
        <f t="shared" si="38"/>
        <v>12</v>
      </c>
      <c r="CV28" s="68">
        <v>15283</v>
      </c>
      <c r="CW28" s="67">
        <f t="shared" si="38"/>
        <v>23</v>
      </c>
    </row>
    <row r="29" spans="1:101" ht="25.5" customHeight="1" thickBot="1" x14ac:dyDescent="0.45">
      <c r="A29" s="63">
        <v>44373</v>
      </c>
      <c r="B29" s="44"/>
      <c r="C29" s="58">
        <v>2.2892000000000001</v>
      </c>
      <c r="D29" s="64">
        <f t="shared" si="0"/>
        <v>1800.0000000002458</v>
      </c>
      <c r="E29" s="58">
        <v>3.26</v>
      </c>
      <c r="F29" s="64">
        <f t="shared" si="1"/>
        <v>2799.9999999996917</v>
      </c>
      <c r="G29" s="58">
        <v>3.3176000000000001</v>
      </c>
      <c r="H29" s="64">
        <f t="shared" si="2"/>
        <v>2400.0000000001796</v>
      </c>
      <c r="I29" s="58">
        <v>1.6364000000000001</v>
      </c>
      <c r="J29" s="64">
        <f t="shared" si="3"/>
        <v>1400.0000000000678</v>
      </c>
      <c r="K29" s="58">
        <v>2.6436000000000002</v>
      </c>
      <c r="L29" s="64">
        <f t="shared" si="4"/>
        <v>2000.0000000002237</v>
      </c>
      <c r="M29" s="58">
        <v>1.4576</v>
      </c>
      <c r="N29" s="64">
        <f t="shared" si="5"/>
        <v>899.99999999990087</v>
      </c>
      <c r="O29" s="58">
        <v>14388</v>
      </c>
      <c r="P29" s="67">
        <f t="shared" si="44"/>
        <v>9</v>
      </c>
      <c r="Q29" s="58">
        <v>1024</v>
      </c>
      <c r="R29" s="67">
        <f t="shared" si="6"/>
        <v>3</v>
      </c>
      <c r="S29" s="58">
        <v>992100.2</v>
      </c>
      <c r="T29" s="67">
        <f t="shared" si="7"/>
        <v>809</v>
      </c>
      <c r="U29" s="58">
        <v>417086.7</v>
      </c>
      <c r="V29" s="67">
        <f t="shared" si="8"/>
        <v>304.90000000002328</v>
      </c>
      <c r="W29" s="58">
        <v>397.96</v>
      </c>
      <c r="X29" s="65">
        <f t="shared" si="9"/>
        <v>279.99999999997272</v>
      </c>
      <c r="Y29" s="58">
        <v>2.8487</v>
      </c>
      <c r="Z29" s="65">
        <f t="shared" si="10"/>
        <v>2600.0000000001578</v>
      </c>
      <c r="AA29" s="58">
        <v>395.85</v>
      </c>
      <c r="AB29" s="65">
        <f t="shared" si="11"/>
        <v>260.00000000004775</v>
      </c>
      <c r="AC29" s="58">
        <v>370.41</v>
      </c>
      <c r="AD29" s="65">
        <f t="shared" si="12"/>
        <v>260.00000000004775</v>
      </c>
      <c r="AE29" s="58">
        <v>566.74</v>
      </c>
      <c r="AF29" s="65">
        <f t="shared" si="13"/>
        <v>549.99999999995453</v>
      </c>
      <c r="AG29" s="58">
        <v>4426</v>
      </c>
      <c r="AH29" s="67">
        <f t="shared" si="14"/>
        <v>33</v>
      </c>
      <c r="AI29" s="58">
        <v>612.4</v>
      </c>
      <c r="AJ29" s="65">
        <f t="shared" si="15"/>
        <v>730.00000000001819</v>
      </c>
      <c r="AK29" s="58">
        <v>204.48</v>
      </c>
      <c r="AL29" s="65">
        <f t="shared" si="15"/>
        <v>189.99999999999773</v>
      </c>
      <c r="AM29" s="58">
        <v>194.7</v>
      </c>
      <c r="AN29" s="65">
        <f t="shared" si="15"/>
        <v>159.99999999999659</v>
      </c>
      <c r="AO29" s="58">
        <v>189.1</v>
      </c>
      <c r="AP29" s="65">
        <f t="shared" si="15"/>
        <v>219.99999999999886</v>
      </c>
      <c r="AQ29" s="58">
        <v>247.16</v>
      </c>
      <c r="AR29" s="65">
        <f t="shared" si="16"/>
        <v>60.000000000002274</v>
      </c>
      <c r="AS29" s="58">
        <v>372.7</v>
      </c>
      <c r="AT29" s="65">
        <f t="shared" si="17"/>
        <v>110.00000000001364</v>
      </c>
      <c r="AU29" s="58">
        <v>285.45999999999998</v>
      </c>
      <c r="AV29" s="65">
        <f t="shared" si="18"/>
        <v>60.000000000002274</v>
      </c>
      <c r="AW29" s="58">
        <v>320.11</v>
      </c>
      <c r="AX29" s="65">
        <f t="shared" si="19"/>
        <v>69.999999999993179</v>
      </c>
      <c r="AY29" s="58">
        <v>361.44</v>
      </c>
      <c r="AZ29" s="65">
        <f t="shared" si="20"/>
        <v>40.000000000020464</v>
      </c>
      <c r="BA29" s="58">
        <v>381.17</v>
      </c>
      <c r="BB29" s="65">
        <f t="shared" si="21"/>
        <v>20.000000000038654</v>
      </c>
      <c r="BC29" s="58">
        <v>241.81</v>
      </c>
      <c r="BD29" s="65">
        <f t="shared" si="22"/>
        <v>30.000000000001137</v>
      </c>
      <c r="BE29" s="59"/>
      <c r="BF29" s="67" t="str">
        <f t="shared" si="39"/>
        <v/>
      </c>
      <c r="BG29" s="60">
        <v>234.09</v>
      </c>
      <c r="BH29" s="65">
        <f t="shared" si="23"/>
        <v>60.000000000002274</v>
      </c>
      <c r="BI29" s="60">
        <v>293.16000000000003</v>
      </c>
      <c r="BJ29" s="65">
        <f t="shared" si="40"/>
        <v>30.000000000029559</v>
      </c>
      <c r="BK29" s="60">
        <v>236.93</v>
      </c>
      <c r="BL29" s="65">
        <f t="shared" si="24"/>
        <v>20.000000000010232</v>
      </c>
      <c r="BM29" s="60">
        <v>223.79</v>
      </c>
      <c r="BN29" s="65">
        <f t="shared" si="25"/>
        <v>39.999999999992042</v>
      </c>
      <c r="BO29" s="60">
        <v>287.61</v>
      </c>
      <c r="BP29" s="65">
        <f t="shared" si="26"/>
        <v>30.000000000029559</v>
      </c>
      <c r="BQ29" s="60">
        <v>45235</v>
      </c>
      <c r="BR29" s="65">
        <f t="shared" si="27"/>
        <v>25</v>
      </c>
      <c r="BS29" s="60">
        <v>200.74</v>
      </c>
      <c r="BT29" s="65">
        <f t="shared" si="42"/>
        <v>30.000000000001137</v>
      </c>
      <c r="BU29" s="60">
        <v>40645</v>
      </c>
      <c r="BV29" s="65">
        <f t="shared" si="29"/>
        <v>39</v>
      </c>
      <c r="BW29" s="60">
        <v>231.91</v>
      </c>
      <c r="BX29" s="65">
        <f t="shared" si="30"/>
        <v>30.000000000001137</v>
      </c>
      <c r="BY29" s="60">
        <v>60207</v>
      </c>
      <c r="BZ29" s="67">
        <f t="shared" si="31"/>
        <v>65</v>
      </c>
      <c r="CA29" s="60">
        <v>31927.4</v>
      </c>
      <c r="CB29" s="67">
        <f t="shared" si="32"/>
        <v>18.100000000002183</v>
      </c>
      <c r="CC29" s="60">
        <v>12152.7</v>
      </c>
      <c r="CD29" s="67">
        <f t="shared" si="33"/>
        <v>8.6000000000003638</v>
      </c>
      <c r="CE29" s="60">
        <v>6407.3</v>
      </c>
      <c r="CF29" s="67">
        <f t="shared" si="34"/>
        <v>2.3000000000001819</v>
      </c>
      <c r="CG29" s="60">
        <v>59489.599999999999</v>
      </c>
      <c r="CH29" s="67">
        <f t="shared" si="35"/>
        <v>36.69999999999709</v>
      </c>
      <c r="CI29" s="60">
        <v>948455</v>
      </c>
      <c r="CJ29" s="67">
        <f t="shared" si="36"/>
        <v>370</v>
      </c>
      <c r="CK29" s="60">
        <v>763.38</v>
      </c>
      <c r="CL29" s="64">
        <f t="shared" si="37"/>
        <v>590.00000000003183</v>
      </c>
      <c r="CM29" s="65">
        <f t="shared" si="41"/>
        <v>57.799999999999272</v>
      </c>
      <c r="CN29" s="62">
        <v>0</v>
      </c>
      <c r="CO29" s="62">
        <v>0</v>
      </c>
      <c r="CP29" s="68">
        <v>9475</v>
      </c>
      <c r="CQ29" s="67">
        <f t="shared" si="38"/>
        <v>37.799999999999272</v>
      </c>
      <c r="CR29" s="68">
        <v>14159</v>
      </c>
      <c r="CS29" s="67">
        <f t="shared" si="38"/>
        <v>20</v>
      </c>
      <c r="CT29" s="75">
        <v>6436</v>
      </c>
      <c r="CU29" s="67">
        <f t="shared" si="38"/>
        <v>12</v>
      </c>
      <c r="CV29" s="68">
        <v>15307</v>
      </c>
      <c r="CW29" s="67">
        <f t="shared" si="38"/>
        <v>24</v>
      </c>
    </row>
    <row r="30" spans="1:101" ht="25.5" customHeight="1" thickBot="1" x14ac:dyDescent="0.45">
      <c r="A30" s="63">
        <v>44374</v>
      </c>
      <c r="B30" s="44"/>
      <c r="C30" s="58"/>
      <c r="D30" s="64" t="str">
        <f t="shared" si="0"/>
        <v>0</v>
      </c>
      <c r="E30" s="58"/>
      <c r="F30" s="64" t="str">
        <f t="shared" si="1"/>
        <v>0</v>
      </c>
      <c r="G30" s="58"/>
      <c r="H30" s="64" t="str">
        <f t="shared" si="2"/>
        <v>0</v>
      </c>
      <c r="I30" s="58"/>
      <c r="J30" s="64" t="str">
        <f t="shared" si="3"/>
        <v>0</v>
      </c>
      <c r="K30" s="58"/>
      <c r="L30" s="64" t="str">
        <f t="shared" si="4"/>
        <v>0</v>
      </c>
      <c r="M30" s="58"/>
      <c r="N30" s="64" t="str">
        <f t="shared" si="5"/>
        <v/>
      </c>
      <c r="O30" s="58"/>
      <c r="P30" s="67" t="str">
        <f t="shared" si="44"/>
        <v/>
      </c>
      <c r="Q30" s="58"/>
      <c r="R30" s="67" t="str">
        <f t="shared" si="6"/>
        <v/>
      </c>
      <c r="S30" s="58"/>
      <c r="T30" s="67" t="str">
        <f t="shared" si="7"/>
        <v/>
      </c>
      <c r="U30" s="58"/>
      <c r="V30" s="67" t="str">
        <f t="shared" si="8"/>
        <v/>
      </c>
      <c r="W30" s="58"/>
      <c r="X30" s="65" t="str">
        <f t="shared" si="9"/>
        <v/>
      </c>
      <c r="Y30" s="58"/>
      <c r="Z30" s="65" t="str">
        <f t="shared" si="10"/>
        <v/>
      </c>
      <c r="AA30" s="58"/>
      <c r="AB30" s="65" t="str">
        <f t="shared" si="11"/>
        <v/>
      </c>
      <c r="AC30" s="58"/>
      <c r="AD30" s="65" t="str">
        <f t="shared" si="12"/>
        <v/>
      </c>
      <c r="AE30" s="58"/>
      <c r="AF30" s="65" t="str">
        <f t="shared" si="13"/>
        <v/>
      </c>
      <c r="AG30" s="58"/>
      <c r="AH30" s="67" t="str">
        <f t="shared" si="14"/>
        <v/>
      </c>
      <c r="AI30" s="58"/>
      <c r="AJ30" s="65" t="str">
        <f t="shared" si="15"/>
        <v/>
      </c>
      <c r="AK30" s="58"/>
      <c r="AL30" s="65" t="str">
        <f t="shared" si="15"/>
        <v/>
      </c>
      <c r="AM30" s="58"/>
      <c r="AN30" s="65" t="str">
        <f t="shared" si="15"/>
        <v/>
      </c>
      <c r="AO30" s="58"/>
      <c r="AP30" s="65" t="str">
        <f t="shared" si="15"/>
        <v/>
      </c>
      <c r="AQ30" s="58"/>
      <c r="AR30" s="65" t="str">
        <f t="shared" si="16"/>
        <v/>
      </c>
      <c r="AS30" s="58"/>
      <c r="AT30" s="65" t="str">
        <f t="shared" si="17"/>
        <v/>
      </c>
      <c r="AU30" s="58"/>
      <c r="AV30" s="65" t="str">
        <f t="shared" si="18"/>
        <v/>
      </c>
      <c r="AW30" s="58"/>
      <c r="AX30" s="65" t="str">
        <f t="shared" si="19"/>
        <v/>
      </c>
      <c r="AY30" s="58"/>
      <c r="AZ30" s="65" t="str">
        <f t="shared" si="20"/>
        <v/>
      </c>
      <c r="BA30" s="58"/>
      <c r="BB30" s="65" t="str">
        <f t="shared" si="21"/>
        <v/>
      </c>
      <c r="BC30" s="58"/>
      <c r="BD30" s="65" t="str">
        <f t="shared" si="22"/>
        <v/>
      </c>
      <c r="BE30" s="59"/>
      <c r="BF30" s="67">
        <f t="shared" si="39"/>
        <v>0</v>
      </c>
      <c r="BG30" s="60"/>
      <c r="BH30" s="65" t="str">
        <f t="shared" si="23"/>
        <v/>
      </c>
      <c r="BI30" s="60"/>
      <c r="BJ30" s="65" t="str">
        <f t="shared" si="40"/>
        <v/>
      </c>
      <c r="BK30" s="60"/>
      <c r="BL30" s="65" t="str">
        <f t="shared" si="24"/>
        <v/>
      </c>
      <c r="BM30" s="60"/>
      <c r="BN30" s="65" t="str">
        <f t="shared" si="25"/>
        <v/>
      </c>
      <c r="BO30" s="60"/>
      <c r="BP30" s="65" t="str">
        <f t="shared" si="26"/>
        <v/>
      </c>
      <c r="BQ30" s="60"/>
      <c r="BR30" s="65" t="str">
        <f t="shared" si="27"/>
        <v/>
      </c>
      <c r="BS30" s="60"/>
      <c r="BT30" s="65" t="str">
        <f t="shared" si="42"/>
        <v/>
      </c>
      <c r="BU30" s="60"/>
      <c r="BV30" s="65" t="str">
        <f t="shared" si="29"/>
        <v/>
      </c>
      <c r="BW30" s="60"/>
      <c r="BX30" s="65" t="str">
        <f t="shared" si="30"/>
        <v/>
      </c>
      <c r="BY30" s="60"/>
      <c r="BZ30" s="67" t="str">
        <f t="shared" si="31"/>
        <v/>
      </c>
      <c r="CA30" s="60"/>
      <c r="CB30" s="67" t="str">
        <f t="shared" si="32"/>
        <v/>
      </c>
      <c r="CC30" s="60"/>
      <c r="CD30" s="67" t="str">
        <f t="shared" si="33"/>
        <v/>
      </c>
      <c r="CE30" s="60"/>
      <c r="CF30" s="67" t="str">
        <f t="shared" si="34"/>
        <v/>
      </c>
      <c r="CG30" s="60"/>
      <c r="CH30" s="67" t="str">
        <f t="shared" si="35"/>
        <v/>
      </c>
      <c r="CI30" s="60"/>
      <c r="CJ30" s="67" t="str">
        <f t="shared" si="36"/>
        <v/>
      </c>
      <c r="CK30" s="60"/>
      <c r="CL30" s="64" t="str">
        <f t="shared" si="37"/>
        <v/>
      </c>
      <c r="CM30" s="65" t="e">
        <f t="shared" si="41"/>
        <v>#VALUE!</v>
      </c>
      <c r="CN30" s="62">
        <v>0</v>
      </c>
      <c r="CO30" s="62">
        <v>0</v>
      </c>
      <c r="CP30" s="68"/>
      <c r="CQ30" s="67" t="str">
        <f t="shared" si="38"/>
        <v/>
      </c>
      <c r="CR30" s="68"/>
      <c r="CS30" s="67" t="str">
        <f t="shared" si="38"/>
        <v/>
      </c>
      <c r="CT30" s="75"/>
      <c r="CU30" s="67" t="str">
        <f t="shared" si="38"/>
        <v/>
      </c>
      <c r="CV30" s="68"/>
      <c r="CW30" s="67" t="str">
        <f t="shared" si="38"/>
        <v/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4" zoomScaleNormal="100" workbookViewId="0">
      <selection activeCell="C33" sqref="C33:Q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70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8</v>
      </c>
      <c r="D26" s="40">
        <v>25</v>
      </c>
      <c r="E26" s="41">
        <v>85</v>
      </c>
      <c r="F26" s="41">
        <v>5320</v>
      </c>
      <c r="G26" s="41">
        <v>70</v>
      </c>
      <c r="H26" s="41">
        <v>1518</v>
      </c>
      <c r="I26" s="41">
        <v>85</v>
      </c>
      <c r="J26" s="41">
        <v>351</v>
      </c>
      <c r="K26" s="42">
        <v>35</v>
      </c>
      <c r="L26" s="42">
        <v>80</v>
      </c>
      <c r="M26" s="42">
        <v>1339</v>
      </c>
      <c r="N26" s="39">
        <v>85</v>
      </c>
      <c r="O26" s="39">
        <v>80</v>
      </c>
      <c r="P26" s="39">
        <v>85</v>
      </c>
      <c r="Q26" s="39">
        <v>3837</v>
      </c>
      <c r="R26" s="78">
        <v>70</v>
      </c>
      <c r="S26" s="78">
        <v>197</v>
      </c>
      <c r="T26">
        <v>0</v>
      </c>
    </row>
    <row r="27" spans="1:20" x14ac:dyDescent="0.25">
      <c r="A27" s="73">
        <v>44367</v>
      </c>
      <c r="B27" s="40">
        <v>0</v>
      </c>
      <c r="C27" s="40">
        <v>8</v>
      </c>
      <c r="D27" s="40">
        <v>25</v>
      </c>
      <c r="E27" s="41">
        <v>85</v>
      </c>
      <c r="F27" s="41">
        <v>5325</v>
      </c>
      <c r="G27" s="41">
        <v>65</v>
      </c>
      <c r="H27" s="41">
        <v>1519</v>
      </c>
      <c r="I27" s="41">
        <v>85</v>
      </c>
      <c r="J27" s="41">
        <v>352</v>
      </c>
      <c r="K27" s="42">
        <v>35</v>
      </c>
      <c r="L27" s="42">
        <v>80</v>
      </c>
      <c r="M27" s="42">
        <v>1340</v>
      </c>
      <c r="N27" s="39">
        <v>85</v>
      </c>
      <c r="O27" s="39">
        <v>78</v>
      </c>
      <c r="P27" s="39">
        <v>85</v>
      </c>
      <c r="Q27" s="39">
        <v>3841</v>
      </c>
      <c r="R27" s="78">
        <v>70</v>
      </c>
      <c r="S27" s="78">
        <v>197</v>
      </c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8</v>
      </c>
      <c r="D28" s="40">
        <v>25</v>
      </c>
      <c r="E28" s="41">
        <v>85</v>
      </c>
      <c r="F28" s="41">
        <v>5330</v>
      </c>
      <c r="G28" s="41">
        <v>55</v>
      </c>
      <c r="H28" s="41">
        <v>1521</v>
      </c>
      <c r="I28" s="41">
        <v>85</v>
      </c>
      <c r="J28" s="41">
        <v>352</v>
      </c>
      <c r="K28" s="42">
        <v>30</v>
      </c>
      <c r="L28" s="42">
        <v>80</v>
      </c>
      <c r="M28" s="42">
        <v>1342</v>
      </c>
      <c r="N28" s="39">
        <v>85</v>
      </c>
      <c r="O28" s="39">
        <v>73</v>
      </c>
      <c r="P28" s="39">
        <v>85</v>
      </c>
      <c r="Q28" s="39">
        <v>3846</v>
      </c>
      <c r="R28" s="78">
        <v>70</v>
      </c>
      <c r="S28" s="78">
        <v>197</v>
      </c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8</v>
      </c>
      <c r="D29" s="40">
        <v>25</v>
      </c>
      <c r="E29" s="41">
        <v>85</v>
      </c>
      <c r="F29" s="41">
        <v>5335</v>
      </c>
      <c r="G29" s="41">
        <v>45</v>
      </c>
      <c r="H29" s="41">
        <v>1522</v>
      </c>
      <c r="I29" s="41">
        <v>85</v>
      </c>
      <c r="J29" s="41">
        <v>355</v>
      </c>
      <c r="K29" s="42">
        <v>30</v>
      </c>
      <c r="L29" s="42">
        <v>80</v>
      </c>
      <c r="M29" s="42">
        <v>1342</v>
      </c>
      <c r="N29" s="39">
        <v>85</v>
      </c>
      <c r="O29" s="39">
        <v>70</v>
      </c>
      <c r="P29" s="39">
        <v>85</v>
      </c>
      <c r="Q29" s="39">
        <v>3850</v>
      </c>
      <c r="R29" s="78">
        <v>70</v>
      </c>
      <c r="S29" s="78">
        <v>197</v>
      </c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8</v>
      </c>
      <c r="D30" s="40">
        <v>25</v>
      </c>
      <c r="E30" s="41">
        <v>85</v>
      </c>
      <c r="F30" s="41">
        <v>5340</v>
      </c>
      <c r="G30" s="41">
        <v>35</v>
      </c>
      <c r="H30" s="41">
        <v>1524</v>
      </c>
      <c r="I30" s="41">
        <v>85</v>
      </c>
      <c r="J30" s="41">
        <v>356</v>
      </c>
      <c r="K30" s="42">
        <v>30</v>
      </c>
      <c r="L30" s="42">
        <v>80</v>
      </c>
      <c r="M30" s="42">
        <v>1343</v>
      </c>
      <c r="N30" s="39">
        <v>85</v>
      </c>
      <c r="O30" s="39">
        <v>65</v>
      </c>
      <c r="P30" s="39">
        <v>85</v>
      </c>
      <c r="Q30" s="39">
        <v>3853</v>
      </c>
      <c r="R30" s="78">
        <v>70</v>
      </c>
      <c r="S30" s="78">
        <v>197</v>
      </c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8</v>
      </c>
      <c r="D31" s="40">
        <v>25</v>
      </c>
      <c r="E31" s="41">
        <v>85</v>
      </c>
      <c r="F31" s="41">
        <v>5345</v>
      </c>
      <c r="G31" s="41">
        <v>30</v>
      </c>
      <c r="H31" s="41">
        <v>1525</v>
      </c>
      <c r="I31" s="41">
        <v>85</v>
      </c>
      <c r="J31" s="41">
        <v>356</v>
      </c>
      <c r="K31" s="42">
        <v>30</v>
      </c>
      <c r="L31" s="42">
        <v>80</v>
      </c>
      <c r="M31" s="42">
        <v>1343</v>
      </c>
      <c r="N31" s="39">
        <v>85</v>
      </c>
      <c r="O31" s="39">
        <v>60</v>
      </c>
      <c r="P31" s="39">
        <v>85</v>
      </c>
      <c r="Q31" s="39">
        <v>3857</v>
      </c>
      <c r="R31" s="78">
        <v>70</v>
      </c>
      <c r="S31" s="78">
        <v>197</v>
      </c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9</v>
      </c>
      <c r="D32" s="40">
        <v>26</v>
      </c>
      <c r="E32" s="41">
        <v>85</v>
      </c>
      <c r="F32" s="41">
        <v>5349</v>
      </c>
      <c r="G32" s="41">
        <v>15</v>
      </c>
      <c r="H32" s="41">
        <v>1526</v>
      </c>
      <c r="I32" s="41">
        <v>85</v>
      </c>
      <c r="J32" s="41">
        <v>357</v>
      </c>
      <c r="K32" s="42">
        <v>25</v>
      </c>
      <c r="L32" s="42">
        <v>80</v>
      </c>
      <c r="M32" s="42">
        <v>1344</v>
      </c>
      <c r="N32" s="39">
        <v>85</v>
      </c>
      <c r="O32" s="39">
        <v>55</v>
      </c>
      <c r="P32" s="39">
        <v>85</v>
      </c>
      <c r="Q32" s="39">
        <v>3860</v>
      </c>
      <c r="R32" s="78">
        <v>70</v>
      </c>
      <c r="S32" s="78">
        <v>198</v>
      </c>
      <c r="T32">
        <f t="shared" si="0"/>
        <v>1</v>
      </c>
    </row>
    <row r="33" spans="1:20" x14ac:dyDescent="0.25">
      <c r="A33" s="73">
        <v>44373</v>
      </c>
      <c r="B33" s="40">
        <v>0</v>
      </c>
      <c r="C33" s="40">
        <v>9</v>
      </c>
      <c r="D33" s="40">
        <v>22</v>
      </c>
      <c r="E33" s="41">
        <v>85</v>
      </c>
      <c r="F33" s="41">
        <v>5355</v>
      </c>
      <c r="G33" s="41">
        <v>80</v>
      </c>
      <c r="H33" s="41">
        <v>1528</v>
      </c>
      <c r="I33" s="41">
        <v>85</v>
      </c>
      <c r="J33" s="41">
        <v>358</v>
      </c>
      <c r="K33" s="42">
        <v>85</v>
      </c>
      <c r="L33" s="42">
        <v>80</v>
      </c>
      <c r="M33" s="42">
        <v>1344</v>
      </c>
      <c r="N33" s="39">
        <v>85</v>
      </c>
      <c r="O33" s="39">
        <v>85</v>
      </c>
      <c r="P33" s="39">
        <v>85</v>
      </c>
      <c r="Q33" s="39">
        <v>3865</v>
      </c>
      <c r="R33" s="78">
        <v>70</v>
      </c>
      <c r="S33" s="78">
        <v>198</v>
      </c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-198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2021-06-27T14:27:05Z</dcterms:modified>
</cp:coreProperties>
</file>