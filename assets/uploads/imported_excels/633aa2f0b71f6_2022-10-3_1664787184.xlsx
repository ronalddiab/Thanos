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paul_hemmings_fourseasons_com/Documents/DESKTOP/HEP UTILITY UPLOAD/"/>
    </mc:Choice>
  </mc:AlternateContent>
  <xr:revisionPtr revIDLastSave="13" documentId="8_{021DAB76-8F55-4D26-9749-DD2578217CA4}" xr6:coauthVersionLast="47" xr6:coauthVersionMax="47" xr10:uidLastSave="{3E3735B5-A2EC-4FB9-9391-7E8719CE7C73}"/>
  <bookViews>
    <workbookView xWindow="1230" yWindow="1230" windowWidth="26685" windowHeight="13200" firstSheet="2" activeTab="2" xr2:uid="{00000000-000D-0000-FFFF-FFFF00000000}"/>
  </bookViews>
  <sheets>
    <sheet name="TOTAL" sheetId="1" r:id="rId1"/>
    <sheet name="Submetering" sheetId="3" r:id="rId2"/>
    <sheet name="Hampshire Daily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6" i="2" l="1"/>
  <c r="N36" i="2"/>
  <c r="P36" i="2" l="1"/>
  <c r="O36" i="2"/>
  <c r="R10" i="2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R7" i="3"/>
  <c r="S7" i="3"/>
  <c r="R8" i="3"/>
  <c r="S8" i="3"/>
  <c r="R9" i="3"/>
  <c r="S9" i="3"/>
  <c r="R10" i="3"/>
  <c r="S10" i="3"/>
  <c r="R11" i="3"/>
  <c r="S11" i="3"/>
  <c r="R12" i="3"/>
  <c r="S12" i="3"/>
  <c r="R13" i="3"/>
  <c r="S13" i="3"/>
  <c r="R14" i="3"/>
  <c r="S14" i="3"/>
  <c r="R15" i="3"/>
  <c r="S15" i="3"/>
  <c r="R16" i="3"/>
  <c r="S16" i="3"/>
  <c r="R17" i="3"/>
  <c r="S17" i="3"/>
  <c r="R18" i="3"/>
  <c r="S18" i="3"/>
  <c r="R19" i="3"/>
  <c r="S19" i="3"/>
  <c r="R20" i="3"/>
  <c r="S20" i="3"/>
  <c r="R21" i="3"/>
  <c r="S21" i="3"/>
  <c r="R22" i="3"/>
  <c r="S22" i="3"/>
  <c r="R23" i="3"/>
  <c r="S23" i="3"/>
  <c r="R24" i="3"/>
  <c r="S24" i="3"/>
  <c r="R25" i="3"/>
  <c r="S25" i="3"/>
  <c r="R26" i="3"/>
  <c r="S26" i="3"/>
  <c r="R27" i="3"/>
  <c r="S27" i="3"/>
  <c r="R28" i="3"/>
  <c r="S28" i="3"/>
  <c r="R29" i="3"/>
  <c r="S29" i="3"/>
  <c r="R30" i="3"/>
  <c r="S30" i="3"/>
  <c r="R31" i="3"/>
  <c r="S3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P2" i="3"/>
  <c r="O2" i="3"/>
  <c r="N2" i="3"/>
  <c r="E2" i="3"/>
  <c r="G2" i="3"/>
  <c r="G3" i="3"/>
  <c r="H2" i="3"/>
  <c r="I2" i="3"/>
  <c r="J2" i="3"/>
  <c r="K2" i="3"/>
  <c r="L2" i="3"/>
  <c r="M2" i="3"/>
  <c r="P29" i="3"/>
  <c r="P30" i="3"/>
  <c r="P31" i="3"/>
  <c r="O29" i="3"/>
  <c r="O30" i="3"/>
  <c r="O31" i="3"/>
  <c r="N29" i="3"/>
  <c r="N30" i="3"/>
  <c r="I30" i="1" s="1"/>
  <c r="N31" i="3"/>
  <c r="I31" i="1" s="1"/>
  <c r="M29" i="3"/>
  <c r="M30" i="3"/>
  <c r="G30" i="1" s="1"/>
  <c r="M31" i="3"/>
  <c r="G31" i="1" s="1"/>
  <c r="L29" i="3"/>
  <c r="L30" i="3"/>
  <c r="L31" i="3"/>
  <c r="K29" i="3"/>
  <c r="K30" i="3"/>
  <c r="K31" i="3"/>
  <c r="J29" i="3"/>
  <c r="J30" i="3"/>
  <c r="J31" i="3"/>
  <c r="I29" i="3"/>
  <c r="I30" i="3"/>
  <c r="I31" i="3"/>
  <c r="H29" i="3"/>
  <c r="H30" i="3"/>
  <c r="H31" i="3"/>
  <c r="G30" i="3"/>
  <c r="G31" i="3"/>
  <c r="G29" i="3"/>
  <c r="E29" i="3"/>
  <c r="E30" i="3"/>
  <c r="E3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E31" i="1" l="1"/>
  <c r="E30" i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S2" i="3" l="1"/>
  <c r="S3" i="3"/>
  <c r="S4" i="3"/>
  <c r="S5" i="3"/>
  <c r="S6" i="3"/>
  <c r="L2" i="1"/>
  <c r="R2" i="3"/>
  <c r="R3" i="3"/>
  <c r="R4" i="3"/>
  <c r="R5" i="3"/>
  <c r="R6" i="3"/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I29" i="1"/>
  <c r="E29" i="1"/>
  <c r="K2" i="1" l="1"/>
  <c r="E28" i="1"/>
  <c r="I22" i="1"/>
  <c r="I23" i="1"/>
  <c r="E25" i="1"/>
  <c r="E26" i="1"/>
  <c r="I26" i="1"/>
  <c r="E27" i="1"/>
  <c r="I27" i="1"/>
  <c r="I28" i="1"/>
  <c r="E7" i="1"/>
  <c r="E8" i="1"/>
  <c r="E11" i="1"/>
  <c r="E12" i="1"/>
  <c r="E15" i="1"/>
  <c r="E16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1"/>
  <c r="I7" i="1"/>
  <c r="I8" i="1"/>
  <c r="I9" i="1"/>
  <c r="I13" i="1"/>
  <c r="I16" i="1"/>
  <c r="I17" i="1"/>
  <c r="I18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3" i="1"/>
  <c r="I2" i="1"/>
  <c r="I20" i="1"/>
  <c r="I19" i="1"/>
  <c r="I6" i="1"/>
  <c r="I5" i="1"/>
  <c r="I25" i="1"/>
  <c r="I24" i="1"/>
  <c r="I15" i="1"/>
  <c r="I14" i="1"/>
  <c r="I10" i="1"/>
  <c r="I12" i="1"/>
  <c r="E4" i="1" l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</calcChain>
</file>

<file path=xl/sharedStrings.xml><?xml version="1.0" encoding="utf-8"?>
<sst xmlns="http://schemas.openxmlformats.org/spreadsheetml/2006/main" count="120" uniqueCount="51">
  <si>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</si>
  <si>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</si>
  <si>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</si>
  <si>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</si>
  <si>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</si>
  <si>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</si>
  <si>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</si>
  <si>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</si>
  <si>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</si>
  <si>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</si>
  <si>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</si>
  <si>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</si>
  <si>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Hampshire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</si>
  <si>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</si>
  <si>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</si>
  <si>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</si>
  <si>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</si>
  <si>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</si>
  <si>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</si>
  <si>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</si>
  <si>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</si>
  <si>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Gas- KWh</t>
  </si>
  <si>
    <t>Main Site Water Meter - m3</t>
  </si>
  <si>
    <t>Hard Water Supply- m3</t>
  </si>
  <si>
    <t>Pool Supply- m3</t>
  </si>
  <si>
    <t xml:space="preserve">Kids Pool </t>
  </si>
  <si>
    <t xml:space="preserve"> </t>
  </si>
  <si>
    <t>Electrical</t>
  </si>
  <si>
    <t xml:space="preserve">Main Site Gas Meter </t>
  </si>
  <si>
    <t xml:space="preserve">Banquet Gas Meter </t>
  </si>
  <si>
    <t xml:space="preserve">WC
Kitchen Gas Meter </t>
  </si>
  <si>
    <t>Main Site Water Meter</t>
  </si>
  <si>
    <t>EAST
LTHW
Sub Meter</t>
  </si>
  <si>
    <t>SPA
LTHW
Sub Meter</t>
  </si>
  <si>
    <t>CHW
Sub Meter</t>
  </si>
  <si>
    <t>Water Softener 
Sub Meter</t>
  </si>
  <si>
    <t>Hard Water Supply Sub Meter</t>
  </si>
  <si>
    <t>Pool Supply Sub Meter</t>
  </si>
  <si>
    <t xml:space="preserve">Kids pool Sub Meter </t>
  </si>
  <si>
    <t>Room Night</t>
  </si>
  <si>
    <t>Guest</t>
  </si>
  <si>
    <t>Main Site Electric Meter 1</t>
  </si>
  <si>
    <t>Main Site Electric Meter 2</t>
  </si>
  <si>
    <t>East   MCC Sub Meter</t>
  </si>
  <si>
    <t>South    MCC 1 Sub Meter</t>
  </si>
  <si>
    <t>South       MCC 2 Sub Meter</t>
  </si>
  <si>
    <t>West    MCC 
Sub Meter</t>
  </si>
  <si>
    <t>Kitchen sub meter</t>
  </si>
  <si>
    <t>Spa electric Sub Meter</t>
  </si>
  <si>
    <t>East CHP 41 Electric generated</t>
  </si>
  <si>
    <t>Spa CHP 42 Electric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</si>
</sst>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7A"/>
        <bgColor indexed="64"/>
      </patternFill>
    </fill>
    <fill>
      <patternFill patternType="solid">
        <fgColor rgb="FFD9D9D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4" fillId="0" borderId="0" xfId="0" applyFont="1"/>
    <xf numFmtId="165" fontId="2" fillId="0" borderId="3" xfId="1" applyNumberFormat="1" applyFont="1" applyBorder="1" applyAlignment="1">
      <alignment horizontal="center"/>
    </xf>
    <xf numFmtId="165" fontId="2" fillId="2" borderId="2" xfId="1" applyNumberFormat="1" applyFont="1" applyFill="1" applyBorder="1" applyAlignment="1">
      <alignment horizontal="center" wrapText="1"/>
    </xf>
    <xf numFmtId="165" fontId="0" fillId="2" borderId="2" xfId="0" applyNumberFormat="1" applyFill="1" applyBorder="1" applyAlignment="1">
      <alignment horizontal="center"/>
    </xf>
    <xf numFmtId="0" fontId="8" fillId="0" borderId="7" xfId="0" applyFont="1" applyBorder="1"/>
    <xf numFmtId="0" fontId="8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/>
    <xf numFmtId="0" fontId="0" fillId="0" borderId="7" xfId="0" applyBorder="1"/>
    <xf numFmtId="1" fontId="0" fillId="0" borderId="7" xfId="0" applyNumberFormat="1" applyBorder="1"/>
    <xf numFmtId="0" fontId="10" fillId="0" borderId="7" xfId="0" applyFont="1" applyBorder="1"/>
    <xf numFmtId="0" fontId="10" fillId="0" borderId="14" xfId="0" applyFont="1" applyBorder="1"/>
    <xf numFmtId="0" fontId="8" fillId="0" borderId="7" xfId="0" applyFont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0" xfId="0" applyAlignment="1">
      <alignment horizontal="right"/>
    </xf>
    <xf numFmtId="1" fontId="8" fillId="0" borderId="7" xfId="0" applyNumberFormat="1" applyFont="1" applyBorder="1"/>
    <xf numFmtId="0" fontId="0" fillId="0" borderId="2" xfId="0" applyBorder="1" applyAlignment="1">
      <alignment horizontal="center"/>
    </xf>
    <xf numFmtId="165" fontId="0" fillId="0" borderId="0" xfId="0" applyNumberFormat="1" applyAlignment="1">
      <alignment horizontal="center"/>
    </xf>
    <xf numFmtId="1" fontId="0" fillId="2" borderId="2" xfId="0" applyNumberFormat="1" applyFill="1" applyBorder="1" applyAlignment="1">
      <alignment horizontal="center"/>
    </xf>
    <xf numFmtId="164" fontId="8" fillId="0" borderId="7" xfId="0" applyNumberFormat="1" applyFont="1" applyBorder="1"/>
    <xf numFmtId="164" fontId="0" fillId="0" borderId="7" xfId="0" applyNumberFormat="1" applyBorder="1"/>
    <xf numFmtId="164" fontId="0" fillId="0" borderId="0" xfId="0" applyNumberFormat="1"/>
    <xf numFmtId="164" fontId="8" fillId="8" borderId="7" xfId="0" applyNumberFormat="1" applyFont="1" applyFill="1" applyBorder="1"/>
    <xf numFmtId="164" fontId="0" fillId="8" borderId="7" xfId="0" applyNumberFormat="1" applyFill="1" applyBorder="1"/>
    <xf numFmtId="2" fontId="8" fillId="8" borderId="7" xfId="0" applyNumberFormat="1" applyFont="1" applyFill="1" applyBorder="1"/>
    <xf numFmtId="2" fontId="0" fillId="8" borderId="7" xfId="0" applyNumberFormat="1" applyFill="1" applyBorder="1"/>
    <xf numFmtId="2" fontId="0" fillId="0" borderId="0" xfId="0" applyNumberFormat="1"/>
    <xf numFmtId="3" fontId="0" fillId="0" borderId="0" xfId="0" applyNumberFormat="1"/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2" fillId="5" borderId="2" xfId="1" applyFont="1" applyFill="1" applyBorder="1" applyAlignment="1">
      <alignment horizontal="center" wrapText="1"/>
    </xf>
    <xf numFmtId="0" fontId="1" fillId="5" borderId="2" xfId="1" applyFill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2" borderId="2" xfId="1" applyFont="1" applyFill="1" applyBorder="1" applyAlignment="1">
      <alignment horizontal="center"/>
    </xf>
    <xf numFmtId="0" fontId="2" fillId="5" borderId="9" xfId="1" applyFont="1" applyFill="1" applyBorder="1" applyAlignment="1">
      <alignment horizontal="center" wrapText="1"/>
    </xf>
    <xf numFmtId="0" fontId="2" fillId="5" borderId="11" xfId="1" applyFont="1" applyFill="1" applyBorder="1" applyAlignment="1">
      <alignment horizontal="center" wrapText="1"/>
    </xf>
    <xf numFmtId="0" fontId="1" fillId="5" borderId="2" xfId="1" applyFill="1" applyBorder="1" applyAlignment="1">
      <alignment horizontal="center"/>
    </xf>
    <xf numFmtId="0" fontId="2" fillId="5" borderId="8" xfId="1" applyFont="1" applyFill="1" applyBorder="1" applyAlignment="1">
      <alignment horizontal="center"/>
    </xf>
    <xf numFmtId="0" fontId="2" fillId="5" borderId="12" xfId="1" applyFont="1" applyFill="1" applyBorder="1" applyAlignment="1">
      <alignment horizontal="center"/>
    </xf>
    <xf numFmtId="0" fontId="2" fillId="5" borderId="13" xfId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8" xfId="1" applyFont="1" applyFill="1" applyBorder="1" applyAlignment="1">
      <alignment horizontal="center" wrapText="1"/>
    </xf>
    <xf numFmtId="0" fontId="1" fillId="3" borderId="8" xfId="1" applyFill="1" applyBorder="1" applyAlignment="1">
      <alignment horizontal="center"/>
    </xf>
    <xf numFmtId="164" fontId="2" fillId="7" borderId="2" xfId="1" applyNumberFormat="1" applyFont="1" applyFill="1" applyBorder="1" applyAlignment="1">
      <alignment horizontal="center" wrapText="1"/>
    </xf>
    <xf numFmtId="164" fontId="1" fillId="7" borderId="2" xfId="1" applyNumberFormat="1" applyFill="1" applyBorder="1" applyAlignment="1">
      <alignment horizontal="center"/>
    </xf>
    <xf numFmtId="2" fontId="2" fillId="7" borderId="2" xfId="1" applyNumberFormat="1" applyFont="1" applyFill="1" applyBorder="1" applyAlignment="1">
      <alignment horizontal="center" wrapText="1"/>
    </xf>
    <xf numFmtId="2" fontId="1" fillId="7" borderId="2" xfId="1" applyNumberFormat="1" applyFill="1" applyBorder="1" applyAlignment="1">
      <alignment horizontal="center"/>
    </xf>
    <xf numFmtId="164" fontId="11" fillId="3" borderId="2" xfId="1" applyNumberFormat="1" applyFont="1" applyFill="1" applyBorder="1" applyAlignment="1">
      <alignment horizontal="center" wrapText="1"/>
    </xf>
    <xf numFmtId="164" fontId="12" fillId="3" borderId="2" xfId="1" applyNumberFormat="1" applyFont="1" applyFill="1" applyBorder="1" applyAlignment="1">
      <alignment horizontal="center"/>
    </xf>
    <xf numFmtId="0" fontId="0" fillId="0" borderId="14" xfId="0" applyBorder="1"/>
    <xf numFmtId="0" fontId="3" fillId="3" borderId="15" xfId="0" applyFont="1" applyFill="1" applyBorder="1" applyAlignment="1">
      <alignment horizontal="center" wrapText="1"/>
    </xf>
    <xf numFmtId="0" fontId="3" fillId="3" borderId="16" xfId="0" applyFont="1" applyFill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FF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X31"/>
  <sheetViews>
    <sheetView workbookViewId="0">
      <selection activeCell="A32" sqref="A32:XFD32"/>
    </sheetView>
  </sheetViews>
  <sheetFormatPr defaultColWidth="11.5703125" defaultRowHeight="15" x14ac:dyDescent="0.2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6</v>
      </c>
      <c r="H1" s="11" t="s">
        <v>7</v>
      </c>
      <c r="I1" s="7" t="s">
        <v>8</v>
      </c>
      <c r="J1" s="14" t="s">
        <v>9</v>
      </c>
      <c r="K1" s="7" t="s">
        <v>10</v>
      </c>
      <c r="L1" s="7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2">
        <v>9</v>
      </c>
      <c r="D2" s="2">
        <v>2022</v>
      </c>
      <c r="E2" s="4">
        <f>(Submetering!E2+Submetering!F2)</f>
        <v>10539</v>
      </c>
      <c r="F2" s="12">
        <v>0.35</v>
      </c>
      <c r="G2" s="4">
        <f>Submetering!M2</f>
        <v>963</v>
      </c>
      <c r="H2" s="12">
        <v>0.6</v>
      </c>
      <c r="I2" s="4">
        <f>Submetering!N2</f>
        <v>149</v>
      </c>
      <c r="J2" s="13">
        <v>2.06</v>
      </c>
      <c r="K2" s="4">
        <f>'Hampshire Daily'!B5</f>
        <v>43</v>
      </c>
      <c r="L2" s="4">
        <f>'Hampshire Daily'!C5</f>
        <v>100</v>
      </c>
    </row>
    <row r="3" spans="1:24" x14ac:dyDescent="0.25">
      <c r="A3" s="3" t="s">
        <v>12</v>
      </c>
      <c r="B3" s="2">
        <f>B2+1</f>
        <v>2</v>
      </c>
      <c r="C3" s="2">
        <v>9</v>
      </c>
      <c r="D3" s="2">
        <v>2022</v>
      </c>
      <c r="E3" s="4">
        <f>Submetering!E3+Submetering!F3</f>
        <v>11008</v>
      </c>
      <c r="F3" s="12">
        <v>0.35</v>
      </c>
      <c r="G3" s="4">
        <f>Submetering!M3</f>
        <v>956</v>
      </c>
      <c r="H3" s="12">
        <v>0.6</v>
      </c>
      <c r="I3" s="4">
        <f>Submetering!N3</f>
        <v>140</v>
      </c>
      <c r="J3" s="13">
        <v>2.06</v>
      </c>
      <c r="K3" s="4">
        <f>'Hampshire Daily'!B6</f>
        <v>85</v>
      </c>
      <c r="L3" s="4">
        <f>'Hampshire Daily'!C6</f>
        <v>189</v>
      </c>
    </row>
    <row r="4" spans="1:24" x14ac:dyDescent="0.25">
      <c r="A4" s="3" t="s">
        <v>12</v>
      </c>
      <c r="B4" s="2">
        <f t="shared" ref="B4:B31" si="0">B3+1</f>
        <v>3</v>
      </c>
      <c r="C4" s="2">
        <v>9</v>
      </c>
      <c r="D4" s="2">
        <v>2022</v>
      </c>
      <c r="E4" s="4">
        <f>Submetering!E4+Submetering!F4</f>
        <v>11232</v>
      </c>
      <c r="F4" s="12">
        <v>0.35</v>
      </c>
      <c r="G4" s="4">
        <f>Submetering!M4</f>
        <v>1051</v>
      </c>
      <c r="H4" s="12">
        <v>0.6</v>
      </c>
      <c r="I4" s="4">
        <f>Submetering!N4</f>
        <v>179</v>
      </c>
      <c r="J4" s="13">
        <v>2.06</v>
      </c>
      <c r="K4" s="4">
        <f>'Hampshire Daily'!B7</f>
        <v>101</v>
      </c>
      <c r="L4" s="4">
        <f>'Hampshire Daily'!C7</f>
        <v>213</v>
      </c>
    </row>
    <row r="5" spans="1:24" x14ac:dyDescent="0.25">
      <c r="A5" s="3" t="s">
        <v>12</v>
      </c>
      <c r="B5" s="2">
        <f t="shared" si="0"/>
        <v>4</v>
      </c>
      <c r="C5" s="2">
        <v>9</v>
      </c>
      <c r="D5" s="2">
        <v>2022</v>
      </c>
      <c r="E5" s="4">
        <f>Submetering!E5+Submetering!F5</f>
        <v>12268</v>
      </c>
      <c r="F5" s="12">
        <v>0.35</v>
      </c>
      <c r="G5" s="4">
        <f>Submetering!M5</f>
        <v>928</v>
      </c>
      <c r="H5" s="12">
        <v>0.6</v>
      </c>
      <c r="I5" s="4">
        <f>Submetering!N5</f>
        <v>146</v>
      </c>
      <c r="J5" s="13">
        <v>2.06</v>
      </c>
      <c r="K5" s="4">
        <f>'Hampshire Daily'!B8</f>
        <v>52</v>
      </c>
      <c r="L5" s="4">
        <f>'Hampshire Daily'!C8</f>
        <v>107</v>
      </c>
    </row>
    <row r="6" spans="1:24" x14ac:dyDescent="0.25">
      <c r="A6" s="3" t="s">
        <v>12</v>
      </c>
      <c r="B6" s="2">
        <f t="shared" si="0"/>
        <v>5</v>
      </c>
      <c r="C6" s="2">
        <v>9</v>
      </c>
      <c r="D6" s="2">
        <v>2022</v>
      </c>
      <c r="E6" s="4">
        <f>Submetering!E6+Submetering!F6</f>
        <v>12000</v>
      </c>
      <c r="F6" s="12">
        <v>0.35</v>
      </c>
      <c r="G6" s="4">
        <f>Submetering!M6</f>
        <v>927</v>
      </c>
      <c r="H6" s="12">
        <v>0.6</v>
      </c>
      <c r="I6" s="4">
        <f>Submetering!N6</f>
        <v>363</v>
      </c>
      <c r="J6" s="13">
        <v>2.06</v>
      </c>
      <c r="K6" s="4">
        <f>'Hampshire Daily'!B9</f>
        <v>47</v>
      </c>
      <c r="L6" s="4">
        <f>'Hampshire Daily'!C9</f>
        <v>72</v>
      </c>
    </row>
    <row r="7" spans="1:24" x14ac:dyDescent="0.25">
      <c r="A7" s="3" t="s">
        <v>12</v>
      </c>
      <c r="B7" s="2">
        <f t="shared" si="0"/>
        <v>6</v>
      </c>
      <c r="C7" s="2">
        <v>9</v>
      </c>
      <c r="D7" s="2">
        <v>2022</v>
      </c>
      <c r="E7" s="4">
        <f>Submetering!E7+Submetering!F7</f>
        <v>11438</v>
      </c>
      <c r="F7" s="12">
        <v>0.35</v>
      </c>
      <c r="G7" s="4">
        <f>Submetering!M7</f>
        <v>816</v>
      </c>
      <c r="H7" s="12">
        <v>0.6</v>
      </c>
      <c r="I7" s="4">
        <f>Submetering!N7</f>
        <v>53</v>
      </c>
      <c r="J7" s="13">
        <v>2.06</v>
      </c>
      <c r="K7" s="4">
        <f>'Hampshire Daily'!B10</f>
        <v>29</v>
      </c>
      <c r="L7" s="4">
        <f>'Hampshire Daily'!C10</f>
        <v>46</v>
      </c>
    </row>
    <row r="8" spans="1:24" x14ac:dyDescent="0.25">
      <c r="A8" s="3" t="s">
        <v>12</v>
      </c>
      <c r="B8" s="2">
        <f t="shared" si="0"/>
        <v>7</v>
      </c>
      <c r="C8" s="2">
        <v>9</v>
      </c>
      <c r="D8" s="2">
        <v>2022</v>
      </c>
      <c r="E8" s="4">
        <f>Submetering!E8+Submetering!F8</f>
        <v>11314</v>
      </c>
      <c r="F8" s="12">
        <v>0.35</v>
      </c>
      <c r="G8" s="4">
        <f>Submetering!M8</f>
        <v>831</v>
      </c>
      <c r="H8" s="12">
        <v>0.6</v>
      </c>
      <c r="I8" s="4">
        <f>Submetering!N8</f>
        <v>53</v>
      </c>
      <c r="J8" s="13">
        <v>2.06</v>
      </c>
      <c r="K8" s="4">
        <f>'Hampshire Daily'!B11</f>
        <v>34</v>
      </c>
      <c r="L8" s="4">
        <f>'Hampshire Daily'!C11</f>
        <v>55</v>
      </c>
    </row>
    <row r="9" spans="1:24" x14ac:dyDescent="0.25">
      <c r="A9" s="3" t="s">
        <v>12</v>
      </c>
      <c r="B9" s="2">
        <f t="shared" si="0"/>
        <v>8</v>
      </c>
      <c r="C9" s="2">
        <v>9</v>
      </c>
      <c r="D9" s="2">
        <v>2022</v>
      </c>
      <c r="E9" s="4">
        <f>Submetering!E9+Submetering!F9</f>
        <v>9011</v>
      </c>
      <c r="F9" s="12">
        <v>0.35</v>
      </c>
      <c r="G9" s="4">
        <f>Submetering!M9</f>
        <v>1388</v>
      </c>
      <c r="H9" s="12">
        <v>0.6</v>
      </c>
      <c r="I9" s="4">
        <f>Submetering!N9</f>
        <v>109</v>
      </c>
      <c r="J9" s="13">
        <v>2.06</v>
      </c>
      <c r="K9" s="4">
        <f>'Hampshire Daily'!B12</f>
        <v>38</v>
      </c>
      <c r="L9" s="4">
        <f>'Hampshire Daily'!C12</f>
        <v>70</v>
      </c>
    </row>
    <row r="10" spans="1:24" x14ac:dyDescent="0.25">
      <c r="A10" s="3" t="s">
        <v>12</v>
      </c>
      <c r="B10" s="2">
        <f t="shared" si="0"/>
        <v>9</v>
      </c>
      <c r="C10" s="2">
        <v>9</v>
      </c>
      <c r="D10" s="2">
        <v>2022</v>
      </c>
      <c r="E10" s="4">
        <f>Submetering!E10+Submetering!F10</f>
        <v>8153</v>
      </c>
      <c r="F10" s="12">
        <v>0.35</v>
      </c>
      <c r="G10" s="4">
        <f>Submetering!M10</f>
        <v>1599</v>
      </c>
      <c r="H10" s="12">
        <v>0.6</v>
      </c>
      <c r="I10" s="4">
        <f>Submetering!N10</f>
        <v>173</v>
      </c>
      <c r="J10" s="13">
        <v>2.06</v>
      </c>
      <c r="K10" s="4">
        <f>'Hampshire Daily'!B13</f>
        <v>46</v>
      </c>
      <c r="L10" s="4">
        <f>'Hampshire Daily'!C13</f>
        <v>91</v>
      </c>
    </row>
    <row r="11" spans="1:24" x14ac:dyDescent="0.25">
      <c r="A11" s="3" t="s">
        <v>12</v>
      </c>
      <c r="B11" s="2">
        <f t="shared" si="0"/>
        <v>10</v>
      </c>
      <c r="C11" s="2">
        <v>9</v>
      </c>
      <c r="D11" s="2">
        <v>2022</v>
      </c>
      <c r="E11" s="4">
        <f>Submetering!E11+Submetering!F11</f>
        <v>9518</v>
      </c>
      <c r="F11" s="12">
        <v>0.35</v>
      </c>
      <c r="G11" s="4">
        <f>Submetering!M11</f>
        <v>1569</v>
      </c>
      <c r="H11" s="12">
        <v>0.6</v>
      </c>
      <c r="I11" s="4">
        <f>Submetering!N11</f>
        <v>154</v>
      </c>
      <c r="J11" s="13">
        <v>2.06</v>
      </c>
      <c r="K11" s="4">
        <f>'Hampshire Daily'!B14</f>
        <v>63</v>
      </c>
      <c r="L11" s="4">
        <f>'Hampshire Daily'!C14</f>
        <v>139</v>
      </c>
    </row>
    <row r="12" spans="1:24" x14ac:dyDescent="0.25">
      <c r="A12" s="3" t="s">
        <v>12</v>
      </c>
      <c r="B12" s="2">
        <f t="shared" si="0"/>
        <v>11</v>
      </c>
      <c r="C12" s="2">
        <v>9</v>
      </c>
      <c r="D12" s="2">
        <v>2022</v>
      </c>
      <c r="E12" s="4">
        <f>Submetering!E12+Submetering!F12</f>
        <v>7865</v>
      </c>
      <c r="F12" s="12">
        <v>0.35</v>
      </c>
      <c r="G12" s="4">
        <f>Submetering!M12</f>
        <v>1542</v>
      </c>
      <c r="H12" s="12">
        <v>0.6</v>
      </c>
      <c r="I12" s="4">
        <f>Submetering!N12</f>
        <v>171</v>
      </c>
      <c r="J12" s="13">
        <v>2.06</v>
      </c>
      <c r="K12" s="4">
        <f>'Hampshire Daily'!B15</f>
        <v>79</v>
      </c>
      <c r="L12" s="4">
        <f>'Hampshire Daily'!C15</f>
        <v>142</v>
      </c>
    </row>
    <row r="13" spans="1:24" x14ac:dyDescent="0.25">
      <c r="A13" s="3" t="s">
        <v>12</v>
      </c>
      <c r="B13" s="2">
        <f t="shared" si="0"/>
        <v>12</v>
      </c>
      <c r="C13" s="2">
        <v>9</v>
      </c>
      <c r="D13" s="2">
        <v>2022</v>
      </c>
      <c r="E13" s="4">
        <f>Submetering!E13+Submetering!F13</f>
        <v>8576</v>
      </c>
      <c r="F13" s="12">
        <v>0.35</v>
      </c>
      <c r="G13" s="4">
        <f>Submetering!M13</f>
        <v>1468</v>
      </c>
      <c r="H13" s="12">
        <v>0.6</v>
      </c>
      <c r="I13" s="4">
        <f>Submetering!N13</f>
        <v>114</v>
      </c>
      <c r="J13" s="13">
        <v>2.06</v>
      </c>
      <c r="K13" s="4">
        <f>'Hampshire Daily'!B16</f>
        <v>46</v>
      </c>
      <c r="L13" s="4">
        <f>'Hampshire Daily'!C16</f>
        <v>78</v>
      </c>
    </row>
    <row r="14" spans="1:24" x14ac:dyDescent="0.25">
      <c r="A14" s="3" t="s">
        <v>12</v>
      </c>
      <c r="B14" s="2">
        <f t="shared" si="0"/>
        <v>13</v>
      </c>
      <c r="C14" s="2">
        <v>9</v>
      </c>
      <c r="D14" s="2">
        <v>2022</v>
      </c>
      <c r="E14" s="4">
        <f>Submetering!E14+Submetering!F14</f>
        <v>9511</v>
      </c>
      <c r="F14" s="12">
        <v>0.35</v>
      </c>
      <c r="G14" s="4">
        <f>Submetering!M14</f>
        <v>1478</v>
      </c>
      <c r="H14" s="12">
        <v>0.6</v>
      </c>
      <c r="I14" s="4">
        <f>Submetering!N14</f>
        <v>116</v>
      </c>
      <c r="J14" s="13">
        <v>2.06</v>
      </c>
      <c r="K14" s="4">
        <f>'Hampshire Daily'!B17</f>
        <v>42</v>
      </c>
      <c r="L14" s="4">
        <f>'Hampshire Daily'!C17</f>
        <v>62</v>
      </c>
    </row>
    <row r="15" spans="1:24" x14ac:dyDescent="0.25">
      <c r="A15" s="3" t="s">
        <v>12</v>
      </c>
      <c r="B15" s="2">
        <f t="shared" si="0"/>
        <v>14</v>
      </c>
      <c r="C15" s="2">
        <v>9</v>
      </c>
      <c r="D15" s="2">
        <v>2022</v>
      </c>
      <c r="E15" s="4">
        <f>Submetering!E15+Submetering!F15</f>
        <v>7295</v>
      </c>
      <c r="F15" s="12">
        <v>0.35</v>
      </c>
      <c r="G15" s="4">
        <f>Submetering!M15</f>
        <v>1983</v>
      </c>
      <c r="H15" s="12">
        <v>0.6</v>
      </c>
      <c r="I15" s="4">
        <f>Submetering!N15</f>
        <v>104</v>
      </c>
      <c r="J15" s="13">
        <v>2.06</v>
      </c>
      <c r="K15" s="4">
        <f>'Hampshire Daily'!B18</f>
        <v>46</v>
      </c>
      <c r="L15" s="4">
        <f>'Hampshire Daily'!C18</f>
        <v>69</v>
      </c>
    </row>
    <row r="16" spans="1:24" x14ac:dyDescent="0.25">
      <c r="A16" s="3" t="s">
        <v>12</v>
      </c>
      <c r="B16" s="2">
        <f t="shared" si="0"/>
        <v>15</v>
      </c>
      <c r="C16" s="2">
        <v>9</v>
      </c>
      <c r="D16" s="2">
        <v>2022</v>
      </c>
      <c r="E16" s="4">
        <f>Submetering!E16+Submetering!F16</f>
        <v>7879</v>
      </c>
      <c r="F16" s="12">
        <v>0.35</v>
      </c>
      <c r="G16" s="4">
        <f>Submetering!M16</f>
        <v>1870</v>
      </c>
      <c r="H16" s="12">
        <v>0.6</v>
      </c>
      <c r="I16" s="4">
        <f>Submetering!N16</f>
        <v>105</v>
      </c>
      <c r="J16" s="13">
        <v>2.06</v>
      </c>
      <c r="K16" s="4">
        <f>'Hampshire Daily'!B19</f>
        <v>69</v>
      </c>
      <c r="L16" s="4">
        <f>'Hampshire Daily'!C19</f>
        <v>99</v>
      </c>
    </row>
    <row r="17" spans="1:12" x14ac:dyDescent="0.25">
      <c r="A17" s="3" t="s">
        <v>12</v>
      </c>
      <c r="B17" s="2">
        <f t="shared" si="0"/>
        <v>16</v>
      </c>
      <c r="C17" s="2">
        <v>9</v>
      </c>
      <c r="D17" s="2">
        <v>2022</v>
      </c>
      <c r="E17" s="4">
        <f>Submetering!E17+Submetering!F17</f>
        <v>6214</v>
      </c>
      <c r="F17" s="12">
        <v>0.35</v>
      </c>
      <c r="G17" s="4">
        <f>Submetering!M17</f>
        <v>2271</v>
      </c>
      <c r="H17" s="12">
        <v>0.6</v>
      </c>
      <c r="I17" s="4">
        <f>Submetering!N17</f>
        <v>105</v>
      </c>
      <c r="J17" s="13">
        <v>2.06</v>
      </c>
      <c r="K17" s="4">
        <f>'Hampshire Daily'!B20</f>
        <v>78</v>
      </c>
      <c r="L17" s="4">
        <f>'Hampshire Daily'!C20</f>
        <v>134</v>
      </c>
    </row>
    <row r="18" spans="1:12" x14ac:dyDescent="0.25">
      <c r="A18" s="3" t="s">
        <v>12</v>
      </c>
      <c r="B18" s="2">
        <f t="shared" si="0"/>
        <v>17</v>
      </c>
      <c r="C18" s="2">
        <v>9</v>
      </c>
      <c r="D18" s="2">
        <v>2022</v>
      </c>
      <c r="E18" s="4">
        <f>Submetering!E18+Submetering!F18</f>
        <v>8007</v>
      </c>
      <c r="F18" s="12">
        <v>0.35</v>
      </c>
      <c r="G18" s="4">
        <f>Submetering!M18</f>
        <v>1949</v>
      </c>
      <c r="H18" s="12">
        <v>0.6</v>
      </c>
      <c r="I18" s="4">
        <f>Submetering!N18</f>
        <v>177</v>
      </c>
      <c r="J18" s="13">
        <v>2.06</v>
      </c>
      <c r="K18" s="4">
        <f>'Hampshire Daily'!B21</f>
        <v>121</v>
      </c>
      <c r="L18" s="4">
        <f>'Hampshire Daily'!C21</f>
        <v>202</v>
      </c>
    </row>
    <row r="19" spans="1:12" x14ac:dyDescent="0.25">
      <c r="A19" s="3" t="s">
        <v>12</v>
      </c>
      <c r="B19" s="2">
        <f t="shared" si="0"/>
        <v>18</v>
      </c>
      <c r="C19" s="2">
        <v>9</v>
      </c>
      <c r="D19" s="2">
        <v>2022</v>
      </c>
      <c r="E19" s="4">
        <f>Submetering!E19+Submetering!F19</f>
        <v>5813</v>
      </c>
      <c r="F19" s="12">
        <v>0.35</v>
      </c>
      <c r="G19" s="4">
        <f>Submetering!M19</f>
        <v>2261</v>
      </c>
      <c r="H19" s="12">
        <v>0.6</v>
      </c>
      <c r="I19" s="4">
        <f>Submetering!N19</f>
        <v>124</v>
      </c>
      <c r="J19" s="13">
        <v>2.06</v>
      </c>
      <c r="K19" s="4">
        <f>'Hampshire Daily'!B22</f>
        <v>134</v>
      </c>
      <c r="L19" s="4">
        <f>'Hampshire Daily'!C22</f>
        <v>177</v>
      </c>
    </row>
    <row r="20" spans="1:12" x14ac:dyDescent="0.25">
      <c r="A20" s="3" t="s">
        <v>12</v>
      </c>
      <c r="B20" s="2">
        <f t="shared" si="0"/>
        <v>19</v>
      </c>
      <c r="C20" s="2">
        <v>9</v>
      </c>
      <c r="D20" s="2">
        <v>2022</v>
      </c>
      <c r="E20" s="4">
        <f>Submetering!E20+Submetering!F20</f>
        <v>6911</v>
      </c>
      <c r="F20" s="12">
        <v>0.35</v>
      </c>
      <c r="G20" s="4">
        <f>Submetering!M20</f>
        <v>2006</v>
      </c>
      <c r="H20" s="12">
        <v>0.6</v>
      </c>
      <c r="I20" s="4">
        <f>Submetering!N20</f>
        <v>154</v>
      </c>
      <c r="J20" s="13">
        <v>2.06</v>
      </c>
      <c r="K20" s="4">
        <f>'Hampshire Daily'!B23</f>
        <v>108</v>
      </c>
      <c r="L20" s="4">
        <f>'Hampshire Daily'!C23</f>
        <v>126</v>
      </c>
    </row>
    <row r="21" spans="1:12" x14ac:dyDescent="0.25">
      <c r="A21" s="3" t="s">
        <v>12</v>
      </c>
      <c r="B21" s="2">
        <f t="shared" si="0"/>
        <v>20</v>
      </c>
      <c r="C21" s="2">
        <v>9</v>
      </c>
      <c r="D21" s="2">
        <v>2022</v>
      </c>
      <c r="E21" s="4">
        <f>Submetering!E21+Submetering!F21</f>
        <v>6300</v>
      </c>
      <c r="F21" s="12">
        <v>0.35</v>
      </c>
      <c r="G21" s="4">
        <f>Submetering!M21</f>
        <v>1980</v>
      </c>
      <c r="H21" s="12">
        <v>0.6</v>
      </c>
      <c r="I21" s="4">
        <f>Submetering!N21</f>
        <v>129</v>
      </c>
      <c r="J21" s="13">
        <v>2.06</v>
      </c>
      <c r="K21" s="4">
        <f>'Hampshire Daily'!B24</f>
        <v>89</v>
      </c>
      <c r="L21" s="4">
        <f>'Hampshire Daily'!C24</f>
        <v>103</v>
      </c>
    </row>
    <row r="22" spans="1:12" x14ac:dyDescent="0.25">
      <c r="A22" s="3" t="s">
        <v>12</v>
      </c>
      <c r="B22" s="2">
        <f t="shared" si="0"/>
        <v>21</v>
      </c>
      <c r="C22" s="2">
        <v>9</v>
      </c>
      <c r="D22" s="2">
        <v>2022</v>
      </c>
      <c r="E22" s="4">
        <f>Submetering!E22+Submetering!F22</f>
        <v>9733</v>
      </c>
      <c r="F22" s="12">
        <v>0.35</v>
      </c>
      <c r="G22" s="4">
        <f>Submetering!M22</f>
        <v>1391</v>
      </c>
      <c r="H22" s="12">
        <v>0.6</v>
      </c>
      <c r="I22" s="4">
        <f>Submetering!N22</f>
        <v>128</v>
      </c>
      <c r="J22" s="13">
        <v>2.06</v>
      </c>
      <c r="K22" s="4">
        <f>'Hampshire Daily'!B25</f>
        <v>97</v>
      </c>
      <c r="L22" s="4">
        <f>'Hampshire Daily'!C25</f>
        <v>108</v>
      </c>
    </row>
    <row r="23" spans="1:12" x14ac:dyDescent="0.25">
      <c r="A23" s="3" t="s">
        <v>12</v>
      </c>
      <c r="B23" s="2">
        <f t="shared" si="0"/>
        <v>22</v>
      </c>
      <c r="C23" s="2">
        <v>9</v>
      </c>
      <c r="D23" s="2">
        <v>2022</v>
      </c>
      <c r="E23" s="4">
        <f>Submetering!E23+Submetering!F23</f>
        <v>9485</v>
      </c>
      <c r="F23" s="12">
        <v>0.35</v>
      </c>
      <c r="G23" s="4">
        <f>Submetering!M23</f>
        <v>1329</v>
      </c>
      <c r="H23" s="12">
        <v>0.6</v>
      </c>
      <c r="I23" s="4">
        <f>Submetering!N23</f>
        <v>112</v>
      </c>
      <c r="J23" s="13">
        <v>2.06</v>
      </c>
      <c r="K23" s="4">
        <f>'Hampshire Daily'!B26</f>
        <v>87</v>
      </c>
      <c r="L23" s="4">
        <f>'Hampshire Daily'!C26</f>
        <v>96</v>
      </c>
    </row>
    <row r="24" spans="1:12" x14ac:dyDescent="0.25">
      <c r="A24" s="3" t="s">
        <v>12</v>
      </c>
      <c r="B24" s="2">
        <f t="shared" si="0"/>
        <v>23</v>
      </c>
      <c r="C24" s="2">
        <v>9</v>
      </c>
      <c r="D24" s="2">
        <v>2022</v>
      </c>
      <c r="E24" s="4">
        <f>Submetering!E24+Submetering!F24</f>
        <v>10453</v>
      </c>
      <c r="F24" s="12">
        <v>0.35</v>
      </c>
      <c r="G24" s="4">
        <f>Submetering!M24</f>
        <v>1064</v>
      </c>
      <c r="H24" s="12">
        <v>0.6</v>
      </c>
      <c r="I24" s="4">
        <f>Submetering!N24</f>
        <v>128</v>
      </c>
      <c r="J24" s="13">
        <v>2.06</v>
      </c>
      <c r="K24" s="4">
        <f>'Hampshire Daily'!B27</f>
        <v>49</v>
      </c>
      <c r="L24" s="4">
        <f>'Hampshire Daily'!C27</f>
        <v>99</v>
      </c>
    </row>
    <row r="25" spans="1:12" x14ac:dyDescent="0.25">
      <c r="A25" s="3" t="s">
        <v>12</v>
      </c>
      <c r="B25" s="2">
        <f t="shared" si="0"/>
        <v>24</v>
      </c>
      <c r="C25" s="2">
        <v>9</v>
      </c>
      <c r="D25" s="2">
        <v>2022</v>
      </c>
      <c r="E25" s="4">
        <f>Submetering!E25+Submetering!F25</f>
        <v>9738</v>
      </c>
      <c r="F25" s="12">
        <v>0.35</v>
      </c>
      <c r="G25" s="4">
        <f>Submetering!M25</f>
        <v>1454</v>
      </c>
      <c r="H25" s="12">
        <v>0.6</v>
      </c>
      <c r="I25" s="4">
        <f>Submetering!N25</f>
        <v>126</v>
      </c>
      <c r="J25" s="13">
        <v>2.06</v>
      </c>
      <c r="K25" s="4">
        <f>'Hampshire Daily'!B28</f>
        <v>116</v>
      </c>
      <c r="L25" s="4">
        <f>'Hampshire Daily'!C28</f>
        <v>216</v>
      </c>
    </row>
    <row r="26" spans="1:12" x14ac:dyDescent="0.25">
      <c r="A26" s="3" t="s">
        <v>12</v>
      </c>
      <c r="B26" s="2">
        <f>B25+1</f>
        <v>25</v>
      </c>
      <c r="C26" s="2">
        <v>9</v>
      </c>
      <c r="D26" s="2">
        <v>2022</v>
      </c>
      <c r="E26" s="4">
        <f>Submetering!E26+Submetering!F26</f>
        <v>8762</v>
      </c>
      <c r="F26" s="12">
        <v>0.35</v>
      </c>
      <c r="G26" s="4">
        <f>Submetering!M26</f>
        <v>1826</v>
      </c>
      <c r="H26" s="12">
        <v>0.6</v>
      </c>
      <c r="I26" s="4">
        <f>Submetering!N26</f>
        <v>140</v>
      </c>
      <c r="J26" s="13">
        <v>2.06</v>
      </c>
      <c r="K26" s="4">
        <f>'Hampshire Daily'!B29</f>
        <v>84</v>
      </c>
      <c r="L26" s="4">
        <f>'Hampshire Daily'!C29</f>
        <v>147</v>
      </c>
    </row>
    <row r="27" spans="1:12" x14ac:dyDescent="0.25">
      <c r="A27" s="3" t="s">
        <v>12</v>
      </c>
      <c r="B27" s="2">
        <f t="shared" si="0"/>
        <v>26</v>
      </c>
      <c r="C27" s="2">
        <v>9</v>
      </c>
      <c r="D27" s="2">
        <v>2022</v>
      </c>
      <c r="E27" s="4">
        <f>Submetering!E27+Submetering!F27</f>
        <v>8267</v>
      </c>
      <c r="F27" s="12">
        <v>0.35</v>
      </c>
      <c r="G27" s="4">
        <f>Submetering!M27</f>
        <v>1753</v>
      </c>
      <c r="H27" s="12">
        <v>0.6</v>
      </c>
      <c r="I27" s="4">
        <f>Submetering!N27</f>
        <v>159</v>
      </c>
      <c r="J27" s="13">
        <v>2.06</v>
      </c>
      <c r="K27" s="4">
        <f>'Hampshire Daily'!B30</f>
        <v>59</v>
      </c>
      <c r="L27" s="4">
        <f>'Hampshire Daily'!C30</f>
        <v>85</v>
      </c>
    </row>
    <row r="28" spans="1:12" x14ac:dyDescent="0.25">
      <c r="A28" s="3" t="s">
        <v>12</v>
      </c>
      <c r="B28" s="2">
        <f t="shared" si="0"/>
        <v>27</v>
      </c>
      <c r="C28" s="2">
        <v>9</v>
      </c>
      <c r="D28" s="2">
        <v>2022</v>
      </c>
      <c r="E28" s="4">
        <f>Submetering!E28+Submetering!F28</f>
        <v>6217</v>
      </c>
      <c r="F28" s="12">
        <v>0.35</v>
      </c>
      <c r="G28" s="4">
        <f>Submetering!M28</f>
        <v>2257</v>
      </c>
      <c r="H28" s="12">
        <v>0.6</v>
      </c>
      <c r="I28" s="4">
        <f>Submetering!N28</f>
        <v>117</v>
      </c>
      <c r="J28" s="13">
        <v>2.06</v>
      </c>
      <c r="K28" s="4">
        <f>'Hampshire Daily'!B31</f>
        <v>125</v>
      </c>
      <c r="L28" s="4">
        <f>'Hampshire Daily'!C31</f>
        <v>128</v>
      </c>
    </row>
    <row r="29" spans="1:12" x14ac:dyDescent="0.25">
      <c r="A29" s="3" t="s">
        <v>12</v>
      </c>
      <c r="B29" s="2">
        <f t="shared" si="0"/>
        <v>28</v>
      </c>
      <c r="C29" s="2">
        <v>9</v>
      </c>
      <c r="D29" s="2">
        <v>2022</v>
      </c>
      <c r="E29" s="4">
        <f>Submetering!E29+Submetering!F29</f>
        <v>6990</v>
      </c>
      <c r="F29" s="12">
        <v>0.35</v>
      </c>
      <c r="G29" s="4">
        <f>Submetering!M29</f>
        <v>2301</v>
      </c>
      <c r="H29" s="12">
        <v>0.6</v>
      </c>
      <c r="I29" s="4">
        <f>Submetering!N29</f>
        <v>117</v>
      </c>
      <c r="J29" s="13">
        <v>2.06</v>
      </c>
      <c r="K29" s="4">
        <f>'Hampshire Daily'!B32</f>
        <v>134</v>
      </c>
      <c r="L29" s="4">
        <f>'Hampshire Daily'!C32</f>
        <v>143</v>
      </c>
    </row>
    <row r="30" spans="1:12" x14ac:dyDescent="0.25">
      <c r="A30" s="3" t="s">
        <v>12</v>
      </c>
      <c r="B30" s="2">
        <f t="shared" si="0"/>
        <v>29</v>
      </c>
      <c r="C30" s="2">
        <v>9</v>
      </c>
      <c r="D30" s="2">
        <v>2022</v>
      </c>
      <c r="E30" s="4">
        <f>Submetering!E30+Submetering!F30</f>
        <v>6058</v>
      </c>
      <c r="F30" s="12">
        <v>0.35</v>
      </c>
      <c r="G30" s="4">
        <f>Submetering!M30</f>
        <v>2726</v>
      </c>
      <c r="H30" s="12">
        <v>0.6</v>
      </c>
      <c r="I30" s="4">
        <f>Submetering!N30</f>
        <v>113</v>
      </c>
      <c r="J30" s="13">
        <v>2.06</v>
      </c>
      <c r="K30" s="4">
        <f>'Hampshire Daily'!B33</f>
        <v>124</v>
      </c>
      <c r="L30" s="4">
        <f>'Hampshire Daily'!C33</f>
        <v>152</v>
      </c>
    </row>
    <row r="31" spans="1:12" x14ac:dyDescent="0.25">
      <c r="A31" s="3" t="s">
        <v>12</v>
      </c>
      <c r="B31" s="2">
        <f t="shared" si="0"/>
        <v>30</v>
      </c>
      <c r="C31" s="2">
        <v>9</v>
      </c>
      <c r="D31" s="2">
        <v>2022</v>
      </c>
      <c r="E31" s="4">
        <f>Submetering!E31+Submetering!F31</f>
        <v>6002</v>
      </c>
      <c r="F31" s="12">
        <v>0.35</v>
      </c>
      <c r="G31" s="4">
        <f>Submetering!M31</f>
        <v>2416</v>
      </c>
      <c r="H31" s="12">
        <v>0.6</v>
      </c>
      <c r="I31" s="4">
        <f>Submetering!N31</f>
        <v>149</v>
      </c>
      <c r="J31" s="13">
        <v>2.06</v>
      </c>
      <c r="K31" s="4">
        <f>'Hampshire Daily'!B34</f>
        <v>51</v>
      </c>
      <c r="L31" s="4">
        <f>'Hampshire Daily'!C34</f>
        <v>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1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C31"/>
    </sheetView>
  </sheetViews>
  <sheetFormatPr defaultColWidth="11.5703125" defaultRowHeight="15" x14ac:dyDescent="0.25"/>
  <cols>
    <col min="1" max="1" width="13.7109375" style="3" customWidth="1"/>
    <col min="2" max="2" width="11.5703125" style="1" customWidth="1"/>
    <col min="3" max="3" width="11.5703125" style="1"/>
    <col min="4" max="4" width="13.42578125" style="1" customWidth="1"/>
    <col min="5" max="16" width="12.5703125" style="4" customWidth="1"/>
    <col min="17" max="17" width="11.5703125" style="4"/>
  </cols>
  <sheetData>
    <row r="1" spans="1:23" s="3" customFormat="1" ht="45" x14ac:dyDescent="0.25">
      <c r="A1" s="8" t="s">
        <v>0</v>
      </c>
      <c r="B1" s="8" t="s">
        <v>1</v>
      </c>
      <c r="C1" s="6" t="s">
        <v>2</v>
      </c>
      <c r="D1" s="8" t="s">
        <v>3</v>
      </c>
      <c r="E1" s="9" t="s">
        <v>13</v>
      </c>
      <c r="F1" s="9" t="s">
        <v>14</v>
      </c>
      <c r="G1" s="9" t="s">
        <v>15</v>
      </c>
      <c r="H1" s="9" t="s">
        <v>16</v>
      </c>
      <c r="I1" s="9" t="s">
        <v>17</v>
      </c>
      <c r="J1" s="9" t="s">
        <v>18</v>
      </c>
      <c r="K1" s="9" t="s">
        <v>19</v>
      </c>
      <c r="L1" s="9" t="s">
        <v>20</v>
      </c>
      <c r="M1" s="9" t="s">
        <v>21</v>
      </c>
      <c r="N1" s="9" t="s">
        <v>22</v>
      </c>
      <c r="O1" s="9" t="s">
        <v>23</v>
      </c>
      <c r="P1" s="9" t="s">
        <v>24</v>
      </c>
      <c r="Q1" s="10" t="s">
        <v>25</v>
      </c>
      <c r="R1" s="10" t="s">
        <v>10</v>
      </c>
      <c r="S1" s="9" t="s">
        <v>11</v>
      </c>
    </row>
    <row r="2" spans="1:23" ht="15" customHeight="1" x14ac:dyDescent="0.25">
      <c r="A2" s="3" t="s">
        <v>12</v>
      </c>
      <c r="B2" s="1">
        <v>1</v>
      </c>
      <c r="C2" s="1">
        <v>9</v>
      </c>
      <c r="D2" s="1">
        <v>2022</v>
      </c>
      <c r="E2" s="4">
        <f>'Hampshire Daily'!D5-'Hampshire Daily'!D4</f>
        <v>6711</v>
      </c>
      <c r="F2" s="4">
        <f>'Hampshire Daily'!E5-'Hampshire Daily'!E4</f>
        <v>3828</v>
      </c>
      <c r="G2" s="4">
        <f>'Hampshire Daily'!F5-'Hampshire Daily'!F4</f>
        <v>398</v>
      </c>
      <c r="H2" s="4">
        <f>'Hampshire Daily'!G5-'Hampshire Daily'!G4</f>
        <v>1876</v>
      </c>
      <c r="I2" s="4">
        <f>'Hampshire Daily'!H5-'Hampshire Daily'!H4</f>
        <v>0</v>
      </c>
      <c r="J2" s="4">
        <f>'Hampshire Daily'!I5-'Hampshire Daily'!I4</f>
        <v>2595</v>
      </c>
      <c r="K2" s="4">
        <f>'Hampshire Daily'!J5-'Hampshire Daily'!J4</f>
        <v>1137</v>
      </c>
      <c r="L2" s="4">
        <f>'Hampshire Daily'!K5-'Hampshire Daily'!K4</f>
        <v>657</v>
      </c>
      <c r="M2" s="4">
        <f>'Hampshire Daily'!N5-'Hampshire Daily'!N4</f>
        <v>963</v>
      </c>
      <c r="N2" s="4">
        <f>'Hampshire Daily'!Q5-'Hampshire Daily'!Q4</f>
        <v>149</v>
      </c>
      <c r="O2" s="4">
        <f>'Hampshire Daily'!U5-'Hampshire Daily'!U4</f>
        <v>108</v>
      </c>
      <c r="P2" s="4">
        <f>'Hampshire Daily'!V5-'Hampshire Daily'!V4</f>
        <v>109</v>
      </c>
      <c r="Q2" s="4">
        <f>'Hampshire Daily'!Y5-'Hampshire Daily'!Y4</f>
        <v>7</v>
      </c>
      <c r="R2" s="4">
        <f>'Hampshire Daily'!B5</f>
        <v>43</v>
      </c>
      <c r="S2" s="4">
        <f>'Hampshire Daily'!C5</f>
        <v>100</v>
      </c>
    </row>
    <row r="3" spans="1:23" x14ac:dyDescent="0.25">
      <c r="A3" s="3" t="s">
        <v>12</v>
      </c>
      <c r="B3" s="1">
        <f>B2+1</f>
        <v>2</v>
      </c>
      <c r="C3" s="1">
        <v>9</v>
      </c>
      <c r="D3" s="1">
        <v>2022</v>
      </c>
      <c r="E3" s="4">
        <f>'Hampshire Daily'!D6-'Hampshire Daily'!D5</f>
        <v>6908</v>
      </c>
      <c r="F3" s="4">
        <f>'Hampshire Daily'!E6-'Hampshire Daily'!E5</f>
        <v>4100</v>
      </c>
      <c r="G3" s="4">
        <f>'Hampshire Daily'!F6-'Hampshire Daily'!F5</f>
        <v>572</v>
      </c>
      <c r="H3" s="4">
        <f>'Hampshire Daily'!G6-'Hampshire Daily'!G5</f>
        <v>2212</v>
      </c>
      <c r="I3" s="4">
        <f>'Hampshire Daily'!H6-'Hampshire Daily'!H5</f>
        <v>0</v>
      </c>
      <c r="J3" s="4">
        <f>'Hampshire Daily'!I6-'Hampshire Daily'!I5</f>
        <v>2466</v>
      </c>
      <c r="K3" s="4">
        <f>'Hampshire Daily'!J6-'Hampshire Daily'!J5</f>
        <v>1068</v>
      </c>
      <c r="L3" s="4">
        <f>'Hampshire Daily'!K6-'Hampshire Daily'!K5</f>
        <v>599</v>
      </c>
      <c r="M3" s="4">
        <f>'Hampshire Daily'!N6-'Hampshire Daily'!N5</f>
        <v>956</v>
      </c>
      <c r="N3" s="4">
        <f>'Hampshire Daily'!Q6-'Hampshire Daily'!Q5</f>
        <v>140</v>
      </c>
      <c r="O3" s="4">
        <f>'Hampshire Daily'!U6-'Hampshire Daily'!U5</f>
        <v>96</v>
      </c>
      <c r="P3" s="4">
        <f>'Hampshire Daily'!V6-'Hampshire Daily'!V5</f>
        <v>96</v>
      </c>
      <c r="Q3" s="4">
        <f>'Hampshire Daily'!Y6-'Hampshire Daily'!Y5</f>
        <v>4</v>
      </c>
      <c r="R3" s="4">
        <f>'Hampshire Daily'!B6</f>
        <v>85</v>
      </c>
      <c r="S3" s="4">
        <f>'Hampshire Daily'!C6</f>
        <v>189</v>
      </c>
      <c r="T3" t="s">
        <v>26</v>
      </c>
      <c r="U3" t="s">
        <v>26</v>
      </c>
      <c r="V3" t="s">
        <v>26</v>
      </c>
      <c r="W3" t="s">
        <v>26</v>
      </c>
    </row>
    <row r="4" spans="1:23" x14ac:dyDescent="0.25">
      <c r="A4" s="3" t="s">
        <v>12</v>
      </c>
      <c r="B4" s="1">
        <f t="shared" ref="B4:B31" si="0">B3+1</f>
        <v>3</v>
      </c>
      <c r="C4" s="1">
        <v>9</v>
      </c>
      <c r="D4" s="1">
        <v>2022</v>
      </c>
      <c r="E4" s="4">
        <f>'Hampshire Daily'!D7-'Hampshire Daily'!D6</f>
        <v>7351</v>
      </c>
      <c r="F4" s="4">
        <f>'Hampshire Daily'!E7-'Hampshire Daily'!E6</f>
        <v>3881</v>
      </c>
      <c r="G4" s="4">
        <f>'Hampshire Daily'!F7-'Hampshire Daily'!F6</f>
        <v>539</v>
      </c>
      <c r="H4" s="4">
        <f>'Hampshire Daily'!G7-'Hampshire Daily'!G6</f>
        <v>1835</v>
      </c>
      <c r="I4" s="4">
        <f>'Hampshire Daily'!H7-'Hampshire Daily'!H6</f>
        <v>0</v>
      </c>
      <c r="J4" s="4">
        <f>'Hampshire Daily'!I7-'Hampshire Daily'!I6</f>
        <v>2585</v>
      </c>
      <c r="K4" s="4">
        <f>'Hampshire Daily'!J7-'Hampshire Daily'!J6</f>
        <v>1184</v>
      </c>
      <c r="L4" s="4">
        <f>'Hampshire Daily'!K7-'Hampshire Daily'!K6</f>
        <v>615</v>
      </c>
      <c r="M4" s="4">
        <f>'Hampshire Daily'!N7-'Hampshire Daily'!N6</f>
        <v>1051</v>
      </c>
      <c r="N4" s="4">
        <f>'Hampshire Daily'!Q7-'Hampshire Daily'!Q6</f>
        <v>179</v>
      </c>
      <c r="O4" s="4">
        <f>'Hampshire Daily'!U7-'Hampshire Daily'!U6</f>
        <v>114</v>
      </c>
      <c r="P4" s="4">
        <f>'Hampshire Daily'!V7-'Hampshire Daily'!V6</f>
        <v>116</v>
      </c>
      <c r="Q4" s="4">
        <f>'Hampshire Daily'!Y7-'Hampshire Daily'!Y6</f>
        <v>4</v>
      </c>
      <c r="R4" s="4">
        <f>'Hampshire Daily'!B7</f>
        <v>101</v>
      </c>
      <c r="S4" s="4">
        <f>'Hampshire Daily'!C7</f>
        <v>213</v>
      </c>
      <c r="T4" t="s">
        <v>26</v>
      </c>
    </row>
    <row r="5" spans="1:23" x14ac:dyDescent="0.25">
      <c r="A5" s="3" t="s">
        <v>12</v>
      </c>
      <c r="B5" s="1">
        <f t="shared" si="0"/>
        <v>4</v>
      </c>
      <c r="C5" s="1">
        <v>9</v>
      </c>
      <c r="D5" s="1">
        <v>2022</v>
      </c>
      <c r="E5" s="4">
        <f>'Hampshire Daily'!D8-'Hampshire Daily'!D7</f>
        <v>7520</v>
      </c>
      <c r="F5" s="4">
        <f>'Hampshire Daily'!E8-'Hampshire Daily'!E7</f>
        <v>4748</v>
      </c>
      <c r="G5" s="4">
        <f>'Hampshire Daily'!F8-'Hampshire Daily'!F7</f>
        <v>726</v>
      </c>
      <c r="H5" s="4">
        <f>'Hampshire Daily'!G8-'Hampshire Daily'!G7</f>
        <v>2246</v>
      </c>
      <c r="I5" s="4">
        <f>'Hampshire Daily'!H8-'Hampshire Daily'!H7</f>
        <v>0</v>
      </c>
      <c r="J5" s="4">
        <f>'Hampshire Daily'!I8-'Hampshire Daily'!I7</f>
        <v>2752</v>
      </c>
      <c r="K5" s="4">
        <f>'Hampshire Daily'!J8-'Hampshire Daily'!J7</f>
        <v>1240</v>
      </c>
      <c r="L5" s="4">
        <f>'Hampshire Daily'!K8-'Hampshire Daily'!K7</f>
        <v>633</v>
      </c>
      <c r="M5" s="4">
        <f>'Hampshire Daily'!N8-'Hampshire Daily'!N7</f>
        <v>928</v>
      </c>
      <c r="N5" s="4">
        <f>'Hampshire Daily'!Q8-'Hampshire Daily'!Q7</f>
        <v>146</v>
      </c>
      <c r="O5" s="4">
        <f>'Hampshire Daily'!U8-'Hampshire Daily'!U7</f>
        <v>113</v>
      </c>
      <c r="P5" s="4">
        <f>'Hampshire Daily'!V8-'Hampshire Daily'!V7</f>
        <v>115</v>
      </c>
      <c r="Q5" s="4">
        <f>'Hampshire Daily'!Y8-'Hampshire Daily'!Y7</f>
        <v>7</v>
      </c>
      <c r="R5" s="4">
        <f>'Hampshire Daily'!B8</f>
        <v>52</v>
      </c>
      <c r="S5" s="4">
        <f>'Hampshire Daily'!C8</f>
        <v>107</v>
      </c>
    </row>
    <row r="6" spans="1:23" x14ac:dyDescent="0.25">
      <c r="A6" s="3" t="s">
        <v>12</v>
      </c>
      <c r="B6" s="1">
        <f t="shared" si="0"/>
        <v>5</v>
      </c>
      <c r="C6" s="1">
        <v>9</v>
      </c>
      <c r="D6" s="1">
        <v>2022</v>
      </c>
      <c r="E6" s="4">
        <f>'Hampshire Daily'!D9-'Hampshire Daily'!D8</f>
        <v>7529</v>
      </c>
      <c r="F6" s="4">
        <f>'Hampshire Daily'!E9-'Hampshire Daily'!E8</f>
        <v>4471</v>
      </c>
      <c r="G6" s="4">
        <f>'Hampshire Daily'!F9-'Hampshire Daily'!F8</f>
        <v>598</v>
      </c>
      <c r="H6" s="4">
        <f>'Hampshire Daily'!G9-'Hampshire Daily'!G8</f>
        <v>1900</v>
      </c>
      <c r="I6" s="4">
        <f>'Hampshire Daily'!H9-'Hampshire Daily'!H8</f>
        <v>0</v>
      </c>
      <c r="J6" s="4">
        <f>'Hampshire Daily'!I9-'Hampshire Daily'!I8</f>
        <v>2277</v>
      </c>
      <c r="K6" s="4">
        <f>'Hampshire Daily'!J9-'Hampshire Daily'!J8</f>
        <v>968</v>
      </c>
      <c r="L6" s="4">
        <f>'Hampshire Daily'!K9-'Hampshire Daily'!K8</f>
        <v>592</v>
      </c>
      <c r="M6" s="4">
        <f>'Hampshire Daily'!N9-'Hampshire Daily'!N8</f>
        <v>927</v>
      </c>
      <c r="N6" s="4">
        <f>'Hampshire Daily'!Q9-'Hampshire Daily'!Q8</f>
        <v>363</v>
      </c>
      <c r="O6" s="4">
        <f>'Hampshire Daily'!U9-'Hampshire Daily'!U8</f>
        <v>114</v>
      </c>
      <c r="P6" s="4">
        <f>'Hampshire Daily'!V9-'Hampshire Daily'!V8</f>
        <v>115</v>
      </c>
      <c r="Q6" s="4">
        <f>'Hampshire Daily'!Y9-'Hampshire Daily'!Y8</f>
        <v>8</v>
      </c>
      <c r="R6" s="4">
        <f>'Hampshire Daily'!B9</f>
        <v>47</v>
      </c>
      <c r="S6" s="4">
        <f>'Hampshire Daily'!C9</f>
        <v>72</v>
      </c>
    </row>
    <row r="7" spans="1:23" x14ac:dyDescent="0.25">
      <c r="A7" s="3" t="s">
        <v>12</v>
      </c>
      <c r="B7" s="1">
        <f t="shared" si="0"/>
        <v>6</v>
      </c>
      <c r="C7" s="1">
        <v>9</v>
      </c>
      <c r="D7" s="1">
        <v>2022</v>
      </c>
      <c r="E7" s="4">
        <f>'Hampshire Daily'!D10-'Hampshire Daily'!D9</f>
        <v>7265</v>
      </c>
      <c r="F7" s="4">
        <f>'Hampshire Daily'!E10-'Hampshire Daily'!E9</f>
        <v>4173</v>
      </c>
      <c r="G7" s="4">
        <f>'Hampshire Daily'!F10-'Hampshire Daily'!F9</f>
        <v>543</v>
      </c>
      <c r="H7" s="4">
        <f>'Hampshire Daily'!G10-'Hampshire Daily'!G9</f>
        <v>2006</v>
      </c>
      <c r="I7" s="4">
        <f>'Hampshire Daily'!H10-'Hampshire Daily'!H9</f>
        <v>0</v>
      </c>
      <c r="J7" s="4">
        <f>'Hampshire Daily'!I10-'Hampshire Daily'!I9</f>
        <v>2403</v>
      </c>
      <c r="K7" s="4">
        <f>'Hampshire Daily'!J10-'Hampshire Daily'!J9</f>
        <v>990</v>
      </c>
      <c r="L7" s="4">
        <f>'Hampshire Daily'!K10-'Hampshire Daily'!K9</f>
        <v>632</v>
      </c>
      <c r="M7" s="4">
        <f>'Hampshire Daily'!N10-'Hampshire Daily'!N9</f>
        <v>816</v>
      </c>
      <c r="N7" s="4">
        <f>'Hampshire Daily'!Q10-'Hampshire Daily'!Q9</f>
        <v>53</v>
      </c>
      <c r="O7" s="4">
        <f>'Hampshire Daily'!U10-'Hampshire Daily'!U9</f>
        <v>104</v>
      </c>
      <c r="P7" s="4">
        <f>'Hampshire Daily'!V10-'Hampshire Daily'!V9</f>
        <v>105</v>
      </c>
      <c r="Q7" s="4">
        <f>'Hampshire Daily'!Y10-'Hampshire Daily'!Y9</f>
        <v>4</v>
      </c>
      <c r="R7" s="4">
        <f>'Hampshire Daily'!B10</f>
        <v>29</v>
      </c>
      <c r="S7" s="4">
        <f>'Hampshire Daily'!C10</f>
        <v>46</v>
      </c>
    </row>
    <row r="8" spans="1:23" x14ac:dyDescent="0.25">
      <c r="A8" s="3" t="s">
        <v>12</v>
      </c>
      <c r="B8" s="1">
        <f t="shared" si="0"/>
        <v>7</v>
      </c>
      <c r="C8" s="1">
        <v>9</v>
      </c>
      <c r="D8" s="1">
        <v>2022</v>
      </c>
      <c r="E8" s="4">
        <f>'Hampshire Daily'!D11-'Hampshire Daily'!D10</f>
        <v>6819</v>
      </c>
      <c r="F8" s="4">
        <f>'Hampshire Daily'!E11-'Hampshire Daily'!E10</f>
        <v>4495</v>
      </c>
      <c r="G8" s="4">
        <f>'Hampshire Daily'!F11-'Hampshire Daily'!F10</f>
        <v>665</v>
      </c>
      <c r="H8" s="4">
        <f>'Hampshire Daily'!G11-'Hampshire Daily'!G10</f>
        <v>1886</v>
      </c>
      <c r="I8" s="4">
        <f>'Hampshire Daily'!H11-'Hampshire Daily'!H10</f>
        <v>0</v>
      </c>
      <c r="J8" s="4">
        <f>'Hampshire Daily'!I11-'Hampshire Daily'!I10</f>
        <v>2295</v>
      </c>
      <c r="K8" s="4">
        <f>'Hampshire Daily'!J11-'Hampshire Daily'!J10</f>
        <v>915</v>
      </c>
      <c r="L8" s="4">
        <f>'Hampshire Daily'!K11-'Hampshire Daily'!K10</f>
        <v>600</v>
      </c>
      <c r="M8" s="4">
        <f>'Hampshire Daily'!N11-'Hampshire Daily'!N10</f>
        <v>831</v>
      </c>
      <c r="N8" s="4">
        <f>'Hampshire Daily'!Q11-'Hampshire Daily'!Q10</f>
        <v>53</v>
      </c>
      <c r="O8" s="4">
        <f>'Hampshire Daily'!U11-'Hampshire Daily'!U10</f>
        <v>92</v>
      </c>
      <c r="P8" s="4">
        <f>'Hampshire Daily'!V11-'Hampshire Daily'!V10</f>
        <v>93</v>
      </c>
      <c r="Q8" s="4">
        <f>'Hampshire Daily'!Y11-'Hampshire Daily'!Y10</f>
        <v>4</v>
      </c>
      <c r="R8" s="4">
        <f>'Hampshire Daily'!B11</f>
        <v>34</v>
      </c>
      <c r="S8" s="4">
        <f>'Hampshire Daily'!C11</f>
        <v>55</v>
      </c>
    </row>
    <row r="9" spans="1:23" x14ac:dyDescent="0.25">
      <c r="A9" s="3" t="s">
        <v>12</v>
      </c>
      <c r="B9" s="1">
        <f t="shared" si="0"/>
        <v>8</v>
      </c>
      <c r="C9" s="1">
        <v>9</v>
      </c>
      <c r="D9" s="1">
        <v>2022</v>
      </c>
      <c r="E9" s="4">
        <f>'Hampshire Daily'!D12-'Hampshire Daily'!D11</f>
        <v>7083</v>
      </c>
      <c r="F9" s="4">
        <f>'Hampshire Daily'!E12-'Hampshire Daily'!E11</f>
        <v>1928</v>
      </c>
      <c r="G9" s="4">
        <f>'Hampshire Daily'!F12-'Hampshire Daily'!F11</f>
        <v>155</v>
      </c>
      <c r="H9" s="4">
        <f>'Hampshire Daily'!G12-'Hampshire Daily'!G11</f>
        <v>1842</v>
      </c>
      <c r="I9" s="4">
        <f>'Hampshire Daily'!H12-'Hampshire Daily'!H11</f>
        <v>0</v>
      </c>
      <c r="J9" s="4">
        <f>'Hampshire Daily'!I12-'Hampshire Daily'!I11</f>
        <v>2367</v>
      </c>
      <c r="K9" s="4">
        <f>'Hampshire Daily'!J12-'Hampshire Daily'!J11</f>
        <v>1000</v>
      </c>
      <c r="L9" s="4">
        <f>'Hampshire Daily'!K12-'Hampshire Daily'!K11</f>
        <v>665</v>
      </c>
      <c r="M9" s="4">
        <f>'Hampshire Daily'!N12-'Hampshire Daily'!N11</f>
        <v>1388</v>
      </c>
      <c r="N9" s="4">
        <f>'Hampshire Daily'!Q12-'Hampshire Daily'!Q11</f>
        <v>109</v>
      </c>
      <c r="O9" s="4">
        <f>'Hampshire Daily'!U12-'Hampshire Daily'!U11</f>
        <v>101</v>
      </c>
      <c r="P9" s="4">
        <f>'Hampshire Daily'!V12-'Hampshire Daily'!V11</f>
        <v>102</v>
      </c>
      <c r="Q9" s="4">
        <f>'Hampshire Daily'!Y12-'Hampshire Daily'!Y11</f>
        <v>5</v>
      </c>
      <c r="R9" s="4">
        <f>'Hampshire Daily'!B12</f>
        <v>38</v>
      </c>
      <c r="S9" s="4">
        <f>'Hampshire Daily'!C12</f>
        <v>70</v>
      </c>
    </row>
    <row r="10" spans="1:23" x14ac:dyDescent="0.25">
      <c r="A10" s="3" t="s">
        <v>12</v>
      </c>
      <c r="B10" s="1">
        <f t="shared" si="0"/>
        <v>9</v>
      </c>
      <c r="C10" s="1">
        <v>9</v>
      </c>
      <c r="D10" s="1">
        <v>2022</v>
      </c>
      <c r="E10" s="4">
        <f>'Hampshire Daily'!D13-'Hampshire Daily'!D12</f>
        <v>6763</v>
      </c>
      <c r="F10" s="4">
        <f>'Hampshire Daily'!E13-'Hampshire Daily'!E12</f>
        <v>1390</v>
      </c>
      <c r="G10" s="4">
        <f>'Hampshire Daily'!F13-'Hampshire Daily'!F12</f>
        <v>0</v>
      </c>
      <c r="H10" s="4">
        <f>'Hampshire Daily'!G13-'Hampshire Daily'!G12</f>
        <v>1833</v>
      </c>
      <c r="I10" s="4">
        <f>'Hampshire Daily'!H13-'Hampshire Daily'!H12</f>
        <v>0</v>
      </c>
      <c r="J10" s="4">
        <f>'Hampshire Daily'!I13-'Hampshire Daily'!I12</f>
        <v>2380</v>
      </c>
      <c r="K10" s="4">
        <f>'Hampshire Daily'!J13-'Hampshire Daily'!J12</f>
        <v>1051</v>
      </c>
      <c r="L10" s="4">
        <f>'Hampshire Daily'!K13-'Hampshire Daily'!K12</f>
        <v>697</v>
      </c>
      <c r="M10" s="4">
        <f>'Hampshire Daily'!N13-'Hampshire Daily'!N12</f>
        <v>1599</v>
      </c>
      <c r="N10" s="4">
        <f>'Hampshire Daily'!Q13-'Hampshire Daily'!Q12</f>
        <v>173</v>
      </c>
      <c r="O10" s="4">
        <f>'Hampshire Daily'!U13-'Hampshire Daily'!U12</f>
        <v>98</v>
      </c>
      <c r="P10" s="4">
        <f>'Hampshire Daily'!V13-'Hampshire Daily'!V12</f>
        <v>100</v>
      </c>
      <c r="Q10" s="4">
        <f>'Hampshire Daily'!Y13-'Hampshire Daily'!Y12</f>
        <v>5</v>
      </c>
      <c r="R10" s="4">
        <f>'Hampshire Daily'!B13</f>
        <v>46</v>
      </c>
      <c r="S10" s="4">
        <f>'Hampshire Daily'!C13</f>
        <v>91</v>
      </c>
    </row>
    <row r="11" spans="1:23" x14ac:dyDescent="0.25">
      <c r="A11" s="3" t="s">
        <v>12</v>
      </c>
      <c r="B11" s="1">
        <f t="shared" si="0"/>
        <v>10</v>
      </c>
      <c r="C11" s="1">
        <v>9</v>
      </c>
      <c r="D11" s="1">
        <v>2022</v>
      </c>
      <c r="E11" s="4">
        <f>'Hampshire Daily'!D14-'Hampshire Daily'!D13</f>
        <v>7961</v>
      </c>
      <c r="F11" s="4">
        <f>'Hampshire Daily'!E14-'Hampshire Daily'!E13</f>
        <v>1557</v>
      </c>
      <c r="G11" s="4">
        <f>'Hampshire Daily'!F14-'Hampshire Daily'!F13</f>
        <v>0</v>
      </c>
      <c r="H11" s="4">
        <f>'Hampshire Daily'!G14-'Hampshire Daily'!G13</f>
        <v>1917</v>
      </c>
      <c r="I11" s="4">
        <f>'Hampshire Daily'!H14-'Hampshire Daily'!H13</f>
        <v>0</v>
      </c>
      <c r="J11" s="4">
        <f>'Hampshire Daily'!I14-'Hampshire Daily'!I13</f>
        <v>2530</v>
      </c>
      <c r="K11" s="4">
        <f>'Hampshire Daily'!J14-'Hampshire Daily'!J13</f>
        <v>1108</v>
      </c>
      <c r="L11" s="4">
        <f>'Hampshire Daily'!K14-'Hampshire Daily'!K13</f>
        <v>743</v>
      </c>
      <c r="M11" s="4">
        <f>'Hampshire Daily'!N14-'Hampshire Daily'!N13</f>
        <v>1569</v>
      </c>
      <c r="N11" s="4">
        <f>'Hampshire Daily'!Q14-'Hampshire Daily'!Q13</f>
        <v>154</v>
      </c>
      <c r="O11" s="4">
        <f>'Hampshire Daily'!U14-'Hampshire Daily'!U13</f>
        <v>101</v>
      </c>
      <c r="P11" s="4">
        <f>'Hampshire Daily'!V14-'Hampshire Daily'!V13</f>
        <v>101</v>
      </c>
      <c r="Q11" s="4">
        <f>'Hampshire Daily'!Y14-'Hampshire Daily'!Y13</f>
        <v>10</v>
      </c>
      <c r="R11" s="4">
        <f>'Hampshire Daily'!B14</f>
        <v>63</v>
      </c>
      <c r="S11" s="4">
        <f>'Hampshire Daily'!C14</f>
        <v>139</v>
      </c>
    </row>
    <row r="12" spans="1:23" x14ac:dyDescent="0.25">
      <c r="A12" s="3" t="s">
        <v>12</v>
      </c>
      <c r="B12" s="1">
        <f t="shared" si="0"/>
        <v>11</v>
      </c>
      <c r="C12" s="1">
        <v>9</v>
      </c>
      <c r="D12" s="1">
        <v>2022</v>
      </c>
      <c r="E12" s="4">
        <f>'Hampshire Daily'!D15-'Hampshire Daily'!D14</f>
        <v>6248</v>
      </c>
      <c r="F12" s="4">
        <f>'Hampshire Daily'!E15-'Hampshire Daily'!E14</f>
        <v>1617</v>
      </c>
      <c r="G12" s="4">
        <f>'Hampshire Daily'!F15-'Hampshire Daily'!F14</f>
        <v>0</v>
      </c>
      <c r="H12" s="4">
        <f>'Hampshire Daily'!G15-'Hampshire Daily'!G14</f>
        <v>1853</v>
      </c>
      <c r="I12" s="4">
        <f>'Hampshire Daily'!H15-'Hampshire Daily'!H14</f>
        <v>0</v>
      </c>
      <c r="J12" s="4">
        <f>'Hampshire Daily'!I15-'Hampshire Daily'!I14</f>
        <v>2466</v>
      </c>
      <c r="K12" s="4">
        <f>'Hampshire Daily'!J15-'Hampshire Daily'!J14</f>
        <v>1066</v>
      </c>
      <c r="L12" s="4">
        <f>'Hampshire Daily'!K15-'Hampshire Daily'!K14</f>
        <v>710</v>
      </c>
      <c r="M12" s="4">
        <f>'Hampshire Daily'!N15-'Hampshire Daily'!N14</f>
        <v>1542</v>
      </c>
      <c r="N12" s="4">
        <f>'Hampshire Daily'!Q15-'Hampshire Daily'!Q14</f>
        <v>171</v>
      </c>
      <c r="O12" s="4">
        <f>'Hampshire Daily'!U15-'Hampshire Daily'!U14</f>
        <v>104</v>
      </c>
      <c r="P12" s="4">
        <f>'Hampshire Daily'!V15-'Hampshire Daily'!V14</f>
        <v>106</v>
      </c>
      <c r="Q12" s="4">
        <f>'Hampshire Daily'!Y15-'Hampshire Daily'!Y14</f>
        <v>6</v>
      </c>
      <c r="R12" s="4">
        <f>'Hampshire Daily'!B15</f>
        <v>79</v>
      </c>
      <c r="S12" s="4">
        <f>'Hampshire Daily'!C15</f>
        <v>142</v>
      </c>
    </row>
    <row r="13" spans="1:23" x14ac:dyDescent="0.25">
      <c r="A13" s="3" t="s">
        <v>12</v>
      </c>
      <c r="B13" s="1">
        <f t="shared" si="0"/>
        <v>12</v>
      </c>
      <c r="C13" s="1">
        <v>9</v>
      </c>
      <c r="D13" s="1">
        <v>2022</v>
      </c>
      <c r="E13" s="4">
        <f>'Hampshire Daily'!D16-'Hampshire Daily'!D15</f>
        <v>7182</v>
      </c>
      <c r="F13" s="4">
        <f>'Hampshire Daily'!E16-'Hampshire Daily'!E15</f>
        <v>1394</v>
      </c>
      <c r="G13" s="4">
        <f>'Hampshire Daily'!F16-'Hampshire Daily'!F15</f>
        <v>0</v>
      </c>
      <c r="H13" s="4">
        <f>'Hampshire Daily'!G16-'Hampshire Daily'!G15</f>
        <v>2023</v>
      </c>
      <c r="I13" s="4">
        <f>'Hampshire Daily'!H16-'Hampshire Daily'!H15</f>
        <v>0</v>
      </c>
      <c r="J13" s="4">
        <f>'Hampshire Daily'!I16-'Hampshire Daily'!I15</f>
        <v>2517</v>
      </c>
      <c r="K13" s="4">
        <f>'Hampshire Daily'!J16-'Hampshire Daily'!J15</f>
        <v>1031</v>
      </c>
      <c r="L13" s="4">
        <f>'Hampshire Daily'!K16-'Hampshire Daily'!K15</f>
        <v>648</v>
      </c>
      <c r="M13" s="4">
        <f>'Hampshire Daily'!N16-'Hampshire Daily'!N15</f>
        <v>1468</v>
      </c>
      <c r="N13" s="4">
        <f>'Hampshire Daily'!Q16-'Hampshire Daily'!Q15</f>
        <v>114</v>
      </c>
      <c r="O13" s="4">
        <f>'Hampshire Daily'!U16-'Hampshire Daily'!U15</f>
        <v>93</v>
      </c>
      <c r="P13" s="4">
        <f>'Hampshire Daily'!V16-'Hampshire Daily'!V15</f>
        <v>95</v>
      </c>
      <c r="Q13" s="4">
        <f>'Hampshire Daily'!Y16-'Hampshire Daily'!Y15</f>
        <v>8</v>
      </c>
      <c r="R13" s="4">
        <f>'Hampshire Daily'!B16</f>
        <v>46</v>
      </c>
      <c r="S13" s="4">
        <f>'Hampshire Daily'!C16</f>
        <v>78</v>
      </c>
    </row>
    <row r="14" spans="1:23" x14ac:dyDescent="0.25">
      <c r="A14" s="3" t="s">
        <v>12</v>
      </c>
      <c r="B14" s="1">
        <f t="shared" si="0"/>
        <v>13</v>
      </c>
      <c r="C14" s="1">
        <v>9</v>
      </c>
      <c r="D14" s="1">
        <v>2022</v>
      </c>
      <c r="E14" s="4">
        <f>'Hampshire Daily'!D17-'Hampshire Daily'!D16</f>
        <v>8015</v>
      </c>
      <c r="F14" s="4">
        <f>'Hampshire Daily'!E17-'Hampshire Daily'!E16</f>
        <v>1496</v>
      </c>
      <c r="G14" s="4">
        <f>'Hampshire Daily'!F17-'Hampshire Daily'!F16</f>
        <v>55</v>
      </c>
      <c r="H14" s="4">
        <f>'Hampshire Daily'!G17-'Hampshire Daily'!G16</f>
        <v>1859</v>
      </c>
      <c r="I14" s="4">
        <f>'Hampshire Daily'!H17-'Hampshire Daily'!H16</f>
        <v>0</v>
      </c>
      <c r="J14" s="4">
        <f>'Hampshire Daily'!I17-'Hampshire Daily'!I16</f>
        <v>2159</v>
      </c>
      <c r="K14" s="4">
        <f>'Hampshire Daily'!J17-'Hampshire Daily'!J16</f>
        <v>902</v>
      </c>
      <c r="L14" s="4">
        <f>'Hampshire Daily'!K17-'Hampshire Daily'!K16</f>
        <v>715</v>
      </c>
      <c r="M14" s="4">
        <f>'Hampshire Daily'!N17-'Hampshire Daily'!N16</f>
        <v>1478</v>
      </c>
      <c r="N14" s="4">
        <f>'Hampshire Daily'!Q17-'Hampshire Daily'!Q16</f>
        <v>116</v>
      </c>
      <c r="O14" s="4">
        <f>'Hampshire Daily'!U17-'Hampshire Daily'!U16</f>
        <v>68</v>
      </c>
      <c r="P14" s="4">
        <f>'Hampshire Daily'!V17-'Hampshire Daily'!V16</f>
        <v>71</v>
      </c>
      <c r="Q14" s="4">
        <f>'Hampshire Daily'!Y17-'Hampshire Daily'!Y16</f>
        <v>5</v>
      </c>
      <c r="R14" s="4">
        <f>'Hampshire Daily'!B17</f>
        <v>42</v>
      </c>
      <c r="S14" s="4">
        <f>'Hampshire Daily'!C17</f>
        <v>62</v>
      </c>
    </row>
    <row r="15" spans="1:23" x14ac:dyDescent="0.25">
      <c r="A15" s="3" t="s">
        <v>12</v>
      </c>
      <c r="B15" s="1">
        <f t="shared" si="0"/>
        <v>14</v>
      </c>
      <c r="C15" s="1">
        <v>9</v>
      </c>
      <c r="D15" s="1">
        <v>2022</v>
      </c>
      <c r="E15" s="4">
        <f>'Hampshire Daily'!D18-'Hampshire Daily'!D17</f>
        <v>5372</v>
      </c>
      <c r="F15" s="4">
        <f>'Hampshire Daily'!E18-'Hampshire Daily'!E17</f>
        <v>1923</v>
      </c>
      <c r="G15" s="4">
        <f>'Hampshire Daily'!F18-'Hampshire Daily'!F17</f>
        <v>284</v>
      </c>
      <c r="H15" s="4">
        <f>'Hampshire Daily'!G18-'Hampshire Daily'!G17</f>
        <v>1980</v>
      </c>
      <c r="I15" s="4">
        <f>'Hampshire Daily'!H18-'Hampshire Daily'!H17</f>
        <v>0</v>
      </c>
      <c r="J15" s="4">
        <f>'Hampshire Daily'!I18-'Hampshire Daily'!I17</f>
        <v>2317</v>
      </c>
      <c r="K15" s="4">
        <f>'Hampshire Daily'!J18-'Hampshire Daily'!J17</f>
        <v>951</v>
      </c>
      <c r="L15" s="4">
        <f>'Hampshire Daily'!K18-'Hampshire Daily'!K17</f>
        <v>198</v>
      </c>
      <c r="M15" s="4">
        <f>'Hampshire Daily'!N18-'Hampshire Daily'!N17</f>
        <v>1983</v>
      </c>
      <c r="N15" s="4">
        <f>'Hampshire Daily'!Q18-'Hampshire Daily'!Q17</f>
        <v>104</v>
      </c>
      <c r="O15" s="4">
        <f>'Hampshire Daily'!U18-'Hampshire Daily'!U17</f>
        <v>61</v>
      </c>
      <c r="P15" s="4">
        <f>'Hampshire Daily'!V18-'Hampshire Daily'!V17</f>
        <v>62</v>
      </c>
      <c r="Q15" s="4">
        <f>'Hampshire Daily'!Y18-'Hampshire Daily'!Y17</f>
        <v>5</v>
      </c>
      <c r="R15" s="4">
        <f>'Hampshire Daily'!B18</f>
        <v>46</v>
      </c>
      <c r="S15" s="4">
        <f>'Hampshire Daily'!C18</f>
        <v>69</v>
      </c>
    </row>
    <row r="16" spans="1:23" x14ac:dyDescent="0.25">
      <c r="A16" s="3" t="s">
        <v>12</v>
      </c>
      <c r="B16" s="1">
        <f t="shared" si="0"/>
        <v>15</v>
      </c>
      <c r="C16" s="1">
        <v>9</v>
      </c>
      <c r="D16" s="1">
        <v>2022</v>
      </c>
      <c r="E16" s="4">
        <f>'Hampshire Daily'!D19-'Hampshire Daily'!D18</f>
        <v>4640</v>
      </c>
      <c r="F16" s="4">
        <f>'Hampshire Daily'!E19-'Hampshire Daily'!E18</f>
        <v>3239</v>
      </c>
      <c r="G16" s="4">
        <f>'Hampshire Daily'!F19-'Hampshire Daily'!F18</f>
        <v>283</v>
      </c>
      <c r="H16" s="4">
        <f>'Hampshire Daily'!G19-'Hampshire Daily'!G18</f>
        <v>1979</v>
      </c>
      <c r="I16" s="4">
        <f>'Hampshire Daily'!H19-'Hampshire Daily'!H18</f>
        <v>0</v>
      </c>
      <c r="J16" s="4">
        <f>'Hampshire Daily'!I19-'Hampshire Daily'!I18</f>
        <v>2310</v>
      </c>
      <c r="K16" s="4">
        <f>'Hampshire Daily'!J19-'Hampshire Daily'!J18</f>
        <v>953</v>
      </c>
      <c r="L16" s="4">
        <f>'Hampshire Daily'!K19-'Hampshire Daily'!K18</f>
        <v>0</v>
      </c>
      <c r="M16" s="4">
        <f>'Hampshire Daily'!N19-'Hampshire Daily'!N18</f>
        <v>1870</v>
      </c>
      <c r="N16" s="4">
        <f>'Hampshire Daily'!Q19-'Hampshire Daily'!Q18</f>
        <v>105</v>
      </c>
      <c r="O16" s="4">
        <f>'Hampshire Daily'!U19-'Hampshire Daily'!U18</f>
        <v>73</v>
      </c>
      <c r="P16" s="4">
        <f>'Hampshire Daily'!V19-'Hampshire Daily'!V18</f>
        <v>75</v>
      </c>
      <c r="Q16" s="4">
        <f>'Hampshire Daily'!Y19-'Hampshire Daily'!Y18</f>
        <v>3</v>
      </c>
      <c r="R16" s="4">
        <f>'Hampshire Daily'!B19</f>
        <v>69</v>
      </c>
      <c r="S16" s="4">
        <f>'Hampshire Daily'!C19</f>
        <v>99</v>
      </c>
    </row>
    <row r="17" spans="1:19" x14ac:dyDescent="0.25">
      <c r="A17" s="3" t="s">
        <v>12</v>
      </c>
      <c r="B17" s="1">
        <f t="shared" si="0"/>
        <v>16</v>
      </c>
      <c r="C17" s="1">
        <v>9</v>
      </c>
      <c r="D17" s="1">
        <v>2022</v>
      </c>
      <c r="E17" s="4">
        <f>'Hampshire Daily'!D20-'Hampshire Daily'!D19</f>
        <v>4644</v>
      </c>
      <c r="F17" s="4">
        <f>'Hampshire Daily'!E20-'Hampshire Daily'!E19</f>
        <v>1570</v>
      </c>
      <c r="G17" s="4">
        <f>'Hampshire Daily'!F20-'Hampshire Daily'!F19</f>
        <v>48</v>
      </c>
      <c r="H17" s="4">
        <f>'Hampshire Daily'!G20-'Hampshire Daily'!G19</f>
        <v>2066</v>
      </c>
      <c r="I17" s="4">
        <f>'Hampshire Daily'!H20-'Hampshire Daily'!H19</f>
        <v>0</v>
      </c>
      <c r="J17" s="4">
        <f>'Hampshire Daily'!I20-'Hampshire Daily'!I19</f>
        <v>2340</v>
      </c>
      <c r="K17" s="4">
        <f>'Hampshire Daily'!J20-'Hampshire Daily'!J19</f>
        <v>975</v>
      </c>
      <c r="L17" s="4">
        <f>'Hampshire Daily'!K20-'Hampshire Daily'!K19</f>
        <v>1</v>
      </c>
      <c r="M17" s="4">
        <f>'Hampshire Daily'!N20-'Hampshire Daily'!N19</f>
        <v>2271</v>
      </c>
      <c r="N17" s="4">
        <f>'Hampshire Daily'!Q20-'Hampshire Daily'!Q19</f>
        <v>105</v>
      </c>
      <c r="O17" s="4">
        <f>'Hampshire Daily'!U20-'Hampshire Daily'!U19</f>
        <v>73</v>
      </c>
      <c r="P17" s="4">
        <f>'Hampshire Daily'!V20-'Hampshire Daily'!V19</f>
        <v>77</v>
      </c>
      <c r="Q17" s="4">
        <f>'Hampshire Daily'!Y20-'Hampshire Daily'!Y19</f>
        <v>10</v>
      </c>
      <c r="R17" s="4">
        <f>'Hampshire Daily'!B20</f>
        <v>78</v>
      </c>
      <c r="S17" s="4">
        <f>'Hampshire Daily'!C20</f>
        <v>134</v>
      </c>
    </row>
    <row r="18" spans="1:19" x14ac:dyDescent="0.25">
      <c r="A18" s="3" t="s">
        <v>12</v>
      </c>
      <c r="B18" s="1">
        <f t="shared" si="0"/>
        <v>17</v>
      </c>
      <c r="C18" s="1">
        <v>9</v>
      </c>
      <c r="D18" s="1">
        <v>2022</v>
      </c>
      <c r="E18" s="4">
        <f>'Hampshire Daily'!D21-'Hampshire Daily'!D20</f>
        <v>4066</v>
      </c>
      <c r="F18" s="4">
        <f>'Hampshire Daily'!E21-'Hampshire Daily'!E20</f>
        <v>3941</v>
      </c>
      <c r="G18" s="4">
        <f>'Hampshire Daily'!F21-'Hampshire Daily'!F20</f>
        <v>509</v>
      </c>
      <c r="H18" s="4">
        <f>'Hampshire Daily'!G21-'Hampshire Daily'!G20</f>
        <v>2064</v>
      </c>
      <c r="I18" s="4">
        <f>'Hampshire Daily'!H21-'Hampshire Daily'!H20</f>
        <v>0</v>
      </c>
      <c r="J18" s="4">
        <f>'Hampshire Daily'!I21-'Hampshire Daily'!I20</f>
        <v>2621</v>
      </c>
      <c r="K18" s="4">
        <f>'Hampshire Daily'!J21-'Hampshire Daily'!J20</f>
        <v>1210</v>
      </c>
      <c r="L18" s="4">
        <f>'Hampshire Daily'!K21-'Hampshire Daily'!K20</f>
        <v>1</v>
      </c>
      <c r="M18" s="4">
        <f>'Hampshire Daily'!N21-'Hampshire Daily'!N20</f>
        <v>1949</v>
      </c>
      <c r="N18" s="4">
        <f>'Hampshire Daily'!Q21-'Hampshire Daily'!Q20</f>
        <v>177</v>
      </c>
      <c r="O18" s="4">
        <f>'Hampshire Daily'!U21-'Hampshire Daily'!U20</f>
        <v>73</v>
      </c>
      <c r="P18" s="4">
        <f>'Hampshire Daily'!V21-'Hampshire Daily'!V20</f>
        <v>75</v>
      </c>
      <c r="Q18" s="4">
        <f>'Hampshire Daily'!Y21-'Hampshire Daily'!Y20</f>
        <v>6</v>
      </c>
      <c r="R18" s="4">
        <f>'Hampshire Daily'!B21</f>
        <v>121</v>
      </c>
      <c r="S18" s="4">
        <f>'Hampshire Daily'!C21</f>
        <v>202</v>
      </c>
    </row>
    <row r="19" spans="1:19" x14ac:dyDescent="0.25">
      <c r="A19" s="3" t="s">
        <v>12</v>
      </c>
      <c r="B19" s="1">
        <f t="shared" si="0"/>
        <v>18</v>
      </c>
      <c r="C19" s="1">
        <v>9</v>
      </c>
      <c r="D19" s="1">
        <v>2022</v>
      </c>
      <c r="E19" s="4">
        <f>'Hampshire Daily'!D22-'Hampshire Daily'!D21</f>
        <v>3968</v>
      </c>
      <c r="F19" s="4">
        <f>'Hampshire Daily'!E22-'Hampshire Daily'!E21</f>
        <v>1845</v>
      </c>
      <c r="G19" s="4">
        <f>'Hampshire Daily'!F22-'Hampshire Daily'!F21</f>
        <v>42</v>
      </c>
      <c r="H19" s="4">
        <f>'Hampshire Daily'!G22-'Hampshire Daily'!G21</f>
        <v>1896</v>
      </c>
      <c r="I19" s="4">
        <f>'Hampshire Daily'!H22-'Hampshire Daily'!H21</f>
        <v>0</v>
      </c>
      <c r="J19" s="4">
        <f>'Hampshire Daily'!I22-'Hampshire Daily'!I21</f>
        <v>2854</v>
      </c>
      <c r="K19" s="4">
        <f>'Hampshire Daily'!J22-'Hampshire Daily'!J21</f>
        <v>1332</v>
      </c>
      <c r="L19" s="4">
        <f>'Hampshire Daily'!K22-'Hampshire Daily'!K21</f>
        <v>0</v>
      </c>
      <c r="M19" s="4">
        <f>'Hampshire Daily'!N22-'Hampshire Daily'!N21</f>
        <v>2261</v>
      </c>
      <c r="N19" s="4">
        <f>'Hampshire Daily'!Q22-'Hampshire Daily'!Q21</f>
        <v>124</v>
      </c>
      <c r="O19" s="4">
        <f>'Hampshire Daily'!U22-'Hampshire Daily'!U21</f>
        <v>82</v>
      </c>
      <c r="P19" s="4">
        <f>'Hampshire Daily'!V22-'Hampshire Daily'!V21</f>
        <v>83</v>
      </c>
      <c r="Q19" s="4">
        <f>'Hampshire Daily'!Y22-'Hampshire Daily'!Y21</f>
        <v>7</v>
      </c>
      <c r="R19" s="4">
        <f>'Hampshire Daily'!B22</f>
        <v>134</v>
      </c>
      <c r="S19" s="4">
        <f>'Hampshire Daily'!C22</f>
        <v>177</v>
      </c>
    </row>
    <row r="20" spans="1:19" x14ac:dyDescent="0.25">
      <c r="A20" s="3" t="s">
        <v>12</v>
      </c>
      <c r="B20" s="1">
        <f t="shared" si="0"/>
        <v>19</v>
      </c>
      <c r="C20" s="1">
        <v>9</v>
      </c>
      <c r="D20" s="1">
        <v>2022</v>
      </c>
      <c r="E20" s="4">
        <f>'Hampshire Daily'!D23-'Hampshire Daily'!D22</f>
        <v>4155</v>
      </c>
      <c r="F20" s="4">
        <f>'Hampshire Daily'!E23-'Hampshire Daily'!E22</f>
        <v>2756</v>
      </c>
      <c r="G20" s="4">
        <f>'Hampshire Daily'!F23-'Hampshire Daily'!F22</f>
        <v>197</v>
      </c>
      <c r="H20" s="4">
        <f>'Hampshire Daily'!G23-'Hampshire Daily'!G22</f>
        <v>1985</v>
      </c>
      <c r="I20" s="4">
        <f>'Hampshire Daily'!H23-'Hampshire Daily'!H22</f>
        <v>0</v>
      </c>
      <c r="J20" s="4">
        <f>'Hampshire Daily'!I23-'Hampshire Daily'!I22</f>
        <v>2533</v>
      </c>
      <c r="K20" s="4">
        <f>'Hampshire Daily'!J23-'Hampshire Daily'!J22</f>
        <v>1193</v>
      </c>
      <c r="L20" s="4">
        <f>'Hampshire Daily'!K23-'Hampshire Daily'!K22</f>
        <v>0</v>
      </c>
      <c r="M20" s="4">
        <f>'Hampshire Daily'!N23-'Hampshire Daily'!N22</f>
        <v>2006</v>
      </c>
      <c r="N20" s="4">
        <f>'Hampshire Daily'!Q23-'Hampshire Daily'!Q22</f>
        <v>154</v>
      </c>
      <c r="O20" s="4">
        <f>'Hampshire Daily'!U23-'Hampshire Daily'!U22</f>
        <v>80</v>
      </c>
      <c r="P20" s="4">
        <f>'Hampshire Daily'!V23-'Hampshire Daily'!V22</f>
        <v>87</v>
      </c>
      <c r="Q20" s="4">
        <f>'Hampshire Daily'!Y23-'Hampshire Daily'!Y22</f>
        <v>7</v>
      </c>
      <c r="R20" s="4">
        <f>'Hampshire Daily'!B23</f>
        <v>108</v>
      </c>
      <c r="S20" s="4">
        <f>'Hampshire Daily'!C23</f>
        <v>126</v>
      </c>
    </row>
    <row r="21" spans="1:19" x14ac:dyDescent="0.25">
      <c r="A21" s="3" t="s">
        <v>12</v>
      </c>
      <c r="B21" s="1">
        <f t="shared" si="0"/>
        <v>20</v>
      </c>
      <c r="C21" s="1">
        <v>9</v>
      </c>
      <c r="D21" s="1">
        <v>2022</v>
      </c>
      <c r="E21" s="4">
        <f>'Hampshire Daily'!D24-'Hampshire Daily'!D23</f>
        <v>4044</v>
      </c>
      <c r="F21" s="4">
        <f>'Hampshire Daily'!E24-'Hampshire Daily'!E23</f>
        <v>2256</v>
      </c>
      <c r="G21" s="4">
        <f>'Hampshire Daily'!F24-'Hampshire Daily'!F23</f>
        <v>168</v>
      </c>
      <c r="H21" s="4">
        <f>'Hampshire Daily'!G24-'Hampshire Daily'!G23</f>
        <v>2033</v>
      </c>
      <c r="I21" s="4">
        <f>'Hampshire Daily'!H24-'Hampshire Daily'!H23</f>
        <v>0</v>
      </c>
      <c r="J21" s="4">
        <f>'Hampshire Daily'!I24-'Hampshire Daily'!I23</f>
        <v>2504</v>
      </c>
      <c r="K21" s="4">
        <f>'Hampshire Daily'!J24-'Hampshire Daily'!J23</f>
        <v>1086</v>
      </c>
      <c r="L21" s="4">
        <f>'Hampshire Daily'!K24-'Hampshire Daily'!K23</f>
        <v>0</v>
      </c>
      <c r="M21" s="4">
        <f>'Hampshire Daily'!N24-'Hampshire Daily'!N23</f>
        <v>1980</v>
      </c>
      <c r="N21" s="4">
        <f>'Hampshire Daily'!Q24-'Hampshire Daily'!Q23</f>
        <v>129</v>
      </c>
      <c r="O21" s="4">
        <f>'Hampshire Daily'!U24-'Hampshire Daily'!U23</f>
        <v>76</v>
      </c>
      <c r="P21" s="4">
        <f>'Hampshire Daily'!V24-'Hampshire Daily'!V23</f>
        <v>82</v>
      </c>
      <c r="Q21" s="4">
        <f>'Hampshire Daily'!Y24-'Hampshire Daily'!Y23</f>
        <v>8</v>
      </c>
      <c r="R21" s="4">
        <f>'Hampshire Daily'!B24</f>
        <v>89</v>
      </c>
      <c r="S21" s="4">
        <f>'Hampshire Daily'!C24</f>
        <v>103</v>
      </c>
    </row>
    <row r="22" spans="1:19" x14ac:dyDescent="0.25">
      <c r="A22" s="3" t="s">
        <v>12</v>
      </c>
      <c r="B22" s="1">
        <f t="shared" si="0"/>
        <v>21</v>
      </c>
      <c r="C22" s="1">
        <v>9</v>
      </c>
      <c r="D22" s="1">
        <v>2022</v>
      </c>
      <c r="E22" s="4">
        <f>'Hampshire Daily'!D25-'Hampshire Daily'!D24</f>
        <v>7266</v>
      </c>
      <c r="F22" s="4">
        <f>'Hampshire Daily'!E25-'Hampshire Daily'!E24</f>
        <v>2467</v>
      </c>
      <c r="G22" s="4">
        <f>'Hampshire Daily'!F25-'Hampshire Daily'!F24</f>
        <v>234</v>
      </c>
      <c r="H22" s="4">
        <f>'Hampshire Daily'!G25-'Hampshire Daily'!G24</f>
        <v>2246</v>
      </c>
      <c r="I22" s="4">
        <f>'Hampshire Daily'!H25-'Hampshire Daily'!H24</f>
        <v>0</v>
      </c>
      <c r="J22" s="4">
        <f>'Hampshire Daily'!I25-'Hampshire Daily'!I24</f>
        <v>2470</v>
      </c>
      <c r="K22" s="4">
        <f>'Hampshire Daily'!J25-'Hampshire Daily'!J24</f>
        <v>1048</v>
      </c>
      <c r="L22" s="4">
        <f>'Hampshire Daily'!K25-'Hampshire Daily'!K24</f>
        <v>731</v>
      </c>
      <c r="M22" s="4">
        <f>'Hampshire Daily'!N25-'Hampshire Daily'!N24</f>
        <v>1391</v>
      </c>
      <c r="N22" s="4">
        <f>'Hampshire Daily'!Q25-'Hampshire Daily'!Q24</f>
        <v>128</v>
      </c>
      <c r="O22" s="4">
        <f>'Hampshire Daily'!U25-'Hampshire Daily'!U24</f>
        <v>83</v>
      </c>
      <c r="P22" s="4">
        <f>'Hampshire Daily'!V25-'Hampshire Daily'!V24</f>
        <v>84</v>
      </c>
      <c r="Q22" s="4">
        <f>'Hampshire Daily'!Y25-'Hampshire Daily'!Y24</f>
        <v>11</v>
      </c>
      <c r="R22" s="4">
        <f>'Hampshire Daily'!B25</f>
        <v>97</v>
      </c>
      <c r="S22" s="4">
        <f>'Hampshire Daily'!C25</f>
        <v>108</v>
      </c>
    </row>
    <row r="23" spans="1:19" x14ac:dyDescent="0.25">
      <c r="A23" s="3" t="s">
        <v>12</v>
      </c>
      <c r="B23" s="1">
        <f t="shared" si="0"/>
        <v>22</v>
      </c>
      <c r="C23" s="1">
        <v>9</v>
      </c>
      <c r="D23" s="1">
        <v>2022</v>
      </c>
      <c r="E23" s="4">
        <f>'Hampshire Daily'!D26-'Hampshire Daily'!D25</f>
        <v>7151</v>
      </c>
      <c r="F23" s="4">
        <f>'Hampshire Daily'!E26-'Hampshire Daily'!E25</f>
        <v>2334</v>
      </c>
      <c r="G23" s="4">
        <f>'Hampshire Daily'!F26-'Hampshire Daily'!F25</f>
        <v>183</v>
      </c>
      <c r="H23" s="4">
        <f>'Hampshire Daily'!G26-'Hampshire Daily'!G25</f>
        <v>1993</v>
      </c>
      <c r="I23" s="4">
        <f>'Hampshire Daily'!H26-'Hampshire Daily'!H25</f>
        <v>0</v>
      </c>
      <c r="J23" s="4">
        <f>'Hampshire Daily'!I26-'Hampshire Daily'!I25</f>
        <v>2532</v>
      </c>
      <c r="K23" s="4">
        <f>'Hampshire Daily'!J26-'Hampshire Daily'!J25</f>
        <v>1070</v>
      </c>
      <c r="L23" s="4">
        <f>'Hampshire Daily'!K26-'Hampshire Daily'!K25</f>
        <v>731</v>
      </c>
      <c r="M23" s="4">
        <f>'Hampshire Daily'!N26-'Hampshire Daily'!N25</f>
        <v>1329</v>
      </c>
      <c r="N23" s="4">
        <f>'Hampshire Daily'!Q26-'Hampshire Daily'!Q25</f>
        <v>112</v>
      </c>
      <c r="O23" s="4">
        <f>'Hampshire Daily'!U26-'Hampshire Daily'!U25</f>
        <v>81</v>
      </c>
      <c r="P23" s="4">
        <f>'Hampshire Daily'!V26-'Hampshire Daily'!V25</f>
        <v>81</v>
      </c>
      <c r="Q23" s="4">
        <f>'Hampshire Daily'!Y26-'Hampshire Daily'!Y25</f>
        <v>8</v>
      </c>
      <c r="R23" s="4">
        <f>'Hampshire Daily'!B26</f>
        <v>87</v>
      </c>
      <c r="S23" s="4">
        <f>'Hampshire Daily'!C26</f>
        <v>96</v>
      </c>
    </row>
    <row r="24" spans="1:19" x14ac:dyDescent="0.25">
      <c r="A24" s="3" t="s">
        <v>12</v>
      </c>
      <c r="B24" s="1">
        <f t="shared" si="0"/>
        <v>23</v>
      </c>
      <c r="C24" s="1">
        <v>9</v>
      </c>
      <c r="D24" s="1">
        <v>2022</v>
      </c>
      <c r="E24" s="4">
        <f>'Hampshire Daily'!D27-'Hampshire Daily'!D26</f>
        <v>7068</v>
      </c>
      <c r="F24" s="4">
        <f>'Hampshire Daily'!E27-'Hampshire Daily'!E26</f>
        <v>3385</v>
      </c>
      <c r="G24" s="4">
        <f>'Hampshire Daily'!F27-'Hampshire Daily'!F26</f>
        <v>395</v>
      </c>
      <c r="H24" s="4">
        <f>'Hampshire Daily'!G27-'Hampshire Daily'!G26</f>
        <v>2025</v>
      </c>
      <c r="I24" s="4">
        <f>'Hampshire Daily'!H27-'Hampshire Daily'!H26</f>
        <v>0</v>
      </c>
      <c r="J24" s="4">
        <f>'Hampshire Daily'!I27-'Hampshire Daily'!I26</f>
        <v>2374</v>
      </c>
      <c r="K24" s="4">
        <f>'Hampshire Daily'!J27-'Hampshire Daily'!J26</f>
        <v>996</v>
      </c>
      <c r="L24" s="4">
        <f>'Hampshire Daily'!K27-'Hampshire Daily'!K26</f>
        <v>731</v>
      </c>
      <c r="M24" s="4">
        <f>'Hampshire Daily'!N27-'Hampshire Daily'!N26</f>
        <v>1064</v>
      </c>
      <c r="N24" s="4">
        <f>'Hampshire Daily'!Q27-'Hampshire Daily'!Q26</f>
        <v>128</v>
      </c>
      <c r="O24" s="4">
        <f>'Hampshire Daily'!U27-'Hampshire Daily'!U26</f>
        <v>79</v>
      </c>
      <c r="P24" s="4">
        <f>'Hampshire Daily'!V27-'Hampshire Daily'!V26</f>
        <v>83</v>
      </c>
      <c r="Q24" s="4">
        <f>'Hampshire Daily'!Y27-'Hampshire Daily'!Y26</f>
        <v>8</v>
      </c>
      <c r="R24" s="4">
        <f>'Hampshire Daily'!B27</f>
        <v>49</v>
      </c>
      <c r="S24" s="4">
        <f>'Hampshire Daily'!C27</f>
        <v>99</v>
      </c>
    </row>
    <row r="25" spans="1:19" x14ac:dyDescent="0.25">
      <c r="A25" s="3" t="s">
        <v>12</v>
      </c>
      <c r="B25" s="1">
        <f t="shared" si="0"/>
        <v>24</v>
      </c>
      <c r="C25" s="1">
        <v>9</v>
      </c>
      <c r="D25" s="1">
        <v>2022</v>
      </c>
      <c r="E25" s="4">
        <f>'Hampshire Daily'!D28-'Hampshire Daily'!D27</f>
        <v>7003</v>
      </c>
      <c r="F25" s="4">
        <f>'Hampshire Daily'!E28-'Hampshire Daily'!E27</f>
        <v>2735</v>
      </c>
      <c r="G25" s="4">
        <f>'Hampshire Daily'!F28-'Hampshire Daily'!F27</f>
        <v>253</v>
      </c>
      <c r="H25" s="4">
        <f>'Hampshire Daily'!G28-'Hampshire Daily'!G27</f>
        <v>2163</v>
      </c>
      <c r="I25" s="4">
        <f>'Hampshire Daily'!H28-'Hampshire Daily'!H27</f>
        <v>0</v>
      </c>
      <c r="J25" s="4">
        <f>'Hampshire Daily'!I28-'Hampshire Daily'!I27</f>
        <v>2572</v>
      </c>
      <c r="K25" s="4">
        <f>'Hampshire Daily'!J28-'Hampshire Daily'!J27</f>
        <v>1139</v>
      </c>
      <c r="L25" s="4">
        <f>'Hampshire Daily'!K28-'Hampshire Daily'!K27</f>
        <v>773</v>
      </c>
      <c r="M25" s="4">
        <f>'Hampshire Daily'!N28-'Hampshire Daily'!N27</f>
        <v>1454</v>
      </c>
      <c r="N25" s="4">
        <f>'Hampshire Daily'!Q28-'Hampshire Daily'!Q27</f>
        <v>126</v>
      </c>
      <c r="O25" s="4">
        <f>'Hampshire Daily'!U28-'Hampshire Daily'!U27</f>
        <v>86</v>
      </c>
      <c r="P25" s="4">
        <f>'Hampshire Daily'!V28-'Hampshire Daily'!V27</f>
        <v>86</v>
      </c>
      <c r="Q25" s="4">
        <f>'Hampshire Daily'!Y28-'Hampshire Daily'!Y27</f>
        <v>4</v>
      </c>
      <c r="R25" s="4">
        <f>'Hampshire Daily'!B28</f>
        <v>116</v>
      </c>
      <c r="S25" s="4">
        <f>'Hampshire Daily'!C28</f>
        <v>216</v>
      </c>
    </row>
    <row r="26" spans="1:19" x14ac:dyDescent="0.25">
      <c r="A26" s="3" t="s">
        <v>12</v>
      </c>
      <c r="B26" s="23">
        <f>B25+1</f>
        <v>25</v>
      </c>
      <c r="C26" s="1">
        <v>9</v>
      </c>
      <c r="D26" s="1">
        <v>2022</v>
      </c>
      <c r="E26" s="4">
        <f>'Hampshire Daily'!D29-'Hampshire Daily'!D28</f>
        <v>6840</v>
      </c>
      <c r="F26" s="4">
        <f>'Hampshire Daily'!E29-'Hampshire Daily'!E28</f>
        <v>1922</v>
      </c>
      <c r="G26" s="4">
        <f>'Hampshire Daily'!F29-'Hampshire Daily'!F28</f>
        <v>0</v>
      </c>
      <c r="H26" s="4">
        <f>'Hampshire Daily'!G29-'Hampshire Daily'!G28</f>
        <v>2088</v>
      </c>
      <c r="I26" s="4">
        <f>'Hampshire Daily'!H29-'Hampshire Daily'!H28</f>
        <v>0</v>
      </c>
      <c r="J26" s="4">
        <f>'Hampshire Daily'!I29-'Hampshire Daily'!I28</f>
        <v>2641</v>
      </c>
      <c r="K26" s="4">
        <f>'Hampshire Daily'!J29-'Hampshire Daily'!J28</f>
        <v>1206</v>
      </c>
      <c r="L26" s="4">
        <f>'Hampshire Daily'!K29-'Hampshire Daily'!K28</f>
        <v>756</v>
      </c>
      <c r="M26" s="4">
        <f>'Hampshire Daily'!N29-'Hampshire Daily'!N28</f>
        <v>1826</v>
      </c>
      <c r="N26" s="4">
        <f>'Hampshire Daily'!Q29-'Hampshire Daily'!Q28</f>
        <v>140</v>
      </c>
      <c r="O26" s="4">
        <f>'Hampshire Daily'!U29-'Hampshire Daily'!U28</f>
        <v>93</v>
      </c>
      <c r="P26" s="4">
        <f>'Hampshire Daily'!V29-'Hampshire Daily'!V28</f>
        <v>95</v>
      </c>
      <c r="Q26" s="4">
        <f>'Hampshire Daily'!Y29-'Hampshire Daily'!Y28</f>
        <v>7</v>
      </c>
      <c r="R26" s="4">
        <f>'Hampshire Daily'!B29</f>
        <v>84</v>
      </c>
      <c r="S26" s="4">
        <f>'Hampshire Daily'!C29</f>
        <v>147</v>
      </c>
    </row>
    <row r="27" spans="1:19" x14ac:dyDescent="0.25">
      <c r="A27" s="3" t="s">
        <v>12</v>
      </c>
      <c r="B27" s="1">
        <f t="shared" si="0"/>
        <v>26</v>
      </c>
      <c r="C27" s="1">
        <v>9</v>
      </c>
      <c r="D27" s="1">
        <v>2022</v>
      </c>
      <c r="E27" s="4">
        <f>'Hampshire Daily'!D30-'Hampshire Daily'!D29</f>
        <v>6653</v>
      </c>
      <c r="F27" s="4">
        <f>'Hampshire Daily'!E30-'Hampshire Daily'!E29</f>
        <v>1614</v>
      </c>
      <c r="G27" s="4">
        <f>'Hampshire Daily'!F30-'Hampshire Daily'!F29</f>
        <v>0</v>
      </c>
      <c r="H27" s="4">
        <f>'Hampshire Daily'!G30-'Hampshire Daily'!G29</f>
        <v>2148</v>
      </c>
      <c r="I27" s="4">
        <f>'Hampshire Daily'!H30-'Hampshire Daily'!H29</f>
        <v>0</v>
      </c>
      <c r="J27" s="4">
        <f>'Hampshire Daily'!I30-'Hampshire Daily'!I29</f>
        <v>2544</v>
      </c>
      <c r="K27" s="4">
        <f>'Hampshire Daily'!J30-'Hampshire Daily'!J29</f>
        <v>1097</v>
      </c>
      <c r="L27" s="4">
        <f>'Hampshire Daily'!K30-'Hampshire Daily'!K29</f>
        <v>691</v>
      </c>
      <c r="M27" s="4">
        <f>'Hampshire Daily'!N30-'Hampshire Daily'!N29</f>
        <v>1753</v>
      </c>
      <c r="N27" s="4">
        <f>'Hampshire Daily'!Q30-'Hampshire Daily'!Q29</f>
        <v>159</v>
      </c>
      <c r="O27" s="4">
        <f>'Hampshire Daily'!U30-'Hampshire Daily'!U29</f>
        <v>90</v>
      </c>
      <c r="P27" s="4">
        <f>'Hampshire Daily'!V30-'Hampshire Daily'!V29</f>
        <v>91</v>
      </c>
      <c r="Q27" s="4">
        <f>'Hampshire Daily'!Y30-'Hampshire Daily'!Y29</f>
        <v>9</v>
      </c>
      <c r="R27" s="4">
        <f>'Hampshire Daily'!B30</f>
        <v>59</v>
      </c>
      <c r="S27" s="4">
        <f>'Hampshire Daily'!C30</f>
        <v>85</v>
      </c>
    </row>
    <row r="28" spans="1:19" x14ac:dyDescent="0.25">
      <c r="A28" s="3" t="s">
        <v>12</v>
      </c>
      <c r="B28" s="1">
        <f t="shared" si="0"/>
        <v>27</v>
      </c>
      <c r="C28" s="1">
        <v>9</v>
      </c>
      <c r="D28" s="1">
        <v>2022</v>
      </c>
      <c r="E28" s="4">
        <f>'Hampshire Daily'!D31-'Hampshire Daily'!D30</f>
        <v>4479</v>
      </c>
      <c r="F28" s="4">
        <f>'Hampshire Daily'!E31-'Hampshire Daily'!E30</f>
        <v>1738</v>
      </c>
      <c r="G28" s="4">
        <f>'Hampshire Daily'!F31-'Hampshire Daily'!F30</f>
        <v>0</v>
      </c>
      <c r="H28" s="4">
        <f>'Hampshire Daily'!G31-'Hampshire Daily'!G30</f>
        <v>2095</v>
      </c>
      <c r="I28" s="4">
        <f>'Hampshire Daily'!H31-'Hampshire Daily'!H30</f>
        <v>0</v>
      </c>
      <c r="J28" s="4">
        <f>'Hampshire Daily'!I31-'Hampshire Daily'!I30</f>
        <v>2388</v>
      </c>
      <c r="K28" s="4">
        <f>'Hampshire Daily'!J31-'Hampshire Daily'!J30</f>
        <v>998</v>
      </c>
      <c r="L28" s="4">
        <f>'Hampshire Daily'!K31-'Hampshire Daily'!K30</f>
        <v>173</v>
      </c>
      <c r="M28" s="4">
        <f>'Hampshire Daily'!N31-'Hampshire Daily'!N30</f>
        <v>2257</v>
      </c>
      <c r="N28" s="4">
        <f>'Hampshire Daily'!Q31-'Hampshire Daily'!Q30</f>
        <v>117</v>
      </c>
      <c r="O28" s="4">
        <f>'Hampshire Daily'!U31-'Hampshire Daily'!U30</f>
        <v>75</v>
      </c>
      <c r="P28" s="4">
        <f>'Hampshire Daily'!V31-'Hampshire Daily'!V30</f>
        <v>77</v>
      </c>
      <c r="Q28" s="4">
        <f>'Hampshire Daily'!Y31-'Hampshire Daily'!Y30</f>
        <v>10</v>
      </c>
      <c r="R28" s="4">
        <f>'Hampshire Daily'!B31</f>
        <v>125</v>
      </c>
      <c r="S28" s="4">
        <f>'Hampshire Daily'!C31</f>
        <v>128</v>
      </c>
    </row>
    <row r="29" spans="1:19" x14ac:dyDescent="0.25">
      <c r="A29" s="3" t="s">
        <v>12</v>
      </c>
      <c r="B29" s="1">
        <f t="shared" si="0"/>
        <v>28</v>
      </c>
      <c r="C29" s="1">
        <v>9</v>
      </c>
      <c r="D29" s="1">
        <v>2022</v>
      </c>
      <c r="E29" s="4">
        <f>'Hampshire Daily'!D32-'Hampshire Daily'!D31</f>
        <v>4623</v>
      </c>
      <c r="F29" s="4">
        <f>'Hampshire Daily'!E32-'Hampshire Daily'!E31</f>
        <v>2367</v>
      </c>
      <c r="G29" s="4">
        <f>'Hampshire Daily'!F32-'Hampshire Daily'!F31</f>
        <v>92</v>
      </c>
      <c r="H29" s="4">
        <f>'Hampshire Daily'!G32-'Hampshire Daily'!G31</f>
        <v>2388</v>
      </c>
      <c r="I29" s="4">
        <f>'Hampshire Daily'!H32-'Hampshire Daily'!H31</f>
        <v>72</v>
      </c>
      <c r="J29" s="4">
        <f>'Hampshire Daily'!I32-'Hampshire Daily'!I31</f>
        <v>2573</v>
      </c>
      <c r="K29" s="4">
        <f>'Hampshire Daily'!J32-'Hampshire Daily'!J31</f>
        <v>1079</v>
      </c>
      <c r="L29" s="4">
        <f>'Hampshire Daily'!K32-'Hampshire Daily'!K31</f>
        <v>94</v>
      </c>
      <c r="M29" s="4">
        <f>'Hampshire Daily'!N32-'Hampshire Daily'!N31</f>
        <v>2301</v>
      </c>
      <c r="N29" s="4">
        <f>'Hampshire Daily'!Q32-'Hampshire Daily'!Q31</f>
        <v>117</v>
      </c>
      <c r="O29" s="4">
        <f>'Hampshire Daily'!U32-'Hampshire Daily'!U31</f>
        <v>82</v>
      </c>
      <c r="P29" s="4">
        <f>'Hampshire Daily'!V32-'Hampshire Daily'!V31</f>
        <v>83</v>
      </c>
      <c r="Q29" s="4">
        <f>'Hampshire Daily'!Y32-'Hampshire Daily'!Y31</f>
        <v>0</v>
      </c>
      <c r="R29" s="4">
        <f>'Hampshire Daily'!B32</f>
        <v>134</v>
      </c>
      <c r="S29" s="4">
        <f>'Hampshire Daily'!C32</f>
        <v>143</v>
      </c>
    </row>
    <row r="30" spans="1:19" x14ac:dyDescent="0.25">
      <c r="A30" s="3" t="s">
        <v>12</v>
      </c>
      <c r="B30" s="1">
        <f t="shared" si="0"/>
        <v>29</v>
      </c>
      <c r="C30" s="1">
        <v>9</v>
      </c>
      <c r="D30" s="1">
        <v>2022</v>
      </c>
      <c r="E30" s="4">
        <f>'Hampshire Daily'!D33-'Hampshire Daily'!D32</f>
        <v>4397</v>
      </c>
      <c r="F30" s="4">
        <f>'Hampshire Daily'!E33-'Hampshire Daily'!E32</f>
        <v>1661</v>
      </c>
      <c r="G30" s="4">
        <f>'Hampshire Daily'!F33-'Hampshire Daily'!F32</f>
        <v>0</v>
      </c>
      <c r="H30" s="4">
        <f>'Hampshire Daily'!G33-'Hampshire Daily'!G32</f>
        <v>2359</v>
      </c>
      <c r="I30" s="4">
        <f>'Hampshire Daily'!H33-'Hampshire Daily'!H32</f>
        <v>39</v>
      </c>
      <c r="J30" s="4">
        <f>'Hampshire Daily'!I33-'Hampshire Daily'!I32</f>
        <v>2263</v>
      </c>
      <c r="K30" s="4">
        <f>'Hampshire Daily'!J33-'Hampshire Daily'!J32</f>
        <v>918</v>
      </c>
      <c r="L30" s="4">
        <f>'Hampshire Daily'!K33-'Hampshire Daily'!K32</f>
        <v>3</v>
      </c>
      <c r="M30" s="4">
        <f>'Hampshire Daily'!N33-'Hampshire Daily'!N32</f>
        <v>2726</v>
      </c>
      <c r="N30" s="4">
        <f>'Hampshire Daily'!Q33-'Hampshire Daily'!Q32</f>
        <v>113</v>
      </c>
      <c r="O30" s="4">
        <f>'Hampshire Daily'!U33-'Hampshire Daily'!U32</f>
        <v>86</v>
      </c>
      <c r="P30" s="4">
        <f>'Hampshire Daily'!V33-'Hampshire Daily'!V32</f>
        <v>88</v>
      </c>
      <c r="Q30" s="4">
        <f>'Hampshire Daily'!Y33-'Hampshire Daily'!Y32</f>
        <v>8</v>
      </c>
      <c r="R30" s="4">
        <f>'Hampshire Daily'!B33</f>
        <v>124</v>
      </c>
      <c r="S30" s="4">
        <f>'Hampshire Daily'!C33</f>
        <v>152</v>
      </c>
    </row>
    <row r="31" spans="1:19" x14ac:dyDescent="0.25">
      <c r="A31" s="3" t="s">
        <v>12</v>
      </c>
      <c r="B31" s="1">
        <f t="shared" si="0"/>
        <v>30</v>
      </c>
      <c r="C31" s="1">
        <v>9</v>
      </c>
      <c r="D31" s="1">
        <v>2022</v>
      </c>
      <c r="E31" s="4">
        <f>'Hampshire Daily'!D34-'Hampshire Daily'!D33</f>
        <v>4177</v>
      </c>
      <c r="F31" s="4">
        <f>'Hampshire Daily'!E34-'Hampshire Daily'!E33</f>
        <v>1825</v>
      </c>
      <c r="G31" s="4">
        <f>'Hampshire Daily'!F34-'Hampshire Daily'!F33</f>
        <v>0</v>
      </c>
      <c r="H31" s="4">
        <f>'Hampshire Daily'!G34-'Hampshire Daily'!G33</f>
        <v>2376</v>
      </c>
      <c r="I31" s="4">
        <f>'Hampshire Daily'!H34-'Hampshire Daily'!H33</f>
        <v>0</v>
      </c>
      <c r="J31" s="4">
        <f>'Hampshire Daily'!I34-'Hampshire Daily'!I33</f>
        <v>2399</v>
      </c>
      <c r="K31" s="4">
        <f>'Hampshire Daily'!J34-'Hampshire Daily'!J33</f>
        <v>966</v>
      </c>
      <c r="L31" s="4">
        <f>'Hampshire Daily'!K34-'Hampshire Daily'!K33</f>
        <v>2</v>
      </c>
      <c r="M31" s="4">
        <f>'Hampshire Daily'!N34-'Hampshire Daily'!N33</f>
        <v>2416</v>
      </c>
      <c r="N31" s="4">
        <f>'Hampshire Daily'!Q34-'Hampshire Daily'!Q33</f>
        <v>149</v>
      </c>
      <c r="O31" s="4">
        <f>'Hampshire Daily'!U34-'Hampshire Daily'!U33</f>
        <v>97</v>
      </c>
      <c r="P31" s="4">
        <f>'Hampshire Daily'!V34-'Hampshire Daily'!V33</f>
        <v>98</v>
      </c>
      <c r="Q31" s="4">
        <f>'Hampshire Daily'!Y34-'Hampshire Daily'!Y33</f>
        <v>9</v>
      </c>
      <c r="R31" s="4">
        <f>'Hampshire Daily'!B34</f>
        <v>51</v>
      </c>
      <c r="S31" s="4">
        <f>'Hampshire Daily'!C34</f>
        <v>99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Y237"/>
  <sheetViews>
    <sheetView tabSelected="1" zoomScaleNormal="100" workbookViewId="0">
      <pane xSplit="1" ySplit="3" topLeftCell="C4" activePane="bottomRight" state="frozen"/>
      <selection pane="topRight"/>
      <selection pane="bottomLeft"/>
      <selection pane="bottomRight" activeCell="S38" sqref="S38"/>
    </sheetView>
  </sheetViews>
  <sheetFormatPr defaultRowHeight="15" x14ac:dyDescent="0.25"/>
  <cols>
    <col min="1" max="1" width="8.7109375" style="16" customWidth="1"/>
    <col min="2" max="3" width="8.7109375" style="20" customWidth="1"/>
    <col min="4" max="4" width="10" customWidth="1"/>
    <col min="5" max="5" width="9.7109375" customWidth="1"/>
    <col min="6" max="6" width="9.42578125" customWidth="1"/>
    <col min="7" max="7" width="10.28515625" customWidth="1"/>
    <col min="8" max="9" width="10.140625" customWidth="1"/>
    <col min="11" max="11" width="10.5703125" customWidth="1"/>
    <col min="12" max="12" width="11.42578125" style="1" customWidth="1"/>
    <col min="13" max="13" width="10.5703125" style="1" customWidth="1"/>
    <col min="15" max="15" width="11.42578125" style="38" customWidth="1"/>
    <col min="16" max="16" width="10.7109375" style="43" customWidth="1"/>
    <col min="18" max="18" width="9.28515625" style="38" bestFit="1" customWidth="1"/>
    <col min="19" max="19" width="11.42578125" style="38" bestFit="1" customWidth="1"/>
    <col min="20" max="20" width="12.5703125" style="38" bestFit="1" customWidth="1"/>
    <col min="23" max="23" width="10.42578125" customWidth="1"/>
  </cols>
  <sheetData>
    <row r="1" spans="1:25" ht="15" customHeight="1" x14ac:dyDescent="0.25">
      <c r="A1" s="45"/>
      <c r="B1" s="19"/>
      <c r="C1" s="19"/>
      <c r="D1" s="55" t="s">
        <v>27</v>
      </c>
      <c r="E1" s="56"/>
      <c r="F1" s="56"/>
      <c r="G1" s="56"/>
      <c r="H1" s="56"/>
      <c r="I1" s="56"/>
      <c r="J1" s="56"/>
      <c r="K1" s="56"/>
      <c r="L1" s="56"/>
      <c r="M1" s="57"/>
      <c r="N1" s="60" t="s">
        <v>28</v>
      </c>
      <c r="O1" s="67" t="s">
        <v>29</v>
      </c>
      <c r="P1" s="69" t="s">
        <v>30</v>
      </c>
      <c r="Q1" s="62" t="s">
        <v>31</v>
      </c>
      <c r="R1" s="71" t="s">
        <v>32</v>
      </c>
      <c r="S1" s="71" t="s">
        <v>33</v>
      </c>
      <c r="T1" s="71" t="s">
        <v>34</v>
      </c>
      <c r="U1" s="62" t="s">
        <v>35</v>
      </c>
      <c r="V1" s="64"/>
      <c r="W1" s="62" t="s">
        <v>36</v>
      </c>
      <c r="X1" s="65" t="s">
        <v>37</v>
      </c>
      <c r="Y1" s="58" t="s">
        <v>38</v>
      </c>
    </row>
    <row r="2" spans="1:25" ht="15" customHeight="1" x14ac:dyDescent="0.25">
      <c r="A2" s="46"/>
      <c r="B2" s="50" t="s">
        <v>39</v>
      </c>
      <c r="C2" s="50" t="s">
        <v>40</v>
      </c>
      <c r="D2" s="52" t="s">
        <v>41</v>
      </c>
      <c r="E2" s="48" t="s">
        <v>42</v>
      </c>
      <c r="F2" s="48" t="s">
        <v>43</v>
      </c>
      <c r="G2" s="48" t="s">
        <v>44</v>
      </c>
      <c r="H2" s="48" t="s">
        <v>45</v>
      </c>
      <c r="I2" s="48" t="s">
        <v>46</v>
      </c>
      <c r="J2" s="48" t="s">
        <v>47</v>
      </c>
      <c r="K2" s="48" t="s">
        <v>48</v>
      </c>
      <c r="L2" s="59" t="s">
        <v>49</v>
      </c>
      <c r="M2" s="59" t="s">
        <v>50</v>
      </c>
      <c r="N2" s="61"/>
      <c r="O2" s="68"/>
      <c r="P2" s="70"/>
      <c r="Q2" s="62"/>
      <c r="R2" s="71"/>
      <c r="S2" s="71"/>
      <c r="T2" s="71"/>
      <c r="U2" s="62"/>
      <c r="V2" s="64"/>
      <c r="W2" s="62"/>
      <c r="X2" s="65"/>
      <c r="Y2" s="74"/>
    </row>
    <row r="3" spans="1:25" ht="27" customHeight="1" x14ac:dyDescent="0.25">
      <c r="A3" s="47"/>
      <c r="B3" s="51"/>
      <c r="C3" s="51"/>
      <c r="D3" s="53"/>
      <c r="E3" s="54"/>
      <c r="F3" s="48"/>
      <c r="G3" s="48"/>
      <c r="H3" s="48"/>
      <c r="I3" s="48"/>
      <c r="J3" s="48"/>
      <c r="K3" s="49"/>
      <c r="L3" s="59"/>
      <c r="M3" s="59"/>
      <c r="N3" s="61"/>
      <c r="O3" s="68"/>
      <c r="P3" s="70"/>
      <c r="Q3" s="63"/>
      <c r="R3" s="72"/>
      <c r="S3" s="72"/>
      <c r="T3" s="72"/>
      <c r="U3" s="64"/>
      <c r="V3" s="64"/>
      <c r="W3" s="63"/>
      <c r="X3" s="66"/>
      <c r="Y3" s="75"/>
    </row>
    <row r="4" spans="1:25" s="17" customFormat="1" ht="19.899999999999999" customHeight="1" x14ac:dyDescent="0.25">
      <c r="A4" s="18">
        <v>44804</v>
      </c>
      <c r="B4" s="22">
        <v>42</v>
      </c>
      <c r="C4" s="33">
        <v>91</v>
      </c>
      <c r="D4" s="24">
        <v>1935110</v>
      </c>
      <c r="E4" s="25">
        <v>2028914</v>
      </c>
      <c r="F4" s="25">
        <v>337998</v>
      </c>
      <c r="G4" s="25">
        <v>7973422</v>
      </c>
      <c r="H4" s="25">
        <v>34705</v>
      </c>
      <c r="I4" s="25">
        <v>6191531</v>
      </c>
      <c r="J4" s="25">
        <v>206468</v>
      </c>
      <c r="K4" s="25">
        <v>2678499</v>
      </c>
      <c r="L4" s="30">
        <v>951</v>
      </c>
      <c r="M4" s="30">
        <v>0</v>
      </c>
      <c r="N4" s="25">
        <v>2027352</v>
      </c>
      <c r="O4" s="26">
        <v>50176.175000000003</v>
      </c>
      <c r="P4" s="26">
        <v>352611.69</v>
      </c>
      <c r="Q4" s="25">
        <v>406781</v>
      </c>
      <c r="R4" s="36">
        <v>1093.5</v>
      </c>
      <c r="S4" s="36">
        <v>490.33300000000003</v>
      </c>
      <c r="T4" s="36">
        <v>3894</v>
      </c>
      <c r="U4" s="25">
        <v>361642</v>
      </c>
      <c r="V4" s="25">
        <v>65749</v>
      </c>
      <c r="W4" s="25">
        <v>55095</v>
      </c>
      <c r="X4" s="25">
        <v>31623</v>
      </c>
      <c r="Y4" s="73">
        <v>4295</v>
      </c>
    </row>
    <row r="5" spans="1:25" x14ac:dyDescent="0.25">
      <c r="A5" s="18">
        <f>A4+1</f>
        <v>44805</v>
      </c>
      <c r="B5" s="22">
        <v>43</v>
      </c>
      <c r="C5" s="22">
        <v>100</v>
      </c>
      <c r="D5" s="21">
        <v>1941821</v>
      </c>
      <c r="E5" s="21">
        <v>2032742</v>
      </c>
      <c r="F5" s="21">
        <v>338396</v>
      </c>
      <c r="G5" s="21">
        <v>7975298</v>
      </c>
      <c r="H5" s="32">
        <v>34705</v>
      </c>
      <c r="I5" s="32">
        <v>6194126</v>
      </c>
      <c r="J5" s="21">
        <v>207605</v>
      </c>
      <c r="K5" s="21">
        <v>2679156</v>
      </c>
      <c r="L5" s="28">
        <v>353</v>
      </c>
      <c r="M5" s="28">
        <v>0</v>
      </c>
      <c r="N5" s="21">
        <v>2028315</v>
      </c>
      <c r="O5" s="39"/>
      <c r="P5" s="41"/>
      <c r="Q5" s="21">
        <v>406930</v>
      </c>
      <c r="R5" s="36">
        <v>1093.5</v>
      </c>
      <c r="S5" s="36">
        <v>490.33300000000003</v>
      </c>
      <c r="T5" s="36">
        <v>3894</v>
      </c>
      <c r="U5" s="21">
        <v>361750</v>
      </c>
      <c r="V5" s="21">
        <v>65858</v>
      </c>
      <c r="W5" s="21">
        <v>55102</v>
      </c>
      <c r="X5" s="21">
        <v>31633</v>
      </c>
      <c r="Y5" s="21">
        <v>4302</v>
      </c>
    </row>
    <row r="6" spans="1:25" x14ac:dyDescent="0.25">
      <c r="A6" s="18">
        <f t="shared" ref="A6:A33" si="0">A5+1</f>
        <v>44806</v>
      </c>
      <c r="B6" s="22">
        <v>85</v>
      </c>
      <c r="C6" s="22">
        <v>189</v>
      </c>
      <c r="D6" s="21">
        <v>1948729</v>
      </c>
      <c r="E6" s="21">
        <v>2036842</v>
      </c>
      <c r="F6" s="21">
        <v>338968</v>
      </c>
      <c r="G6" s="21">
        <v>7977510</v>
      </c>
      <c r="H6" s="32">
        <v>34705</v>
      </c>
      <c r="I6" s="32">
        <v>6196592</v>
      </c>
      <c r="J6" s="21">
        <v>208673</v>
      </c>
      <c r="K6" s="21">
        <v>2679755</v>
      </c>
      <c r="L6" s="28">
        <v>333</v>
      </c>
      <c r="M6" s="28">
        <v>0</v>
      </c>
      <c r="N6" s="21">
        <v>2029271</v>
      </c>
      <c r="O6" s="39"/>
      <c r="P6" s="41"/>
      <c r="Q6" s="21">
        <v>407070</v>
      </c>
      <c r="R6" s="36">
        <v>1093.511</v>
      </c>
      <c r="S6" s="36">
        <v>490.33300000000003</v>
      </c>
      <c r="T6" s="36">
        <v>3894.299</v>
      </c>
      <c r="U6" s="21">
        <v>361846</v>
      </c>
      <c r="V6" s="21">
        <v>65954</v>
      </c>
      <c r="W6" s="21">
        <v>55109</v>
      </c>
      <c r="X6" s="21">
        <v>31633</v>
      </c>
      <c r="Y6" s="21">
        <v>4306</v>
      </c>
    </row>
    <row r="7" spans="1:25" x14ac:dyDescent="0.25">
      <c r="A7" s="18">
        <f t="shared" si="0"/>
        <v>44807</v>
      </c>
      <c r="B7" s="22">
        <v>101</v>
      </c>
      <c r="C7" s="22">
        <v>213</v>
      </c>
      <c r="D7" s="21">
        <v>1956080</v>
      </c>
      <c r="E7" s="21">
        <v>2040723</v>
      </c>
      <c r="F7" s="21">
        <v>339507</v>
      </c>
      <c r="G7" s="21">
        <v>7979345</v>
      </c>
      <c r="H7" s="32">
        <v>34705</v>
      </c>
      <c r="I7" s="32">
        <v>6199177</v>
      </c>
      <c r="J7" s="21">
        <v>209857</v>
      </c>
      <c r="K7" s="21">
        <v>2680370</v>
      </c>
      <c r="L7" s="28">
        <v>859</v>
      </c>
      <c r="M7" s="28">
        <v>0</v>
      </c>
      <c r="N7" s="21">
        <v>2030322</v>
      </c>
      <c r="O7" s="39"/>
      <c r="P7" s="41"/>
      <c r="Q7" s="21">
        <v>407249</v>
      </c>
      <c r="R7" s="36">
        <v>1093.7660000000001</v>
      </c>
      <c r="S7" s="36">
        <v>490.33300000000003</v>
      </c>
      <c r="T7" s="36">
        <v>3894.299</v>
      </c>
      <c r="U7" s="21">
        <v>361960</v>
      </c>
      <c r="V7" s="21">
        <v>66070</v>
      </c>
      <c r="W7" s="21">
        <v>55117</v>
      </c>
      <c r="X7" s="21">
        <v>31634</v>
      </c>
      <c r="Y7" s="21">
        <v>4310</v>
      </c>
    </row>
    <row r="8" spans="1:25" x14ac:dyDescent="0.25">
      <c r="A8" s="18">
        <f t="shared" si="0"/>
        <v>44808</v>
      </c>
      <c r="B8" s="22">
        <v>52</v>
      </c>
      <c r="C8" s="22">
        <v>107</v>
      </c>
      <c r="D8" s="21">
        <v>1963600</v>
      </c>
      <c r="E8" s="21">
        <v>2045471</v>
      </c>
      <c r="F8" s="21">
        <v>340233</v>
      </c>
      <c r="G8" s="21">
        <v>7981591</v>
      </c>
      <c r="H8" s="32">
        <v>34705</v>
      </c>
      <c r="I8" s="32">
        <v>6201929</v>
      </c>
      <c r="J8" s="21">
        <v>211097</v>
      </c>
      <c r="K8" s="21">
        <v>2681003</v>
      </c>
      <c r="L8" s="28">
        <v>427</v>
      </c>
      <c r="M8" s="28">
        <v>0</v>
      </c>
      <c r="N8" s="21">
        <v>2031250</v>
      </c>
      <c r="O8" s="39"/>
      <c r="P8" s="41"/>
      <c r="Q8" s="21">
        <v>407395</v>
      </c>
      <c r="R8" s="36">
        <v>1093.768</v>
      </c>
      <c r="S8" s="36">
        <v>490.33300000000003</v>
      </c>
      <c r="T8" s="36">
        <v>3894.299</v>
      </c>
      <c r="U8" s="21">
        <v>362073</v>
      </c>
      <c r="V8" s="21">
        <v>66185</v>
      </c>
      <c r="W8" s="21">
        <v>55124</v>
      </c>
      <c r="X8" s="21">
        <v>31635</v>
      </c>
      <c r="Y8" s="21">
        <v>4317</v>
      </c>
    </row>
    <row r="9" spans="1:25" x14ac:dyDescent="0.25">
      <c r="A9" s="18">
        <f t="shared" si="0"/>
        <v>44809</v>
      </c>
      <c r="B9" s="22">
        <v>47</v>
      </c>
      <c r="C9" s="22">
        <v>72</v>
      </c>
      <c r="D9" s="21">
        <v>1971129</v>
      </c>
      <c r="E9" s="21">
        <v>2049942</v>
      </c>
      <c r="F9" s="21">
        <v>340831</v>
      </c>
      <c r="G9" s="21">
        <v>7983491</v>
      </c>
      <c r="H9" s="32">
        <v>34705</v>
      </c>
      <c r="I9" s="32">
        <v>6204206</v>
      </c>
      <c r="J9" s="21">
        <v>212065</v>
      </c>
      <c r="K9" s="21">
        <v>2681595</v>
      </c>
      <c r="L9" s="28">
        <v>599</v>
      </c>
      <c r="M9" s="28">
        <v>0</v>
      </c>
      <c r="N9" s="21">
        <v>2032177</v>
      </c>
      <c r="O9" s="39"/>
      <c r="P9" s="41"/>
      <c r="Q9" s="21">
        <v>407758</v>
      </c>
      <c r="R9" s="36">
        <v>1093.78</v>
      </c>
      <c r="S9" s="36">
        <v>490.33300000000003</v>
      </c>
      <c r="T9" s="36">
        <v>3894.299</v>
      </c>
      <c r="U9" s="21">
        <v>362187</v>
      </c>
      <c r="V9" s="21">
        <v>66300</v>
      </c>
      <c r="W9" s="21">
        <v>55132</v>
      </c>
      <c r="X9" s="21">
        <v>31642</v>
      </c>
      <c r="Y9" s="21">
        <v>4325</v>
      </c>
    </row>
    <row r="10" spans="1:25" x14ac:dyDescent="0.25">
      <c r="A10" s="18">
        <f t="shared" si="0"/>
        <v>44810</v>
      </c>
      <c r="B10" s="22">
        <v>29</v>
      </c>
      <c r="C10" s="22">
        <v>46</v>
      </c>
      <c r="D10" s="21">
        <v>1978394</v>
      </c>
      <c r="E10" s="21">
        <v>2054115</v>
      </c>
      <c r="F10" s="21">
        <v>341374</v>
      </c>
      <c r="G10" s="21">
        <v>7985497</v>
      </c>
      <c r="H10" s="32">
        <v>34705</v>
      </c>
      <c r="I10" s="32">
        <v>6206609</v>
      </c>
      <c r="J10" s="21">
        <v>213055</v>
      </c>
      <c r="K10" s="21">
        <v>2682227</v>
      </c>
      <c r="L10" s="28">
        <v>103</v>
      </c>
      <c r="M10" s="28">
        <v>0</v>
      </c>
      <c r="N10" s="21">
        <v>2032993</v>
      </c>
      <c r="O10" s="39"/>
      <c r="P10" s="41"/>
      <c r="Q10" s="21">
        <v>407811</v>
      </c>
      <c r="R10" s="36">
        <f>(R11+R9)/2</f>
        <v>1094.6165000000001</v>
      </c>
      <c r="S10" s="36">
        <v>490.33300000000003</v>
      </c>
      <c r="T10" s="36">
        <v>3894.299</v>
      </c>
      <c r="U10" s="21">
        <v>362291</v>
      </c>
      <c r="V10" s="21">
        <v>66405</v>
      </c>
      <c r="W10" s="21">
        <v>55140</v>
      </c>
      <c r="X10" s="21">
        <v>31642</v>
      </c>
      <c r="Y10" s="21">
        <v>4329</v>
      </c>
    </row>
    <row r="11" spans="1:25" x14ac:dyDescent="0.25">
      <c r="A11" s="18">
        <f t="shared" si="0"/>
        <v>44811</v>
      </c>
      <c r="B11" s="22">
        <v>34</v>
      </c>
      <c r="C11" s="22">
        <v>55</v>
      </c>
      <c r="D11" s="21">
        <v>1985213</v>
      </c>
      <c r="E11" s="21">
        <v>2058610</v>
      </c>
      <c r="F11" s="21">
        <v>342039</v>
      </c>
      <c r="G11" s="21">
        <v>7987383</v>
      </c>
      <c r="H11" s="32">
        <v>34705</v>
      </c>
      <c r="I11" s="32">
        <v>6208904</v>
      </c>
      <c r="J11" s="21">
        <v>213970</v>
      </c>
      <c r="K11" s="21">
        <v>2682827</v>
      </c>
      <c r="L11" s="28">
        <v>1710</v>
      </c>
      <c r="M11" s="28">
        <v>0</v>
      </c>
      <c r="N11" s="21">
        <v>2033824</v>
      </c>
      <c r="O11" s="39"/>
      <c r="P11" s="41"/>
      <c r="Q11" s="21">
        <v>407864</v>
      </c>
      <c r="R11" s="36">
        <v>1095.453</v>
      </c>
      <c r="S11" s="36">
        <v>490.33300000000003</v>
      </c>
      <c r="T11" s="36">
        <v>3894.299</v>
      </c>
      <c r="U11" s="21">
        <v>362383</v>
      </c>
      <c r="V11" s="21">
        <v>66498</v>
      </c>
      <c r="W11" s="21">
        <v>55147</v>
      </c>
      <c r="X11" s="21">
        <v>31643</v>
      </c>
      <c r="Y11" s="21">
        <v>4333</v>
      </c>
    </row>
    <row r="12" spans="1:25" x14ac:dyDescent="0.25">
      <c r="A12" s="18">
        <f t="shared" si="0"/>
        <v>44812</v>
      </c>
      <c r="B12" s="22">
        <v>38</v>
      </c>
      <c r="C12" s="22">
        <v>70</v>
      </c>
      <c r="D12" s="21">
        <v>1992296</v>
      </c>
      <c r="E12" s="21">
        <v>2060538</v>
      </c>
      <c r="F12" s="21">
        <v>342194</v>
      </c>
      <c r="G12" s="21">
        <v>7989225</v>
      </c>
      <c r="H12" s="32">
        <v>34705</v>
      </c>
      <c r="I12" s="32">
        <v>6211271</v>
      </c>
      <c r="J12" s="21">
        <v>214970</v>
      </c>
      <c r="K12" s="21">
        <v>2683492</v>
      </c>
      <c r="L12" s="28">
        <v>3510</v>
      </c>
      <c r="M12" s="28">
        <v>0</v>
      </c>
      <c r="N12" s="21">
        <v>2035212</v>
      </c>
      <c r="O12" s="39"/>
      <c r="P12" s="41"/>
      <c r="Q12" s="21">
        <v>407973</v>
      </c>
      <c r="R12" s="36">
        <v>1095.508</v>
      </c>
      <c r="S12" s="36">
        <v>490.33300000000003</v>
      </c>
      <c r="T12" s="36">
        <v>3894.299</v>
      </c>
      <c r="U12" s="21">
        <v>362484</v>
      </c>
      <c r="V12" s="21">
        <v>66600</v>
      </c>
      <c r="W12" s="21">
        <v>55160</v>
      </c>
      <c r="X12" s="21">
        <v>31646</v>
      </c>
      <c r="Y12" s="21">
        <v>4338</v>
      </c>
    </row>
    <row r="13" spans="1:25" x14ac:dyDescent="0.25">
      <c r="A13" s="18">
        <f t="shared" si="0"/>
        <v>44813</v>
      </c>
      <c r="B13" s="35">
        <v>46</v>
      </c>
      <c r="C13" s="35">
        <v>91</v>
      </c>
      <c r="D13" s="21">
        <v>1999059</v>
      </c>
      <c r="E13" s="21">
        <v>2061928</v>
      </c>
      <c r="F13" s="21">
        <v>342194</v>
      </c>
      <c r="G13" s="21">
        <v>7991058</v>
      </c>
      <c r="H13" s="32">
        <v>34705</v>
      </c>
      <c r="I13" s="32">
        <v>6213651</v>
      </c>
      <c r="J13" s="21">
        <v>216021</v>
      </c>
      <c r="K13" s="21">
        <v>2684189</v>
      </c>
      <c r="L13" s="28">
        <v>3515</v>
      </c>
      <c r="M13" s="28">
        <v>0</v>
      </c>
      <c r="N13" s="21">
        <v>2036811</v>
      </c>
      <c r="O13" s="39"/>
      <c r="P13" s="41"/>
      <c r="Q13" s="21">
        <v>408146</v>
      </c>
      <c r="R13" s="36">
        <v>1095.92</v>
      </c>
      <c r="S13" s="36">
        <v>490.33300000000003</v>
      </c>
      <c r="T13" s="36">
        <v>3894.299</v>
      </c>
      <c r="U13" s="21">
        <v>362582</v>
      </c>
      <c r="V13" s="21">
        <v>66700</v>
      </c>
      <c r="W13" s="21">
        <v>55167</v>
      </c>
      <c r="X13" s="21">
        <v>31647</v>
      </c>
      <c r="Y13" s="21">
        <v>4343</v>
      </c>
    </row>
    <row r="14" spans="1:25" x14ac:dyDescent="0.25">
      <c r="A14" s="18">
        <f t="shared" si="0"/>
        <v>44814</v>
      </c>
      <c r="B14" s="22">
        <v>63</v>
      </c>
      <c r="C14" s="22">
        <v>139</v>
      </c>
      <c r="D14" s="21">
        <v>2007020</v>
      </c>
      <c r="E14" s="21">
        <v>2063485</v>
      </c>
      <c r="F14" s="21">
        <v>342194</v>
      </c>
      <c r="G14" s="21">
        <v>7992975</v>
      </c>
      <c r="H14" s="32">
        <v>34705</v>
      </c>
      <c r="I14" s="32">
        <v>6216181</v>
      </c>
      <c r="J14" s="21">
        <v>217129</v>
      </c>
      <c r="K14" s="21">
        <v>2684932</v>
      </c>
      <c r="L14" s="28">
        <v>3542</v>
      </c>
      <c r="M14" s="28">
        <v>0</v>
      </c>
      <c r="N14" s="21">
        <v>2038380</v>
      </c>
      <c r="O14" s="39"/>
      <c r="P14" s="41"/>
      <c r="Q14" s="21">
        <v>408300</v>
      </c>
      <c r="R14" s="36">
        <v>1095.9290000000001</v>
      </c>
      <c r="S14" s="36">
        <v>490.33300000000003</v>
      </c>
      <c r="T14" s="36">
        <v>3894.299</v>
      </c>
      <c r="U14" s="21">
        <v>362683</v>
      </c>
      <c r="V14" s="21">
        <v>66801</v>
      </c>
      <c r="W14" s="21">
        <v>55174</v>
      </c>
      <c r="X14" s="21">
        <v>31648</v>
      </c>
      <c r="Y14" s="21">
        <v>4353</v>
      </c>
    </row>
    <row r="15" spans="1:25" x14ac:dyDescent="0.25">
      <c r="A15" s="18">
        <f t="shared" si="0"/>
        <v>44815</v>
      </c>
      <c r="B15" s="22">
        <v>79</v>
      </c>
      <c r="C15" s="22">
        <v>142</v>
      </c>
      <c r="D15" s="21">
        <v>2013268</v>
      </c>
      <c r="E15" s="21">
        <v>2065102</v>
      </c>
      <c r="F15" s="21">
        <v>342194</v>
      </c>
      <c r="G15" s="21">
        <v>7994828</v>
      </c>
      <c r="H15" s="32">
        <v>34705</v>
      </c>
      <c r="I15" s="32">
        <v>6218647</v>
      </c>
      <c r="J15" s="21">
        <v>218195</v>
      </c>
      <c r="K15" s="21">
        <v>2685642</v>
      </c>
      <c r="L15" s="28">
        <v>3547</v>
      </c>
      <c r="M15" s="28">
        <v>0</v>
      </c>
      <c r="N15" s="21">
        <v>2039922</v>
      </c>
      <c r="O15" s="39"/>
      <c r="P15" s="41"/>
      <c r="Q15" s="21">
        <v>408471</v>
      </c>
      <c r="R15" s="36">
        <v>1095.9349999999999</v>
      </c>
      <c r="S15" s="36">
        <v>490.33300000000003</v>
      </c>
      <c r="T15" s="36">
        <v>3894.299</v>
      </c>
      <c r="U15" s="21">
        <v>362787</v>
      </c>
      <c r="V15" s="21">
        <v>66907</v>
      </c>
      <c r="W15" s="21">
        <v>55182</v>
      </c>
      <c r="X15" s="21">
        <v>31649</v>
      </c>
      <c r="Y15" s="21">
        <v>4359</v>
      </c>
    </row>
    <row r="16" spans="1:25" x14ac:dyDescent="0.25">
      <c r="A16" s="18">
        <f t="shared" si="0"/>
        <v>44816</v>
      </c>
      <c r="B16" s="22">
        <v>46</v>
      </c>
      <c r="C16" s="22">
        <v>78</v>
      </c>
      <c r="D16" s="21">
        <v>2020450</v>
      </c>
      <c r="E16" s="21">
        <v>2066496</v>
      </c>
      <c r="F16" s="21">
        <v>342194</v>
      </c>
      <c r="G16" s="21">
        <v>7996851</v>
      </c>
      <c r="H16" s="32">
        <v>34705</v>
      </c>
      <c r="I16" s="32">
        <v>6221164</v>
      </c>
      <c r="J16" s="21">
        <v>219226</v>
      </c>
      <c r="K16" s="21">
        <v>2686290</v>
      </c>
      <c r="L16" s="28">
        <v>3257</v>
      </c>
      <c r="M16" s="28">
        <v>0</v>
      </c>
      <c r="N16" s="21">
        <v>2041390</v>
      </c>
      <c r="O16" s="39"/>
      <c r="P16" s="41"/>
      <c r="Q16" s="21">
        <v>408585</v>
      </c>
      <c r="R16" s="36">
        <v>1097.191</v>
      </c>
      <c r="S16" s="36">
        <v>490.39</v>
      </c>
      <c r="T16" s="36">
        <v>3894.6280000000002</v>
      </c>
      <c r="U16" s="21">
        <v>362880</v>
      </c>
      <c r="V16" s="21">
        <v>67002</v>
      </c>
      <c r="W16" s="21">
        <v>55190</v>
      </c>
      <c r="X16" s="21">
        <v>31650</v>
      </c>
      <c r="Y16" s="21">
        <v>4367</v>
      </c>
    </row>
    <row r="17" spans="1:25" x14ac:dyDescent="0.25">
      <c r="A17" s="18">
        <f t="shared" si="0"/>
        <v>44817</v>
      </c>
      <c r="B17" s="22">
        <v>42</v>
      </c>
      <c r="C17" s="22">
        <v>62</v>
      </c>
      <c r="D17" s="21">
        <v>2028465</v>
      </c>
      <c r="E17" s="21">
        <v>2067992</v>
      </c>
      <c r="F17" s="21">
        <v>342249</v>
      </c>
      <c r="G17" s="21">
        <v>7998710</v>
      </c>
      <c r="H17" s="32">
        <v>34705</v>
      </c>
      <c r="I17" s="32">
        <v>6223323</v>
      </c>
      <c r="J17" s="21">
        <v>220128</v>
      </c>
      <c r="K17" s="21">
        <v>2687005</v>
      </c>
      <c r="L17" s="28">
        <v>3139</v>
      </c>
      <c r="M17" s="28">
        <v>1035</v>
      </c>
      <c r="N17" s="21">
        <v>2042868</v>
      </c>
      <c r="O17" s="39"/>
      <c r="P17" s="41"/>
      <c r="Q17" s="21">
        <v>408701</v>
      </c>
      <c r="R17" s="36">
        <v>1097.318</v>
      </c>
      <c r="S17" s="36">
        <v>490.39699999999999</v>
      </c>
      <c r="T17" s="36">
        <v>3894.6990000000001</v>
      </c>
      <c r="U17" s="21">
        <v>362948</v>
      </c>
      <c r="V17" s="21">
        <v>67073</v>
      </c>
      <c r="W17" s="21">
        <v>55197</v>
      </c>
      <c r="X17" s="21">
        <v>31650</v>
      </c>
      <c r="Y17" s="21">
        <v>4372</v>
      </c>
    </row>
    <row r="18" spans="1:25" x14ac:dyDescent="0.25">
      <c r="A18" s="18">
        <f t="shared" si="0"/>
        <v>44818</v>
      </c>
      <c r="B18" s="22">
        <v>46</v>
      </c>
      <c r="C18" s="22">
        <v>69</v>
      </c>
      <c r="D18" s="21">
        <v>2033837</v>
      </c>
      <c r="E18" s="21">
        <v>2069915</v>
      </c>
      <c r="F18" s="21">
        <v>342533</v>
      </c>
      <c r="G18" s="21">
        <v>8000690</v>
      </c>
      <c r="H18" s="32">
        <v>34705</v>
      </c>
      <c r="I18" s="32">
        <v>6225640</v>
      </c>
      <c r="J18" s="21">
        <v>221079</v>
      </c>
      <c r="K18" s="21">
        <v>2687203</v>
      </c>
      <c r="L18" s="27">
        <v>2278</v>
      </c>
      <c r="M18" s="27">
        <v>2919</v>
      </c>
      <c r="N18" s="21">
        <v>2044851</v>
      </c>
      <c r="O18" s="39"/>
      <c r="P18" s="41"/>
      <c r="Q18" s="21">
        <v>408805</v>
      </c>
      <c r="R18" s="36">
        <v>1097.373</v>
      </c>
      <c r="S18" s="36">
        <v>409.4</v>
      </c>
      <c r="T18" s="36">
        <v>3894.7460000000001</v>
      </c>
      <c r="U18" s="21">
        <v>363009</v>
      </c>
      <c r="V18" s="21">
        <v>67135</v>
      </c>
      <c r="W18" s="21">
        <v>55204</v>
      </c>
      <c r="X18" s="21">
        <v>31651</v>
      </c>
      <c r="Y18" s="21">
        <v>4377</v>
      </c>
    </row>
    <row r="19" spans="1:25" x14ac:dyDescent="0.25">
      <c r="A19" s="18">
        <f t="shared" si="0"/>
        <v>44819</v>
      </c>
      <c r="B19" s="22">
        <v>69</v>
      </c>
      <c r="C19" s="22">
        <v>99</v>
      </c>
      <c r="D19" s="21">
        <v>2038477</v>
      </c>
      <c r="E19" s="21">
        <v>2073154</v>
      </c>
      <c r="F19" s="21">
        <v>342816</v>
      </c>
      <c r="G19" s="21">
        <v>8002669</v>
      </c>
      <c r="H19" s="32">
        <v>34705</v>
      </c>
      <c r="I19" s="32">
        <v>6227950</v>
      </c>
      <c r="J19" s="21">
        <v>222032</v>
      </c>
      <c r="K19" s="21">
        <v>2687203</v>
      </c>
      <c r="L19" s="28">
        <v>2238</v>
      </c>
      <c r="M19" s="28">
        <v>2538</v>
      </c>
      <c r="N19" s="21">
        <v>2046721</v>
      </c>
      <c r="O19" s="39"/>
      <c r="P19" s="41"/>
      <c r="Q19" s="21">
        <v>408910</v>
      </c>
      <c r="R19" s="36">
        <v>1097.386</v>
      </c>
      <c r="S19" s="36">
        <v>409.4</v>
      </c>
      <c r="T19" s="36">
        <v>3894.8119999999999</v>
      </c>
      <c r="U19" s="21">
        <v>363082</v>
      </c>
      <c r="V19" s="21">
        <v>67210</v>
      </c>
      <c r="W19" s="21">
        <v>55212</v>
      </c>
      <c r="X19" s="21">
        <v>31657</v>
      </c>
      <c r="Y19" s="21">
        <v>4380</v>
      </c>
    </row>
    <row r="20" spans="1:25" x14ac:dyDescent="0.25">
      <c r="A20" s="18">
        <f t="shared" si="0"/>
        <v>44820</v>
      </c>
      <c r="B20" s="22">
        <v>78</v>
      </c>
      <c r="C20" s="22">
        <v>134</v>
      </c>
      <c r="D20" s="21">
        <v>2043121</v>
      </c>
      <c r="E20" s="21">
        <v>2074724</v>
      </c>
      <c r="F20" s="21">
        <v>342864</v>
      </c>
      <c r="G20" s="21">
        <v>8004735</v>
      </c>
      <c r="H20" s="32">
        <v>34705</v>
      </c>
      <c r="I20" s="32">
        <v>6230290</v>
      </c>
      <c r="J20" s="21">
        <v>223007</v>
      </c>
      <c r="K20" s="21">
        <v>2687204</v>
      </c>
      <c r="L20" s="28">
        <v>2382</v>
      </c>
      <c r="M20" s="28">
        <v>2924</v>
      </c>
      <c r="N20" s="21">
        <v>2048992</v>
      </c>
      <c r="O20" s="39"/>
      <c r="P20" s="41"/>
      <c r="Q20" s="21">
        <v>409015</v>
      </c>
      <c r="R20" s="36">
        <v>1097.4079999999999</v>
      </c>
      <c r="S20" s="36">
        <v>409.4</v>
      </c>
      <c r="T20" s="36">
        <v>3894.8119999999999</v>
      </c>
      <c r="U20" s="21">
        <v>363155</v>
      </c>
      <c r="V20" s="21">
        <v>67287</v>
      </c>
      <c r="W20" s="21">
        <v>55221</v>
      </c>
      <c r="X20" s="21">
        <v>31657</v>
      </c>
      <c r="Y20" s="21">
        <v>4390</v>
      </c>
    </row>
    <row r="21" spans="1:25" x14ac:dyDescent="0.25">
      <c r="A21" s="18">
        <f t="shared" si="0"/>
        <v>44821</v>
      </c>
      <c r="B21" s="22">
        <v>121</v>
      </c>
      <c r="C21" s="22">
        <v>202</v>
      </c>
      <c r="D21" s="21">
        <v>2047187</v>
      </c>
      <c r="E21" s="21">
        <v>2078665</v>
      </c>
      <c r="F21" s="21">
        <v>343373</v>
      </c>
      <c r="G21" s="21">
        <v>8006799</v>
      </c>
      <c r="H21" s="32">
        <v>34705</v>
      </c>
      <c r="I21" s="32">
        <v>6232911</v>
      </c>
      <c r="J21" s="21">
        <v>224217</v>
      </c>
      <c r="K21" s="21">
        <v>2687205</v>
      </c>
      <c r="L21" s="28">
        <v>2276</v>
      </c>
      <c r="M21" s="28">
        <v>2923</v>
      </c>
      <c r="N21" s="21">
        <v>2050941</v>
      </c>
      <c r="O21" s="39"/>
      <c r="P21" s="41"/>
      <c r="Q21" s="21">
        <v>409192</v>
      </c>
      <c r="R21" s="36">
        <v>1097.7750000000001</v>
      </c>
      <c r="S21" s="36">
        <v>409.4</v>
      </c>
      <c r="T21" s="36">
        <v>3894.8119999999999</v>
      </c>
      <c r="U21" s="21">
        <v>363228</v>
      </c>
      <c r="V21" s="21">
        <v>67362</v>
      </c>
      <c r="W21" s="21">
        <v>55228</v>
      </c>
      <c r="X21" s="21">
        <v>31658</v>
      </c>
      <c r="Y21" s="21">
        <v>4396</v>
      </c>
    </row>
    <row r="22" spans="1:25" x14ac:dyDescent="0.25">
      <c r="A22" s="18">
        <f t="shared" si="0"/>
        <v>44822</v>
      </c>
      <c r="B22" s="22">
        <v>134</v>
      </c>
      <c r="C22" s="22">
        <v>177</v>
      </c>
      <c r="D22" s="21">
        <v>2051155</v>
      </c>
      <c r="E22" s="21">
        <v>2080510</v>
      </c>
      <c r="F22" s="21">
        <v>343415</v>
      </c>
      <c r="G22" s="21">
        <v>8008695</v>
      </c>
      <c r="H22" s="32">
        <v>34705</v>
      </c>
      <c r="I22" s="32">
        <v>6235765</v>
      </c>
      <c r="J22" s="21">
        <v>225549</v>
      </c>
      <c r="K22" s="21">
        <v>2687205</v>
      </c>
      <c r="L22" s="28">
        <v>2991</v>
      </c>
      <c r="M22" s="28">
        <v>2925</v>
      </c>
      <c r="N22" s="21">
        <v>2053202</v>
      </c>
      <c r="O22" s="39"/>
      <c r="P22" s="41"/>
      <c r="Q22" s="21">
        <v>409316</v>
      </c>
      <c r="R22" s="36">
        <v>1097.7929999999999</v>
      </c>
      <c r="S22" s="36">
        <v>409.4</v>
      </c>
      <c r="T22" s="36">
        <v>3894.835</v>
      </c>
      <c r="U22" s="21">
        <v>363310</v>
      </c>
      <c r="V22" s="21">
        <v>67445</v>
      </c>
      <c r="W22" s="21">
        <v>55235</v>
      </c>
      <c r="X22" s="21">
        <v>31660</v>
      </c>
      <c r="Y22" s="21">
        <v>4403</v>
      </c>
    </row>
    <row r="23" spans="1:25" x14ac:dyDescent="0.25">
      <c r="A23" s="18">
        <f t="shared" si="0"/>
        <v>44823</v>
      </c>
      <c r="B23" s="22">
        <v>108</v>
      </c>
      <c r="C23" s="22">
        <v>126</v>
      </c>
      <c r="D23" s="21">
        <v>2055310</v>
      </c>
      <c r="E23" s="21">
        <v>2083266</v>
      </c>
      <c r="F23" s="21">
        <v>343612</v>
      </c>
      <c r="G23" s="21">
        <v>8010680</v>
      </c>
      <c r="H23" s="32">
        <v>34705</v>
      </c>
      <c r="I23" s="32">
        <v>6238298</v>
      </c>
      <c r="J23" s="21">
        <v>226742</v>
      </c>
      <c r="K23" s="21">
        <v>2687205</v>
      </c>
      <c r="L23" s="28">
        <v>2749</v>
      </c>
      <c r="M23" s="28">
        <v>2923</v>
      </c>
      <c r="N23" s="21">
        <v>2055208</v>
      </c>
      <c r="O23" s="39"/>
      <c r="P23" s="41"/>
      <c r="Q23" s="21">
        <v>409470</v>
      </c>
      <c r="R23" s="36">
        <v>1097.8969999999999</v>
      </c>
      <c r="S23" s="36">
        <v>409.4</v>
      </c>
      <c r="T23" s="36">
        <v>3894.884</v>
      </c>
      <c r="U23" s="21">
        <v>363390</v>
      </c>
      <c r="V23" s="21">
        <v>67532</v>
      </c>
      <c r="W23" s="21">
        <v>55247</v>
      </c>
      <c r="X23" s="21">
        <v>31672</v>
      </c>
      <c r="Y23" s="21">
        <v>4410</v>
      </c>
    </row>
    <row r="24" spans="1:25" x14ac:dyDescent="0.25">
      <c r="A24" s="18">
        <f t="shared" si="0"/>
        <v>44824</v>
      </c>
      <c r="B24" s="22">
        <v>89</v>
      </c>
      <c r="C24" s="22">
        <v>103</v>
      </c>
      <c r="D24" s="21">
        <v>2059354</v>
      </c>
      <c r="E24" s="21">
        <v>2085522</v>
      </c>
      <c r="F24" s="21">
        <v>343780</v>
      </c>
      <c r="G24" s="21">
        <v>8012713</v>
      </c>
      <c r="H24" s="32">
        <v>34705</v>
      </c>
      <c r="I24" s="32">
        <v>6240802</v>
      </c>
      <c r="J24" s="21">
        <v>227828</v>
      </c>
      <c r="K24" s="21">
        <v>2687205</v>
      </c>
      <c r="L24" s="28">
        <v>2205</v>
      </c>
      <c r="M24" s="28">
        <v>1015</v>
      </c>
      <c r="N24" s="21">
        <v>2057188</v>
      </c>
      <c r="O24" s="39"/>
      <c r="P24" s="41"/>
      <c r="Q24" s="21">
        <v>409599</v>
      </c>
      <c r="R24" s="36">
        <v>1097.9449999999999</v>
      </c>
      <c r="S24" s="36">
        <v>409.4</v>
      </c>
      <c r="T24" s="36">
        <v>3894.9720000000002</v>
      </c>
      <c r="U24" s="21">
        <v>363466</v>
      </c>
      <c r="V24" s="21">
        <v>67614</v>
      </c>
      <c r="W24" s="21">
        <v>55254</v>
      </c>
      <c r="X24" s="21">
        <v>31672</v>
      </c>
      <c r="Y24" s="21">
        <v>4418</v>
      </c>
    </row>
    <row r="25" spans="1:25" x14ac:dyDescent="0.25">
      <c r="A25" s="18">
        <f t="shared" si="0"/>
        <v>44825</v>
      </c>
      <c r="B25" s="22">
        <v>97</v>
      </c>
      <c r="C25" s="22">
        <v>108</v>
      </c>
      <c r="D25" s="21">
        <v>2066620</v>
      </c>
      <c r="E25" s="21">
        <v>2087989</v>
      </c>
      <c r="F25" s="21">
        <v>344014</v>
      </c>
      <c r="G25" s="21">
        <v>8014959</v>
      </c>
      <c r="H25" s="32">
        <v>34705</v>
      </c>
      <c r="I25" s="32">
        <v>6243272</v>
      </c>
      <c r="J25" s="21">
        <v>228876</v>
      </c>
      <c r="K25" s="21">
        <v>2687936</v>
      </c>
      <c r="L25" s="31">
        <v>2727</v>
      </c>
      <c r="M25" s="29">
        <v>0</v>
      </c>
      <c r="N25" s="21">
        <v>2058579</v>
      </c>
      <c r="O25" s="39"/>
      <c r="P25" s="41"/>
      <c r="Q25" s="21">
        <v>409727</v>
      </c>
      <c r="R25" s="36">
        <v>1097.9749999999999</v>
      </c>
      <c r="S25" s="36">
        <v>490.4</v>
      </c>
      <c r="T25" s="36">
        <v>3895.0610000000001</v>
      </c>
      <c r="U25" s="21">
        <v>363549</v>
      </c>
      <c r="V25" s="21">
        <v>67698</v>
      </c>
      <c r="W25" s="21">
        <v>55263</v>
      </c>
      <c r="X25" s="21">
        <v>31673</v>
      </c>
      <c r="Y25" s="21">
        <v>4429</v>
      </c>
    </row>
    <row r="26" spans="1:25" x14ac:dyDescent="0.25">
      <c r="A26" s="18">
        <f t="shared" si="0"/>
        <v>44826</v>
      </c>
      <c r="B26" s="22">
        <v>87</v>
      </c>
      <c r="C26" s="33">
        <v>96</v>
      </c>
      <c r="D26" s="25">
        <v>2073771</v>
      </c>
      <c r="E26" s="25">
        <v>2090323</v>
      </c>
      <c r="F26" s="25">
        <v>344197</v>
      </c>
      <c r="G26" s="25">
        <v>8016952</v>
      </c>
      <c r="H26" s="26">
        <v>34705</v>
      </c>
      <c r="I26" s="26">
        <v>6245804</v>
      </c>
      <c r="J26" s="26">
        <v>229946</v>
      </c>
      <c r="K26" s="25">
        <v>2688667</v>
      </c>
      <c r="L26" s="29">
        <v>2620</v>
      </c>
      <c r="M26" s="29">
        <v>0</v>
      </c>
      <c r="N26" s="25">
        <v>2059908</v>
      </c>
      <c r="O26" s="40"/>
      <c r="P26" s="42"/>
      <c r="Q26" s="25">
        <v>409839</v>
      </c>
      <c r="R26" s="37">
        <v>1097.982</v>
      </c>
      <c r="S26" s="37">
        <v>490.41500000000002</v>
      </c>
      <c r="T26" s="37">
        <v>3895.134</v>
      </c>
      <c r="U26" s="25">
        <v>363630</v>
      </c>
      <c r="V26" s="25">
        <v>67779</v>
      </c>
      <c r="W26" s="25">
        <v>55270</v>
      </c>
      <c r="X26" s="25">
        <v>31674</v>
      </c>
      <c r="Y26" s="25">
        <v>4437</v>
      </c>
    </row>
    <row r="27" spans="1:25" x14ac:dyDescent="0.25">
      <c r="A27" s="18">
        <f t="shared" si="0"/>
        <v>44827</v>
      </c>
      <c r="B27" s="22">
        <v>49</v>
      </c>
      <c r="C27" s="33">
        <v>99</v>
      </c>
      <c r="D27" s="25">
        <v>2080839</v>
      </c>
      <c r="E27" s="25">
        <v>2093708</v>
      </c>
      <c r="F27" s="25">
        <v>344592</v>
      </c>
      <c r="G27" s="25">
        <v>8018977</v>
      </c>
      <c r="H27" s="26">
        <v>34705</v>
      </c>
      <c r="I27" s="26">
        <v>6248178</v>
      </c>
      <c r="J27" s="26">
        <v>230942</v>
      </c>
      <c r="K27" s="25">
        <v>2689398</v>
      </c>
      <c r="L27" s="29">
        <v>2183</v>
      </c>
      <c r="M27" s="29">
        <v>0</v>
      </c>
      <c r="N27" s="25">
        <v>2060972</v>
      </c>
      <c r="O27" s="40"/>
      <c r="P27" s="42"/>
      <c r="Q27" s="26">
        <v>409967</v>
      </c>
      <c r="R27" s="37">
        <v>1097.99</v>
      </c>
      <c r="S27" s="37">
        <v>490.423</v>
      </c>
      <c r="T27" s="37">
        <v>3895.1909999999998</v>
      </c>
      <c r="U27" s="25">
        <v>363709</v>
      </c>
      <c r="V27" s="25">
        <v>67862</v>
      </c>
      <c r="W27" s="25">
        <v>55278</v>
      </c>
      <c r="X27" s="25">
        <v>31675</v>
      </c>
      <c r="Y27" s="25">
        <v>4445</v>
      </c>
    </row>
    <row r="28" spans="1:25" x14ac:dyDescent="0.25">
      <c r="A28" s="18">
        <f t="shared" si="0"/>
        <v>44828</v>
      </c>
      <c r="B28" s="22">
        <v>116</v>
      </c>
      <c r="C28" s="33">
        <v>216</v>
      </c>
      <c r="D28" s="25">
        <v>2087842</v>
      </c>
      <c r="E28" s="25">
        <v>2096443</v>
      </c>
      <c r="F28" s="25">
        <v>344845</v>
      </c>
      <c r="G28" s="25">
        <v>8021140</v>
      </c>
      <c r="H28" s="26">
        <v>34705</v>
      </c>
      <c r="I28" s="26">
        <v>6250750</v>
      </c>
      <c r="J28" s="26">
        <v>232081</v>
      </c>
      <c r="K28" s="25">
        <v>2690171</v>
      </c>
      <c r="L28" s="29">
        <v>2727</v>
      </c>
      <c r="M28" s="29">
        <v>0</v>
      </c>
      <c r="N28" s="25">
        <v>2062426</v>
      </c>
      <c r="O28" s="40"/>
      <c r="P28" s="42"/>
      <c r="Q28" s="26">
        <v>410093</v>
      </c>
      <c r="R28" s="37">
        <v>1098</v>
      </c>
      <c r="S28" s="37">
        <v>490.43099999999998</v>
      </c>
      <c r="T28" s="37">
        <v>3895.268</v>
      </c>
      <c r="U28" s="25">
        <v>363795</v>
      </c>
      <c r="V28" s="25">
        <v>67948</v>
      </c>
      <c r="W28" s="25">
        <v>55285</v>
      </c>
      <c r="X28" s="25">
        <v>31675</v>
      </c>
      <c r="Y28" s="25">
        <v>4449</v>
      </c>
    </row>
    <row r="29" spans="1:25" x14ac:dyDescent="0.25">
      <c r="A29" s="18">
        <f t="shared" si="0"/>
        <v>44829</v>
      </c>
      <c r="B29" s="22">
        <v>84</v>
      </c>
      <c r="C29" s="33">
        <v>147</v>
      </c>
      <c r="D29" s="25">
        <v>2094682</v>
      </c>
      <c r="E29" s="25">
        <v>2098365</v>
      </c>
      <c r="F29" s="25">
        <v>344845</v>
      </c>
      <c r="G29" s="25">
        <v>8023228</v>
      </c>
      <c r="H29" s="26">
        <v>34705</v>
      </c>
      <c r="I29" s="26">
        <v>6253391</v>
      </c>
      <c r="J29" s="26">
        <v>233287</v>
      </c>
      <c r="K29" s="25">
        <v>2690927</v>
      </c>
      <c r="L29" s="29">
        <v>3573</v>
      </c>
      <c r="M29" s="29">
        <v>0</v>
      </c>
      <c r="N29" s="25">
        <v>2064252</v>
      </c>
      <c r="O29" s="40"/>
      <c r="P29" s="42"/>
      <c r="Q29" s="26">
        <v>410233</v>
      </c>
      <c r="R29" s="37">
        <v>1098.395</v>
      </c>
      <c r="S29" s="37">
        <v>490.44900000000001</v>
      </c>
      <c r="T29" s="37">
        <v>3895.3429999999998</v>
      </c>
      <c r="U29" s="25">
        <v>363888</v>
      </c>
      <c r="V29" s="25">
        <v>68043</v>
      </c>
      <c r="W29" s="25">
        <v>55293</v>
      </c>
      <c r="X29" s="25">
        <v>31676</v>
      </c>
      <c r="Y29" s="25">
        <v>4456</v>
      </c>
    </row>
    <row r="30" spans="1:25" x14ac:dyDescent="0.25">
      <c r="A30" s="18">
        <f t="shared" si="0"/>
        <v>44830</v>
      </c>
      <c r="B30" s="22">
        <v>59</v>
      </c>
      <c r="C30" s="33">
        <v>85</v>
      </c>
      <c r="D30" s="25">
        <v>2101335</v>
      </c>
      <c r="E30" s="25">
        <v>2099979</v>
      </c>
      <c r="F30" s="25">
        <v>344845</v>
      </c>
      <c r="G30" s="25">
        <v>8025376</v>
      </c>
      <c r="H30" s="26">
        <v>34705</v>
      </c>
      <c r="I30" s="26">
        <v>6255935</v>
      </c>
      <c r="J30" s="25">
        <v>234384</v>
      </c>
      <c r="K30" s="25">
        <v>2691618</v>
      </c>
      <c r="L30" s="29">
        <v>3531</v>
      </c>
      <c r="M30" s="29">
        <v>1178</v>
      </c>
      <c r="N30" s="25">
        <v>2066005</v>
      </c>
      <c r="O30" s="40"/>
      <c r="P30" s="42"/>
      <c r="Q30" s="25">
        <v>410392</v>
      </c>
      <c r="R30" s="37">
        <v>1098.8340000000001</v>
      </c>
      <c r="S30" s="37">
        <v>490.45400000000001</v>
      </c>
      <c r="T30" s="37">
        <v>3895.3539999999998</v>
      </c>
      <c r="U30" s="25">
        <v>363978</v>
      </c>
      <c r="V30" s="25">
        <v>68134</v>
      </c>
      <c r="W30" s="25">
        <v>55300</v>
      </c>
      <c r="X30" s="25">
        <v>31681</v>
      </c>
      <c r="Y30" s="25">
        <v>4465</v>
      </c>
    </row>
    <row r="31" spans="1:25" x14ac:dyDescent="0.25">
      <c r="A31" s="18">
        <f t="shared" si="0"/>
        <v>44831</v>
      </c>
      <c r="B31" s="22">
        <v>125</v>
      </c>
      <c r="C31" s="33">
        <v>128</v>
      </c>
      <c r="D31" s="25">
        <v>2105814</v>
      </c>
      <c r="E31" s="25">
        <v>2101717</v>
      </c>
      <c r="F31" s="25">
        <v>344845</v>
      </c>
      <c r="G31" s="25">
        <v>8027471</v>
      </c>
      <c r="H31" s="26">
        <v>34705</v>
      </c>
      <c r="I31" s="26">
        <v>6258323</v>
      </c>
      <c r="J31" s="25">
        <v>235382</v>
      </c>
      <c r="K31" s="25">
        <v>2691791</v>
      </c>
      <c r="L31" s="29">
        <v>3090</v>
      </c>
      <c r="M31" s="29">
        <v>2639</v>
      </c>
      <c r="N31" s="25">
        <v>2068262</v>
      </c>
      <c r="O31" s="40"/>
      <c r="P31" s="42"/>
      <c r="Q31" s="25">
        <v>410509</v>
      </c>
      <c r="R31" s="37">
        <v>1099.106</v>
      </c>
      <c r="S31" s="37">
        <v>490.45400000000001</v>
      </c>
      <c r="T31" s="37">
        <v>3895.4369999999999</v>
      </c>
      <c r="U31" s="25">
        <v>364053</v>
      </c>
      <c r="V31" s="25">
        <v>68211</v>
      </c>
      <c r="W31" s="25">
        <v>55308</v>
      </c>
      <c r="X31" s="25">
        <v>31681</v>
      </c>
      <c r="Y31" s="25">
        <v>4475</v>
      </c>
    </row>
    <row r="32" spans="1:25" x14ac:dyDescent="0.25">
      <c r="A32" s="18">
        <f t="shared" si="0"/>
        <v>44832</v>
      </c>
      <c r="B32" s="22">
        <v>134</v>
      </c>
      <c r="C32" s="33">
        <v>143</v>
      </c>
      <c r="D32" s="25">
        <v>2110437</v>
      </c>
      <c r="E32" s="25">
        <v>2104084</v>
      </c>
      <c r="F32" s="25">
        <v>344937</v>
      </c>
      <c r="G32" s="25">
        <v>8029859</v>
      </c>
      <c r="H32" s="26">
        <v>34777</v>
      </c>
      <c r="I32" s="26">
        <v>6260896</v>
      </c>
      <c r="J32" s="25">
        <v>236461</v>
      </c>
      <c r="K32" s="25">
        <v>2691885</v>
      </c>
      <c r="L32" s="29">
        <v>3513</v>
      </c>
      <c r="M32" s="29">
        <v>2924</v>
      </c>
      <c r="N32" s="25">
        <v>2070563</v>
      </c>
      <c r="O32" s="40"/>
      <c r="P32" s="42"/>
      <c r="Q32" s="25">
        <v>410626</v>
      </c>
      <c r="R32" s="37">
        <v>1099.3789999999999</v>
      </c>
      <c r="S32" s="37">
        <v>490.45400000000001</v>
      </c>
      <c r="T32" s="37">
        <v>3895.4989999999998</v>
      </c>
      <c r="U32" s="25">
        <v>364135</v>
      </c>
      <c r="V32" s="25">
        <v>68294</v>
      </c>
      <c r="W32" s="25">
        <v>55315</v>
      </c>
      <c r="X32" s="25">
        <v>31682</v>
      </c>
      <c r="Y32" s="25">
        <v>4475</v>
      </c>
    </row>
    <row r="33" spans="1:25" x14ac:dyDescent="0.25">
      <c r="A33" s="18">
        <f t="shared" si="0"/>
        <v>44833</v>
      </c>
      <c r="B33" s="22">
        <v>124</v>
      </c>
      <c r="C33" s="33">
        <v>152</v>
      </c>
      <c r="D33" s="25">
        <v>2114834</v>
      </c>
      <c r="E33" s="25">
        <v>2105745</v>
      </c>
      <c r="F33" s="25">
        <v>344937</v>
      </c>
      <c r="G33" s="25">
        <v>8032218</v>
      </c>
      <c r="H33" s="26">
        <v>34816</v>
      </c>
      <c r="I33" s="26">
        <v>6263159</v>
      </c>
      <c r="J33" s="25">
        <v>237379</v>
      </c>
      <c r="K33" s="25">
        <v>2691888</v>
      </c>
      <c r="L33" s="29">
        <v>3523</v>
      </c>
      <c r="M33" s="29">
        <v>2924</v>
      </c>
      <c r="N33" s="25">
        <v>2073289</v>
      </c>
      <c r="O33" s="40"/>
      <c r="P33" s="42"/>
      <c r="Q33" s="25">
        <v>410739</v>
      </c>
      <c r="R33" s="37">
        <v>1100.519</v>
      </c>
      <c r="S33" s="37">
        <v>490.45400000000001</v>
      </c>
      <c r="T33" s="37">
        <v>3895.5360000000001</v>
      </c>
      <c r="U33" s="25">
        <v>364221</v>
      </c>
      <c r="V33" s="25">
        <v>68382</v>
      </c>
      <c r="W33" s="25">
        <v>55322</v>
      </c>
      <c r="X33" s="25">
        <v>31683</v>
      </c>
      <c r="Y33" s="25">
        <v>4483</v>
      </c>
    </row>
    <row r="34" spans="1:25" x14ac:dyDescent="0.25">
      <c r="A34" s="18">
        <f>A33+1</f>
        <v>44834</v>
      </c>
      <c r="B34" s="22">
        <v>51</v>
      </c>
      <c r="C34" s="33">
        <v>99</v>
      </c>
      <c r="D34" s="24">
        <v>2119011</v>
      </c>
      <c r="E34" s="25">
        <v>2107570</v>
      </c>
      <c r="F34" s="25">
        <v>344937</v>
      </c>
      <c r="G34" s="25">
        <v>8034594</v>
      </c>
      <c r="H34" s="25">
        <v>34816</v>
      </c>
      <c r="I34" s="25">
        <v>6265558</v>
      </c>
      <c r="J34" s="25">
        <v>238345</v>
      </c>
      <c r="K34" s="25">
        <v>2691890</v>
      </c>
      <c r="L34" s="30">
        <v>2785</v>
      </c>
      <c r="M34" s="30">
        <v>2923</v>
      </c>
      <c r="N34" s="25">
        <v>2075705</v>
      </c>
      <c r="O34" s="26">
        <v>50520</v>
      </c>
      <c r="P34" s="26">
        <v>354865</v>
      </c>
      <c r="Q34" s="25">
        <v>410888</v>
      </c>
      <c r="R34" s="37">
        <v>1101.5170000000001</v>
      </c>
      <c r="S34" s="37">
        <v>490.45400000000001</v>
      </c>
      <c r="T34" s="37">
        <v>3895.5360000000001</v>
      </c>
      <c r="U34" s="25">
        <v>364318</v>
      </c>
      <c r="V34" s="25">
        <v>68480</v>
      </c>
      <c r="W34" s="25">
        <v>55333</v>
      </c>
      <c r="X34" s="25">
        <v>31684</v>
      </c>
      <c r="Y34" s="25">
        <v>4492</v>
      </c>
    </row>
    <row r="35" spans="1:25" x14ac:dyDescent="0.25">
      <c r="B35" s="34"/>
      <c r="C35" s="34"/>
    </row>
    <row r="36" spans="1:25" x14ac:dyDescent="0.25">
      <c r="B36" s="1"/>
      <c r="C36" s="1"/>
      <c r="N36" s="44">
        <f>SUM(N34-N4)</f>
        <v>48353</v>
      </c>
      <c r="O36" s="44">
        <f>SUM(O34-O4)</f>
        <v>343.82499999999709</v>
      </c>
      <c r="P36" s="44">
        <f>SUM(P34-P4)</f>
        <v>2253.3099999999977</v>
      </c>
      <c r="Q36" s="44">
        <f>SUM(Q34-Q4)</f>
        <v>4107</v>
      </c>
    </row>
    <row r="37" spans="1:25" x14ac:dyDescent="0.25">
      <c r="B37"/>
      <c r="C37"/>
    </row>
    <row r="38" spans="1:25" x14ac:dyDescent="0.25">
      <c r="B38"/>
      <c r="C38"/>
    </row>
    <row r="39" spans="1:25" x14ac:dyDescent="0.25">
      <c r="B39"/>
      <c r="C39"/>
    </row>
    <row r="40" spans="1:25" x14ac:dyDescent="0.25">
      <c r="B40"/>
      <c r="C40"/>
    </row>
    <row r="41" spans="1:25" x14ac:dyDescent="0.25">
      <c r="B41"/>
      <c r="C41"/>
    </row>
    <row r="42" spans="1:25" x14ac:dyDescent="0.25">
      <c r="B42"/>
      <c r="C42"/>
    </row>
    <row r="43" spans="1:25" x14ac:dyDescent="0.25">
      <c r="B43"/>
      <c r="C43"/>
    </row>
    <row r="44" spans="1:25" x14ac:dyDescent="0.25">
      <c r="B44"/>
      <c r="C44"/>
    </row>
    <row r="45" spans="1:25" x14ac:dyDescent="0.25">
      <c r="B45"/>
      <c r="C45"/>
    </row>
    <row r="46" spans="1:25" x14ac:dyDescent="0.25">
      <c r="B46"/>
      <c r="C46"/>
    </row>
    <row r="47" spans="1:25" x14ac:dyDescent="0.25">
      <c r="B47"/>
      <c r="C47"/>
    </row>
    <row r="48" spans="1:25" x14ac:dyDescent="0.25">
      <c r="B48"/>
      <c r="C48"/>
    </row>
    <row r="49" spans="2:3" x14ac:dyDescent="0.25">
      <c r="B49"/>
      <c r="C49"/>
    </row>
    <row r="50" spans="2:3" x14ac:dyDescent="0.25">
      <c r="B50"/>
      <c r="C50"/>
    </row>
    <row r="51" spans="2:3" x14ac:dyDescent="0.25">
      <c r="B51"/>
      <c r="C51"/>
    </row>
    <row r="52" spans="2:3" x14ac:dyDescent="0.25">
      <c r="B52"/>
      <c r="C52"/>
    </row>
    <row r="53" spans="2:3" x14ac:dyDescent="0.25">
      <c r="B53"/>
      <c r="C53"/>
    </row>
    <row r="54" spans="2:3" x14ac:dyDescent="0.25">
      <c r="B54"/>
      <c r="C54"/>
    </row>
    <row r="55" spans="2:3" x14ac:dyDescent="0.25">
      <c r="B55"/>
      <c r="C55"/>
    </row>
    <row r="56" spans="2:3" x14ac:dyDescent="0.25">
      <c r="B56"/>
      <c r="C56"/>
    </row>
    <row r="57" spans="2:3" x14ac:dyDescent="0.25">
      <c r="B57"/>
      <c r="C57"/>
    </row>
    <row r="58" spans="2:3" x14ac:dyDescent="0.25">
      <c r="B58"/>
      <c r="C58"/>
    </row>
    <row r="59" spans="2:3" x14ac:dyDescent="0.25">
      <c r="B59"/>
      <c r="C59"/>
    </row>
    <row r="60" spans="2:3" x14ac:dyDescent="0.25">
      <c r="B60"/>
      <c r="C60"/>
    </row>
    <row r="61" spans="2:3" x14ac:dyDescent="0.25">
      <c r="B61"/>
      <c r="C61"/>
    </row>
    <row r="62" spans="2:3" x14ac:dyDescent="0.25">
      <c r="B62"/>
      <c r="C62"/>
    </row>
    <row r="63" spans="2:3" x14ac:dyDescent="0.25">
      <c r="B63"/>
      <c r="C63"/>
    </row>
    <row r="64" spans="2:3" x14ac:dyDescent="0.25">
      <c r="B64"/>
      <c r="C64"/>
    </row>
    <row r="65" spans="2:3" x14ac:dyDescent="0.25">
      <c r="B65"/>
      <c r="C65"/>
    </row>
    <row r="66" spans="2:3" x14ac:dyDescent="0.25">
      <c r="B66"/>
      <c r="C66"/>
    </row>
    <row r="67" spans="2:3" x14ac:dyDescent="0.25">
      <c r="B67"/>
      <c r="C67"/>
    </row>
    <row r="68" spans="2:3" x14ac:dyDescent="0.25">
      <c r="B68"/>
      <c r="C68"/>
    </row>
    <row r="69" spans="2:3" x14ac:dyDescent="0.25">
      <c r="B69"/>
      <c r="C69"/>
    </row>
    <row r="70" spans="2:3" x14ac:dyDescent="0.25">
      <c r="B70"/>
      <c r="C70"/>
    </row>
    <row r="71" spans="2:3" x14ac:dyDescent="0.25">
      <c r="B71"/>
      <c r="C71"/>
    </row>
    <row r="72" spans="2:3" x14ac:dyDescent="0.25">
      <c r="B72"/>
      <c r="C72"/>
    </row>
    <row r="73" spans="2:3" x14ac:dyDescent="0.25">
      <c r="B73"/>
      <c r="C73"/>
    </row>
    <row r="74" spans="2:3" x14ac:dyDescent="0.25">
      <c r="B74"/>
      <c r="C74"/>
    </row>
    <row r="75" spans="2:3" x14ac:dyDescent="0.25">
      <c r="B75"/>
      <c r="C75"/>
    </row>
    <row r="76" spans="2:3" x14ac:dyDescent="0.25">
      <c r="B76"/>
      <c r="C76"/>
    </row>
    <row r="77" spans="2:3" x14ac:dyDescent="0.25">
      <c r="B77"/>
      <c r="C77"/>
    </row>
    <row r="78" spans="2:3" x14ac:dyDescent="0.25">
      <c r="B78"/>
      <c r="C78"/>
    </row>
    <row r="79" spans="2:3" x14ac:dyDescent="0.25">
      <c r="B79"/>
      <c r="C79"/>
    </row>
    <row r="80" spans="2:3" x14ac:dyDescent="0.25">
      <c r="B80"/>
      <c r="C80"/>
    </row>
    <row r="81" spans="2:3" x14ac:dyDescent="0.25">
      <c r="B81"/>
      <c r="C81"/>
    </row>
    <row r="82" spans="2:3" x14ac:dyDescent="0.25">
      <c r="B82"/>
      <c r="C82"/>
    </row>
    <row r="83" spans="2:3" x14ac:dyDescent="0.25">
      <c r="B83"/>
      <c r="C83"/>
    </row>
    <row r="84" spans="2:3" x14ac:dyDescent="0.25">
      <c r="B84"/>
      <c r="C84"/>
    </row>
    <row r="85" spans="2:3" x14ac:dyDescent="0.25">
      <c r="B85"/>
      <c r="C85"/>
    </row>
    <row r="86" spans="2:3" x14ac:dyDescent="0.25">
      <c r="B86"/>
      <c r="C86"/>
    </row>
    <row r="87" spans="2:3" x14ac:dyDescent="0.25">
      <c r="B87"/>
      <c r="C87"/>
    </row>
    <row r="88" spans="2:3" x14ac:dyDescent="0.25">
      <c r="B88"/>
      <c r="C88"/>
    </row>
    <row r="89" spans="2:3" x14ac:dyDescent="0.25">
      <c r="B89"/>
      <c r="C89"/>
    </row>
    <row r="90" spans="2:3" x14ac:dyDescent="0.25">
      <c r="B90"/>
      <c r="C90"/>
    </row>
    <row r="91" spans="2:3" x14ac:dyDescent="0.25">
      <c r="B91"/>
      <c r="C91"/>
    </row>
    <row r="92" spans="2:3" x14ac:dyDescent="0.25">
      <c r="B92"/>
      <c r="C92"/>
    </row>
    <row r="93" spans="2:3" x14ac:dyDescent="0.25">
      <c r="B93"/>
      <c r="C93"/>
    </row>
    <row r="94" spans="2:3" x14ac:dyDescent="0.25">
      <c r="B94"/>
      <c r="C94"/>
    </row>
    <row r="95" spans="2:3" x14ac:dyDescent="0.25">
      <c r="B95"/>
      <c r="C95"/>
    </row>
    <row r="96" spans="2:3" x14ac:dyDescent="0.25">
      <c r="B96"/>
      <c r="C96"/>
    </row>
    <row r="97" spans="2:3" x14ac:dyDescent="0.25">
      <c r="B97"/>
      <c r="C97"/>
    </row>
    <row r="98" spans="2:3" x14ac:dyDescent="0.25">
      <c r="B98"/>
      <c r="C98"/>
    </row>
    <row r="99" spans="2:3" x14ac:dyDescent="0.25">
      <c r="B99"/>
      <c r="C99"/>
    </row>
    <row r="100" spans="2:3" x14ac:dyDescent="0.25">
      <c r="B100"/>
      <c r="C100"/>
    </row>
    <row r="101" spans="2:3" x14ac:dyDescent="0.25">
      <c r="B101"/>
      <c r="C101"/>
    </row>
    <row r="102" spans="2:3" x14ac:dyDescent="0.25">
      <c r="B102"/>
      <c r="C102"/>
    </row>
    <row r="103" spans="2:3" x14ac:dyDescent="0.25">
      <c r="B103"/>
      <c r="C103"/>
    </row>
    <row r="104" spans="2:3" x14ac:dyDescent="0.25">
      <c r="B104"/>
      <c r="C104"/>
    </row>
    <row r="105" spans="2:3" x14ac:dyDescent="0.25">
      <c r="B105"/>
      <c r="C105"/>
    </row>
    <row r="106" spans="2:3" x14ac:dyDescent="0.25">
      <c r="B106"/>
      <c r="C106"/>
    </row>
    <row r="107" spans="2:3" x14ac:dyDescent="0.25">
      <c r="B107"/>
      <c r="C107"/>
    </row>
    <row r="108" spans="2:3" x14ac:dyDescent="0.25">
      <c r="B108"/>
      <c r="C108"/>
    </row>
    <row r="109" spans="2:3" x14ac:dyDescent="0.25">
      <c r="B109"/>
      <c r="C109"/>
    </row>
    <row r="110" spans="2:3" x14ac:dyDescent="0.25">
      <c r="B110"/>
      <c r="C110"/>
    </row>
    <row r="111" spans="2:3" x14ac:dyDescent="0.25">
      <c r="B111"/>
      <c r="C111"/>
    </row>
    <row r="112" spans="2:3" x14ac:dyDescent="0.25">
      <c r="B112"/>
      <c r="C112"/>
    </row>
    <row r="113" spans="2:3" x14ac:dyDescent="0.25">
      <c r="B113"/>
      <c r="C113"/>
    </row>
    <row r="114" spans="2:3" x14ac:dyDescent="0.25">
      <c r="B114"/>
      <c r="C114"/>
    </row>
    <row r="115" spans="2:3" x14ac:dyDescent="0.25">
      <c r="B115"/>
      <c r="C115"/>
    </row>
    <row r="116" spans="2:3" x14ac:dyDescent="0.25">
      <c r="B116"/>
      <c r="C116"/>
    </row>
    <row r="117" spans="2:3" x14ac:dyDescent="0.25">
      <c r="B117"/>
      <c r="C117"/>
    </row>
    <row r="118" spans="2:3" x14ac:dyDescent="0.25">
      <c r="B118"/>
      <c r="C118"/>
    </row>
    <row r="119" spans="2:3" x14ac:dyDescent="0.25">
      <c r="B119"/>
      <c r="C119"/>
    </row>
    <row r="120" spans="2:3" x14ac:dyDescent="0.25">
      <c r="B120"/>
      <c r="C120"/>
    </row>
    <row r="121" spans="2:3" x14ac:dyDescent="0.25">
      <c r="B121"/>
      <c r="C121"/>
    </row>
    <row r="122" spans="2:3" x14ac:dyDescent="0.25">
      <c r="B122"/>
      <c r="C122"/>
    </row>
    <row r="123" spans="2:3" x14ac:dyDescent="0.25">
      <c r="B123"/>
      <c r="C123"/>
    </row>
    <row r="124" spans="2:3" x14ac:dyDescent="0.25">
      <c r="B124"/>
      <c r="C124"/>
    </row>
    <row r="125" spans="2:3" x14ac:dyDescent="0.25">
      <c r="B125"/>
      <c r="C125"/>
    </row>
    <row r="126" spans="2:3" x14ac:dyDescent="0.25">
      <c r="B126"/>
      <c r="C126"/>
    </row>
    <row r="127" spans="2:3" x14ac:dyDescent="0.25">
      <c r="B127"/>
      <c r="C127"/>
    </row>
    <row r="128" spans="2:3" x14ac:dyDescent="0.25">
      <c r="B128"/>
      <c r="C128"/>
    </row>
    <row r="129" spans="2:3" x14ac:dyDescent="0.25">
      <c r="B129"/>
      <c r="C129"/>
    </row>
    <row r="130" spans="2:3" x14ac:dyDescent="0.25">
      <c r="B130"/>
      <c r="C130"/>
    </row>
    <row r="131" spans="2:3" x14ac:dyDescent="0.25">
      <c r="B131"/>
      <c r="C131"/>
    </row>
    <row r="132" spans="2:3" x14ac:dyDescent="0.25">
      <c r="B132"/>
      <c r="C132"/>
    </row>
    <row r="133" spans="2:3" x14ac:dyDescent="0.25">
      <c r="B133"/>
      <c r="C133"/>
    </row>
    <row r="134" spans="2:3" x14ac:dyDescent="0.25">
      <c r="B134"/>
      <c r="C134"/>
    </row>
    <row r="135" spans="2:3" x14ac:dyDescent="0.25">
      <c r="B135"/>
      <c r="C135"/>
    </row>
    <row r="136" spans="2:3" x14ac:dyDescent="0.25">
      <c r="B136"/>
      <c r="C136"/>
    </row>
    <row r="137" spans="2:3" x14ac:dyDescent="0.25">
      <c r="B137"/>
      <c r="C137"/>
    </row>
    <row r="138" spans="2:3" x14ac:dyDescent="0.25">
      <c r="B138"/>
      <c r="C138"/>
    </row>
    <row r="139" spans="2:3" x14ac:dyDescent="0.25">
      <c r="B139"/>
      <c r="C139"/>
    </row>
    <row r="140" spans="2:3" x14ac:dyDescent="0.25">
      <c r="B140"/>
      <c r="C140"/>
    </row>
    <row r="141" spans="2:3" x14ac:dyDescent="0.25">
      <c r="B141"/>
      <c r="C141"/>
    </row>
    <row r="142" spans="2:3" x14ac:dyDescent="0.25">
      <c r="B142"/>
      <c r="C142"/>
    </row>
    <row r="143" spans="2:3" x14ac:dyDescent="0.25">
      <c r="B143"/>
      <c r="C143"/>
    </row>
    <row r="144" spans="2:3" x14ac:dyDescent="0.25">
      <c r="B144"/>
      <c r="C144"/>
    </row>
    <row r="145" spans="2:3" x14ac:dyDescent="0.25">
      <c r="B145"/>
      <c r="C145"/>
    </row>
    <row r="146" spans="2:3" x14ac:dyDescent="0.25">
      <c r="B146"/>
      <c r="C146"/>
    </row>
    <row r="147" spans="2:3" x14ac:dyDescent="0.25">
      <c r="B147"/>
      <c r="C147"/>
    </row>
    <row r="148" spans="2:3" x14ac:dyDescent="0.25">
      <c r="B148"/>
      <c r="C148"/>
    </row>
    <row r="149" spans="2:3" x14ac:dyDescent="0.25">
      <c r="B149"/>
      <c r="C149"/>
    </row>
    <row r="150" spans="2:3" x14ac:dyDescent="0.25">
      <c r="B150"/>
      <c r="C150"/>
    </row>
    <row r="151" spans="2:3" x14ac:dyDescent="0.25">
      <c r="B151"/>
      <c r="C151"/>
    </row>
    <row r="152" spans="2:3" x14ac:dyDescent="0.25">
      <c r="B152"/>
      <c r="C152"/>
    </row>
    <row r="153" spans="2:3" x14ac:dyDescent="0.25">
      <c r="B153"/>
      <c r="C153"/>
    </row>
    <row r="154" spans="2:3" x14ac:dyDescent="0.25">
      <c r="B154"/>
      <c r="C154"/>
    </row>
    <row r="155" spans="2:3" x14ac:dyDescent="0.25">
      <c r="B155"/>
      <c r="C155"/>
    </row>
    <row r="156" spans="2:3" x14ac:dyDescent="0.25">
      <c r="B156"/>
      <c r="C156"/>
    </row>
    <row r="157" spans="2:3" x14ac:dyDescent="0.25">
      <c r="B157"/>
      <c r="C157"/>
    </row>
    <row r="158" spans="2:3" x14ac:dyDescent="0.25">
      <c r="B158"/>
      <c r="C158"/>
    </row>
    <row r="159" spans="2:3" x14ac:dyDescent="0.25">
      <c r="B159"/>
      <c r="C159"/>
    </row>
    <row r="160" spans="2:3" x14ac:dyDescent="0.25">
      <c r="B160"/>
      <c r="C160"/>
    </row>
    <row r="161" spans="2:3" x14ac:dyDescent="0.25">
      <c r="B161"/>
      <c r="C161"/>
    </row>
    <row r="162" spans="2:3" x14ac:dyDescent="0.25">
      <c r="B162"/>
      <c r="C162"/>
    </row>
    <row r="163" spans="2:3" x14ac:dyDescent="0.25">
      <c r="B163"/>
      <c r="C163"/>
    </row>
    <row r="164" spans="2:3" x14ac:dyDescent="0.25">
      <c r="B164"/>
      <c r="C164"/>
    </row>
    <row r="165" spans="2:3" x14ac:dyDescent="0.25">
      <c r="B165"/>
      <c r="C165"/>
    </row>
    <row r="166" spans="2:3" x14ac:dyDescent="0.25">
      <c r="B166"/>
      <c r="C166"/>
    </row>
    <row r="167" spans="2:3" x14ac:dyDescent="0.25">
      <c r="B167"/>
      <c r="C167"/>
    </row>
    <row r="168" spans="2:3" x14ac:dyDescent="0.25">
      <c r="B168"/>
      <c r="C168"/>
    </row>
    <row r="169" spans="2:3" x14ac:dyDescent="0.25">
      <c r="B169"/>
      <c r="C169"/>
    </row>
    <row r="170" spans="2:3" x14ac:dyDescent="0.25">
      <c r="B170"/>
      <c r="C170"/>
    </row>
    <row r="171" spans="2:3" x14ac:dyDescent="0.25">
      <c r="B171"/>
      <c r="C171"/>
    </row>
    <row r="172" spans="2:3" x14ac:dyDescent="0.25">
      <c r="B172"/>
      <c r="C172"/>
    </row>
    <row r="173" spans="2:3" x14ac:dyDescent="0.25">
      <c r="B173"/>
      <c r="C173"/>
    </row>
    <row r="174" spans="2:3" x14ac:dyDescent="0.25">
      <c r="B174"/>
      <c r="C174"/>
    </row>
    <row r="175" spans="2:3" x14ac:dyDescent="0.25">
      <c r="B175"/>
      <c r="C175"/>
    </row>
    <row r="176" spans="2:3" x14ac:dyDescent="0.25">
      <c r="B176"/>
      <c r="C176"/>
    </row>
    <row r="177" spans="2:3" x14ac:dyDescent="0.25">
      <c r="B177"/>
      <c r="C177"/>
    </row>
    <row r="178" spans="2:3" x14ac:dyDescent="0.25">
      <c r="B178"/>
      <c r="C178"/>
    </row>
    <row r="179" spans="2:3" x14ac:dyDescent="0.25">
      <c r="B179"/>
      <c r="C179"/>
    </row>
    <row r="180" spans="2:3" x14ac:dyDescent="0.25">
      <c r="B180"/>
      <c r="C180"/>
    </row>
    <row r="181" spans="2:3" x14ac:dyDescent="0.25">
      <c r="B181"/>
      <c r="C181"/>
    </row>
    <row r="182" spans="2:3" x14ac:dyDescent="0.25">
      <c r="B182"/>
      <c r="C182"/>
    </row>
    <row r="183" spans="2:3" x14ac:dyDescent="0.25">
      <c r="B183"/>
      <c r="C183"/>
    </row>
    <row r="184" spans="2:3" x14ac:dyDescent="0.25">
      <c r="B184"/>
      <c r="C184"/>
    </row>
    <row r="185" spans="2:3" x14ac:dyDescent="0.25">
      <c r="B185"/>
      <c r="C185"/>
    </row>
    <row r="186" spans="2:3" x14ac:dyDescent="0.25">
      <c r="B186"/>
      <c r="C186"/>
    </row>
    <row r="187" spans="2:3" x14ac:dyDescent="0.25">
      <c r="B187"/>
      <c r="C187"/>
    </row>
    <row r="188" spans="2:3" x14ac:dyDescent="0.25">
      <c r="B188"/>
      <c r="C188"/>
    </row>
    <row r="189" spans="2:3" x14ac:dyDescent="0.25">
      <c r="B189"/>
      <c r="C189"/>
    </row>
    <row r="190" spans="2:3" x14ac:dyDescent="0.25">
      <c r="B190"/>
      <c r="C190"/>
    </row>
    <row r="191" spans="2:3" x14ac:dyDescent="0.25">
      <c r="B191"/>
      <c r="C191"/>
    </row>
    <row r="192" spans="2:3" x14ac:dyDescent="0.25">
      <c r="B192"/>
      <c r="C192"/>
    </row>
    <row r="193" spans="2:3" x14ac:dyDescent="0.25">
      <c r="B193"/>
      <c r="C193"/>
    </row>
    <row r="194" spans="2:3" x14ac:dyDescent="0.25">
      <c r="B194"/>
      <c r="C194"/>
    </row>
    <row r="195" spans="2:3" x14ac:dyDescent="0.25">
      <c r="B195"/>
      <c r="C195"/>
    </row>
    <row r="196" spans="2:3" x14ac:dyDescent="0.25">
      <c r="B196"/>
      <c r="C196"/>
    </row>
    <row r="197" spans="2:3" x14ac:dyDescent="0.25">
      <c r="B197"/>
      <c r="C197"/>
    </row>
    <row r="198" spans="2:3" x14ac:dyDescent="0.25">
      <c r="B198"/>
      <c r="C198"/>
    </row>
    <row r="199" spans="2:3" x14ac:dyDescent="0.25">
      <c r="B199"/>
      <c r="C199"/>
    </row>
    <row r="200" spans="2:3" x14ac:dyDescent="0.25">
      <c r="B200"/>
      <c r="C200"/>
    </row>
    <row r="201" spans="2:3" x14ac:dyDescent="0.25">
      <c r="B201"/>
      <c r="C201"/>
    </row>
    <row r="202" spans="2:3" x14ac:dyDescent="0.25">
      <c r="B202"/>
      <c r="C202"/>
    </row>
    <row r="203" spans="2:3" x14ac:dyDescent="0.25">
      <c r="B203"/>
      <c r="C203"/>
    </row>
    <row r="204" spans="2:3" x14ac:dyDescent="0.25">
      <c r="B204"/>
      <c r="C204"/>
    </row>
    <row r="205" spans="2:3" x14ac:dyDescent="0.25">
      <c r="B205"/>
      <c r="C205"/>
    </row>
    <row r="206" spans="2:3" x14ac:dyDescent="0.25">
      <c r="B206"/>
      <c r="C206"/>
    </row>
    <row r="207" spans="2:3" x14ac:dyDescent="0.25">
      <c r="B207"/>
      <c r="C207"/>
    </row>
    <row r="208" spans="2:3" x14ac:dyDescent="0.25">
      <c r="B208"/>
      <c r="C208"/>
    </row>
    <row r="209" spans="2:3" x14ac:dyDescent="0.25">
      <c r="B209"/>
      <c r="C209"/>
    </row>
    <row r="210" spans="2:3" x14ac:dyDescent="0.25">
      <c r="B210"/>
      <c r="C210"/>
    </row>
    <row r="211" spans="2:3" x14ac:dyDescent="0.25">
      <c r="B211"/>
      <c r="C211"/>
    </row>
    <row r="212" spans="2:3" x14ac:dyDescent="0.25">
      <c r="B212"/>
      <c r="C212"/>
    </row>
    <row r="213" spans="2:3" x14ac:dyDescent="0.25">
      <c r="B213"/>
      <c r="C213"/>
    </row>
    <row r="214" spans="2:3" x14ac:dyDescent="0.25">
      <c r="B214"/>
      <c r="C214"/>
    </row>
    <row r="215" spans="2:3" x14ac:dyDescent="0.25">
      <c r="B215"/>
      <c r="C215"/>
    </row>
    <row r="216" spans="2:3" x14ac:dyDescent="0.25">
      <c r="B216"/>
      <c r="C216"/>
    </row>
    <row r="217" spans="2:3" x14ac:dyDescent="0.25">
      <c r="B217"/>
      <c r="C217"/>
    </row>
    <row r="218" spans="2:3" x14ac:dyDescent="0.25">
      <c r="B218"/>
      <c r="C218"/>
    </row>
    <row r="219" spans="2:3" x14ac:dyDescent="0.25">
      <c r="B219"/>
      <c r="C219"/>
    </row>
    <row r="220" spans="2:3" x14ac:dyDescent="0.25">
      <c r="B220"/>
      <c r="C220"/>
    </row>
    <row r="221" spans="2:3" x14ac:dyDescent="0.25">
      <c r="B221"/>
      <c r="C221"/>
    </row>
    <row r="222" spans="2:3" x14ac:dyDescent="0.25">
      <c r="B222"/>
      <c r="C222"/>
    </row>
    <row r="223" spans="2:3" x14ac:dyDescent="0.25">
      <c r="B223"/>
      <c r="C223"/>
    </row>
    <row r="224" spans="2:3" x14ac:dyDescent="0.25">
      <c r="B224"/>
      <c r="C224"/>
    </row>
    <row r="225" spans="2:3" x14ac:dyDescent="0.25">
      <c r="B225"/>
      <c r="C225"/>
    </row>
    <row r="226" spans="2:3" x14ac:dyDescent="0.25">
      <c r="B226"/>
      <c r="C226"/>
    </row>
    <row r="227" spans="2:3" x14ac:dyDescent="0.25">
      <c r="B227"/>
      <c r="C227"/>
    </row>
    <row r="228" spans="2:3" x14ac:dyDescent="0.25">
      <c r="B228"/>
      <c r="C228"/>
    </row>
    <row r="229" spans="2:3" x14ac:dyDescent="0.25">
      <c r="B229"/>
      <c r="C229"/>
    </row>
    <row r="230" spans="2:3" x14ac:dyDescent="0.25">
      <c r="B230"/>
      <c r="C230"/>
    </row>
    <row r="231" spans="2:3" x14ac:dyDescent="0.25">
      <c r="B231"/>
      <c r="C231"/>
    </row>
    <row r="232" spans="2:3" x14ac:dyDescent="0.25">
      <c r="B232"/>
      <c r="C232"/>
    </row>
    <row r="233" spans="2:3" x14ac:dyDescent="0.25">
      <c r="B233"/>
      <c r="C233"/>
    </row>
    <row r="234" spans="2:3" x14ac:dyDescent="0.25">
      <c r="B234"/>
      <c r="C234"/>
    </row>
    <row r="235" spans="2:3" x14ac:dyDescent="0.25">
      <c r="B235"/>
      <c r="C235"/>
    </row>
    <row r="236" spans="2:3" x14ac:dyDescent="0.25">
      <c r="B236"/>
      <c r="C236"/>
    </row>
    <row r="237" spans="2:3" x14ac:dyDescent="0.25">
      <c r="B237"/>
      <c r="C237"/>
    </row>
  </sheetData>
  <mergeCells count="25">
    <mergeCell ref="Y1:Y3"/>
    <mergeCell ref="M2:M3"/>
    <mergeCell ref="L2:L3"/>
    <mergeCell ref="N1:N3"/>
    <mergeCell ref="Q1:Q3"/>
    <mergeCell ref="U1:V3"/>
    <mergeCell ref="W1:W3"/>
    <mergeCell ref="X1:X3"/>
    <mergeCell ref="O1:O3"/>
    <mergeCell ref="P1:P3"/>
    <mergeCell ref="S1:S3"/>
    <mergeCell ref="T1:T3"/>
    <mergeCell ref="R1:R3"/>
    <mergeCell ref="A1:A3"/>
    <mergeCell ref="I2:I3"/>
    <mergeCell ref="J2:J3"/>
    <mergeCell ref="K2:K3"/>
    <mergeCell ref="B2:B3"/>
    <mergeCell ref="C2:C3"/>
    <mergeCell ref="D2:D3"/>
    <mergeCell ref="E2:E3"/>
    <mergeCell ref="F2:F3"/>
    <mergeCell ref="G2:G3"/>
    <mergeCell ref="H2:H3"/>
    <mergeCell ref="D1:M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2" ma:contentTypeDescription="Create a new document." ma:contentTypeScope="" ma:versionID="e4a94c238ea3a12de4237679ed4fd37e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6cace2e0a3489f6ce689e5b1c7cd138c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BACACF-264B-4E80-A364-6E53198B6D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4B8BC1-168A-4D1E-A980-BA893BB919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CDD560-7822-4EA1-8593-5175C6066E7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Hampshire Daily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Paul Hemmings</cp:lastModifiedBy>
  <cp:revision/>
  <dcterms:created xsi:type="dcterms:W3CDTF">2017-05-03T09:23:30Z</dcterms:created>
  <dcterms:modified xsi:type="dcterms:W3CDTF">2022-10-03T08:51:47Z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