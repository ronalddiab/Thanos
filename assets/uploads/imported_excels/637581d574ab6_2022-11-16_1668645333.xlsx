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mar.saber\Desktop\"/>
    </mc:Choice>
  </mc:AlternateContent>
  <bookViews>
    <workbookView xWindow="0" yWindow="0" windowWidth="28800" windowHeight="13980" tabRatio="599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19" i="2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F19" i="2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19" i="2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9" i="2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9" i="2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D19" i="2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9" i="2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19" i="4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L19" i="4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AF19" i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9" i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4" i="1" s="1"/>
  <c r="AB16" i="1" s="1"/>
  <c r="AB17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9" i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9" i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19" i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9" i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9" i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9" i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9" i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9" i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19" i="5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H19" i="3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9" i="3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9" i="3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9" i="3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9" i="4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9" i="4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N19" i="4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J19" i="4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C19" i="4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E19" i="4" l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G19" i="4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<sst xmlns="http://schemas.openxmlformats.org/spreadsheetml/2006/main" count="511" uniqueCount="151">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</sst>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7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tabSelected="1" zoomScale="85" zoomScaleNormal="85" workbookViewId="0">
      <pane ySplit="1" topLeftCell="A2" activePane="bottomLeft" state="frozen"/>
      <selection pane="bottomLeft" activeCell="E17" sqref="E17:K1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63010.494948</v>
      </c>
      <c r="F9" s="126">
        <v>1.27</v>
      </c>
      <c r="G9" s="36">
        <f>Gas!C10*0.9147</f>
        <v>1861.4144999999999</v>
      </c>
      <c r="H9" s="127">
        <v>3.65</v>
      </c>
      <c r="I9" s="129">
        <f>Submetering!H9+Submetering!AD9+Submetering!AE9</f>
        <v>536.00000000000011</v>
      </c>
      <c r="J9" s="129">
        <v>10.029999999999999</v>
      </c>
      <c r="K9" s="36">
        <f>ELECT.!B10</f>
        <v>200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56702.303847999996</v>
      </c>
      <c r="F10" s="126">
        <v>1.27</v>
      </c>
      <c r="G10" s="36">
        <f>Gas!C11*0.9147</f>
        <v>1378.4529</v>
      </c>
      <c r="H10" s="127">
        <v>3.65</v>
      </c>
      <c r="I10" s="129">
        <f>Submetering!H10+Submetering!AD10+Submetering!AE10</f>
        <v>496</v>
      </c>
      <c r="J10" s="129">
        <v>10.029999999999999</v>
      </c>
      <c r="K10" s="36">
        <f>ELECT.!B11</f>
        <v>220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53199.995779999997</v>
      </c>
      <c r="F11" s="126">
        <v>1.27</v>
      </c>
      <c r="G11" s="36">
        <f>Gas!C12*0.9147</f>
        <v>1182.7070999999999</v>
      </c>
      <c r="H11" s="127">
        <v>3.65</v>
      </c>
      <c r="I11" s="129">
        <f>Submetering!H11+Submetering!AD11+Submetering!AE11</f>
        <v>576</v>
      </c>
      <c r="J11" s="129">
        <v>10.029999999999999</v>
      </c>
      <c r="K11" s="36">
        <f>ELECT.!B12</f>
        <v>273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65900.717172000004</v>
      </c>
      <c r="F12" s="126">
        <v>1.27</v>
      </c>
      <c r="G12" s="36">
        <f>Gas!C13*0.9147</f>
        <v>225.93089999999998</v>
      </c>
      <c r="H12" s="127">
        <v>3.65</v>
      </c>
      <c r="I12" s="129">
        <f>Submetering!H12+Submetering!AD12+Submetering!AE12</f>
        <v>576.00000000000011</v>
      </c>
      <c r="J12" s="129">
        <v>10.029999999999999</v>
      </c>
      <c r="K12" s="36">
        <f>ELECT.!B13</f>
        <v>305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62868.755631999993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615.99999999999989</v>
      </c>
      <c r="J13" s="129">
        <v>10.029999999999999</v>
      </c>
      <c r="K13" s="36">
        <f>ELECT.!B14</f>
        <v>265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63271.310008000008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616</v>
      </c>
      <c r="J14" s="129">
        <v>10.029999999999999</v>
      </c>
      <c r="K14" s="36">
        <f>ELECT.!B15</f>
        <v>232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41940.766008000006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566</v>
      </c>
      <c r="J15" s="129">
        <v>10.029999999999999</v>
      </c>
      <c r="K15" s="36">
        <f>ELECT.!B16</f>
        <v>227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70176.075992000013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596</v>
      </c>
      <c r="J16" s="129">
        <v>10.029999999999999</v>
      </c>
      <c r="K16" s="36">
        <f>ELECT.!B17</f>
        <v>168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43757.757236000005</v>
      </c>
      <c r="F17" s="126">
        <v>1.27</v>
      </c>
      <c r="G17" s="36">
        <f>Gas!C18*0.9147</f>
        <v>570.77279999999996</v>
      </c>
      <c r="H17" s="127">
        <v>3.65</v>
      </c>
      <c r="I17" s="129">
        <f>Submetering!H17+Submetering!AD17+Submetering!AE17</f>
        <v>485.99999999999994</v>
      </c>
      <c r="J17" s="129">
        <v>10.029999999999999</v>
      </c>
      <c r="K17" s="36">
        <f>ELECT.!B18</f>
        <v>235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H1" zoomScale="85" zoomScaleNormal="85" workbookViewId="0">
      <selection activeCell="AF12" sqref="AF12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730</v>
      </c>
      <c r="F9" s="36">
        <f>Water!E10</f>
        <v>340</v>
      </c>
      <c r="G9" s="36">
        <f>Water!G10</f>
        <v>386.1</v>
      </c>
      <c r="H9" s="36">
        <f>Water!I10</f>
        <v>5.319</v>
      </c>
      <c r="I9" s="36">
        <f>ELECT.!F10</f>
        <v>10205</v>
      </c>
      <c r="J9" s="36">
        <f>ELECT.!H10</f>
        <v>55406</v>
      </c>
      <c r="K9" s="36">
        <f>ELECT.!K10</f>
        <v>12826</v>
      </c>
      <c r="L9" s="36">
        <f>ELECT.!M10</f>
        <v>6141</v>
      </c>
      <c r="M9" s="36">
        <f>ELECT.!O10</f>
        <v>3884</v>
      </c>
      <c r="N9" s="36">
        <f>ELECT.!Q10</f>
        <v>12268</v>
      </c>
      <c r="O9" s="36">
        <f>ELECT.!S10</f>
        <v>11163</v>
      </c>
      <c r="P9" s="36">
        <f>ELECT.!W10*2</f>
        <v>24484</v>
      </c>
      <c r="Q9" s="36">
        <f>ELECT.!D10</f>
        <v>480</v>
      </c>
      <c r="R9" s="129">
        <f>BTU!C10</f>
        <v>5.4480000000003201</v>
      </c>
      <c r="S9" s="129">
        <f>BTU!F10</f>
        <v>1.7960000000002765</v>
      </c>
      <c r="T9" s="129">
        <f>BTU!I10</f>
        <v>4</v>
      </c>
      <c r="U9" s="129">
        <f>BTU!O10</f>
        <v>2.430000000000291</v>
      </c>
      <c r="V9" s="129">
        <f>BTU!L10</f>
        <v>1.6399999999994179</v>
      </c>
      <c r="W9" s="129">
        <f>BTU!R10</f>
        <v>0.86000000000058208</v>
      </c>
      <c r="X9" s="34">
        <f>ELECT.!B10</f>
        <v>200</v>
      </c>
      <c r="Y9" s="34">
        <f t="shared" si="0"/>
        <v>-5155</v>
      </c>
      <c r="Z9">
        <f>'Mall, Citadel, Rotana'!C10+'Mall, Citadel, Rotana'!E10+'Mall, Citadel, Rotana'!G10+'Mall, Citadel, Rotana'!I10</f>
        <v>1387</v>
      </c>
      <c r="AA9">
        <f>'Mall, Citadel, Rotana'!K10+'Mall, Citadel, Rotana'!M10</f>
        <v>477</v>
      </c>
      <c r="AB9">
        <f>'Mall, Citadel, Rotana'!O10</f>
        <v>3</v>
      </c>
      <c r="AC9">
        <f>'Mall, Citadel, Rotana'!Q10+'Mall, Citadel, Rotana'!S10</f>
        <v>122</v>
      </c>
      <c r="AD9" s="34">
        <f t="shared" si="1"/>
        <v>69.943755800000005</v>
      </c>
      <c r="AE9" s="34">
        <f t="shared" si="2"/>
        <v>460.73724420000008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690</v>
      </c>
      <c r="F10" s="36">
        <f>Water!E11</f>
        <v>350</v>
      </c>
      <c r="G10" s="36">
        <f>Water!G11</f>
        <v>313.2</v>
      </c>
      <c r="H10" s="36">
        <f>Water!I11</f>
        <v>5.5620000000000003</v>
      </c>
      <c r="I10" s="36">
        <f>ELECT.!F11</f>
        <v>9489</v>
      </c>
      <c r="J10" s="36">
        <f>ELECT.!H11</f>
        <v>49413</v>
      </c>
      <c r="K10" s="36">
        <f>ELECT.!K11</f>
        <v>11828</v>
      </c>
      <c r="L10" s="36">
        <f>ELECT.!M11</f>
        <v>5230</v>
      </c>
      <c r="M10" s="36">
        <f>ELECT.!O11</f>
        <v>3620</v>
      </c>
      <c r="N10" s="36">
        <f>ELECT.!Q11</f>
        <v>10937</v>
      </c>
      <c r="O10" s="36">
        <f>ELECT.!S11</f>
        <v>10168</v>
      </c>
      <c r="P10" s="36">
        <f>ELECT.!W11*2</f>
        <v>21454</v>
      </c>
      <c r="Q10" s="36">
        <f>ELECT.!D11</f>
        <v>320</v>
      </c>
      <c r="R10" s="129">
        <f>BTU!C11</f>
        <v>5.0260000000016589</v>
      </c>
      <c r="S10" s="129">
        <f>BTU!F11</f>
        <v>1.3739999999997963</v>
      </c>
      <c r="T10" s="129">
        <f>BTU!I11</f>
        <v>4</v>
      </c>
      <c r="U10" s="129">
        <f>BTU!O11</f>
        <v>2.1050000000000182</v>
      </c>
      <c r="V10" s="129">
        <f>BTU!L11</f>
        <v>0.8999999999996362</v>
      </c>
      <c r="W10" s="129">
        <f>BTU!R11</f>
        <v>1.3400000000001455</v>
      </c>
      <c r="X10" s="34">
        <f>ELECT.!B11</f>
        <v>220</v>
      </c>
      <c r="Y10" s="34">
        <f t="shared" si="0"/>
        <v>-4335</v>
      </c>
      <c r="Z10">
        <f>'Mall, Citadel, Rotana'!C11+'Mall, Citadel, Rotana'!E11+'Mall, Citadel, Rotana'!G11+'Mall, Citadel, Rotana'!I11</f>
        <v>1213</v>
      </c>
      <c r="AA10">
        <f>'Mall, Citadel, Rotana'!K11+'Mall, Citadel, Rotana'!M11</f>
        <v>286</v>
      </c>
      <c r="AB10">
        <f>'Mall, Citadel, Rotana'!O11</f>
        <v>4</v>
      </c>
      <c r="AC10">
        <f>'Mall, Citadel, Rotana'!Q11+'Mall, Citadel, Rotana'!S11</f>
        <v>123</v>
      </c>
      <c r="AD10" s="34">
        <f t="shared" si="1"/>
        <v>64.639728399999996</v>
      </c>
      <c r="AE10" s="34">
        <f t="shared" si="2"/>
        <v>425.79827160000002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770</v>
      </c>
      <c r="F11" s="36">
        <f>Water!E12</f>
        <v>370</v>
      </c>
      <c r="G11" s="36">
        <f>Water!G12</f>
        <v>394.2</v>
      </c>
      <c r="H11" s="36">
        <f>Water!I12</f>
        <v>5.4269999999999996</v>
      </c>
      <c r="I11" s="36">
        <f>ELECT.!F12</f>
        <v>8807</v>
      </c>
      <c r="J11" s="36">
        <f>ELECT.!H12</f>
        <v>46559</v>
      </c>
      <c r="K11" s="36">
        <f>ELECT.!K12</f>
        <v>11126</v>
      </c>
      <c r="L11" s="36">
        <f>ELECT.!M12</f>
        <v>5691</v>
      </c>
      <c r="M11" s="36">
        <f>ELECT.!O12</f>
        <v>3444</v>
      </c>
      <c r="N11" s="36">
        <f>ELECT.!Q12</f>
        <v>10115</v>
      </c>
      <c r="O11" s="36">
        <f>ELECT.!S12</f>
        <v>9805</v>
      </c>
      <c r="P11" s="36">
        <f>ELECT.!W12*2</f>
        <v>20190</v>
      </c>
      <c r="Q11" s="36">
        <f>ELECT.!D12</f>
        <v>480</v>
      </c>
      <c r="R11" s="129">
        <f>BTU!C12</f>
        <v>5.4480000000003201</v>
      </c>
      <c r="S11" s="129">
        <f>BTU!F12</f>
        <v>1.7240000000001601</v>
      </c>
      <c r="T11" s="129">
        <f>BTU!I12</f>
        <v>4</v>
      </c>
      <c r="U11" s="129">
        <f>BTU!O12</f>
        <v>2.4809999999997672</v>
      </c>
      <c r="V11" s="129">
        <f>BTU!L12</f>
        <v>1.0600000000013097</v>
      </c>
      <c r="W11" s="129">
        <f>BTU!R12</f>
        <v>1.0799999999999272</v>
      </c>
      <c r="X11" s="34">
        <f>ELECT.!B12</f>
        <v>273</v>
      </c>
      <c r="Y11" s="34">
        <f t="shared" si="0"/>
        <v>-5005</v>
      </c>
      <c r="Z11">
        <f>'Mall, Citadel, Rotana'!C12+'Mall, Citadel, Rotana'!E12+'Mall, Citadel, Rotana'!G12+'Mall, Citadel, Rotana'!I12</f>
        <v>1209</v>
      </c>
      <c r="AA11">
        <f>'Mall, Citadel, Rotana'!K12+'Mall, Citadel, Rotana'!M12</f>
        <v>356</v>
      </c>
      <c r="AB11">
        <f>'Mall, Citadel, Rotana'!O12</f>
        <v>3</v>
      </c>
      <c r="AC11">
        <f>'Mall, Citadel, Rotana'!Q12+'Mall, Citadel, Rotana'!S12</f>
        <v>118</v>
      </c>
      <c r="AD11" s="34">
        <f t="shared" si="1"/>
        <v>75.201521400000004</v>
      </c>
      <c r="AE11" s="34">
        <f t="shared" si="2"/>
        <v>495.37147859999993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770</v>
      </c>
      <c r="F12" s="36">
        <f>Water!E13</f>
        <v>350</v>
      </c>
      <c r="G12" s="36">
        <f>Water!G13</f>
        <v>405</v>
      </c>
      <c r="H12" s="36">
        <f>Water!I13</f>
        <v>4.8869999999999996</v>
      </c>
      <c r="I12" s="36">
        <f>ELECT.!F13</f>
        <v>10368</v>
      </c>
      <c r="J12" s="36">
        <f>ELECT.!H13</f>
        <v>57569</v>
      </c>
      <c r="K12" s="36">
        <f>ELECT.!K13</f>
        <v>12866</v>
      </c>
      <c r="L12" s="36">
        <f>ELECT.!M13</f>
        <v>6517</v>
      </c>
      <c r="M12" s="36">
        <f>ELECT.!O13</f>
        <v>3662</v>
      </c>
      <c r="N12" s="36">
        <f>ELECT.!Q13</f>
        <v>12399</v>
      </c>
      <c r="O12" s="36">
        <f>ELECT.!S13</f>
        <v>12149</v>
      </c>
      <c r="P12" s="36">
        <f>ELECT.!W13*2</f>
        <v>25534</v>
      </c>
      <c r="Q12" s="36">
        <f>ELECT.!D13</f>
        <v>320</v>
      </c>
      <c r="R12" s="129">
        <f>BTU!C13</f>
        <v>4.5279999999984284</v>
      </c>
      <c r="S12" s="129">
        <f>BTU!F13</f>
        <v>0.70899999999983265</v>
      </c>
      <c r="T12" s="129">
        <f>BTU!I13</f>
        <v>4</v>
      </c>
      <c r="U12" s="129">
        <f>BTU!O13</f>
        <v>2.1500000000000909</v>
      </c>
      <c r="V12" s="129">
        <f>BTU!L13</f>
        <v>0.93999999999869033</v>
      </c>
      <c r="W12" s="129">
        <f>BTU!R13</f>
        <v>1.1399999999994179</v>
      </c>
      <c r="X12" s="34">
        <f>ELECT.!B13</f>
        <v>305</v>
      </c>
      <c r="Y12" s="34">
        <f t="shared" si="0"/>
        <v>-5190</v>
      </c>
      <c r="Z12">
        <f>'Mall, Citadel, Rotana'!C13+'Mall, Citadel, Rotana'!E13+'Mall, Citadel, Rotana'!G13+'Mall, Citadel, Rotana'!I13</f>
        <v>1046</v>
      </c>
      <c r="AA12">
        <f>'Mall, Citadel, Rotana'!K13+'Mall, Citadel, Rotana'!M13</f>
        <v>222</v>
      </c>
      <c r="AB12">
        <f>'Mall, Citadel, Rotana'!O13</f>
        <v>3</v>
      </c>
      <c r="AC12">
        <f>'Mall, Citadel, Rotana'!Q13+'Mall, Citadel, Rotana'!S13</f>
        <v>116</v>
      </c>
      <c r="AD12" s="34">
        <f t="shared" si="1"/>
        <v>75.272693400000009</v>
      </c>
      <c r="AE12" s="34">
        <f t="shared" si="2"/>
        <v>495.84030660000008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810</v>
      </c>
      <c r="F13" s="36">
        <f>Water!E14</f>
        <v>380</v>
      </c>
      <c r="G13" s="36">
        <f>Water!G14</f>
        <v>440.1</v>
      </c>
      <c r="H13" s="36">
        <f>Water!I14</f>
        <v>5.3730000000000002</v>
      </c>
      <c r="I13" s="36">
        <f>ELECT.!F14</f>
        <v>10069</v>
      </c>
      <c r="J13" s="36">
        <f>ELECT.!H14</f>
        <v>55108</v>
      </c>
      <c r="K13" s="36">
        <f>ELECT.!K14</f>
        <v>12632</v>
      </c>
      <c r="L13" s="36">
        <f>ELECT.!M14</f>
        <v>6327</v>
      </c>
      <c r="M13" s="36">
        <f>ELECT.!O14</f>
        <v>3576</v>
      </c>
      <c r="N13" s="36">
        <f>ELECT.!Q14</f>
        <v>11708</v>
      </c>
      <c r="O13" s="36">
        <f>ELECT.!S14</f>
        <v>11546</v>
      </c>
      <c r="P13" s="36">
        <f>ELECT.!W14*2</f>
        <v>24402</v>
      </c>
      <c r="Q13" s="36">
        <f>ELECT.!D14</f>
        <v>640</v>
      </c>
      <c r="R13" s="129">
        <f>BTU!C14</f>
        <v>5.8770000000004075</v>
      </c>
      <c r="S13" s="129">
        <f>BTU!F14</f>
        <v>1.0700000000006185</v>
      </c>
      <c r="T13" s="129">
        <f>BTU!I14</f>
        <v>4</v>
      </c>
      <c r="U13" s="129">
        <f>BTU!O14</f>
        <v>2.681999999999789</v>
      </c>
      <c r="V13" s="129">
        <f>BTU!L14</f>
        <v>1.1700000000000728</v>
      </c>
      <c r="W13" s="129">
        <f>BTU!R14</f>
        <v>1.3699999999998909</v>
      </c>
      <c r="X13" s="34">
        <f>ELECT.!B14</f>
        <v>265</v>
      </c>
      <c r="Y13" s="34">
        <f t="shared" si="0"/>
        <v>-5014</v>
      </c>
      <c r="Z13">
        <f>'Mall, Citadel, Rotana'!C14+'Mall, Citadel, Rotana'!E14+'Mall, Citadel, Rotana'!G14+'Mall, Citadel, Rotana'!I14</f>
        <v>1363</v>
      </c>
      <c r="AA13">
        <f>'Mall, Citadel, Rotana'!K14+'Mall, Citadel, Rotana'!M14</f>
        <v>258</v>
      </c>
      <c r="AB13">
        <f>'Mall, Citadel, Rotana'!O14</f>
        <v>3</v>
      </c>
      <c r="AC13">
        <f>'Mall, Citadel, Rotana'!Q14+'Mall, Citadel, Rotana'!S14</f>
        <v>118</v>
      </c>
      <c r="AD13" s="34">
        <f t="shared" si="1"/>
        <v>80.480638599999992</v>
      </c>
      <c r="AE13" s="34">
        <f t="shared" si="2"/>
        <v>530.14636139999993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810</v>
      </c>
      <c r="F14" s="36">
        <f>Water!E15</f>
        <v>370</v>
      </c>
      <c r="G14" s="36">
        <f>Water!G15</f>
        <v>421.2</v>
      </c>
      <c r="H14" s="36">
        <f>Water!I15</f>
        <v>5.13</v>
      </c>
      <c r="I14" s="36">
        <f>ELECT.!F15</f>
        <v>10792</v>
      </c>
      <c r="J14" s="36">
        <f>ELECT.!H15</f>
        <v>54811</v>
      </c>
      <c r="K14" s="36">
        <f>ELECT.!K15</f>
        <v>13094</v>
      </c>
      <c r="L14" s="36">
        <f>ELECT.!M15</f>
        <v>6382</v>
      </c>
      <c r="M14" s="36">
        <f>ELECT.!O15</f>
        <v>4218</v>
      </c>
      <c r="N14" s="36">
        <f>ELECT.!Q15</f>
        <v>11888</v>
      </c>
      <c r="O14" s="36">
        <f>ELECT.!S15</f>
        <v>11594</v>
      </c>
      <c r="P14" s="36">
        <f>ELECT.!W15*2</f>
        <v>23668</v>
      </c>
      <c r="Q14" s="36">
        <f>ELECT.!D15</f>
        <v>480</v>
      </c>
      <c r="R14" s="129">
        <f>BTU!C15</f>
        <v>4.977999999999156</v>
      </c>
      <c r="S14" s="129">
        <f>BTU!F15</f>
        <v>1.126999999999498</v>
      </c>
      <c r="T14" s="129">
        <f>BTU!I15</f>
        <v>4</v>
      </c>
      <c r="U14" s="129">
        <f>BTU!O15</f>
        <v>2.0300000000002001</v>
      </c>
      <c r="V14" s="129">
        <f>BTU!L15</f>
        <v>0.81000000000130967</v>
      </c>
      <c r="W14" s="129">
        <f>BTU!R15</f>
        <v>1.410000000000764</v>
      </c>
      <c r="X14" s="34">
        <f>ELECT.!B15</f>
        <v>232</v>
      </c>
      <c r="Y14" s="34">
        <f t="shared" si="0"/>
        <v>-5241</v>
      </c>
      <c r="Z14">
        <f>'Mall, Citadel, Rotana'!C15+'Mall, Citadel, Rotana'!E15+'Mall, Citadel, Rotana'!G15+'Mall, Citadel, Rotana'!I15</f>
        <v>1214</v>
      </c>
      <c r="AA14">
        <f>'Mall, Citadel, Rotana'!K15+'Mall, Citadel, Rotana'!M15</f>
        <v>343</v>
      </c>
      <c r="AB14">
        <f>'Mall, Citadel, Rotana'!O15</f>
        <v>4</v>
      </c>
      <c r="AC14">
        <f>'Mall, Citadel, Rotana'!Q15+'Mall, Citadel, Rotana'!S15</f>
        <v>167</v>
      </c>
      <c r="AD14" s="34">
        <f t="shared" si="1"/>
        <v>80.512665999999996</v>
      </c>
      <c r="AE14" s="34">
        <f t="shared" si="2"/>
        <v>530.35733400000004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760</v>
      </c>
      <c r="F15" s="36">
        <f>Water!E16</f>
        <v>370</v>
      </c>
      <c r="G15" s="36">
        <f>Water!G16</f>
        <v>359.1</v>
      </c>
      <c r="H15" s="36">
        <f>Water!I16</f>
        <v>5.2379999999999995</v>
      </c>
      <c r="I15" s="36">
        <f>ELECT.!F16</f>
        <v>7613</v>
      </c>
      <c r="J15" s="36">
        <f>ELECT.!H16</f>
        <v>36473</v>
      </c>
      <c r="K15" s="36">
        <f>ELECT.!K16</f>
        <v>7978</v>
      </c>
      <c r="L15" s="36">
        <f>ELECT.!M16</f>
        <v>4802</v>
      </c>
      <c r="M15" s="36">
        <f>ELECT.!O16</f>
        <v>2678</v>
      </c>
      <c r="N15" s="36">
        <f>ELECT.!Q16</f>
        <v>7777</v>
      </c>
      <c r="O15" s="36">
        <f>ELECT.!S16</f>
        <v>7938</v>
      </c>
      <c r="P15" s="36">
        <f>ELECT.!W16*2</f>
        <v>16024</v>
      </c>
      <c r="Q15" s="36">
        <f>ELECT.!D16</f>
        <v>640</v>
      </c>
      <c r="R15" s="129">
        <f>BTU!C16</f>
        <v>7.2100000000027649</v>
      </c>
      <c r="S15" s="129">
        <f>BTU!F16</f>
        <v>2.1199999999998909</v>
      </c>
      <c r="T15" s="129">
        <f>BTU!I16</f>
        <v>5</v>
      </c>
      <c r="U15" s="129">
        <f>BTU!O16</f>
        <v>2.8949999999999818</v>
      </c>
      <c r="V15" s="129">
        <f>BTU!L16</f>
        <v>1.3599999999987631</v>
      </c>
      <c r="W15" s="129">
        <f>BTU!R16</f>
        <v>1.9299999999993815</v>
      </c>
      <c r="X15" s="34">
        <f>ELECT.!B16</f>
        <v>227</v>
      </c>
      <c r="Y15" s="34">
        <f t="shared" si="0"/>
        <v>-3111</v>
      </c>
      <c r="Z15">
        <f>'Mall, Citadel, Rotana'!C16+'Mall, Citadel, Rotana'!E16+'Mall, Citadel, Rotana'!G16+'Mall, Citadel, Rotana'!I16</f>
        <v>1372</v>
      </c>
      <c r="AA15">
        <f>'Mall, Citadel, Rotana'!K16+'Mall, Citadel, Rotana'!M16</f>
        <v>356</v>
      </c>
      <c r="AB15">
        <f>'Mall, Citadel, Rotana'!O16</f>
        <v>3</v>
      </c>
      <c r="AC15">
        <f>'Mall, Citadel, Rotana'!Q16+'Mall, Citadel, Rotana'!S16</f>
        <v>52</v>
      </c>
      <c r="AD15" s="34">
        <f t="shared" si="1"/>
        <v>73.908431599999986</v>
      </c>
      <c r="AE15" s="34">
        <f t="shared" si="2"/>
        <v>486.85356839999997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790</v>
      </c>
      <c r="F16" s="36">
        <f>Water!E17</f>
        <v>380</v>
      </c>
      <c r="G16" s="36">
        <f>Water!G17</f>
        <v>399.6</v>
      </c>
      <c r="H16" s="36">
        <f>Water!I17</f>
        <v>4.8600000000000003</v>
      </c>
      <c r="I16" s="36">
        <f>ELECT.!F17</f>
        <v>11974</v>
      </c>
      <c r="J16" s="36">
        <f>ELECT.!H17</f>
        <v>60837</v>
      </c>
      <c r="K16" s="36">
        <f>ELECT.!K17</f>
        <v>11386</v>
      </c>
      <c r="L16" s="36">
        <f>ELECT.!M17</f>
        <v>7740</v>
      </c>
      <c r="M16" s="36">
        <f>ELECT.!O17</f>
        <v>4032</v>
      </c>
      <c r="N16" s="36">
        <f>ELECT.!Q17</f>
        <v>12062</v>
      </c>
      <c r="O16" s="36">
        <f>ELECT.!S17</f>
        <v>13664</v>
      </c>
      <c r="P16" s="36">
        <f>ELECT.!W17*2</f>
        <v>28174</v>
      </c>
      <c r="Q16" s="36">
        <f>ELECT.!D17</f>
        <v>480</v>
      </c>
      <c r="R16" s="129">
        <f>BTU!C17</f>
        <v>4.3400000000001455</v>
      </c>
      <c r="S16" s="129">
        <f>BTU!F17</f>
        <v>1.149000000000342</v>
      </c>
      <c r="T16" s="129">
        <f>BTU!I17</f>
        <v>3</v>
      </c>
      <c r="U16" s="129">
        <f>BTU!O17</f>
        <v>2.0230000000001382</v>
      </c>
      <c r="V16" s="129">
        <f>BTU!L17</f>
        <v>0.67000000000007276</v>
      </c>
      <c r="W16" s="129">
        <f>BTU!R17</f>
        <v>0.64000000000032742</v>
      </c>
      <c r="X16" s="34">
        <f>ELECT.!B17</f>
        <v>168</v>
      </c>
      <c r="Y16" s="34">
        <f t="shared" si="0"/>
        <v>-4247</v>
      </c>
      <c r="Z16">
        <f>'Mall, Citadel, Rotana'!C17+'Mall, Citadel, Rotana'!E17+'Mall, Citadel, Rotana'!G17+'Mall, Citadel, Rotana'!I17</f>
        <v>1389</v>
      </c>
      <c r="AA16">
        <f>'Mall, Citadel, Rotana'!K17+'Mall, Citadel, Rotana'!M17</f>
        <v>427</v>
      </c>
      <c r="AB16">
        <f>'Mall, Citadel, Rotana'!O17</f>
        <v>4</v>
      </c>
      <c r="AC16">
        <f>'Mall, Citadel, Rotana'!Q17+'Mall, Citadel, Rotana'!S17</f>
        <v>120</v>
      </c>
      <c r="AD16" s="34">
        <f t="shared" si="1"/>
        <v>77.912251999999995</v>
      </c>
      <c r="AE16" s="34">
        <f t="shared" si="2"/>
        <v>513.22774800000002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680</v>
      </c>
      <c r="F17" s="36">
        <f>Water!E18</f>
        <v>360</v>
      </c>
      <c r="G17" s="36">
        <f>Water!G18</f>
        <v>318.60000000000002</v>
      </c>
      <c r="H17" s="36">
        <f>Water!I18</f>
        <v>4.7249999999999996</v>
      </c>
      <c r="I17" s="36">
        <f>ELECT.!F18</f>
        <v>7831</v>
      </c>
      <c r="J17" s="36">
        <f>ELECT.!H18</f>
        <v>38265</v>
      </c>
      <c r="K17" s="36">
        <f>ELECT.!K18</f>
        <v>7466</v>
      </c>
      <c r="L17" s="36">
        <f>ELECT.!M18</f>
        <v>4982</v>
      </c>
      <c r="M17" s="36">
        <f>ELECT.!O18</f>
        <v>1914</v>
      </c>
      <c r="N17" s="36">
        <f>ELECT.!Q18</f>
        <v>7903</v>
      </c>
      <c r="O17" s="36">
        <f>ELECT.!S18</f>
        <v>8109</v>
      </c>
      <c r="P17" s="36">
        <f>ELECT.!W18*2</f>
        <v>17070</v>
      </c>
      <c r="Q17" s="36">
        <f>ELECT.!D18</f>
        <v>480</v>
      </c>
      <c r="R17" s="129">
        <f>BTU!C18</f>
        <v>5.4879999999975553</v>
      </c>
      <c r="S17" s="129">
        <f>BTU!F18</f>
        <v>1.6459999999997308</v>
      </c>
      <c r="T17" s="129">
        <f>BTU!I18</f>
        <v>5</v>
      </c>
      <c r="U17" s="129">
        <f>BTU!O18</f>
        <v>2.8219999999996617</v>
      </c>
      <c r="V17" s="129">
        <f>BTU!L18</f>
        <v>0.93000000000029104</v>
      </c>
      <c r="W17" s="129">
        <f>BTU!R18</f>
        <v>1.0299999999997453</v>
      </c>
      <c r="X17" s="34">
        <f>ELECT.!B18</f>
        <v>235</v>
      </c>
      <c r="Y17" s="34">
        <f t="shared" si="0"/>
        <v>-1348</v>
      </c>
      <c r="Z17">
        <f>'Mall, Citadel, Rotana'!C18+'Mall, Citadel, Rotana'!E18+'Mall, Citadel, Rotana'!G18+'Mall, Citadel, Rotana'!I18</f>
        <v>1205</v>
      </c>
      <c r="AA17">
        <f>'Mall, Citadel, Rotana'!K18+'Mall, Citadel, Rotana'!M18</f>
        <v>345</v>
      </c>
      <c r="AB17">
        <f>'Mall, Citadel, Rotana'!O18</f>
        <v>2</v>
      </c>
      <c r="AC17">
        <f>'Mall, Citadel, Rotana'!Q18+'Mall, Citadel, Rotana'!S18</f>
        <v>352</v>
      </c>
      <c r="AD17" s="34">
        <f t="shared" si="1"/>
        <v>63.432044999999995</v>
      </c>
      <c r="AE17" s="34">
        <f t="shared" si="2"/>
        <v>417.84295499999996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V18" sqref="V18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v>47828</v>
      </c>
      <c r="C10" s="14">
        <f t="shared" si="3"/>
        <v>800</v>
      </c>
      <c r="D10" s="32">
        <v>41124</v>
      </c>
      <c r="E10" s="14">
        <f t="shared" si="4"/>
        <v>480</v>
      </c>
      <c r="F10" s="32">
        <v>22264</v>
      </c>
      <c r="G10" s="14">
        <f t="shared" si="5"/>
        <v>80</v>
      </c>
      <c r="H10" s="32">
        <v>260034</v>
      </c>
      <c r="I10" s="14">
        <f t="shared" si="6"/>
        <v>27</v>
      </c>
      <c r="J10" s="32">
        <v>341672</v>
      </c>
      <c r="K10" s="14">
        <f t="shared" si="7"/>
        <v>237</v>
      </c>
      <c r="L10" s="32">
        <v>26664</v>
      </c>
      <c r="M10" s="14">
        <f t="shared" si="8"/>
        <v>240</v>
      </c>
      <c r="N10" s="32">
        <v>226550</v>
      </c>
      <c r="O10" s="14">
        <f t="shared" si="9"/>
        <v>3</v>
      </c>
      <c r="P10" s="32">
        <v>177937</v>
      </c>
      <c r="Q10" s="14">
        <f t="shared" si="2"/>
        <v>122</v>
      </c>
      <c r="R10" s="1">
        <f t="shared" si="11"/>
        <v>55047</v>
      </c>
      <c r="S10" s="14">
        <f>R10-R9</f>
        <v>0</v>
      </c>
      <c r="T10" s="32">
        <v>4090</v>
      </c>
      <c r="U10" s="14">
        <f t="shared" si="10"/>
        <v>160</v>
      </c>
    </row>
    <row r="11" spans="1:24" ht="13.5" thickBot="1" x14ac:dyDescent="0.25">
      <c r="A11" s="9">
        <v>44874</v>
      </c>
      <c r="B11" s="32">
        <v>47832</v>
      </c>
      <c r="C11" s="14">
        <f t="shared" si="3"/>
        <v>640</v>
      </c>
      <c r="D11" s="32">
        <v>41127</v>
      </c>
      <c r="E11" s="14">
        <f t="shared" si="4"/>
        <v>480</v>
      </c>
      <c r="F11" s="32">
        <v>22267</v>
      </c>
      <c r="G11" s="14">
        <f t="shared" si="5"/>
        <v>60</v>
      </c>
      <c r="H11" s="32">
        <v>260067</v>
      </c>
      <c r="I11" s="14">
        <f t="shared" si="6"/>
        <v>33</v>
      </c>
      <c r="J11" s="32">
        <v>341778</v>
      </c>
      <c r="K11" s="14">
        <f t="shared" si="7"/>
        <v>106</v>
      </c>
      <c r="L11" s="32">
        <v>26667</v>
      </c>
      <c r="M11" s="14">
        <f t="shared" si="8"/>
        <v>180</v>
      </c>
      <c r="N11" s="32">
        <v>226554</v>
      </c>
      <c r="O11" s="14">
        <f t="shared" si="9"/>
        <v>4</v>
      </c>
      <c r="P11" s="32">
        <v>178060</v>
      </c>
      <c r="Q11" s="14">
        <f t="shared" si="2"/>
        <v>123</v>
      </c>
      <c r="R11" s="1">
        <f t="shared" si="11"/>
        <v>55047</v>
      </c>
      <c r="S11" s="14">
        <f t="shared" si="12"/>
        <v>0</v>
      </c>
      <c r="T11" s="32">
        <v>4091</v>
      </c>
      <c r="U11" s="14">
        <f t="shared" si="10"/>
        <v>160</v>
      </c>
    </row>
    <row r="12" spans="1:24" ht="13.5" thickBot="1" x14ac:dyDescent="0.25">
      <c r="A12" s="9">
        <v>44875</v>
      </c>
      <c r="B12" s="32">
        <v>47836</v>
      </c>
      <c r="C12" s="14">
        <f t="shared" si="3"/>
        <v>640</v>
      </c>
      <c r="D12" s="32">
        <v>41130</v>
      </c>
      <c r="E12" s="14">
        <f t="shared" si="4"/>
        <v>480</v>
      </c>
      <c r="F12" s="32">
        <v>22270</v>
      </c>
      <c r="G12" s="14">
        <f t="shared" si="5"/>
        <v>60</v>
      </c>
      <c r="H12" s="32">
        <v>260096</v>
      </c>
      <c r="I12" s="14">
        <f t="shared" si="6"/>
        <v>29</v>
      </c>
      <c r="J12" s="32">
        <v>341954</v>
      </c>
      <c r="K12" s="14">
        <f t="shared" si="7"/>
        <v>176</v>
      </c>
      <c r="L12" s="32">
        <v>26670</v>
      </c>
      <c r="M12" s="14">
        <f t="shared" si="8"/>
        <v>180</v>
      </c>
      <c r="N12" s="32">
        <v>226557</v>
      </c>
      <c r="O12" s="14">
        <f t="shared" si="9"/>
        <v>3</v>
      </c>
      <c r="P12" s="32">
        <v>178178</v>
      </c>
      <c r="Q12" s="14">
        <f t="shared" si="2"/>
        <v>118</v>
      </c>
      <c r="R12" s="1">
        <f t="shared" si="11"/>
        <v>55047</v>
      </c>
      <c r="S12" s="14">
        <f t="shared" si="12"/>
        <v>0</v>
      </c>
      <c r="T12" s="32">
        <v>4091</v>
      </c>
      <c r="U12" s="14">
        <f t="shared" si="10"/>
        <v>0</v>
      </c>
    </row>
    <row r="13" spans="1:24" ht="13.5" thickBot="1" x14ac:dyDescent="0.25">
      <c r="A13" s="9">
        <v>44876</v>
      </c>
      <c r="B13" s="32">
        <v>47840</v>
      </c>
      <c r="C13" s="14">
        <f t="shared" si="3"/>
        <v>640</v>
      </c>
      <c r="D13" s="32">
        <v>41132</v>
      </c>
      <c r="E13" s="14">
        <f t="shared" si="4"/>
        <v>320</v>
      </c>
      <c r="F13" s="32">
        <v>22274</v>
      </c>
      <c r="G13" s="14">
        <f t="shared" si="5"/>
        <v>80</v>
      </c>
      <c r="H13" s="32">
        <v>260102</v>
      </c>
      <c r="I13" s="14">
        <f t="shared" si="6"/>
        <v>6</v>
      </c>
      <c r="J13" s="32">
        <v>342056</v>
      </c>
      <c r="K13" s="14">
        <f t="shared" si="7"/>
        <v>102</v>
      </c>
      <c r="L13" s="32">
        <v>26672</v>
      </c>
      <c r="M13" s="14">
        <f t="shared" si="8"/>
        <v>120</v>
      </c>
      <c r="N13" s="32">
        <v>226560</v>
      </c>
      <c r="O13" s="14">
        <f t="shared" si="9"/>
        <v>3</v>
      </c>
      <c r="P13" s="32">
        <v>178294</v>
      </c>
      <c r="Q13" s="14">
        <f t="shared" si="2"/>
        <v>116</v>
      </c>
      <c r="R13" s="1">
        <f t="shared" si="11"/>
        <v>55047</v>
      </c>
      <c r="S13" s="14">
        <f t="shared" si="12"/>
        <v>0</v>
      </c>
      <c r="T13" s="32">
        <v>4091</v>
      </c>
      <c r="U13" s="14">
        <f t="shared" si="10"/>
        <v>0</v>
      </c>
    </row>
    <row r="14" spans="1:24" ht="13.5" thickBot="1" x14ac:dyDescent="0.25">
      <c r="A14" s="9">
        <v>44877</v>
      </c>
      <c r="B14" s="32">
        <v>47845</v>
      </c>
      <c r="C14" s="14">
        <f t="shared" si="3"/>
        <v>800</v>
      </c>
      <c r="D14" s="32">
        <v>41135</v>
      </c>
      <c r="E14" s="14">
        <f t="shared" si="4"/>
        <v>480</v>
      </c>
      <c r="F14" s="32">
        <v>22277</v>
      </c>
      <c r="G14" s="14">
        <f t="shared" si="5"/>
        <v>60</v>
      </c>
      <c r="H14" s="32">
        <v>260125</v>
      </c>
      <c r="I14" s="14">
        <f t="shared" si="6"/>
        <v>23</v>
      </c>
      <c r="J14" s="32">
        <v>342194</v>
      </c>
      <c r="K14" s="14">
        <f t="shared" si="7"/>
        <v>138</v>
      </c>
      <c r="L14" s="32">
        <v>26674</v>
      </c>
      <c r="M14" s="14">
        <f t="shared" si="8"/>
        <v>120</v>
      </c>
      <c r="N14" s="32">
        <v>226563</v>
      </c>
      <c r="O14" s="14">
        <f t="shared" si="9"/>
        <v>3</v>
      </c>
      <c r="P14" s="32">
        <v>178412</v>
      </c>
      <c r="Q14" s="14">
        <f t="shared" si="2"/>
        <v>118</v>
      </c>
      <c r="R14" s="1">
        <f t="shared" si="11"/>
        <v>55047</v>
      </c>
      <c r="S14" s="14">
        <v>0</v>
      </c>
      <c r="T14" s="32">
        <v>4092</v>
      </c>
      <c r="U14" s="14">
        <f t="shared" si="10"/>
        <v>160</v>
      </c>
    </row>
    <row r="15" spans="1:24" ht="13.5" thickBot="1" x14ac:dyDescent="0.25">
      <c r="A15" s="9">
        <v>44878</v>
      </c>
      <c r="B15" s="32">
        <v>47849</v>
      </c>
      <c r="C15" s="14">
        <f t="shared" si="3"/>
        <v>640</v>
      </c>
      <c r="D15" s="32">
        <v>41138</v>
      </c>
      <c r="E15" s="14">
        <f t="shared" si="4"/>
        <v>480</v>
      </c>
      <c r="F15" s="32">
        <v>22280</v>
      </c>
      <c r="G15" s="14">
        <f t="shared" si="5"/>
        <v>60</v>
      </c>
      <c r="H15" s="32">
        <v>260159</v>
      </c>
      <c r="I15" s="14">
        <f t="shared" si="6"/>
        <v>34</v>
      </c>
      <c r="J15" s="32">
        <v>342357</v>
      </c>
      <c r="K15" s="14">
        <f t="shared" si="7"/>
        <v>163</v>
      </c>
      <c r="L15" s="32">
        <v>26677</v>
      </c>
      <c r="M15" s="14">
        <f t="shared" si="8"/>
        <v>180</v>
      </c>
      <c r="N15" s="32">
        <v>226567</v>
      </c>
      <c r="O15" s="14">
        <f t="shared" si="9"/>
        <v>4</v>
      </c>
      <c r="P15" s="32">
        <v>178579</v>
      </c>
      <c r="Q15" s="14">
        <f t="shared" si="2"/>
        <v>167</v>
      </c>
      <c r="R15" s="1">
        <f t="shared" si="11"/>
        <v>55047</v>
      </c>
      <c r="S15" s="14">
        <v>0</v>
      </c>
      <c r="T15" s="32">
        <v>4093</v>
      </c>
      <c r="U15" s="14">
        <f t="shared" si="10"/>
        <v>160</v>
      </c>
      <c r="X15" t="s">
        <v>12</v>
      </c>
    </row>
    <row r="16" spans="1:24" ht="13.5" thickBot="1" x14ac:dyDescent="0.25">
      <c r="A16" s="9">
        <v>44879</v>
      </c>
      <c r="B16" s="32">
        <v>47854</v>
      </c>
      <c r="C16" s="14">
        <f t="shared" si="3"/>
        <v>800</v>
      </c>
      <c r="D16" s="32">
        <v>41141</v>
      </c>
      <c r="E16" s="14">
        <f t="shared" si="4"/>
        <v>480</v>
      </c>
      <c r="F16" s="32">
        <v>22283</v>
      </c>
      <c r="G16" s="14">
        <f t="shared" si="5"/>
        <v>60</v>
      </c>
      <c r="H16" s="32">
        <v>260191</v>
      </c>
      <c r="I16" s="14">
        <f t="shared" si="6"/>
        <v>32</v>
      </c>
      <c r="J16" s="32">
        <v>342533</v>
      </c>
      <c r="K16" s="14">
        <f t="shared" si="7"/>
        <v>176</v>
      </c>
      <c r="L16" s="32">
        <v>26680</v>
      </c>
      <c r="M16" s="14">
        <f t="shared" si="8"/>
        <v>180</v>
      </c>
      <c r="N16" s="32">
        <v>226570</v>
      </c>
      <c r="O16" s="14">
        <f t="shared" si="9"/>
        <v>3</v>
      </c>
      <c r="P16" s="32">
        <v>178631</v>
      </c>
      <c r="Q16" s="14">
        <f t="shared" si="2"/>
        <v>52</v>
      </c>
      <c r="R16" s="1">
        <f t="shared" si="11"/>
        <v>55047</v>
      </c>
      <c r="S16" s="14">
        <f t="shared" si="12"/>
        <v>0</v>
      </c>
      <c r="T16" s="32">
        <v>4094</v>
      </c>
      <c r="U16" s="14">
        <f t="shared" si="10"/>
        <v>160</v>
      </c>
      <c r="W16" t="s">
        <v>12</v>
      </c>
    </row>
    <row r="17" spans="1:23" ht="13.5" thickBot="1" x14ac:dyDescent="0.25">
      <c r="A17" s="9">
        <v>44880</v>
      </c>
      <c r="B17" s="32">
        <v>47859</v>
      </c>
      <c r="C17" s="14">
        <f t="shared" si="3"/>
        <v>800</v>
      </c>
      <c r="D17" s="32">
        <v>41144</v>
      </c>
      <c r="E17" s="14">
        <f t="shared" si="4"/>
        <v>480</v>
      </c>
      <c r="F17" s="32">
        <v>22287</v>
      </c>
      <c r="G17" s="14">
        <f t="shared" si="5"/>
        <v>80</v>
      </c>
      <c r="H17" s="32">
        <v>260220</v>
      </c>
      <c r="I17" s="14">
        <f t="shared" si="6"/>
        <v>29</v>
      </c>
      <c r="J17" s="32">
        <v>342720</v>
      </c>
      <c r="K17" s="14">
        <f t="shared" si="7"/>
        <v>187</v>
      </c>
      <c r="L17" s="32">
        <v>26684</v>
      </c>
      <c r="M17" s="14">
        <f t="shared" si="8"/>
        <v>240</v>
      </c>
      <c r="N17" s="32">
        <v>226574</v>
      </c>
      <c r="O17" s="14">
        <f t="shared" si="9"/>
        <v>4</v>
      </c>
      <c r="P17" s="32">
        <v>178751</v>
      </c>
      <c r="Q17" s="14">
        <f t="shared" si="2"/>
        <v>120</v>
      </c>
      <c r="R17" s="1">
        <f t="shared" si="11"/>
        <v>55047</v>
      </c>
      <c r="S17" s="14">
        <f>S16</f>
        <v>0</v>
      </c>
      <c r="T17" s="32">
        <v>4095</v>
      </c>
      <c r="U17" s="14">
        <f t="shared" si="10"/>
        <v>160</v>
      </c>
    </row>
    <row r="18" spans="1:23" ht="13.5" thickBot="1" x14ac:dyDescent="0.25">
      <c r="A18" s="9">
        <v>44881</v>
      </c>
      <c r="B18" s="32">
        <v>47863</v>
      </c>
      <c r="C18" s="14">
        <f t="shared" si="3"/>
        <v>640</v>
      </c>
      <c r="D18" s="32">
        <v>41147</v>
      </c>
      <c r="E18" s="14">
        <f t="shared" si="4"/>
        <v>480</v>
      </c>
      <c r="F18" s="32">
        <v>22290</v>
      </c>
      <c r="G18" s="14">
        <f t="shared" si="5"/>
        <v>60</v>
      </c>
      <c r="H18" s="32">
        <v>260245</v>
      </c>
      <c r="I18" s="14">
        <f t="shared" si="6"/>
        <v>25</v>
      </c>
      <c r="J18" s="32">
        <v>342885</v>
      </c>
      <c r="K18" s="14">
        <f t="shared" si="7"/>
        <v>165</v>
      </c>
      <c r="L18" s="32">
        <v>26687</v>
      </c>
      <c r="M18" s="14">
        <f t="shared" si="8"/>
        <v>180</v>
      </c>
      <c r="N18" s="32">
        <v>226576</v>
      </c>
      <c r="O18" s="14">
        <f t="shared" si="9"/>
        <v>2</v>
      </c>
      <c r="P18" s="32">
        <v>179103</v>
      </c>
      <c r="Q18" s="14">
        <f t="shared" si="2"/>
        <v>352</v>
      </c>
      <c r="R18" s="1">
        <v>55047</v>
      </c>
      <c r="S18" s="14">
        <f t="shared" si="12"/>
        <v>0</v>
      </c>
      <c r="T18" s="32">
        <v>4095</v>
      </c>
      <c r="U18" s="14">
        <f t="shared" si="10"/>
        <v>0</v>
      </c>
    </row>
    <row r="19" spans="1:23" ht="13.5" thickBot="1" x14ac:dyDescent="0.25">
      <c r="A19" s="9">
        <v>44882</v>
      </c>
      <c r="B19" s="32">
        <f t="shared" ref="B18:B32" si="14">B18</f>
        <v>47863</v>
      </c>
      <c r="C19" s="14">
        <f t="shared" si="3"/>
        <v>0</v>
      </c>
      <c r="D19" s="32">
        <f t="shared" ref="D18:D32" si="15">D18</f>
        <v>41147</v>
      </c>
      <c r="E19" s="14">
        <f t="shared" si="4"/>
        <v>0</v>
      </c>
      <c r="F19" s="32">
        <f t="shared" ref="F18:F32" si="16">F18</f>
        <v>22290</v>
      </c>
      <c r="G19" s="14">
        <f t="shared" si="5"/>
        <v>0</v>
      </c>
      <c r="H19" s="32">
        <f t="shared" ref="H18:H32" si="17">H18</f>
        <v>260245</v>
      </c>
      <c r="I19" s="14">
        <f t="shared" si="6"/>
        <v>0</v>
      </c>
      <c r="J19" s="32">
        <f t="shared" ref="J18:J32" si="18">J18</f>
        <v>342885</v>
      </c>
      <c r="K19" s="14">
        <f t="shared" si="7"/>
        <v>0</v>
      </c>
      <c r="L19" s="32">
        <f t="shared" ref="L18:L32" si="19">L18</f>
        <v>26687</v>
      </c>
      <c r="M19" s="14">
        <f t="shared" si="8"/>
        <v>0</v>
      </c>
      <c r="N19" s="32">
        <f t="shared" ref="N18:N32" si="20">N18</f>
        <v>226576</v>
      </c>
      <c r="O19" s="14">
        <f t="shared" si="9"/>
        <v>0</v>
      </c>
      <c r="P19" s="32">
        <f t="shared" ref="P18:P32" si="21">P18</f>
        <v>179103</v>
      </c>
      <c r="Q19" s="14">
        <f t="shared" si="2"/>
        <v>0</v>
      </c>
      <c r="R19" s="1">
        <f t="shared" si="11"/>
        <v>55047</v>
      </c>
      <c r="S19" s="14">
        <f t="shared" si="12"/>
        <v>0</v>
      </c>
      <c r="T19" s="32">
        <f t="shared" si="13"/>
        <v>4095</v>
      </c>
      <c r="U19" s="14">
        <f t="shared" si="10"/>
        <v>0</v>
      </c>
      <c r="W19" t="s">
        <v>12</v>
      </c>
    </row>
    <row r="20" spans="1:23" ht="13.5" thickBot="1" x14ac:dyDescent="0.25">
      <c r="A20" s="9">
        <v>44883</v>
      </c>
      <c r="B20" s="32">
        <f t="shared" si="14"/>
        <v>47863</v>
      </c>
      <c r="C20" s="14">
        <f t="shared" si="3"/>
        <v>0</v>
      </c>
      <c r="D20" s="32">
        <f t="shared" si="15"/>
        <v>41147</v>
      </c>
      <c r="E20" s="14">
        <f t="shared" si="4"/>
        <v>0</v>
      </c>
      <c r="F20" s="32">
        <f t="shared" si="16"/>
        <v>22290</v>
      </c>
      <c r="G20" s="14">
        <f t="shared" si="5"/>
        <v>0</v>
      </c>
      <c r="H20" s="32">
        <f t="shared" si="17"/>
        <v>260245</v>
      </c>
      <c r="I20" s="14">
        <f t="shared" si="6"/>
        <v>0</v>
      </c>
      <c r="J20" s="32">
        <f t="shared" si="18"/>
        <v>342885</v>
      </c>
      <c r="K20" s="14">
        <f t="shared" si="7"/>
        <v>0</v>
      </c>
      <c r="L20" s="32">
        <f t="shared" si="19"/>
        <v>26687</v>
      </c>
      <c r="M20" s="14">
        <f t="shared" si="8"/>
        <v>0</v>
      </c>
      <c r="N20" s="32">
        <f t="shared" si="20"/>
        <v>226576</v>
      </c>
      <c r="O20" s="14">
        <f t="shared" si="9"/>
        <v>0</v>
      </c>
      <c r="P20" s="32">
        <f t="shared" si="21"/>
        <v>179103</v>
      </c>
      <c r="Q20" s="14">
        <f t="shared" si="2"/>
        <v>0</v>
      </c>
      <c r="R20" s="1">
        <f t="shared" si="11"/>
        <v>55047</v>
      </c>
      <c r="S20" s="14">
        <f t="shared" si="12"/>
        <v>0</v>
      </c>
      <c r="T20" s="32">
        <f t="shared" si="13"/>
        <v>4095</v>
      </c>
      <c r="U20" s="14">
        <f t="shared" si="10"/>
        <v>0</v>
      </c>
    </row>
    <row r="21" spans="1:23" ht="13.5" thickBot="1" x14ac:dyDescent="0.25">
      <c r="A21" s="9">
        <v>44884</v>
      </c>
      <c r="B21" s="32">
        <f t="shared" si="14"/>
        <v>47863</v>
      </c>
      <c r="C21" s="14">
        <f t="shared" si="3"/>
        <v>0</v>
      </c>
      <c r="D21" s="32">
        <f t="shared" si="15"/>
        <v>41147</v>
      </c>
      <c r="E21" s="14">
        <f t="shared" si="4"/>
        <v>0</v>
      </c>
      <c r="F21" s="32">
        <f t="shared" si="16"/>
        <v>22290</v>
      </c>
      <c r="G21" s="14">
        <f t="shared" si="5"/>
        <v>0</v>
      </c>
      <c r="H21" s="32">
        <f t="shared" si="17"/>
        <v>260245</v>
      </c>
      <c r="I21" s="14">
        <f t="shared" si="6"/>
        <v>0</v>
      </c>
      <c r="J21" s="32">
        <f t="shared" si="18"/>
        <v>342885</v>
      </c>
      <c r="K21" s="14">
        <f t="shared" si="7"/>
        <v>0</v>
      </c>
      <c r="L21" s="32">
        <f t="shared" si="19"/>
        <v>26687</v>
      </c>
      <c r="M21" s="14">
        <f t="shared" si="8"/>
        <v>0</v>
      </c>
      <c r="N21" s="32">
        <f t="shared" si="20"/>
        <v>226576</v>
      </c>
      <c r="O21" s="14">
        <f t="shared" si="9"/>
        <v>0</v>
      </c>
      <c r="P21" s="32">
        <f t="shared" si="21"/>
        <v>179103</v>
      </c>
      <c r="Q21" s="14">
        <f t="shared" si="2"/>
        <v>0</v>
      </c>
      <c r="R21" s="1">
        <f t="shared" si="11"/>
        <v>55047</v>
      </c>
      <c r="S21" s="14">
        <f t="shared" si="12"/>
        <v>0</v>
      </c>
      <c r="T21" s="32">
        <f t="shared" si="13"/>
        <v>4095</v>
      </c>
      <c r="U21" s="14">
        <f t="shared" si="10"/>
        <v>0</v>
      </c>
    </row>
    <row r="22" spans="1:23" ht="13.5" thickBot="1" x14ac:dyDescent="0.25">
      <c r="A22" s="9">
        <v>44885</v>
      </c>
      <c r="B22" s="32">
        <f t="shared" si="14"/>
        <v>47863</v>
      </c>
      <c r="C22" s="14">
        <f t="shared" si="3"/>
        <v>0</v>
      </c>
      <c r="D22" s="32">
        <f t="shared" si="15"/>
        <v>41147</v>
      </c>
      <c r="E22" s="14">
        <f t="shared" si="4"/>
        <v>0</v>
      </c>
      <c r="F22" s="32">
        <f t="shared" si="16"/>
        <v>22290</v>
      </c>
      <c r="G22" s="14">
        <f t="shared" si="5"/>
        <v>0</v>
      </c>
      <c r="H22" s="32">
        <f t="shared" si="17"/>
        <v>260245</v>
      </c>
      <c r="I22" s="14">
        <f t="shared" si="6"/>
        <v>0</v>
      </c>
      <c r="J22" s="32">
        <f t="shared" si="18"/>
        <v>342885</v>
      </c>
      <c r="K22" s="14">
        <f t="shared" si="7"/>
        <v>0</v>
      </c>
      <c r="L22" s="32">
        <f t="shared" si="19"/>
        <v>26687</v>
      </c>
      <c r="M22" s="14">
        <f t="shared" si="8"/>
        <v>0</v>
      </c>
      <c r="N22" s="32">
        <f t="shared" si="20"/>
        <v>226576</v>
      </c>
      <c r="O22" s="14">
        <f t="shared" si="9"/>
        <v>0</v>
      </c>
      <c r="P22" s="32">
        <f t="shared" si="21"/>
        <v>179103</v>
      </c>
      <c r="Q22" s="14">
        <f t="shared" si="2"/>
        <v>0</v>
      </c>
      <c r="R22" s="1">
        <f t="shared" si="11"/>
        <v>55047</v>
      </c>
      <c r="S22" s="14">
        <f t="shared" si="12"/>
        <v>0</v>
      </c>
      <c r="T22" s="32">
        <f t="shared" si="13"/>
        <v>4095</v>
      </c>
      <c r="U22" s="14">
        <f t="shared" si="10"/>
        <v>0</v>
      </c>
    </row>
    <row r="23" spans="1:23" ht="13.5" thickBot="1" x14ac:dyDescent="0.25">
      <c r="A23" s="9">
        <v>44886</v>
      </c>
      <c r="B23" s="32">
        <f t="shared" si="14"/>
        <v>47863</v>
      </c>
      <c r="C23" s="14">
        <f t="shared" si="3"/>
        <v>0</v>
      </c>
      <c r="D23" s="32">
        <f t="shared" si="15"/>
        <v>41147</v>
      </c>
      <c r="E23" s="14">
        <f t="shared" si="4"/>
        <v>0</v>
      </c>
      <c r="F23" s="32">
        <f t="shared" si="16"/>
        <v>22290</v>
      </c>
      <c r="G23" s="14">
        <f t="shared" si="5"/>
        <v>0</v>
      </c>
      <c r="H23" s="32">
        <f t="shared" si="17"/>
        <v>260245</v>
      </c>
      <c r="I23" s="14">
        <f t="shared" si="6"/>
        <v>0</v>
      </c>
      <c r="J23" s="32">
        <f t="shared" si="18"/>
        <v>342885</v>
      </c>
      <c r="K23" s="14">
        <f t="shared" si="7"/>
        <v>0</v>
      </c>
      <c r="L23" s="32">
        <f t="shared" si="19"/>
        <v>26687</v>
      </c>
      <c r="M23" s="14">
        <f t="shared" si="8"/>
        <v>0</v>
      </c>
      <c r="N23" s="32">
        <f t="shared" si="20"/>
        <v>226576</v>
      </c>
      <c r="O23" s="14">
        <f t="shared" si="9"/>
        <v>0</v>
      </c>
      <c r="P23" s="32">
        <f t="shared" si="21"/>
        <v>179103</v>
      </c>
      <c r="Q23" s="14">
        <f t="shared" si="2"/>
        <v>0</v>
      </c>
      <c r="R23" s="1">
        <f t="shared" si="11"/>
        <v>55047</v>
      </c>
      <c r="S23" s="14">
        <f t="shared" si="12"/>
        <v>0</v>
      </c>
      <c r="T23" s="32">
        <f t="shared" si="13"/>
        <v>4095</v>
      </c>
      <c r="U23" s="14">
        <f t="shared" si="10"/>
        <v>0</v>
      </c>
    </row>
    <row r="24" spans="1:23" s="119" customFormat="1" ht="13.5" thickBot="1" x14ac:dyDescent="0.25">
      <c r="A24" s="9">
        <v>44887</v>
      </c>
      <c r="B24" s="32">
        <f t="shared" si="14"/>
        <v>47863</v>
      </c>
      <c r="C24" s="14">
        <f t="shared" si="3"/>
        <v>0</v>
      </c>
      <c r="D24" s="32">
        <f t="shared" si="15"/>
        <v>41147</v>
      </c>
      <c r="E24" s="14">
        <f t="shared" si="4"/>
        <v>0</v>
      </c>
      <c r="F24" s="32">
        <f t="shared" si="16"/>
        <v>22290</v>
      </c>
      <c r="G24" s="14">
        <f t="shared" si="5"/>
        <v>0</v>
      </c>
      <c r="H24" s="32">
        <f t="shared" si="17"/>
        <v>260245</v>
      </c>
      <c r="I24" s="14">
        <f t="shared" si="6"/>
        <v>0</v>
      </c>
      <c r="J24" s="32">
        <f t="shared" si="18"/>
        <v>342885</v>
      </c>
      <c r="K24" s="14">
        <f t="shared" si="7"/>
        <v>0</v>
      </c>
      <c r="L24" s="32">
        <f t="shared" si="19"/>
        <v>26687</v>
      </c>
      <c r="M24" s="14">
        <f t="shared" si="8"/>
        <v>0</v>
      </c>
      <c r="N24" s="32">
        <f t="shared" si="20"/>
        <v>226576</v>
      </c>
      <c r="O24" s="14">
        <f t="shared" si="9"/>
        <v>0</v>
      </c>
      <c r="P24" s="32">
        <f t="shared" si="21"/>
        <v>179103</v>
      </c>
      <c r="Q24" s="14">
        <f t="shared" si="2"/>
        <v>0</v>
      </c>
      <c r="R24" s="1">
        <f t="shared" si="11"/>
        <v>55047</v>
      </c>
      <c r="S24" s="14">
        <f t="shared" si="12"/>
        <v>0</v>
      </c>
      <c r="T24" s="32">
        <f t="shared" si="13"/>
        <v>4095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4"/>
        <v>47863</v>
      </c>
      <c r="C25" s="14">
        <f t="shared" si="3"/>
        <v>0</v>
      </c>
      <c r="D25" s="32">
        <f t="shared" si="15"/>
        <v>41147</v>
      </c>
      <c r="E25" s="14">
        <f t="shared" si="4"/>
        <v>0</v>
      </c>
      <c r="F25" s="32">
        <f t="shared" si="16"/>
        <v>22290</v>
      </c>
      <c r="G25" s="14">
        <f t="shared" si="5"/>
        <v>0</v>
      </c>
      <c r="H25" s="32">
        <f t="shared" si="17"/>
        <v>260245</v>
      </c>
      <c r="I25" s="14">
        <f t="shared" si="6"/>
        <v>0</v>
      </c>
      <c r="J25" s="32">
        <f t="shared" si="18"/>
        <v>342885</v>
      </c>
      <c r="K25" s="14">
        <f t="shared" si="7"/>
        <v>0</v>
      </c>
      <c r="L25" s="32">
        <f t="shared" si="19"/>
        <v>26687</v>
      </c>
      <c r="M25" s="14">
        <f t="shared" si="8"/>
        <v>0</v>
      </c>
      <c r="N25" s="32">
        <f t="shared" si="20"/>
        <v>226576</v>
      </c>
      <c r="O25" s="14">
        <f t="shared" si="9"/>
        <v>0</v>
      </c>
      <c r="P25" s="32">
        <f t="shared" si="21"/>
        <v>179103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4095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4"/>
        <v>47863</v>
      </c>
      <c r="C26" s="14">
        <f t="shared" si="3"/>
        <v>0</v>
      </c>
      <c r="D26" s="32">
        <f t="shared" si="15"/>
        <v>41147</v>
      </c>
      <c r="E26" s="14">
        <f t="shared" si="4"/>
        <v>0</v>
      </c>
      <c r="F26" s="32">
        <f t="shared" si="16"/>
        <v>22290</v>
      </c>
      <c r="G26" s="14">
        <f t="shared" si="5"/>
        <v>0</v>
      </c>
      <c r="H26" s="32">
        <f t="shared" si="17"/>
        <v>260245</v>
      </c>
      <c r="I26" s="14">
        <f t="shared" si="6"/>
        <v>0</v>
      </c>
      <c r="J26" s="32">
        <f t="shared" si="18"/>
        <v>342885</v>
      </c>
      <c r="K26" s="14">
        <f t="shared" si="7"/>
        <v>0</v>
      </c>
      <c r="L26" s="32">
        <f t="shared" si="19"/>
        <v>26687</v>
      </c>
      <c r="M26" s="14">
        <f t="shared" si="8"/>
        <v>0</v>
      </c>
      <c r="N26" s="32">
        <f t="shared" si="20"/>
        <v>226576</v>
      </c>
      <c r="O26" s="14">
        <f t="shared" si="9"/>
        <v>0</v>
      </c>
      <c r="P26" s="32">
        <f t="shared" si="21"/>
        <v>179103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4095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4"/>
        <v>47863</v>
      </c>
      <c r="C27" s="14">
        <f t="shared" si="3"/>
        <v>0</v>
      </c>
      <c r="D27" s="32">
        <f t="shared" si="15"/>
        <v>41147</v>
      </c>
      <c r="E27" s="14">
        <f t="shared" si="4"/>
        <v>0</v>
      </c>
      <c r="F27" s="32">
        <f t="shared" si="16"/>
        <v>22290</v>
      </c>
      <c r="G27" s="14">
        <f t="shared" si="5"/>
        <v>0</v>
      </c>
      <c r="H27" s="32">
        <f t="shared" si="17"/>
        <v>260245</v>
      </c>
      <c r="I27" s="14">
        <f t="shared" si="6"/>
        <v>0</v>
      </c>
      <c r="J27" s="32">
        <f t="shared" si="18"/>
        <v>342885</v>
      </c>
      <c r="K27" s="14">
        <f t="shared" si="7"/>
        <v>0</v>
      </c>
      <c r="L27" s="32">
        <f t="shared" si="19"/>
        <v>26687</v>
      </c>
      <c r="M27" s="14">
        <f t="shared" si="8"/>
        <v>0</v>
      </c>
      <c r="N27" s="32">
        <f t="shared" si="20"/>
        <v>226576</v>
      </c>
      <c r="O27" s="14">
        <f t="shared" si="9"/>
        <v>0</v>
      </c>
      <c r="P27" s="32">
        <f t="shared" si="21"/>
        <v>179103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4095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47863</v>
      </c>
      <c r="C28" s="14">
        <f t="shared" si="3"/>
        <v>0</v>
      </c>
      <c r="D28" s="32">
        <f t="shared" si="15"/>
        <v>41147</v>
      </c>
      <c r="E28" s="14">
        <f t="shared" si="4"/>
        <v>0</v>
      </c>
      <c r="F28" s="32">
        <f t="shared" si="16"/>
        <v>22290</v>
      </c>
      <c r="G28" s="14">
        <f t="shared" si="5"/>
        <v>0</v>
      </c>
      <c r="H28" s="32">
        <f t="shared" si="17"/>
        <v>260245</v>
      </c>
      <c r="I28" s="14">
        <f t="shared" si="6"/>
        <v>0</v>
      </c>
      <c r="J28" s="32">
        <f t="shared" si="18"/>
        <v>342885</v>
      </c>
      <c r="K28" s="14">
        <f t="shared" si="7"/>
        <v>0</v>
      </c>
      <c r="L28" s="32">
        <f t="shared" si="19"/>
        <v>26687</v>
      </c>
      <c r="M28" s="14">
        <f t="shared" si="8"/>
        <v>0</v>
      </c>
      <c r="N28" s="32">
        <f t="shared" si="20"/>
        <v>226576</v>
      </c>
      <c r="O28" s="14">
        <f t="shared" si="9"/>
        <v>0</v>
      </c>
      <c r="P28" s="32">
        <f t="shared" si="21"/>
        <v>179103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4095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47863</v>
      </c>
      <c r="C29" s="14">
        <f t="shared" si="3"/>
        <v>0</v>
      </c>
      <c r="D29" s="32">
        <f t="shared" si="15"/>
        <v>41147</v>
      </c>
      <c r="E29" s="14">
        <f t="shared" si="4"/>
        <v>0</v>
      </c>
      <c r="F29" s="32">
        <f t="shared" si="16"/>
        <v>22290</v>
      </c>
      <c r="G29" s="14">
        <f t="shared" si="5"/>
        <v>0</v>
      </c>
      <c r="H29" s="32">
        <f t="shared" si="17"/>
        <v>260245</v>
      </c>
      <c r="I29" s="14">
        <f t="shared" si="6"/>
        <v>0</v>
      </c>
      <c r="J29" s="32">
        <f t="shared" si="18"/>
        <v>342885</v>
      </c>
      <c r="K29" s="14">
        <f t="shared" si="7"/>
        <v>0</v>
      </c>
      <c r="L29" s="32">
        <f t="shared" si="19"/>
        <v>26687</v>
      </c>
      <c r="M29" s="14">
        <f t="shared" si="8"/>
        <v>0</v>
      </c>
      <c r="N29" s="32">
        <f t="shared" si="20"/>
        <v>226576</v>
      </c>
      <c r="O29" s="14">
        <f t="shared" si="9"/>
        <v>0</v>
      </c>
      <c r="P29" s="32">
        <f t="shared" si="21"/>
        <v>179103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4095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47863</v>
      </c>
      <c r="C30" s="14">
        <f t="shared" si="3"/>
        <v>0</v>
      </c>
      <c r="D30" s="32">
        <f t="shared" si="15"/>
        <v>41147</v>
      </c>
      <c r="E30" s="14">
        <f t="shared" si="4"/>
        <v>0</v>
      </c>
      <c r="F30" s="32">
        <f t="shared" si="16"/>
        <v>22290</v>
      </c>
      <c r="G30" s="14">
        <f t="shared" si="5"/>
        <v>0</v>
      </c>
      <c r="H30" s="32">
        <f t="shared" si="17"/>
        <v>260245</v>
      </c>
      <c r="I30" s="14">
        <f t="shared" si="6"/>
        <v>0</v>
      </c>
      <c r="J30" s="32">
        <f t="shared" si="18"/>
        <v>342885</v>
      </c>
      <c r="K30" s="14">
        <f t="shared" si="7"/>
        <v>0</v>
      </c>
      <c r="L30" s="32">
        <f t="shared" si="19"/>
        <v>26687</v>
      </c>
      <c r="M30" s="14">
        <f t="shared" si="8"/>
        <v>0</v>
      </c>
      <c r="N30" s="32">
        <f t="shared" si="20"/>
        <v>226576</v>
      </c>
      <c r="O30" s="14">
        <f t="shared" si="9"/>
        <v>0</v>
      </c>
      <c r="P30" s="32">
        <f t="shared" si="21"/>
        <v>179103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4095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47863</v>
      </c>
      <c r="C31" s="14">
        <f t="shared" si="3"/>
        <v>0</v>
      </c>
      <c r="D31" s="32">
        <f t="shared" si="15"/>
        <v>41147</v>
      </c>
      <c r="E31" s="14">
        <f t="shared" si="4"/>
        <v>0</v>
      </c>
      <c r="F31" s="32">
        <f t="shared" si="16"/>
        <v>22290</v>
      </c>
      <c r="G31" s="14">
        <f t="shared" si="5"/>
        <v>0</v>
      </c>
      <c r="H31" s="32">
        <f t="shared" si="17"/>
        <v>260245</v>
      </c>
      <c r="I31" s="14">
        <f t="shared" si="6"/>
        <v>0</v>
      </c>
      <c r="J31" s="32">
        <f t="shared" si="18"/>
        <v>342885</v>
      </c>
      <c r="K31" s="14">
        <f t="shared" si="7"/>
        <v>0</v>
      </c>
      <c r="L31" s="32">
        <f t="shared" si="19"/>
        <v>26687</v>
      </c>
      <c r="M31" s="14">
        <f t="shared" si="8"/>
        <v>0</v>
      </c>
      <c r="N31" s="32">
        <f t="shared" si="20"/>
        <v>226576</v>
      </c>
      <c r="O31" s="14">
        <f t="shared" si="9"/>
        <v>0</v>
      </c>
      <c r="P31" s="32">
        <f t="shared" si="21"/>
        <v>179103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4095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47863</v>
      </c>
      <c r="C32" s="14">
        <f t="shared" si="3"/>
        <v>0</v>
      </c>
      <c r="D32" s="32">
        <f t="shared" si="15"/>
        <v>41147</v>
      </c>
      <c r="E32" s="14">
        <f t="shared" si="4"/>
        <v>0</v>
      </c>
      <c r="F32" s="32">
        <f t="shared" si="16"/>
        <v>22290</v>
      </c>
      <c r="G32" s="14">
        <f t="shared" si="5"/>
        <v>0</v>
      </c>
      <c r="H32" s="32">
        <f t="shared" si="17"/>
        <v>260245</v>
      </c>
      <c r="I32" s="14">
        <f t="shared" si="6"/>
        <v>0</v>
      </c>
      <c r="J32" s="32">
        <f t="shared" si="18"/>
        <v>342885</v>
      </c>
      <c r="K32" s="14">
        <f t="shared" si="7"/>
        <v>0</v>
      </c>
      <c r="L32" s="32">
        <f t="shared" si="19"/>
        <v>26687</v>
      </c>
      <c r="M32" s="14">
        <f t="shared" si="8"/>
        <v>0</v>
      </c>
      <c r="N32" s="32">
        <f t="shared" si="20"/>
        <v>226576</v>
      </c>
      <c r="O32" s="14">
        <f t="shared" si="9"/>
        <v>0</v>
      </c>
      <c r="P32" s="32">
        <f t="shared" si="21"/>
        <v>179103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4095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11200</v>
      </c>
      <c r="D33" s="14"/>
      <c r="E33" s="14">
        <f>SUM(E3:E32)</f>
        <v>7360</v>
      </c>
      <c r="F33" s="14"/>
      <c r="G33" s="14">
        <f>SUM(G3:G32)</f>
        <v>1080</v>
      </c>
      <c r="H33" s="14"/>
      <c r="I33" s="14">
        <f>SUM(I3:I32)</f>
        <v>395</v>
      </c>
      <c r="J33" s="14"/>
      <c r="K33" s="14">
        <f>SUM(K3:K32)</f>
        <v>2576</v>
      </c>
      <c r="L33" s="14"/>
      <c r="M33" s="14">
        <f>SUM(M3:M32)</f>
        <v>3000</v>
      </c>
      <c r="N33" s="14"/>
      <c r="O33" s="14">
        <f>SUM(O3:O32)</f>
        <v>51</v>
      </c>
      <c r="P33" s="14"/>
      <c r="Q33" s="14">
        <f>SUM(Q3:Q32)</f>
        <v>2142</v>
      </c>
      <c r="R33" s="14"/>
      <c r="S33" s="14">
        <f>SUM(S3:S32)</f>
        <v>0</v>
      </c>
      <c r="T33" s="14"/>
      <c r="U33" s="14">
        <f>SUM(U3:U32)</f>
        <v>1760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opLeftCell="I1" zoomScaleNormal="100" zoomScaleSheetLayoutView="110" workbookViewId="0">
      <pane ySplit="1" topLeftCell="A2" activePane="bottomLeft" state="frozen"/>
      <selection pane="bottomLeft" activeCell="AB18" sqref="AB18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>
        <v>200</v>
      </c>
      <c r="C10" s="131">
        <v>20307</v>
      </c>
      <c r="D10" s="38">
        <f>IF((C10-C9)&lt;0,"0",(C10-C9))*160</f>
        <v>480</v>
      </c>
      <c r="E10" s="132">
        <v>34571312</v>
      </c>
      <c r="F10" s="38">
        <f t="shared" si="5"/>
        <v>10205</v>
      </c>
      <c r="G10" s="133">
        <v>8455084</v>
      </c>
      <c r="H10" s="38">
        <f t="shared" si="6"/>
        <v>55406</v>
      </c>
      <c r="I10" s="134">
        <f t="shared" si="7"/>
        <v>65611</v>
      </c>
      <c r="J10" s="132">
        <v>827182</v>
      </c>
      <c r="K10" s="38">
        <f t="shared" si="15"/>
        <v>12826</v>
      </c>
      <c r="L10" s="135">
        <v>1138677</v>
      </c>
      <c r="M10" s="38">
        <f t="shared" si="8"/>
        <v>6141</v>
      </c>
      <c r="N10" s="132">
        <v>7845872</v>
      </c>
      <c r="O10" s="38">
        <f t="shared" si="16"/>
        <v>3884</v>
      </c>
      <c r="P10" s="135">
        <v>8757227</v>
      </c>
      <c r="Q10" s="38">
        <f t="shared" si="9"/>
        <v>12268</v>
      </c>
      <c r="R10" s="132">
        <v>22992820</v>
      </c>
      <c r="S10" s="38">
        <f t="shared" si="10"/>
        <v>11163</v>
      </c>
      <c r="T10" s="132">
        <v>0</v>
      </c>
      <c r="U10" s="136"/>
      <c r="V10" s="132">
        <v>1070844</v>
      </c>
      <c r="W10" s="38">
        <f t="shared" si="11"/>
        <v>12242</v>
      </c>
      <c r="X10" s="19">
        <f t="shared" si="12"/>
        <v>58524</v>
      </c>
      <c r="Y10" s="151">
        <f t="shared" si="13"/>
        <v>7087</v>
      </c>
      <c r="Z10" s="3">
        <f t="shared" si="14"/>
        <v>8019.0419920000004</v>
      </c>
      <c r="AA10" s="3">
        <f>SUM(Z1:Z10)</f>
        <v>63290.134211199991</v>
      </c>
    </row>
    <row r="11" spans="1:27" ht="15.75" customHeight="1" thickBot="1" x14ac:dyDescent="0.3">
      <c r="A11" s="9">
        <v>44874</v>
      </c>
      <c r="B11" s="38">
        <v>220</v>
      </c>
      <c r="C11" s="131">
        <v>20309</v>
      </c>
      <c r="D11" s="38">
        <f>IF((C11-C10)&lt;0,"0",(C11-C10))*160</f>
        <v>320</v>
      </c>
      <c r="E11" s="132">
        <v>34580801</v>
      </c>
      <c r="F11" s="38">
        <f t="shared" si="5"/>
        <v>9489</v>
      </c>
      <c r="G11" s="133">
        <v>8504497</v>
      </c>
      <c r="H11" s="38">
        <f t="shared" si="6"/>
        <v>49413</v>
      </c>
      <c r="I11" s="134">
        <f t="shared" si="7"/>
        <v>58902</v>
      </c>
      <c r="J11" s="132">
        <v>833096</v>
      </c>
      <c r="K11" s="38">
        <f t="shared" si="15"/>
        <v>11828</v>
      </c>
      <c r="L11" s="135">
        <v>1143907</v>
      </c>
      <c r="M11" s="38">
        <f t="shared" si="8"/>
        <v>5230</v>
      </c>
      <c r="N11" s="132">
        <v>7847682</v>
      </c>
      <c r="O11" s="38">
        <f t="shared" si="16"/>
        <v>3620</v>
      </c>
      <c r="P11" s="135">
        <v>8768164</v>
      </c>
      <c r="Q11" s="38">
        <f t="shared" si="9"/>
        <v>10937</v>
      </c>
      <c r="R11" s="132">
        <v>23002988</v>
      </c>
      <c r="S11" s="38">
        <f t="shared" si="10"/>
        <v>10168</v>
      </c>
      <c r="T11" s="132">
        <v>0</v>
      </c>
      <c r="U11" s="136"/>
      <c r="V11" s="132">
        <v>1081571</v>
      </c>
      <c r="W11" s="38">
        <f t="shared" si="11"/>
        <v>10727</v>
      </c>
      <c r="X11" s="19">
        <f t="shared" si="12"/>
        <v>52510</v>
      </c>
      <c r="Y11" s="151">
        <f t="shared" si="13"/>
        <v>6392</v>
      </c>
      <c r="Z11" s="3">
        <f t="shared" si="14"/>
        <v>7178.9218799999999</v>
      </c>
      <c r="AA11" s="3">
        <f>SUM(Z1:Z11)</f>
        <v>70469.056091199993</v>
      </c>
    </row>
    <row r="12" spans="1:27" ht="16.5" thickBot="1" x14ac:dyDescent="0.3">
      <c r="A12" s="9">
        <v>44875</v>
      </c>
      <c r="B12" s="38">
        <v>273</v>
      </c>
      <c r="C12" s="131">
        <v>20312</v>
      </c>
      <c r="D12" s="38">
        <f>IF((C12-C11)&lt;0,"0",(C12-C11))*160</f>
        <v>480</v>
      </c>
      <c r="E12" s="132">
        <v>34589608</v>
      </c>
      <c r="F12" s="38">
        <f t="shared" si="5"/>
        <v>8807</v>
      </c>
      <c r="G12" s="133">
        <v>8551056</v>
      </c>
      <c r="H12" s="38">
        <f t="shared" si="6"/>
        <v>46559</v>
      </c>
      <c r="I12" s="134">
        <f t="shared" si="7"/>
        <v>55366</v>
      </c>
      <c r="J12" s="132">
        <v>838659</v>
      </c>
      <c r="K12" s="38">
        <f t="shared" si="15"/>
        <v>11126</v>
      </c>
      <c r="L12" s="135">
        <v>1149598</v>
      </c>
      <c r="M12" s="38">
        <f t="shared" si="8"/>
        <v>5691</v>
      </c>
      <c r="N12" s="132">
        <v>7849404</v>
      </c>
      <c r="O12" s="38">
        <f t="shared" si="16"/>
        <v>3444</v>
      </c>
      <c r="P12" s="135">
        <v>8778279</v>
      </c>
      <c r="Q12" s="38">
        <f t="shared" si="9"/>
        <v>10115</v>
      </c>
      <c r="R12" s="132">
        <v>23012793</v>
      </c>
      <c r="S12" s="38">
        <f t="shared" si="10"/>
        <v>9805</v>
      </c>
      <c r="T12" s="132">
        <v>0</v>
      </c>
      <c r="U12" s="136"/>
      <c r="V12" s="132">
        <v>1091666</v>
      </c>
      <c r="W12" s="38">
        <f t="shared" si="11"/>
        <v>10095</v>
      </c>
      <c r="X12" s="19">
        <f t="shared" si="12"/>
        <v>50276</v>
      </c>
      <c r="Y12" s="151">
        <f t="shared" si="13"/>
        <v>5090</v>
      </c>
      <c r="Z12" s="3">
        <f t="shared" si="14"/>
        <v>6792.9417919999996</v>
      </c>
      <c r="AA12" s="3">
        <f>SUM(Z1:Z12)</f>
        <v>77261.997883199991</v>
      </c>
    </row>
    <row r="13" spans="1:27" ht="16.5" thickBot="1" x14ac:dyDescent="0.3">
      <c r="A13" s="9">
        <v>44876</v>
      </c>
      <c r="B13" s="38">
        <v>305</v>
      </c>
      <c r="C13" s="131">
        <v>20314</v>
      </c>
      <c r="D13" s="38">
        <f t="shared" ref="D13" si="17">IF((C13-C12)&lt;0,"0",(C13-C12))*160</f>
        <v>320</v>
      </c>
      <c r="E13" s="132">
        <v>34599976</v>
      </c>
      <c r="F13" s="38">
        <f t="shared" ref="F13" si="18">IF((E13-E12)&lt;0,"0",(E13-E12))</f>
        <v>10368</v>
      </c>
      <c r="G13" s="133">
        <v>8608625</v>
      </c>
      <c r="H13" s="38">
        <f t="shared" si="6"/>
        <v>57569</v>
      </c>
      <c r="I13" s="134">
        <f t="shared" ref="I13" si="19">F13+H13</f>
        <v>67937</v>
      </c>
      <c r="J13" s="132">
        <v>845092</v>
      </c>
      <c r="K13" s="38">
        <f t="shared" ref="K13" si="20">(IF((J13-J12)&lt;0,"0",(J13-J12)))*2</f>
        <v>12866</v>
      </c>
      <c r="L13" s="135">
        <v>1156115</v>
      </c>
      <c r="M13" s="38">
        <f t="shared" ref="M13" si="21">IF((L13-L12)&lt;0,"0",(L13-L12))</f>
        <v>6517</v>
      </c>
      <c r="N13" s="132">
        <v>7851235</v>
      </c>
      <c r="O13" s="38">
        <f t="shared" ref="O13" si="22">(IF((N13-N12)&lt;0,"0",(N13-N12)))*2</f>
        <v>3662</v>
      </c>
      <c r="P13" s="135">
        <v>8790678</v>
      </c>
      <c r="Q13" s="38">
        <f t="shared" ref="Q13" si="23">IF((P13-P12)&lt;0,"0",(P13-P12))</f>
        <v>12399</v>
      </c>
      <c r="R13" s="132">
        <v>23024942</v>
      </c>
      <c r="S13" s="38">
        <f t="shared" ref="S13" si="24">IF((R13-R12)&lt;0,"0",(R13-R12))</f>
        <v>12149</v>
      </c>
      <c r="T13" s="132">
        <v>0</v>
      </c>
      <c r="U13" s="136"/>
      <c r="V13" s="132">
        <v>1104433</v>
      </c>
      <c r="W13" s="38">
        <f t="shared" si="11"/>
        <v>12767</v>
      </c>
      <c r="X13" s="19">
        <f t="shared" ref="X13" si="25">K13+M13+O13+Q13+S13+U13+W13</f>
        <v>60360</v>
      </c>
      <c r="Y13" s="151">
        <f t="shared" si="13"/>
        <v>7577</v>
      </c>
      <c r="Z13" s="3">
        <f t="shared" ref="Z13" si="26">(0.93352*(W13+S13)+0.5568*(Q13+O13))*0.26</f>
        <v>8372.6107711999994</v>
      </c>
      <c r="AA13" s="3">
        <f>SUM(Z1:Z13)</f>
        <v>85634.608654399985</v>
      </c>
    </row>
    <row r="14" spans="1:27" ht="16.5" thickBot="1" x14ac:dyDescent="0.3">
      <c r="A14" s="9">
        <v>44877</v>
      </c>
      <c r="B14" s="38">
        <v>265</v>
      </c>
      <c r="C14" s="131">
        <v>20318</v>
      </c>
      <c r="D14" s="38">
        <f t="shared" si="4"/>
        <v>640</v>
      </c>
      <c r="E14" s="132">
        <v>34610045</v>
      </c>
      <c r="F14" s="38">
        <f t="shared" si="5"/>
        <v>10069</v>
      </c>
      <c r="G14" s="133">
        <v>8663733</v>
      </c>
      <c r="H14" s="38">
        <f t="shared" si="6"/>
        <v>55108</v>
      </c>
      <c r="I14" s="134">
        <f t="shared" si="7"/>
        <v>65177</v>
      </c>
      <c r="J14" s="132">
        <v>851408</v>
      </c>
      <c r="K14" s="38">
        <f t="shared" si="15"/>
        <v>12632</v>
      </c>
      <c r="L14" s="135">
        <v>1162442</v>
      </c>
      <c r="M14" s="38">
        <f t="shared" si="8"/>
        <v>6327</v>
      </c>
      <c r="N14" s="132">
        <v>7853023</v>
      </c>
      <c r="O14" s="38">
        <f t="shared" si="16"/>
        <v>3576</v>
      </c>
      <c r="P14" s="135">
        <v>8802386</v>
      </c>
      <c r="Q14" s="38">
        <f t="shared" si="9"/>
        <v>11708</v>
      </c>
      <c r="R14" s="132">
        <v>23036488</v>
      </c>
      <c r="S14" s="38">
        <f>IF((R14-R13)&lt;0,"0",(R14-R13))</f>
        <v>11546</v>
      </c>
      <c r="T14" s="132">
        <v>0</v>
      </c>
      <c r="U14" s="136"/>
      <c r="V14" s="132">
        <v>1116634</v>
      </c>
      <c r="W14" s="38">
        <f t="shared" si="11"/>
        <v>12201</v>
      </c>
      <c r="X14" s="19">
        <f t="shared" si="12"/>
        <v>57990</v>
      </c>
      <c r="Y14" s="151">
        <f t="shared" si="13"/>
        <v>7187</v>
      </c>
      <c r="Z14" s="3">
        <f t="shared" si="14"/>
        <v>7976.3919663999995</v>
      </c>
      <c r="AA14" s="3">
        <f>SUM(Z1:Z14)</f>
        <v>93611.000620799983</v>
      </c>
    </row>
    <row r="15" spans="1:27" ht="16.5" thickBot="1" x14ac:dyDescent="0.3">
      <c r="A15" s="9">
        <v>44878</v>
      </c>
      <c r="B15" s="38">
        <v>232</v>
      </c>
      <c r="C15" s="131">
        <v>20321</v>
      </c>
      <c r="D15" s="38">
        <f t="shared" si="4"/>
        <v>480</v>
      </c>
      <c r="E15" s="132">
        <v>34620837</v>
      </c>
      <c r="F15" s="38">
        <f t="shared" si="5"/>
        <v>10792</v>
      </c>
      <c r="G15" s="133">
        <v>8718544</v>
      </c>
      <c r="H15" s="38">
        <f t="shared" si="6"/>
        <v>54811</v>
      </c>
      <c r="I15" s="134">
        <f t="shared" si="7"/>
        <v>65603</v>
      </c>
      <c r="J15" s="132">
        <v>857955</v>
      </c>
      <c r="K15" s="38">
        <f t="shared" si="15"/>
        <v>13094</v>
      </c>
      <c r="L15" s="135">
        <v>1168824</v>
      </c>
      <c r="M15" s="38">
        <f t="shared" si="8"/>
        <v>6382</v>
      </c>
      <c r="N15" s="132">
        <v>7855132</v>
      </c>
      <c r="O15" s="38">
        <f t="shared" si="16"/>
        <v>4218</v>
      </c>
      <c r="P15" s="135">
        <v>8814274</v>
      </c>
      <c r="Q15" s="38">
        <f t="shared" si="9"/>
        <v>11888</v>
      </c>
      <c r="R15" s="132">
        <v>23048082</v>
      </c>
      <c r="S15" s="38">
        <f>IF((R15-R14)&lt;0,"0",(R15-R14))</f>
        <v>11594</v>
      </c>
      <c r="T15" s="132">
        <v>0</v>
      </c>
      <c r="U15" s="136"/>
      <c r="V15" s="132">
        <v>1128468</v>
      </c>
      <c r="W15" s="38">
        <f t="shared" si="11"/>
        <v>11834</v>
      </c>
      <c r="X15" s="19">
        <f t="shared" si="12"/>
        <v>59010</v>
      </c>
      <c r="Y15" s="151">
        <f t="shared" si="13"/>
        <v>6593</v>
      </c>
      <c r="Z15" s="3">
        <f t="shared" si="14"/>
        <v>8017.9651136000011</v>
      </c>
      <c r="AA15" s="3">
        <f>SUM(Z1:Z15)</f>
        <v>101628.96573439999</v>
      </c>
    </row>
    <row r="16" spans="1:27" ht="16.5" thickBot="1" x14ac:dyDescent="0.3">
      <c r="A16" s="9">
        <v>44879</v>
      </c>
      <c r="B16" s="38">
        <v>227</v>
      </c>
      <c r="C16" s="131">
        <v>20325</v>
      </c>
      <c r="D16" s="38">
        <f t="shared" si="4"/>
        <v>640</v>
      </c>
      <c r="E16" s="132">
        <v>34628450</v>
      </c>
      <c r="F16" s="38">
        <f t="shared" si="5"/>
        <v>7613</v>
      </c>
      <c r="G16" s="133">
        <v>8755017</v>
      </c>
      <c r="H16" s="38">
        <f t="shared" si="6"/>
        <v>36473</v>
      </c>
      <c r="I16" s="134">
        <f t="shared" si="7"/>
        <v>44086</v>
      </c>
      <c r="J16" s="132">
        <v>861944</v>
      </c>
      <c r="K16" s="38">
        <f t="shared" si="15"/>
        <v>7978</v>
      </c>
      <c r="L16" s="135">
        <v>1173626</v>
      </c>
      <c r="M16" s="38">
        <f t="shared" si="8"/>
        <v>4802</v>
      </c>
      <c r="N16" s="132">
        <v>7856471</v>
      </c>
      <c r="O16" s="38">
        <f t="shared" si="16"/>
        <v>2678</v>
      </c>
      <c r="P16" s="135">
        <v>8822051</v>
      </c>
      <c r="Q16" s="38">
        <f t="shared" si="9"/>
        <v>7777</v>
      </c>
      <c r="R16" s="132">
        <v>23056020</v>
      </c>
      <c r="S16" s="38">
        <f t="shared" si="10"/>
        <v>7938</v>
      </c>
      <c r="T16" s="132">
        <v>0</v>
      </c>
      <c r="U16" s="136"/>
      <c r="V16" s="132">
        <v>1136480</v>
      </c>
      <c r="W16" s="38">
        <f t="shared" si="11"/>
        <v>8012</v>
      </c>
      <c r="X16" s="19">
        <f t="shared" si="12"/>
        <v>39185</v>
      </c>
      <c r="Y16" s="151">
        <f t="shared" si="13"/>
        <v>4901</v>
      </c>
      <c r="Z16" s="3">
        <f t="shared" si="14"/>
        <v>5384.8568800000003</v>
      </c>
      <c r="AA16" s="3">
        <f>SUM(Z1:Z16)</f>
        <v>107013.82261439999</v>
      </c>
    </row>
    <row r="17" spans="1:27" s="118" customFormat="1" ht="16.5" thickBot="1" x14ac:dyDescent="0.3">
      <c r="A17" s="9">
        <v>44880</v>
      </c>
      <c r="B17" s="38">
        <v>168</v>
      </c>
      <c r="C17" s="131">
        <v>20328</v>
      </c>
      <c r="D17" s="38">
        <f t="shared" si="4"/>
        <v>480</v>
      </c>
      <c r="E17" s="132">
        <v>34640424</v>
      </c>
      <c r="F17" s="38">
        <f t="shared" si="5"/>
        <v>11974</v>
      </c>
      <c r="G17" s="133">
        <v>8815854</v>
      </c>
      <c r="H17" s="38">
        <f t="shared" si="6"/>
        <v>60837</v>
      </c>
      <c r="I17" s="137">
        <f t="shared" si="7"/>
        <v>72811</v>
      </c>
      <c r="J17" s="132">
        <v>867637</v>
      </c>
      <c r="K17" s="117">
        <f t="shared" si="15"/>
        <v>11386</v>
      </c>
      <c r="L17" s="135">
        <v>1181366</v>
      </c>
      <c r="M17" s="117">
        <f t="shared" si="8"/>
        <v>7740</v>
      </c>
      <c r="N17" s="132">
        <v>7858487</v>
      </c>
      <c r="O17" s="117">
        <f t="shared" si="16"/>
        <v>4032</v>
      </c>
      <c r="P17" s="135">
        <v>8834113</v>
      </c>
      <c r="Q17" s="117">
        <f t="shared" si="9"/>
        <v>12062</v>
      </c>
      <c r="R17" s="132">
        <v>23069684</v>
      </c>
      <c r="S17" s="117">
        <f t="shared" si="10"/>
        <v>13664</v>
      </c>
      <c r="T17" s="138">
        <v>0</v>
      </c>
      <c r="U17" s="136"/>
      <c r="V17" s="132">
        <v>1150567</v>
      </c>
      <c r="W17" s="117">
        <f t="shared" si="11"/>
        <v>14087</v>
      </c>
      <c r="X17" s="19">
        <f t="shared" si="12"/>
        <v>62971</v>
      </c>
      <c r="Y17" s="138">
        <f t="shared" si="13"/>
        <v>9840</v>
      </c>
      <c r="Z17" s="139">
        <f t="shared" si="14"/>
        <v>9065.4857071999995</v>
      </c>
      <c r="AA17" s="3">
        <f>SUM(Z1:Z17)</f>
        <v>116079.30832159999</v>
      </c>
    </row>
    <row r="18" spans="1:27" s="118" customFormat="1" ht="16.5" thickBot="1" x14ac:dyDescent="0.3">
      <c r="A18" s="9">
        <v>44881</v>
      </c>
      <c r="B18" s="38">
        <v>235</v>
      </c>
      <c r="C18" s="131">
        <v>20331</v>
      </c>
      <c r="D18" s="38">
        <f t="shared" si="4"/>
        <v>480</v>
      </c>
      <c r="E18" s="132">
        <v>34648255</v>
      </c>
      <c r="F18" s="38">
        <f t="shared" si="5"/>
        <v>7831</v>
      </c>
      <c r="G18" s="133">
        <v>8854119</v>
      </c>
      <c r="H18" s="38">
        <f t="shared" si="6"/>
        <v>38265</v>
      </c>
      <c r="I18" s="137">
        <f t="shared" si="7"/>
        <v>46096</v>
      </c>
      <c r="J18" s="132">
        <v>871370</v>
      </c>
      <c r="K18" s="117">
        <f t="shared" si="15"/>
        <v>7466</v>
      </c>
      <c r="L18" s="135">
        <v>1186348</v>
      </c>
      <c r="M18" s="117">
        <f t="shared" si="8"/>
        <v>4982</v>
      </c>
      <c r="N18" s="132">
        <v>7859444</v>
      </c>
      <c r="O18" s="117">
        <f t="shared" si="16"/>
        <v>1914</v>
      </c>
      <c r="P18" s="135">
        <v>8842016</v>
      </c>
      <c r="Q18" s="117">
        <f t="shared" si="9"/>
        <v>7903</v>
      </c>
      <c r="R18" s="132">
        <v>23077793</v>
      </c>
      <c r="S18" s="117">
        <f t="shared" si="10"/>
        <v>8109</v>
      </c>
      <c r="T18" s="138">
        <v>0</v>
      </c>
      <c r="U18" s="136"/>
      <c r="V18" s="132">
        <v>1159102</v>
      </c>
      <c r="W18" s="117">
        <f t="shared" si="11"/>
        <v>8535</v>
      </c>
      <c r="X18" s="19">
        <f t="shared" si="12"/>
        <v>38909</v>
      </c>
      <c r="Y18" s="138">
        <f t="shared" si="13"/>
        <v>7187</v>
      </c>
      <c r="Z18" s="139">
        <f t="shared" si="14"/>
        <v>5460.9392447999999</v>
      </c>
      <c r="AA18" s="3">
        <f>SUM(Z1:Z18)</f>
        <v>121540.24756639999</v>
      </c>
    </row>
    <row r="19" spans="1:27" s="118" customFormat="1" ht="16.5" thickBot="1" x14ac:dyDescent="0.3">
      <c r="A19" s="9">
        <v>44882</v>
      </c>
      <c r="B19" s="38"/>
      <c r="C19" s="131">
        <f t="shared" ref="C18:C32" si="27">C18</f>
        <v>20331</v>
      </c>
      <c r="D19" s="38">
        <f t="shared" si="4"/>
        <v>0</v>
      </c>
      <c r="E19" s="132">
        <f t="shared" ref="E18:E32" si="28">E18</f>
        <v>34648255</v>
      </c>
      <c r="F19" s="38">
        <f t="shared" si="5"/>
        <v>0</v>
      </c>
      <c r="G19" s="133">
        <f t="shared" ref="G18:G32" si="29">G18</f>
        <v>8854119</v>
      </c>
      <c r="H19" s="38">
        <f t="shared" si="6"/>
        <v>0</v>
      </c>
      <c r="I19" s="137">
        <f t="shared" si="7"/>
        <v>0</v>
      </c>
      <c r="J19" s="132">
        <f t="shared" ref="J18:J32" si="30">J18</f>
        <v>871370</v>
      </c>
      <c r="K19" s="117">
        <f t="shared" si="15"/>
        <v>0</v>
      </c>
      <c r="L19" s="135">
        <f t="shared" ref="L18:L32" si="31">L18</f>
        <v>1186348</v>
      </c>
      <c r="M19" s="117">
        <f t="shared" si="8"/>
        <v>0</v>
      </c>
      <c r="N19" s="132">
        <f t="shared" ref="N18:N32" si="32">N18</f>
        <v>7859444</v>
      </c>
      <c r="O19" s="117">
        <f t="shared" si="16"/>
        <v>0</v>
      </c>
      <c r="P19" s="135">
        <f t="shared" ref="P18:P32" si="33">P18</f>
        <v>8842016</v>
      </c>
      <c r="Q19" s="117">
        <f t="shared" si="9"/>
        <v>0</v>
      </c>
      <c r="R19" s="132">
        <f t="shared" ref="R18:R32" si="34">R18</f>
        <v>23077793</v>
      </c>
      <c r="S19" s="117">
        <f t="shared" si="10"/>
        <v>0</v>
      </c>
      <c r="T19" s="138">
        <v>0</v>
      </c>
      <c r="U19" s="136"/>
      <c r="V19" s="132">
        <f t="shared" ref="V18:V32" si="35">V18</f>
        <v>1159102</v>
      </c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121540.24756639999</v>
      </c>
    </row>
    <row r="20" spans="1:27" s="118" customFormat="1" ht="16.5" thickBot="1" x14ac:dyDescent="0.3">
      <c r="A20" s="9">
        <v>44883</v>
      </c>
      <c r="B20" s="38"/>
      <c r="C20" s="131">
        <f t="shared" si="27"/>
        <v>20331</v>
      </c>
      <c r="D20" s="38">
        <f t="shared" si="4"/>
        <v>0</v>
      </c>
      <c r="E20" s="132">
        <f t="shared" si="28"/>
        <v>34648255</v>
      </c>
      <c r="F20" s="38">
        <f t="shared" si="5"/>
        <v>0</v>
      </c>
      <c r="G20" s="133">
        <f t="shared" si="29"/>
        <v>8854119</v>
      </c>
      <c r="H20" s="38">
        <f t="shared" si="6"/>
        <v>0</v>
      </c>
      <c r="I20" s="137">
        <f t="shared" si="7"/>
        <v>0</v>
      </c>
      <c r="J20" s="132">
        <f t="shared" si="30"/>
        <v>871370</v>
      </c>
      <c r="K20" s="117">
        <f t="shared" si="15"/>
        <v>0</v>
      </c>
      <c r="L20" s="135">
        <f t="shared" si="31"/>
        <v>1186348</v>
      </c>
      <c r="M20" s="117">
        <f t="shared" si="8"/>
        <v>0</v>
      </c>
      <c r="N20" s="132">
        <f t="shared" si="32"/>
        <v>7859444</v>
      </c>
      <c r="O20" s="117">
        <f t="shared" si="16"/>
        <v>0</v>
      </c>
      <c r="P20" s="135">
        <f t="shared" si="33"/>
        <v>8842016</v>
      </c>
      <c r="Q20" s="117">
        <f t="shared" si="9"/>
        <v>0</v>
      </c>
      <c r="R20" s="132">
        <f t="shared" si="34"/>
        <v>23077793</v>
      </c>
      <c r="S20" s="117">
        <f t="shared" si="10"/>
        <v>0</v>
      </c>
      <c r="T20" s="138">
        <v>0</v>
      </c>
      <c r="U20" s="136"/>
      <c r="V20" s="132">
        <f t="shared" si="35"/>
        <v>1159102</v>
      </c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121540.24756639999</v>
      </c>
    </row>
    <row r="21" spans="1:27" s="118" customFormat="1" ht="16.5" thickBot="1" x14ac:dyDescent="0.3">
      <c r="A21" s="9">
        <v>44884</v>
      </c>
      <c r="B21" s="38"/>
      <c r="C21" s="131">
        <f t="shared" si="27"/>
        <v>20331</v>
      </c>
      <c r="D21" s="38">
        <f t="shared" si="4"/>
        <v>0</v>
      </c>
      <c r="E21" s="132">
        <f t="shared" si="28"/>
        <v>34648255</v>
      </c>
      <c r="F21" s="38">
        <f t="shared" si="5"/>
        <v>0</v>
      </c>
      <c r="G21" s="133">
        <f t="shared" si="29"/>
        <v>8854119</v>
      </c>
      <c r="H21" s="38">
        <f t="shared" si="6"/>
        <v>0</v>
      </c>
      <c r="I21" s="137">
        <f t="shared" si="7"/>
        <v>0</v>
      </c>
      <c r="J21" s="132">
        <f t="shared" si="30"/>
        <v>871370</v>
      </c>
      <c r="K21" s="117">
        <f t="shared" si="15"/>
        <v>0</v>
      </c>
      <c r="L21" s="135">
        <f t="shared" si="31"/>
        <v>1186348</v>
      </c>
      <c r="M21" s="117">
        <f t="shared" si="8"/>
        <v>0</v>
      </c>
      <c r="N21" s="132">
        <f t="shared" si="32"/>
        <v>7859444</v>
      </c>
      <c r="O21" s="117">
        <f t="shared" si="16"/>
        <v>0</v>
      </c>
      <c r="P21" s="135">
        <f t="shared" si="33"/>
        <v>8842016</v>
      </c>
      <c r="Q21" s="117">
        <f t="shared" si="9"/>
        <v>0</v>
      </c>
      <c r="R21" s="132">
        <f t="shared" si="34"/>
        <v>23077793</v>
      </c>
      <c r="S21" s="117">
        <f t="shared" si="10"/>
        <v>0</v>
      </c>
      <c r="T21" s="138">
        <v>0</v>
      </c>
      <c r="U21" s="136"/>
      <c r="V21" s="132">
        <f t="shared" si="35"/>
        <v>1159102</v>
      </c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121540.24756639999</v>
      </c>
    </row>
    <row r="22" spans="1:27" ht="16.5" thickBot="1" x14ac:dyDescent="0.3">
      <c r="A22" s="9">
        <v>44885</v>
      </c>
      <c r="B22" s="38"/>
      <c r="C22" s="131">
        <f t="shared" si="27"/>
        <v>20331</v>
      </c>
      <c r="D22" s="38">
        <f t="shared" si="4"/>
        <v>0</v>
      </c>
      <c r="E22" s="132">
        <f t="shared" si="28"/>
        <v>34648255</v>
      </c>
      <c r="F22" s="38">
        <f t="shared" si="5"/>
        <v>0</v>
      </c>
      <c r="G22" s="133">
        <f t="shared" si="29"/>
        <v>8854119</v>
      </c>
      <c r="H22" s="38">
        <f t="shared" si="6"/>
        <v>0</v>
      </c>
      <c r="I22" s="134">
        <f t="shared" si="7"/>
        <v>0</v>
      </c>
      <c r="J22" s="132">
        <f t="shared" si="30"/>
        <v>871370</v>
      </c>
      <c r="K22" s="117">
        <f t="shared" si="15"/>
        <v>0</v>
      </c>
      <c r="L22" s="135">
        <f t="shared" si="31"/>
        <v>1186348</v>
      </c>
      <c r="M22" s="38">
        <f t="shared" si="8"/>
        <v>0</v>
      </c>
      <c r="N22" s="132">
        <f t="shared" si="32"/>
        <v>7859444</v>
      </c>
      <c r="O22" s="38">
        <f t="shared" si="16"/>
        <v>0</v>
      </c>
      <c r="P22" s="135">
        <f t="shared" si="33"/>
        <v>8842016</v>
      </c>
      <c r="Q22" s="38">
        <f t="shared" si="9"/>
        <v>0</v>
      </c>
      <c r="R22" s="132">
        <f t="shared" si="34"/>
        <v>23077793</v>
      </c>
      <c r="S22" s="38">
        <f t="shared" si="10"/>
        <v>0</v>
      </c>
      <c r="T22" s="132">
        <v>0</v>
      </c>
      <c r="U22" s="136"/>
      <c r="V22" s="132">
        <f t="shared" si="35"/>
        <v>1159102</v>
      </c>
      <c r="W22" s="38">
        <f t="shared" si="11"/>
        <v>0</v>
      </c>
      <c r="X22" s="19">
        <f t="shared" si="12"/>
        <v>0</v>
      </c>
      <c r="Y22" s="151">
        <f t="shared" si="13"/>
        <v>0</v>
      </c>
      <c r="Z22" s="3">
        <f t="shared" si="14"/>
        <v>0</v>
      </c>
      <c r="AA22" s="3">
        <f>SUM(Z1:Z22)</f>
        <v>121540.24756639999</v>
      </c>
    </row>
    <row r="23" spans="1:27" ht="16.5" thickBot="1" x14ac:dyDescent="0.3">
      <c r="A23" s="9">
        <v>44886</v>
      </c>
      <c r="B23" s="38"/>
      <c r="C23" s="131">
        <f t="shared" si="27"/>
        <v>20331</v>
      </c>
      <c r="D23" s="38">
        <f t="shared" si="4"/>
        <v>0</v>
      </c>
      <c r="E23" s="132">
        <f t="shared" si="28"/>
        <v>34648255</v>
      </c>
      <c r="F23" s="38">
        <f t="shared" si="5"/>
        <v>0</v>
      </c>
      <c r="G23" s="133">
        <f t="shared" si="29"/>
        <v>8854119</v>
      </c>
      <c r="H23" s="38">
        <f t="shared" si="6"/>
        <v>0</v>
      </c>
      <c r="I23" s="134">
        <f t="shared" si="7"/>
        <v>0</v>
      </c>
      <c r="J23" s="132">
        <f t="shared" si="30"/>
        <v>871370</v>
      </c>
      <c r="K23" s="117">
        <f t="shared" si="15"/>
        <v>0</v>
      </c>
      <c r="L23" s="135">
        <f t="shared" si="31"/>
        <v>1186348</v>
      </c>
      <c r="M23" s="38">
        <f t="shared" si="8"/>
        <v>0</v>
      </c>
      <c r="N23" s="132">
        <f t="shared" si="32"/>
        <v>7859444</v>
      </c>
      <c r="O23" s="38">
        <f t="shared" si="16"/>
        <v>0</v>
      </c>
      <c r="P23" s="135">
        <f t="shared" si="33"/>
        <v>8842016</v>
      </c>
      <c r="Q23" s="38">
        <f t="shared" si="9"/>
        <v>0</v>
      </c>
      <c r="R23" s="132">
        <f t="shared" si="34"/>
        <v>23077793</v>
      </c>
      <c r="S23" s="38">
        <f t="shared" si="10"/>
        <v>0</v>
      </c>
      <c r="T23" s="132">
        <v>0</v>
      </c>
      <c r="U23" s="136"/>
      <c r="V23" s="132">
        <f t="shared" si="35"/>
        <v>1159102</v>
      </c>
      <c r="W23" s="38">
        <f t="shared" si="11"/>
        <v>0</v>
      </c>
      <c r="X23" s="19">
        <f t="shared" si="12"/>
        <v>0</v>
      </c>
      <c r="Y23" s="151">
        <f t="shared" si="13"/>
        <v>0</v>
      </c>
      <c r="Z23" s="3">
        <f t="shared" si="14"/>
        <v>0</v>
      </c>
      <c r="AA23" s="3">
        <f>SUM(Z1:Z23)</f>
        <v>121540.24756639999</v>
      </c>
    </row>
    <row r="24" spans="1:27" ht="16.5" thickBot="1" x14ac:dyDescent="0.3">
      <c r="A24" s="9">
        <v>44887</v>
      </c>
      <c r="B24" s="38"/>
      <c r="C24" s="131">
        <f t="shared" si="27"/>
        <v>20331</v>
      </c>
      <c r="D24" s="38">
        <f t="shared" si="4"/>
        <v>0</v>
      </c>
      <c r="E24" s="132">
        <f t="shared" si="28"/>
        <v>34648255</v>
      </c>
      <c r="F24" s="38">
        <f t="shared" si="5"/>
        <v>0</v>
      </c>
      <c r="G24" s="133">
        <f t="shared" si="29"/>
        <v>8854119</v>
      </c>
      <c r="H24" s="38">
        <f t="shared" si="6"/>
        <v>0</v>
      </c>
      <c r="I24" s="134">
        <f t="shared" si="7"/>
        <v>0</v>
      </c>
      <c r="J24" s="132">
        <f t="shared" si="30"/>
        <v>871370</v>
      </c>
      <c r="K24" s="117">
        <f t="shared" si="15"/>
        <v>0</v>
      </c>
      <c r="L24" s="135">
        <f t="shared" si="31"/>
        <v>1186348</v>
      </c>
      <c r="M24" s="38">
        <f t="shared" si="8"/>
        <v>0</v>
      </c>
      <c r="N24" s="132">
        <f t="shared" si="32"/>
        <v>7859444</v>
      </c>
      <c r="O24" s="38">
        <f t="shared" si="16"/>
        <v>0</v>
      </c>
      <c r="P24" s="135">
        <f t="shared" si="33"/>
        <v>8842016</v>
      </c>
      <c r="Q24" s="38">
        <f t="shared" si="9"/>
        <v>0</v>
      </c>
      <c r="R24" s="132">
        <f t="shared" si="34"/>
        <v>23077793</v>
      </c>
      <c r="S24" s="38">
        <f t="shared" si="10"/>
        <v>0</v>
      </c>
      <c r="T24" s="132">
        <v>0</v>
      </c>
      <c r="U24" s="136"/>
      <c r="V24" s="132">
        <f t="shared" si="35"/>
        <v>1159102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121540.24756639999</v>
      </c>
    </row>
    <row r="25" spans="1:27" ht="16.5" thickBot="1" x14ac:dyDescent="0.3">
      <c r="A25" s="9">
        <v>44888</v>
      </c>
      <c r="B25" s="38"/>
      <c r="C25" s="131">
        <f t="shared" si="27"/>
        <v>20331</v>
      </c>
      <c r="D25" s="38">
        <f t="shared" si="4"/>
        <v>0</v>
      </c>
      <c r="E25" s="132">
        <f t="shared" si="28"/>
        <v>34648255</v>
      </c>
      <c r="F25" s="38">
        <f t="shared" si="5"/>
        <v>0</v>
      </c>
      <c r="G25" s="133">
        <f t="shared" si="29"/>
        <v>8854119</v>
      </c>
      <c r="H25" s="38">
        <f t="shared" si="6"/>
        <v>0</v>
      </c>
      <c r="I25" s="134">
        <f t="shared" si="7"/>
        <v>0</v>
      </c>
      <c r="J25" s="132">
        <f t="shared" si="30"/>
        <v>871370</v>
      </c>
      <c r="K25" s="117">
        <f t="shared" si="15"/>
        <v>0</v>
      </c>
      <c r="L25" s="135">
        <f t="shared" si="31"/>
        <v>1186348</v>
      </c>
      <c r="M25" s="38">
        <f t="shared" si="8"/>
        <v>0</v>
      </c>
      <c r="N25" s="132">
        <f t="shared" si="32"/>
        <v>7859444</v>
      </c>
      <c r="O25" s="38">
        <f t="shared" si="16"/>
        <v>0</v>
      </c>
      <c r="P25" s="135">
        <f t="shared" si="33"/>
        <v>8842016</v>
      </c>
      <c r="Q25" s="38">
        <f t="shared" si="9"/>
        <v>0</v>
      </c>
      <c r="R25" s="132">
        <f t="shared" si="34"/>
        <v>23077793</v>
      </c>
      <c r="S25" s="38">
        <f t="shared" si="10"/>
        <v>0</v>
      </c>
      <c r="T25" s="132">
        <v>0</v>
      </c>
      <c r="U25" s="136"/>
      <c r="V25" s="132">
        <f t="shared" si="35"/>
        <v>1159102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121540.24756639999</v>
      </c>
    </row>
    <row r="26" spans="1:27" ht="16.5" thickBot="1" x14ac:dyDescent="0.3">
      <c r="A26" s="9">
        <v>44889</v>
      </c>
      <c r="B26" s="38"/>
      <c r="C26" s="131">
        <f t="shared" si="27"/>
        <v>20331</v>
      </c>
      <c r="D26" s="38">
        <f t="shared" si="4"/>
        <v>0</v>
      </c>
      <c r="E26" s="132">
        <f t="shared" si="28"/>
        <v>34648255</v>
      </c>
      <c r="F26" s="38">
        <f t="shared" si="5"/>
        <v>0</v>
      </c>
      <c r="G26" s="133">
        <f t="shared" si="29"/>
        <v>8854119</v>
      </c>
      <c r="H26" s="38">
        <f t="shared" si="6"/>
        <v>0</v>
      </c>
      <c r="I26" s="134">
        <f t="shared" si="7"/>
        <v>0</v>
      </c>
      <c r="J26" s="132">
        <f t="shared" si="30"/>
        <v>871370</v>
      </c>
      <c r="K26" s="117">
        <f t="shared" si="15"/>
        <v>0</v>
      </c>
      <c r="L26" s="135">
        <f t="shared" si="31"/>
        <v>1186348</v>
      </c>
      <c r="M26" s="38">
        <f t="shared" si="8"/>
        <v>0</v>
      </c>
      <c r="N26" s="132">
        <f t="shared" si="32"/>
        <v>7859444</v>
      </c>
      <c r="O26" s="38">
        <f t="shared" si="16"/>
        <v>0</v>
      </c>
      <c r="P26" s="135">
        <f t="shared" si="33"/>
        <v>8842016</v>
      </c>
      <c r="Q26" s="38">
        <f t="shared" si="9"/>
        <v>0</v>
      </c>
      <c r="R26" s="132">
        <f t="shared" si="34"/>
        <v>23077793</v>
      </c>
      <c r="S26" s="38">
        <f t="shared" si="10"/>
        <v>0</v>
      </c>
      <c r="T26" s="132">
        <v>0</v>
      </c>
      <c r="U26" s="136"/>
      <c r="V26" s="132">
        <f t="shared" si="35"/>
        <v>1159102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121540.24756639999</v>
      </c>
    </row>
    <row r="27" spans="1:27" ht="16.5" thickBot="1" x14ac:dyDescent="0.3">
      <c r="A27" s="9">
        <v>44890</v>
      </c>
      <c r="B27" s="38"/>
      <c r="C27" s="131">
        <f t="shared" si="27"/>
        <v>20331</v>
      </c>
      <c r="D27" s="38">
        <f t="shared" si="4"/>
        <v>0</v>
      </c>
      <c r="E27" s="132">
        <f t="shared" si="28"/>
        <v>34648255</v>
      </c>
      <c r="F27" s="38">
        <f t="shared" si="5"/>
        <v>0</v>
      </c>
      <c r="G27" s="133">
        <f t="shared" si="29"/>
        <v>8854119</v>
      </c>
      <c r="H27" s="38">
        <f t="shared" si="6"/>
        <v>0</v>
      </c>
      <c r="I27" s="134">
        <f t="shared" si="7"/>
        <v>0</v>
      </c>
      <c r="J27" s="132">
        <f t="shared" si="30"/>
        <v>871370</v>
      </c>
      <c r="K27" s="117">
        <f t="shared" si="15"/>
        <v>0</v>
      </c>
      <c r="L27" s="135">
        <f t="shared" si="31"/>
        <v>1186348</v>
      </c>
      <c r="M27" s="38">
        <f t="shared" si="8"/>
        <v>0</v>
      </c>
      <c r="N27" s="132">
        <f t="shared" si="32"/>
        <v>7859444</v>
      </c>
      <c r="O27" s="38">
        <f t="shared" si="16"/>
        <v>0</v>
      </c>
      <c r="P27" s="135">
        <f t="shared" si="33"/>
        <v>8842016</v>
      </c>
      <c r="Q27" s="38">
        <f t="shared" si="9"/>
        <v>0</v>
      </c>
      <c r="R27" s="132">
        <f t="shared" si="34"/>
        <v>23077793</v>
      </c>
      <c r="S27" s="38">
        <f t="shared" si="10"/>
        <v>0</v>
      </c>
      <c r="T27" s="132">
        <v>0</v>
      </c>
      <c r="U27" s="136"/>
      <c r="V27" s="132">
        <f t="shared" si="35"/>
        <v>1159102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121540.24756639999</v>
      </c>
    </row>
    <row r="28" spans="1:27" ht="16.5" thickBot="1" x14ac:dyDescent="0.3">
      <c r="A28" s="9">
        <v>44891</v>
      </c>
      <c r="B28" s="38"/>
      <c r="C28" s="131">
        <f t="shared" si="27"/>
        <v>20331</v>
      </c>
      <c r="D28" s="38">
        <f t="shared" si="4"/>
        <v>0</v>
      </c>
      <c r="E28" s="132">
        <f t="shared" si="28"/>
        <v>34648255</v>
      </c>
      <c r="F28" s="38">
        <f t="shared" si="5"/>
        <v>0</v>
      </c>
      <c r="G28" s="133">
        <f t="shared" si="29"/>
        <v>8854119</v>
      </c>
      <c r="H28" s="38">
        <f t="shared" si="6"/>
        <v>0</v>
      </c>
      <c r="I28" s="134">
        <f t="shared" si="7"/>
        <v>0</v>
      </c>
      <c r="J28" s="132">
        <f t="shared" si="30"/>
        <v>871370</v>
      </c>
      <c r="K28" s="117">
        <f t="shared" si="15"/>
        <v>0</v>
      </c>
      <c r="L28" s="135">
        <f t="shared" si="31"/>
        <v>1186348</v>
      </c>
      <c r="M28" s="38">
        <f t="shared" si="8"/>
        <v>0</v>
      </c>
      <c r="N28" s="132">
        <f t="shared" si="32"/>
        <v>7859444</v>
      </c>
      <c r="O28" s="38">
        <f t="shared" si="16"/>
        <v>0</v>
      </c>
      <c r="P28" s="135">
        <f t="shared" si="33"/>
        <v>8842016</v>
      </c>
      <c r="Q28" s="38">
        <f t="shared" si="9"/>
        <v>0</v>
      </c>
      <c r="R28" s="132">
        <f t="shared" si="34"/>
        <v>23077793</v>
      </c>
      <c r="S28" s="38">
        <f t="shared" si="10"/>
        <v>0</v>
      </c>
      <c r="T28" s="132">
        <v>0</v>
      </c>
      <c r="U28" s="136"/>
      <c r="V28" s="132">
        <f t="shared" si="35"/>
        <v>1159102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121540.24756639999</v>
      </c>
    </row>
    <row r="29" spans="1:27" ht="16.5" thickBot="1" x14ac:dyDescent="0.3">
      <c r="A29" s="9">
        <v>44892</v>
      </c>
      <c r="B29" s="38"/>
      <c r="C29" s="131">
        <f t="shared" si="27"/>
        <v>20331</v>
      </c>
      <c r="D29" s="38">
        <f t="shared" si="4"/>
        <v>0</v>
      </c>
      <c r="E29" s="132">
        <f t="shared" si="28"/>
        <v>34648255</v>
      </c>
      <c r="F29" s="38">
        <f t="shared" si="5"/>
        <v>0</v>
      </c>
      <c r="G29" s="133">
        <f t="shared" si="29"/>
        <v>8854119</v>
      </c>
      <c r="H29" s="38">
        <f t="shared" si="6"/>
        <v>0</v>
      </c>
      <c r="I29" s="134">
        <f t="shared" si="7"/>
        <v>0</v>
      </c>
      <c r="J29" s="132">
        <f t="shared" si="30"/>
        <v>871370</v>
      </c>
      <c r="K29" s="117">
        <f t="shared" si="15"/>
        <v>0</v>
      </c>
      <c r="L29" s="135">
        <f t="shared" si="31"/>
        <v>1186348</v>
      </c>
      <c r="M29" s="38">
        <f t="shared" si="8"/>
        <v>0</v>
      </c>
      <c r="N29" s="132">
        <f t="shared" si="32"/>
        <v>7859444</v>
      </c>
      <c r="O29" s="38">
        <f t="shared" si="16"/>
        <v>0</v>
      </c>
      <c r="P29" s="135">
        <f t="shared" si="33"/>
        <v>8842016</v>
      </c>
      <c r="Q29" s="38">
        <f t="shared" si="9"/>
        <v>0</v>
      </c>
      <c r="R29" s="132">
        <f t="shared" si="34"/>
        <v>23077793</v>
      </c>
      <c r="S29" s="38">
        <f t="shared" si="10"/>
        <v>0</v>
      </c>
      <c r="T29" s="132">
        <v>0</v>
      </c>
      <c r="U29" s="136"/>
      <c r="V29" s="132">
        <f t="shared" si="35"/>
        <v>1159102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121540.24756639999</v>
      </c>
    </row>
    <row r="30" spans="1:27" ht="16.5" thickBot="1" x14ac:dyDescent="0.3">
      <c r="A30" s="9">
        <v>44893</v>
      </c>
      <c r="B30" s="38"/>
      <c r="C30" s="131">
        <f t="shared" si="27"/>
        <v>20331</v>
      </c>
      <c r="D30" s="38">
        <f>IF((C30-C29)&lt;0,"0",(C30-C29))*160</f>
        <v>0</v>
      </c>
      <c r="E30" s="132">
        <f t="shared" si="28"/>
        <v>34648255</v>
      </c>
      <c r="F30" s="38">
        <f>IF((E30-E29)&lt;0,"0",(E30-E29))</f>
        <v>0</v>
      </c>
      <c r="G30" s="133">
        <f t="shared" si="29"/>
        <v>8854119</v>
      </c>
      <c r="H30" s="38">
        <f t="shared" si="6"/>
        <v>0</v>
      </c>
      <c r="I30" s="134">
        <f t="shared" si="7"/>
        <v>0</v>
      </c>
      <c r="J30" s="132">
        <f t="shared" si="30"/>
        <v>871370</v>
      </c>
      <c r="K30" s="117">
        <f t="shared" si="15"/>
        <v>0</v>
      </c>
      <c r="L30" s="135">
        <f t="shared" si="31"/>
        <v>1186348</v>
      </c>
      <c r="M30" s="38">
        <f>IF((L30-L29)&lt;0,"0",(L30-L29))</f>
        <v>0</v>
      </c>
      <c r="N30" s="132">
        <f t="shared" si="32"/>
        <v>7859444</v>
      </c>
      <c r="O30" s="38">
        <f>(IF((N30-N29)&lt;0,"0",(N30-N29)))*2</f>
        <v>0</v>
      </c>
      <c r="P30" s="135">
        <f t="shared" si="33"/>
        <v>8842016</v>
      </c>
      <c r="Q30" s="38">
        <f>IF((P30-P29)&lt;0,"0",(P30-P29))</f>
        <v>0</v>
      </c>
      <c r="R30" s="132">
        <f t="shared" si="34"/>
        <v>23077793</v>
      </c>
      <c r="S30" s="38">
        <f t="shared" si="10"/>
        <v>0</v>
      </c>
      <c r="T30" s="132">
        <v>0</v>
      </c>
      <c r="U30" s="136"/>
      <c r="V30" s="132">
        <f t="shared" si="35"/>
        <v>1159102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121540.24756639999</v>
      </c>
    </row>
    <row r="31" spans="1:27" ht="16.5" thickBot="1" x14ac:dyDescent="0.3">
      <c r="A31" s="9">
        <v>44894</v>
      </c>
      <c r="B31" s="38"/>
      <c r="C31" s="131">
        <f t="shared" si="27"/>
        <v>20331</v>
      </c>
      <c r="D31" s="38">
        <f t="shared" ref="D31:D32" si="36">IF((C31-C30)&lt;0,"0",(C31-C30))*160</f>
        <v>0</v>
      </c>
      <c r="E31" s="132">
        <f t="shared" si="28"/>
        <v>34648255</v>
      </c>
      <c r="F31" s="38">
        <f t="shared" ref="F31:F32" si="37">IF((E31-E30)&lt;0,"0",(E31-E30))</f>
        <v>0</v>
      </c>
      <c r="G31" s="133">
        <f t="shared" si="29"/>
        <v>8854119</v>
      </c>
      <c r="H31" s="38">
        <f t="shared" si="6"/>
        <v>0</v>
      </c>
      <c r="I31" s="134">
        <f t="shared" ref="I31:I32" si="38">F31+H31</f>
        <v>0</v>
      </c>
      <c r="J31" s="132">
        <f t="shared" si="30"/>
        <v>871370</v>
      </c>
      <c r="K31" s="117">
        <f t="shared" si="15"/>
        <v>0</v>
      </c>
      <c r="L31" s="135">
        <f t="shared" si="31"/>
        <v>1186348</v>
      </c>
      <c r="M31" s="38">
        <f t="shared" ref="M31:M32" si="39">IF((L31-L30)&lt;0,"0",(L31-L30))</f>
        <v>0</v>
      </c>
      <c r="N31" s="132">
        <f t="shared" si="32"/>
        <v>7859444</v>
      </c>
      <c r="O31" s="38">
        <f t="shared" ref="O31:O32" si="40">(IF((N31-N30)&lt;0,"0",(N31-N30)))*2</f>
        <v>0</v>
      </c>
      <c r="P31" s="135">
        <f t="shared" si="33"/>
        <v>8842016</v>
      </c>
      <c r="Q31" s="38">
        <f t="shared" ref="Q31:Q32" si="41">IF((P31-P30)&lt;0,"0",(P31-P30))</f>
        <v>0</v>
      </c>
      <c r="R31" s="132">
        <f t="shared" si="34"/>
        <v>23077793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35"/>
        <v>1159102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121540.24756639999</v>
      </c>
    </row>
    <row r="32" spans="1:27" ht="16.5" thickBot="1" x14ac:dyDescent="0.3">
      <c r="A32" s="9">
        <v>44895</v>
      </c>
      <c r="B32" s="38"/>
      <c r="C32" s="131">
        <f t="shared" si="27"/>
        <v>20331</v>
      </c>
      <c r="D32" s="38">
        <f t="shared" si="36"/>
        <v>0</v>
      </c>
      <c r="E32" s="132">
        <f t="shared" si="28"/>
        <v>34648255</v>
      </c>
      <c r="F32" s="38">
        <f t="shared" si="37"/>
        <v>0</v>
      </c>
      <c r="G32" s="133">
        <f t="shared" si="29"/>
        <v>8854119</v>
      </c>
      <c r="H32" s="38">
        <f t="shared" si="6"/>
        <v>0</v>
      </c>
      <c r="I32" s="134">
        <f t="shared" si="38"/>
        <v>0</v>
      </c>
      <c r="J32" s="132">
        <f t="shared" si="30"/>
        <v>871370</v>
      </c>
      <c r="K32" s="117">
        <f t="shared" si="15"/>
        <v>0</v>
      </c>
      <c r="L32" s="135">
        <f t="shared" si="31"/>
        <v>1186348</v>
      </c>
      <c r="M32" s="38">
        <f t="shared" si="39"/>
        <v>0</v>
      </c>
      <c r="N32" s="132">
        <f t="shared" si="32"/>
        <v>7859444</v>
      </c>
      <c r="O32" s="38">
        <f t="shared" si="40"/>
        <v>0</v>
      </c>
      <c r="P32" s="135">
        <f t="shared" si="33"/>
        <v>8842016</v>
      </c>
      <c r="Q32" s="38">
        <f t="shared" si="41"/>
        <v>0</v>
      </c>
      <c r="R32" s="132">
        <f t="shared" si="34"/>
        <v>23077793</v>
      </c>
      <c r="S32" s="38">
        <f t="shared" si="42"/>
        <v>0</v>
      </c>
      <c r="T32" s="132">
        <v>0</v>
      </c>
      <c r="U32" s="136"/>
      <c r="V32" s="132">
        <f t="shared" si="35"/>
        <v>1159102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121540.24756639999</v>
      </c>
    </row>
    <row r="33" spans="1:27" ht="16.5" thickBot="1" x14ac:dyDescent="0.3">
      <c r="A33" s="124" t="s">
        <v>23</v>
      </c>
      <c r="B33" s="124">
        <f>SUM(B3:B32)</f>
        <v>4275</v>
      </c>
      <c r="C33" s="124">
        <v>0</v>
      </c>
      <c r="D33" s="124">
        <f>SUM(D3:D32)</f>
        <v>7680</v>
      </c>
      <c r="E33" s="55">
        <v>0</v>
      </c>
      <c r="F33" s="124">
        <f>SUM(F3:F32)</f>
        <v>158422</v>
      </c>
      <c r="G33" s="55">
        <v>0</v>
      </c>
      <c r="H33" s="124">
        <f>SUM(H3:H32)</f>
        <v>833323</v>
      </c>
      <c r="I33" s="124">
        <f t="shared" ref="I33" si="47">F33+H33</f>
        <v>991745</v>
      </c>
      <c r="J33" s="55">
        <v>0</v>
      </c>
      <c r="K33" s="124">
        <f>SUM(K3:K32)</f>
        <v>185052</v>
      </c>
      <c r="L33" s="55">
        <v>0</v>
      </c>
      <c r="M33" s="124">
        <f>SUM(M3:M32)</f>
        <v>95926</v>
      </c>
      <c r="N33" s="55">
        <v>0</v>
      </c>
      <c r="O33" s="124">
        <f>SUM(O3:O32)</f>
        <v>59026</v>
      </c>
      <c r="P33" s="55">
        <v>0</v>
      </c>
      <c r="Q33" s="124">
        <f>SUM(Q3:Q32)</f>
        <v>178605</v>
      </c>
      <c r="R33" s="55">
        <v>0</v>
      </c>
      <c r="S33" s="124">
        <f>SUM(S3:S32)</f>
        <v>173325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185692</v>
      </c>
      <c r="X33" s="124">
        <f>SUM(X3:X32)</f>
        <v>877626</v>
      </c>
      <c r="Y33" s="124">
        <f>SUM(Y2:Y32)</f>
        <v>114119</v>
      </c>
      <c r="Z33" s="124">
        <f>SUM(Z2:Z32)</f>
        <v>121540.24756639999</v>
      </c>
      <c r="AA33" s="124">
        <f>SUM(AA2:AA32)</f>
        <v>2759710.4304224011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J23" sqref="J23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v>466136</v>
      </c>
      <c r="C10" s="38">
        <f>(IF((B10-B9)&lt;0,"0",(B10-B9)))*10</f>
        <v>730</v>
      </c>
      <c r="D10" s="3">
        <v>15510</v>
      </c>
      <c r="E10" s="38">
        <f t="shared" si="2"/>
        <v>340</v>
      </c>
      <c r="F10" s="3">
        <v>12597000</v>
      </c>
      <c r="G10" s="38">
        <f t="shared" si="5"/>
        <v>386.1</v>
      </c>
      <c r="H10" s="3">
        <v>820490</v>
      </c>
      <c r="I10" s="43">
        <f t="shared" si="6"/>
        <v>5.319</v>
      </c>
      <c r="J10" s="19">
        <f t="shared" si="3"/>
        <v>1461.4189999999999</v>
      </c>
      <c r="K10" s="20">
        <f t="shared" si="4"/>
        <v>8563.9153399999996</v>
      </c>
    </row>
    <row r="11" spans="1:14" ht="16.5" thickBot="1" x14ac:dyDescent="0.3">
      <c r="A11" s="9">
        <v>44874</v>
      </c>
      <c r="B11" s="3">
        <v>466205</v>
      </c>
      <c r="C11" s="38">
        <f t="shared" si="7"/>
        <v>690</v>
      </c>
      <c r="D11" s="3">
        <v>15545</v>
      </c>
      <c r="E11" s="38">
        <f t="shared" si="2"/>
        <v>350</v>
      </c>
      <c r="F11" s="3">
        <v>12608600</v>
      </c>
      <c r="G11" s="38">
        <f t="shared" si="5"/>
        <v>313.2</v>
      </c>
      <c r="H11" s="3">
        <v>820696</v>
      </c>
      <c r="I11" s="43">
        <f t="shared" si="6"/>
        <v>5.5620000000000003</v>
      </c>
      <c r="J11" s="19">
        <f t="shared" si="3"/>
        <v>1358.7619999999999</v>
      </c>
      <c r="K11" s="20">
        <f t="shared" si="4"/>
        <v>7962.3453200000004</v>
      </c>
      <c r="N11" t="s">
        <v>12</v>
      </c>
    </row>
    <row r="12" spans="1:14" ht="16.5" thickBot="1" x14ac:dyDescent="0.3">
      <c r="A12" s="9">
        <v>44875</v>
      </c>
      <c r="B12" s="3">
        <v>466282</v>
      </c>
      <c r="C12" s="38">
        <f t="shared" si="7"/>
        <v>770</v>
      </c>
      <c r="D12" s="3">
        <v>15582</v>
      </c>
      <c r="E12" s="38">
        <f t="shared" si="2"/>
        <v>370</v>
      </c>
      <c r="F12" s="3">
        <v>12623200</v>
      </c>
      <c r="G12" s="38">
        <f t="shared" si="5"/>
        <v>394.2</v>
      </c>
      <c r="H12" s="3">
        <v>820897</v>
      </c>
      <c r="I12" s="43">
        <f t="shared" si="6"/>
        <v>5.4269999999999996</v>
      </c>
      <c r="J12" s="19">
        <f t="shared" si="3"/>
        <v>1539.627</v>
      </c>
      <c r="K12" s="20">
        <f t="shared" si="4"/>
        <v>9022.2142199999998</v>
      </c>
    </row>
    <row r="13" spans="1:14" ht="16.5" thickBot="1" x14ac:dyDescent="0.3">
      <c r="A13" s="9">
        <v>44876</v>
      </c>
      <c r="B13" s="3">
        <v>466359</v>
      </c>
      <c r="C13" s="38">
        <f t="shared" si="7"/>
        <v>770</v>
      </c>
      <c r="D13" s="3">
        <v>15617</v>
      </c>
      <c r="E13" s="38">
        <f t="shared" si="2"/>
        <v>350</v>
      </c>
      <c r="F13" s="3">
        <v>12638200</v>
      </c>
      <c r="G13" s="38">
        <f t="shared" si="5"/>
        <v>405</v>
      </c>
      <c r="H13" s="3">
        <v>821078</v>
      </c>
      <c r="I13" s="43">
        <f t="shared" si="6"/>
        <v>4.8869999999999996</v>
      </c>
      <c r="J13" s="19">
        <f t="shared" si="3"/>
        <v>1529.8869999999999</v>
      </c>
      <c r="K13" s="20">
        <f t="shared" si="4"/>
        <v>8965.1378199999999</v>
      </c>
    </row>
    <row r="14" spans="1:14" ht="16.5" thickBot="1" x14ac:dyDescent="0.3">
      <c r="A14" s="9">
        <v>44877</v>
      </c>
      <c r="B14" s="3">
        <v>466440</v>
      </c>
      <c r="C14" s="38">
        <f t="shared" si="7"/>
        <v>810</v>
      </c>
      <c r="D14" s="3">
        <v>15655</v>
      </c>
      <c r="E14" s="38">
        <f t="shared" si="2"/>
        <v>380</v>
      </c>
      <c r="F14" s="3">
        <v>12654500</v>
      </c>
      <c r="G14" s="38">
        <f t="shared" si="5"/>
        <v>440.1</v>
      </c>
      <c r="H14" s="3">
        <v>821277</v>
      </c>
      <c r="I14" s="43">
        <f t="shared" si="6"/>
        <v>5.3730000000000002</v>
      </c>
      <c r="J14" s="19">
        <f t="shared" si="3"/>
        <v>1635.473</v>
      </c>
      <c r="K14" s="20">
        <f t="shared" si="4"/>
        <v>9583.8717799999995</v>
      </c>
    </row>
    <row r="15" spans="1:14" ht="16.5" thickBot="1" x14ac:dyDescent="0.3">
      <c r="A15" s="9">
        <v>44878</v>
      </c>
      <c r="B15" s="3">
        <v>466521</v>
      </c>
      <c r="C15" s="38">
        <f t="shared" si="7"/>
        <v>810</v>
      </c>
      <c r="D15" s="3">
        <v>15692</v>
      </c>
      <c r="E15" s="38">
        <f t="shared" si="2"/>
        <v>370</v>
      </c>
      <c r="F15" s="3">
        <v>12670100</v>
      </c>
      <c r="G15" s="38">
        <f t="shared" si="5"/>
        <v>421.2</v>
      </c>
      <c r="H15" s="3">
        <v>821467</v>
      </c>
      <c r="I15" s="43">
        <f t="shared" si="6"/>
        <v>5.13</v>
      </c>
      <c r="J15" s="19">
        <f t="shared" si="3"/>
        <v>1606.3300000000002</v>
      </c>
      <c r="K15" s="20">
        <f t="shared" si="4"/>
        <v>9413.0938000000006</v>
      </c>
    </row>
    <row r="16" spans="1:14" ht="16.5" thickBot="1" x14ac:dyDescent="0.3">
      <c r="A16" s="9">
        <v>44879</v>
      </c>
      <c r="B16" s="3">
        <v>466597</v>
      </c>
      <c r="C16" s="38">
        <f t="shared" si="7"/>
        <v>760</v>
      </c>
      <c r="D16" s="3">
        <v>15729</v>
      </c>
      <c r="E16" s="38">
        <f t="shared" si="2"/>
        <v>370</v>
      </c>
      <c r="F16" s="3">
        <v>12683400</v>
      </c>
      <c r="G16" s="38">
        <f t="shared" si="5"/>
        <v>359.1</v>
      </c>
      <c r="H16" s="3">
        <v>821661</v>
      </c>
      <c r="I16" s="43">
        <f t="shared" si="6"/>
        <v>5.2379999999999995</v>
      </c>
      <c r="J16" s="19">
        <f t="shared" si="3"/>
        <v>1494.338</v>
      </c>
      <c r="K16" s="20">
        <f t="shared" si="4"/>
        <v>8756.8206800000007</v>
      </c>
    </row>
    <row r="17" spans="1:25" ht="16.5" thickBot="1" x14ac:dyDescent="0.3">
      <c r="A17" s="9">
        <v>44880</v>
      </c>
      <c r="B17" s="3">
        <v>466676</v>
      </c>
      <c r="C17" s="38">
        <f t="shared" si="7"/>
        <v>790</v>
      </c>
      <c r="D17" s="3">
        <v>15767</v>
      </c>
      <c r="E17" s="38">
        <f t="shared" si="2"/>
        <v>380</v>
      </c>
      <c r="F17" s="3">
        <v>12698200</v>
      </c>
      <c r="G17" s="38">
        <f t="shared" si="5"/>
        <v>399.6</v>
      </c>
      <c r="H17" s="3">
        <v>821841</v>
      </c>
      <c r="I17" s="43">
        <f t="shared" si="6"/>
        <v>4.8600000000000003</v>
      </c>
      <c r="J17" s="19">
        <f t="shared" si="3"/>
        <v>1574.4599999999998</v>
      </c>
      <c r="K17" s="20">
        <f t="shared" si="4"/>
        <v>9226.3355999999985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v>466744</v>
      </c>
      <c r="C18" s="38">
        <f t="shared" si="7"/>
        <v>680</v>
      </c>
      <c r="D18" s="3">
        <v>15803</v>
      </c>
      <c r="E18" s="38">
        <f t="shared" si="2"/>
        <v>360</v>
      </c>
      <c r="F18" s="3">
        <v>12710000</v>
      </c>
      <c r="G18" s="38">
        <f t="shared" si="5"/>
        <v>318.60000000000002</v>
      </c>
      <c r="H18" s="3">
        <v>822016</v>
      </c>
      <c r="I18" s="43">
        <f t="shared" si="6"/>
        <v>4.7249999999999996</v>
      </c>
      <c r="J18" s="19">
        <f t="shared" si="3"/>
        <v>1363.3249999999998</v>
      </c>
      <c r="K18" s="20">
        <f t="shared" si="4"/>
        <v>7989.084499999999</v>
      </c>
      <c r="Q18" t="s">
        <v>43</v>
      </c>
    </row>
    <row r="19" spans="1:25" ht="16.5" thickBot="1" x14ac:dyDescent="0.3">
      <c r="A19" s="9">
        <v>44882</v>
      </c>
      <c r="B19" s="3">
        <f t="shared" ref="B18:B32" si="8">B18</f>
        <v>466744</v>
      </c>
      <c r="C19" s="38">
        <f t="shared" si="7"/>
        <v>0</v>
      </c>
      <c r="D19" s="3">
        <f t="shared" ref="D18:D32" si="9">D18</f>
        <v>15803</v>
      </c>
      <c r="E19" s="38">
        <f t="shared" ref="E19:E32" si="10">(IF((D19-D18)&lt;0,"0",(D19-D18)))*10</f>
        <v>0</v>
      </c>
      <c r="F19" s="3">
        <f t="shared" ref="F18:F32" si="11">F18</f>
        <v>12710000</v>
      </c>
      <c r="G19" s="38">
        <f t="shared" si="5"/>
        <v>0</v>
      </c>
      <c r="H19" s="3">
        <f t="shared" ref="H18:H32" si="12">H18</f>
        <v>822016</v>
      </c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44883</v>
      </c>
      <c r="B20" s="3">
        <f t="shared" si="8"/>
        <v>466744</v>
      </c>
      <c r="C20" s="38">
        <f t="shared" si="7"/>
        <v>0</v>
      </c>
      <c r="D20" s="3">
        <f t="shared" si="9"/>
        <v>15803</v>
      </c>
      <c r="E20" s="38">
        <f t="shared" si="10"/>
        <v>0</v>
      </c>
      <c r="F20" s="3">
        <f t="shared" si="11"/>
        <v>12710000</v>
      </c>
      <c r="G20" s="38">
        <f t="shared" si="5"/>
        <v>0</v>
      </c>
      <c r="H20" s="3">
        <f t="shared" si="12"/>
        <v>822016</v>
      </c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44884</v>
      </c>
      <c r="B21" s="3">
        <f t="shared" si="8"/>
        <v>466744</v>
      </c>
      <c r="C21" s="38">
        <f t="shared" si="7"/>
        <v>0</v>
      </c>
      <c r="D21" s="3">
        <f t="shared" si="9"/>
        <v>15803</v>
      </c>
      <c r="E21" s="38">
        <f t="shared" si="10"/>
        <v>0</v>
      </c>
      <c r="F21" s="3">
        <f t="shared" si="11"/>
        <v>12710000</v>
      </c>
      <c r="G21" s="38">
        <f t="shared" si="5"/>
        <v>0</v>
      </c>
      <c r="H21" s="3">
        <f t="shared" si="12"/>
        <v>822016</v>
      </c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44885</v>
      </c>
      <c r="B22" s="3">
        <f t="shared" si="8"/>
        <v>466744</v>
      </c>
      <c r="C22" s="38">
        <f t="shared" si="7"/>
        <v>0</v>
      </c>
      <c r="D22" s="3">
        <f t="shared" si="9"/>
        <v>15803</v>
      </c>
      <c r="E22" s="38">
        <f t="shared" si="10"/>
        <v>0</v>
      </c>
      <c r="F22" s="3">
        <f t="shared" si="11"/>
        <v>12710000</v>
      </c>
      <c r="G22" s="38">
        <f t="shared" si="5"/>
        <v>0</v>
      </c>
      <c r="H22" s="3">
        <f t="shared" si="12"/>
        <v>822016</v>
      </c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f t="shared" si="8"/>
        <v>466744</v>
      </c>
      <c r="C23" s="38">
        <f t="shared" si="7"/>
        <v>0</v>
      </c>
      <c r="D23" s="3">
        <f t="shared" si="9"/>
        <v>15803</v>
      </c>
      <c r="E23" s="38">
        <f t="shared" si="10"/>
        <v>0</v>
      </c>
      <c r="F23" s="3">
        <f t="shared" si="11"/>
        <v>12710000</v>
      </c>
      <c r="G23" s="38">
        <f t="shared" si="5"/>
        <v>0</v>
      </c>
      <c r="H23" s="3">
        <f t="shared" si="12"/>
        <v>822016</v>
      </c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44887</v>
      </c>
      <c r="B24" s="3">
        <f t="shared" si="8"/>
        <v>466744</v>
      </c>
      <c r="C24" s="38">
        <f t="shared" si="7"/>
        <v>0</v>
      </c>
      <c r="D24" s="3">
        <f t="shared" si="9"/>
        <v>15803</v>
      </c>
      <c r="E24" s="38">
        <f t="shared" si="10"/>
        <v>0</v>
      </c>
      <c r="F24" s="3">
        <f t="shared" si="11"/>
        <v>12710000</v>
      </c>
      <c r="G24" s="38">
        <f t="shared" si="5"/>
        <v>0</v>
      </c>
      <c r="H24" s="3">
        <f t="shared" si="12"/>
        <v>822016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8"/>
        <v>466744</v>
      </c>
      <c r="C25" s="38">
        <f t="shared" si="7"/>
        <v>0</v>
      </c>
      <c r="D25" s="3">
        <f t="shared" si="9"/>
        <v>15803</v>
      </c>
      <c r="E25" s="38">
        <f t="shared" si="10"/>
        <v>0</v>
      </c>
      <c r="F25" s="3">
        <f t="shared" si="11"/>
        <v>12710000</v>
      </c>
      <c r="G25" s="38">
        <f t="shared" si="5"/>
        <v>0</v>
      </c>
      <c r="H25" s="3">
        <f t="shared" si="12"/>
        <v>822016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8"/>
        <v>466744</v>
      </c>
      <c r="C26" s="38">
        <f t="shared" si="7"/>
        <v>0</v>
      </c>
      <c r="D26" s="3">
        <f t="shared" si="9"/>
        <v>15803</v>
      </c>
      <c r="E26" s="38">
        <f t="shared" si="10"/>
        <v>0</v>
      </c>
      <c r="F26" s="3">
        <f t="shared" si="11"/>
        <v>12710000</v>
      </c>
      <c r="G26" s="38">
        <f t="shared" si="5"/>
        <v>0</v>
      </c>
      <c r="H26" s="3">
        <f t="shared" si="12"/>
        <v>822016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8"/>
        <v>466744</v>
      </c>
      <c r="C27" s="38">
        <f t="shared" si="7"/>
        <v>0</v>
      </c>
      <c r="D27" s="3">
        <f t="shared" si="9"/>
        <v>15803</v>
      </c>
      <c r="E27" s="38">
        <f t="shared" si="10"/>
        <v>0</v>
      </c>
      <c r="F27" s="3">
        <f t="shared" si="11"/>
        <v>12710000</v>
      </c>
      <c r="G27" s="38">
        <f t="shared" si="5"/>
        <v>0</v>
      </c>
      <c r="H27" s="3">
        <f t="shared" si="12"/>
        <v>822016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8"/>
        <v>466744</v>
      </c>
      <c r="C28" s="38">
        <f t="shared" si="7"/>
        <v>0</v>
      </c>
      <c r="D28" s="3">
        <f t="shared" si="9"/>
        <v>15803</v>
      </c>
      <c r="E28" s="38">
        <f t="shared" si="10"/>
        <v>0</v>
      </c>
      <c r="F28" s="3">
        <f t="shared" si="11"/>
        <v>12710000</v>
      </c>
      <c r="G28" s="38">
        <f t="shared" si="5"/>
        <v>0</v>
      </c>
      <c r="H28" s="3">
        <f t="shared" si="12"/>
        <v>822016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8"/>
        <v>466744</v>
      </c>
      <c r="C29" s="38">
        <f t="shared" si="7"/>
        <v>0</v>
      </c>
      <c r="D29" s="3">
        <f t="shared" si="9"/>
        <v>15803</v>
      </c>
      <c r="E29" s="38">
        <f t="shared" si="10"/>
        <v>0</v>
      </c>
      <c r="F29" s="3">
        <f t="shared" si="11"/>
        <v>12710000</v>
      </c>
      <c r="G29" s="38">
        <f t="shared" si="5"/>
        <v>0</v>
      </c>
      <c r="H29" s="3">
        <f t="shared" si="12"/>
        <v>822016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8"/>
        <v>466744</v>
      </c>
      <c r="C30" s="38">
        <f t="shared" si="7"/>
        <v>0</v>
      </c>
      <c r="D30" s="3">
        <f t="shared" si="9"/>
        <v>15803</v>
      </c>
      <c r="E30" s="38">
        <f t="shared" si="10"/>
        <v>0</v>
      </c>
      <c r="F30" s="3">
        <f t="shared" si="11"/>
        <v>12710000</v>
      </c>
      <c r="G30" s="38">
        <f t="shared" si="5"/>
        <v>0</v>
      </c>
      <c r="H30" s="3">
        <f t="shared" si="12"/>
        <v>822016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8"/>
        <v>466744</v>
      </c>
      <c r="C31" s="38">
        <f t="shared" si="7"/>
        <v>0</v>
      </c>
      <c r="D31" s="3">
        <f t="shared" si="9"/>
        <v>15803</v>
      </c>
      <c r="E31" s="38">
        <f t="shared" si="10"/>
        <v>0</v>
      </c>
      <c r="F31" s="3">
        <f t="shared" si="11"/>
        <v>12710000</v>
      </c>
      <c r="G31" s="38">
        <f t="shared" si="5"/>
        <v>0</v>
      </c>
      <c r="H31" s="3">
        <f t="shared" si="12"/>
        <v>822016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8"/>
        <v>466744</v>
      </c>
      <c r="C32" s="38">
        <f t="shared" si="7"/>
        <v>0</v>
      </c>
      <c r="D32" s="3">
        <f t="shared" si="9"/>
        <v>15803</v>
      </c>
      <c r="E32" s="38">
        <f t="shared" si="10"/>
        <v>0</v>
      </c>
      <c r="F32" s="3">
        <f t="shared" si="11"/>
        <v>12710000</v>
      </c>
      <c r="G32" s="38">
        <f t="shared" si="5"/>
        <v>0</v>
      </c>
      <c r="H32" s="3">
        <f t="shared" si="12"/>
        <v>822016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12440</v>
      </c>
      <c r="D33" s="55"/>
      <c r="E33" s="55">
        <f>SUM(E3:E32)</f>
        <v>5860</v>
      </c>
      <c r="F33" s="55"/>
      <c r="G33" s="55">
        <f>SUM(G3:G32)</f>
        <v>6415.2000000000007</v>
      </c>
      <c r="H33" s="55"/>
      <c r="I33" s="55">
        <f>SUM(I3:I32)</f>
        <v>81.377999999999986</v>
      </c>
      <c r="J33" s="55">
        <v>0</v>
      </c>
      <c r="K33" s="55">
        <f>SUM(K4:K32)</f>
        <v>135907.09482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C18" sqref="C18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v>18574129</v>
      </c>
      <c r="C10" s="44">
        <f t="shared" si="0"/>
        <v>2035</v>
      </c>
    </row>
    <row r="11" spans="1:9" ht="24" thickBot="1" x14ac:dyDescent="0.4">
      <c r="A11" s="9">
        <v>44874</v>
      </c>
      <c r="B11" s="120">
        <v>18575636</v>
      </c>
      <c r="C11" s="44">
        <f t="shared" si="0"/>
        <v>1507</v>
      </c>
    </row>
    <row r="12" spans="1:9" ht="24" thickBot="1" x14ac:dyDescent="0.4">
      <c r="A12" s="9">
        <v>44875</v>
      </c>
      <c r="B12" s="120">
        <v>18576929</v>
      </c>
      <c r="C12" s="44">
        <f t="shared" si="0"/>
        <v>1293</v>
      </c>
    </row>
    <row r="13" spans="1:9" ht="24" thickBot="1" x14ac:dyDescent="0.4">
      <c r="A13" s="9">
        <v>44876</v>
      </c>
      <c r="B13" s="120">
        <v>18577176</v>
      </c>
      <c r="C13" s="44">
        <f t="shared" si="0"/>
        <v>247</v>
      </c>
    </row>
    <row r="14" spans="1:9" ht="24" thickBot="1" x14ac:dyDescent="0.4">
      <c r="A14" s="9">
        <v>44877</v>
      </c>
      <c r="B14" s="120">
        <v>18577176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v>18577176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v>18577176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v>18577176</v>
      </c>
      <c r="C17" s="44">
        <f t="shared" si="0"/>
        <v>0</v>
      </c>
    </row>
    <row r="18" spans="1:9" ht="24" thickBot="1" x14ac:dyDescent="0.4">
      <c r="A18" s="9">
        <v>44881</v>
      </c>
      <c r="B18" s="120">
        <v>18577800</v>
      </c>
      <c r="C18" s="44">
        <f t="shared" si="0"/>
        <v>624</v>
      </c>
      <c r="I18" s="34"/>
    </row>
    <row r="19" spans="1:9" ht="24" thickBot="1" x14ac:dyDescent="0.4">
      <c r="A19" s="9">
        <v>44882</v>
      </c>
      <c r="B19" s="120">
        <f t="shared" ref="B18:B32" si="1">B18</f>
        <v>18577800</v>
      </c>
      <c r="C19" s="44">
        <f t="shared" si="0"/>
        <v>0</v>
      </c>
    </row>
    <row r="20" spans="1:9" ht="24" thickBot="1" x14ac:dyDescent="0.4">
      <c r="A20" s="9">
        <v>44883</v>
      </c>
      <c r="B20" s="120">
        <f t="shared" si="1"/>
        <v>18577800</v>
      </c>
      <c r="C20" s="44">
        <f t="shared" si="0"/>
        <v>0</v>
      </c>
      <c r="I20" s="34"/>
    </row>
    <row r="21" spans="1:9" ht="24" thickBot="1" x14ac:dyDescent="0.4">
      <c r="A21" s="9">
        <v>44884</v>
      </c>
      <c r="B21" s="120">
        <f t="shared" si="1"/>
        <v>18577800</v>
      </c>
      <c r="C21" s="44">
        <f t="shared" si="0"/>
        <v>0</v>
      </c>
    </row>
    <row r="22" spans="1:9" ht="24" thickBot="1" x14ac:dyDescent="0.4">
      <c r="A22" s="9">
        <v>44885</v>
      </c>
      <c r="B22" s="120">
        <f t="shared" si="1"/>
        <v>18577800</v>
      </c>
      <c r="C22" s="44">
        <f t="shared" si="0"/>
        <v>0</v>
      </c>
    </row>
    <row r="23" spans="1:9" ht="24" thickBot="1" x14ac:dyDescent="0.4">
      <c r="A23" s="9">
        <v>44886</v>
      </c>
      <c r="B23" s="120">
        <f t="shared" si="1"/>
        <v>18577800</v>
      </c>
      <c r="C23" s="44">
        <f t="shared" si="0"/>
        <v>0</v>
      </c>
      <c r="F23" t="s">
        <v>12</v>
      </c>
    </row>
    <row r="24" spans="1:9" ht="24" thickBot="1" x14ac:dyDescent="0.4">
      <c r="A24" s="9">
        <v>44887</v>
      </c>
      <c r="B24" s="120">
        <f t="shared" si="1"/>
        <v>18577800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18577800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18577800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18577800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18577800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18577800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18577800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18577800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18577800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21580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topLeftCell="M1" zoomScale="110" zoomScaleNormal="110" workbookViewId="0">
      <pane ySplit="1" topLeftCell="A2" activePane="bottomLeft" state="frozen"/>
      <selection pane="bottomLeft" activeCell="AH18" sqref="AH18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v>25391.742999999999</v>
      </c>
      <c r="C10" s="43">
        <f t="shared" si="22"/>
        <v>5.4480000000003201</v>
      </c>
      <c r="D10" s="28">
        <f t="shared" si="23"/>
        <v>10351.200000000608</v>
      </c>
      <c r="E10" s="1">
        <v>4651.527</v>
      </c>
      <c r="F10" s="43">
        <f t="shared" si="24"/>
        <v>1.7960000000002765</v>
      </c>
      <c r="G10" s="28">
        <f t="shared" si="25"/>
        <v>3412.4000000005253</v>
      </c>
      <c r="H10" s="1">
        <v>6475</v>
      </c>
      <c r="I10" s="43">
        <f t="shared" si="26"/>
        <v>4</v>
      </c>
      <c r="J10" s="28">
        <f t="shared" si="27"/>
        <v>7600</v>
      </c>
      <c r="K10" s="7">
        <v>14301.99</v>
      </c>
      <c r="L10" s="43">
        <f t="shared" si="28"/>
        <v>1.6399999999994179</v>
      </c>
      <c r="M10" s="28">
        <f t="shared" si="29"/>
        <v>3115.9999999988941</v>
      </c>
      <c r="N10" s="7">
        <v>3870.1860000000001</v>
      </c>
      <c r="O10" s="43">
        <f>IF((N10-N9)&lt;0,"0",(N10-N9))</f>
        <v>2.430000000000291</v>
      </c>
      <c r="P10" s="28">
        <f t="shared" si="31"/>
        <v>4617.0000000005521</v>
      </c>
      <c r="Q10" s="7">
        <v>5651.26</v>
      </c>
      <c r="R10" s="43">
        <f t="shared" si="32"/>
        <v>0.86000000000058208</v>
      </c>
      <c r="S10" s="28">
        <f t="shared" si="33"/>
        <v>1634.0000000011059</v>
      </c>
      <c r="T10" s="8">
        <f t="shared" si="36"/>
        <v>16.174000000000888</v>
      </c>
      <c r="U10" s="30">
        <f t="shared" si="34"/>
        <v>30730.600000001687</v>
      </c>
      <c r="W10" s="141">
        <v>44873</v>
      </c>
      <c r="X10" s="142">
        <v>221155</v>
      </c>
      <c r="Y10" s="147">
        <f t="shared" si="21"/>
        <v>118</v>
      </c>
      <c r="Z10" s="142">
        <v>10212</v>
      </c>
      <c r="AA10" s="147">
        <f t="shared" si="21"/>
        <v>3</v>
      </c>
      <c r="AB10" s="142">
        <f t="shared" si="35"/>
        <v>41</v>
      </c>
      <c r="AC10" s="147">
        <f t="shared" si="21"/>
        <v>0</v>
      </c>
      <c r="AD10" s="142">
        <v>780</v>
      </c>
      <c r="AE10" s="147">
        <f t="shared" si="21"/>
        <v>3</v>
      </c>
      <c r="AF10" s="142">
        <v>9700</v>
      </c>
      <c r="AG10" s="147">
        <f t="shared" si="21"/>
        <v>6</v>
      </c>
    </row>
    <row r="11" spans="1:33" ht="16.5" thickBot="1" x14ac:dyDescent="0.25">
      <c r="A11" s="9">
        <v>44874</v>
      </c>
      <c r="B11" s="144">
        <v>25396.769</v>
      </c>
      <c r="C11" s="43">
        <f t="shared" si="22"/>
        <v>5.0260000000016589</v>
      </c>
      <c r="D11" s="28">
        <f t="shared" si="23"/>
        <v>9549.4000000031519</v>
      </c>
      <c r="E11" s="1">
        <v>4652.9009999999998</v>
      </c>
      <c r="F11" s="43">
        <f t="shared" si="24"/>
        <v>1.3739999999997963</v>
      </c>
      <c r="G11" s="28">
        <f t="shared" si="25"/>
        <v>2610.5999999996129</v>
      </c>
      <c r="H11" s="1">
        <v>6479</v>
      </c>
      <c r="I11" s="43">
        <f t="shared" si="26"/>
        <v>4</v>
      </c>
      <c r="J11" s="28">
        <f t="shared" si="27"/>
        <v>7600</v>
      </c>
      <c r="K11" s="7">
        <v>14302.89</v>
      </c>
      <c r="L11" s="43">
        <f t="shared" si="28"/>
        <v>0.8999999999996362</v>
      </c>
      <c r="M11" s="28">
        <f t="shared" si="29"/>
        <v>1709.9999999993088</v>
      </c>
      <c r="N11" s="7">
        <v>3872.2910000000002</v>
      </c>
      <c r="O11" s="43">
        <f t="shared" si="30"/>
        <v>2.1050000000000182</v>
      </c>
      <c r="P11" s="28">
        <f t="shared" si="31"/>
        <v>3999.5000000000346</v>
      </c>
      <c r="Q11" s="7">
        <v>5652.6</v>
      </c>
      <c r="R11" s="43">
        <f t="shared" si="32"/>
        <v>1.3400000000001455</v>
      </c>
      <c r="S11" s="28">
        <f t="shared" si="33"/>
        <v>2546.0000000002765</v>
      </c>
      <c r="T11" s="8">
        <f t="shared" si="36"/>
        <v>14.745000000001255</v>
      </c>
      <c r="U11" s="30">
        <f t="shared" si="34"/>
        <v>28015.500000002383</v>
      </c>
      <c r="W11" s="141">
        <v>44874</v>
      </c>
      <c r="X11" s="142">
        <v>221284</v>
      </c>
      <c r="Y11" s="147">
        <f t="shared" si="21"/>
        <v>129</v>
      </c>
      <c r="Z11" s="142">
        <v>10216</v>
      </c>
      <c r="AA11" s="147">
        <f t="shared" si="21"/>
        <v>4</v>
      </c>
      <c r="AB11" s="142">
        <f t="shared" si="35"/>
        <v>41</v>
      </c>
      <c r="AC11" s="147">
        <f t="shared" si="21"/>
        <v>0</v>
      </c>
      <c r="AD11" s="142">
        <v>781</v>
      </c>
      <c r="AE11" s="147">
        <f t="shared" si="21"/>
        <v>1</v>
      </c>
      <c r="AF11" s="142">
        <v>9708</v>
      </c>
      <c r="AG11" s="147">
        <f t="shared" si="21"/>
        <v>8</v>
      </c>
    </row>
    <row r="12" spans="1:33" ht="16.5" thickBot="1" x14ac:dyDescent="0.25">
      <c r="A12" s="9">
        <v>44875</v>
      </c>
      <c r="B12" s="144">
        <v>25402.217000000001</v>
      </c>
      <c r="C12" s="43">
        <f t="shared" si="22"/>
        <v>5.4480000000003201</v>
      </c>
      <c r="D12" s="28">
        <f t="shared" si="23"/>
        <v>10351.200000000608</v>
      </c>
      <c r="E12" s="1">
        <v>4654.625</v>
      </c>
      <c r="F12" s="43">
        <f t="shared" si="24"/>
        <v>1.7240000000001601</v>
      </c>
      <c r="G12" s="28">
        <f t="shared" si="25"/>
        <v>3275.6000000003041</v>
      </c>
      <c r="H12" s="1">
        <v>6483</v>
      </c>
      <c r="I12" s="43">
        <f t="shared" si="26"/>
        <v>4</v>
      </c>
      <c r="J12" s="28">
        <f t="shared" si="27"/>
        <v>7600</v>
      </c>
      <c r="K12" s="7">
        <v>14303.95</v>
      </c>
      <c r="L12" s="43">
        <f t="shared" si="28"/>
        <v>1.0600000000013097</v>
      </c>
      <c r="M12" s="28">
        <f t="shared" si="29"/>
        <v>2014.0000000024884</v>
      </c>
      <c r="N12" s="7">
        <v>3874.7719999999999</v>
      </c>
      <c r="O12" s="43">
        <f t="shared" si="30"/>
        <v>2.4809999999997672</v>
      </c>
      <c r="P12" s="28">
        <f t="shared" si="31"/>
        <v>4713.8999999995576</v>
      </c>
      <c r="Q12" s="7">
        <v>5653.68</v>
      </c>
      <c r="R12" s="43">
        <f t="shared" si="32"/>
        <v>1.0799999999999272</v>
      </c>
      <c r="S12" s="28">
        <f t="shared" si="33"/>
        <v>2051.9999999998613</v>
      </c>
      <c r="T12" s="8">
        <f t="shared" si="36"/>
        <v>15.793000000001484</v>
      </c>
      <c r="U12" s="30">
        <f t="shared" si="34"/>
        <v>30006.70000000282</v>
      </c>
      <c r="W12" s="141">
        <v>44875</v>
      </c>
      <c r="X12" s="142">
        <v>221392</v>
      </c>
      <c r="Y12" s="147">
        <f t="shared" si="21"/>
        <v>108</v>
      </c>
      <c r="Z12" s="142">
        <v>10218</v>
      </c>
      <c r="AA12" s="147">
        <f t="shared" si="21"/>
        <v>2</v>
      </c>
      <c r="AB12" s="142">
        <f t="shared" si="35"/>
        <v>41</v>
      </c>
      <c r="AC12" s="147">
        <f t="shared" si="21"/>
        <v>0</v>
      </c>
      <c r="AD12" s="142">
        <v>782</v>
      </c>
      <c r="AE12" s="147">
        <f t="shared" si="21"/>
        <v>1</v>
      </c>
      <c r="AF12" s="142">
        <v>9715</v>
      </c>
      <c r="AG12" s="147">
        <f t="shared" si="21"/>
        <v>7</v>
      </c>
    </row>
    <row r="13" spans="1:33" ht="16.5" thickBot="1" x14ac:dyDescent="0.25">
      <c r="A13" s="9">
        <v>44876</v>
      </c>
      <c r="B13" s="144">
        <v>25406.744999999999</v>
      </c>
      <c r="C13" s="43">
        <f t="shared" si="22"/>
        <v>4.5279999999984284</v>
      </c>
      <c r="D13" s="28">
        <f t="shared" si="23"/>
        <v>8603.1999999970139</v>
      </c>
      <c r="E13" s="1">
        <v>4655.3339999999998</v>
      </c>
      <c r="F13" s="43">
        <f t="shared" si="24"/>
        <v>0.70899999999983265</v>
      </c>
      <c r="G13" s="28">
        <f t="shared" si="25"/>
        <v>1347.099999999682</v>
      </c>
      <c r="H13" s="1">
        <v>6487</v>
      </c>
      <c r="I13" s="43">
        <f t="shared" si="26"/>
        <v>4</v>
      </c>
      <c r="J13" s="28">
        <f t="shared" si="27"/>
        <v>7600</v>
      </c>
      <c r="K13" s="7">
        <v>14304.89</v>
      </c>
      <c r="L13" s="43">
        <f t="shared" si="28"/>
        <v>0.93999999999869033</v>
      </c>
      <c r="M13" s="28">
        <f t="shared" si="29"/>
        <v>1785.9999999975116</v>
      </c>
      <c r="N13" s="7">
        <v>3876.922</v>
      </c>
      <c r="O13" s="43">
        <f t="shared" si="30"/>
        <v>2.1500000000000909</v>
      </c>
      <c r="P13" s="28">
        <f t="shared" si="31"/>
        <v>4085.0000000001723</v>
      </c>
      <c r="Q13" s="7">
        <v>5654.82</v>
      </c>
      <c r="R13" s="43">
        <f t="shared" si="32"/>
        <v>1.1399999999994179</v>
      </c>
      <c r="S13" s="28">
        <f t="shared" si="33"/>
        <v>2165.9999999988941</v>
      </c>
      <c r="T13" s="8">
        <f t="shared" si="36"/>
        <v>13.46699999999646</v>
      </c>
      <c r="U13" s="30">
        <f t="shared" si="34"/>
        <v>25587.299999993273</v>
      </c>
      <c r="W13" s="141">
        <v>44876</v>
      </c>
      <c r="X13" s="142">
        <v>221487</v>
      </c>
      <c r="Y13" s="147">
        <f t="shared" si="21"/>
        <v>95</v>
      </c>
      <c r="Z13" s="142">
        <v>10221</v>
      </c>
      <c r="AA13" s="147">
        <f t="shared" si="21"/>
        <v>3</v>
      </c>
      <c r="AB13" s="142">
        <v>41</v>
      </c>
      <c r="AC13" s="147">
        <f t="shared" si="21"/>
        <v>0</v>
      </c>
      <c r="AD13" s="142">
        <v>783</v>
      </c>
      <c r="AE13" s="147">
        <f t="shared" si="21"/>
        <v>1</v>
      </c>
      <c r="AF13" s="142">
        <v>9722</v>
      </c>
      <c r="AG13" s="147">
        <f t="shared" si="21"/>
        <v>7</v>
      </c>
    </row>
    <row r="14" spans="1:33" ht="16.5" thickBot="1" x14ac:dyDescent="0.25">
      <c r="A14" s="9">
        <v>44877</v>
      </c>
      <c r="B14" s="144">
        <v>25412.621999999999</v>
      </c>
      <c r="C14" s="43">
        <f t="shared" si="22"/>
        <v>5.8770000000004075</v>
      </c>
      <c r="D14" s="28">
        <f t="shared" si="23"/>
        <v>11166.300000000774</v>
      </c>
      <c r="E14" s="1">
        <v>4656.4040000000005</v>
      </c>
      <c r="F14" s="43">
        <f t="shared" si="24"/>
        <v>1.0700000000006185</v>
      </c>
      <c r="G14" s="28">
        <f t="shared" si="25"/>
        <v>2033.0000000011751</v>
      </c>
      <c r="H14" s="1">
        <v>6491</v>
      </c>
      <c r="I14" s="43">
        <f t="shared" si="26"/>
        <v>4</v>
      </c>
      <c r="J14" s="28">
        <f t="shared" si="27"/>
        <v>7600</v>
      </c>
      <c r="K14" s="7">
        <v>14306.06</v>
      </c>
      <c r="L14" s="43">
        <f t="shared" si="28"/>
        <v>1.1700000000000728</v>
      </c>
      <c r="M14" s="28">
        <f t="shared" si="29"/>
        <v>2223.0000000001378</v>
      </c>
      <c r="N14" s="7">
        <v>3879.6039999999998</v>
      </c>
      <c r="O14" s="43">
        <f>IF((N14-N13)&lt;0,"0",(N14-N13))</f>
        <v>2.681999999999789</v>
      </c>
      <c r="P14" s="28">
        <f t="shared" si="31"/>
        <v>5095.7999999995991</v>
      </c>
      <c r="Q14" s="7">
        <v>5656.19</v>
      </c>
      <c r="R14" s="43">
        <f t="shared" si="32"/>
        <v>1.3699999999998909</v>
      </c>
      <c r="S14" s="28">
        <f t="shared" si="33"/>
        <v>2602.9999999997922</v>
      </c>
      <c r="T14" s="8">
        <f t="shared" si="36"/>
        <v>16.169000000000779</v>
      </c>
      <c r="U14" s="30">
        <f t="shared" si="34"/>
        <v>30721.100000001479</v>
      </c>
      <c r="W14" s="141">
        <v>44877</v>
      </c>
      <c r="X14" s="142">
        <v>221600</v>
      </c>
      <c r="Y14" s="147">
        <f t="shared" si="21"/>
        <v>113</v>
      </c>
      <c r="Z14" s="142">
        <v>10223</v>
      </c>
      <c r="AA14" s="147">
        <f t="shared" si="21"/>
        <v>2</v>
      </c>
      <c r="AB14" s="142">
        <f t="shared" si="35"/>
        <v>41</v>
      </c>
      <c r="AC14" s="147">
        <f t="shared" si="21"/>
        <v>0</v>
      </c>
      <c r="AD14" s="142">
        <v>785</v>
      </c>
      <c r="AE14" s="147">
        <f t="shared" si="21"/>
        <v>2</v>
      </c>
      <c r="AF14" s="142">
        <v>9728</v>
      </c>
      <c r="AG14" s="147">
        <f t="shared" si="21"/>
        <v>6</v>
      </c>
    </row>
    <row r="15" spans="1:33" ht="16.5" thickBot="1" x14ac:dyDescent="0.25">
      <c r="A15" s="9">
        <v>44878</v>
      </c>
      <c r="B15" s="144">
        <v>25417.599999999999</v>
      </c>
      <c r="C15" s="43">
        <f t="shared" ref="C15" si="37">IF((B15-B14)&lt;0,"0",(B15-B14))</f>
        <v>4.977999999999156</v>
      </c>
      <c r="D15" s="28">
        <f t="shared" ref="D15" si="38">C15*1.9*1000</f>
        <v>9458.1999999983964</v>
      </c>
      <c r="E15" s="1">
        <v>4657.5309999999999</v>
      </c>
      <c r="F15" s="43">
        <f t="shared" ref="F15" si="39">IF((E15-E14)&lt;0,"0",(E15-E14))</f>
        <v>1.126999999999498</v>
      </c>
      <c r="G15" s="28">
        <f t="shared" ref="G15" si="40">F15*1.9*1000</f>
        <v>2141.2999999990457</v>
      </c>
      <c r="H15" s="1">
        <v>6495</v>
      </c>
      <c r="I15" s="43">
        <f t="shared" ref="I15" si="41">IF((H15-H14)&lt;0,"0",(H15-H14))</f>
        <v>4</v>
      </c>
      <c r="J15" s="28">
        <f t="shared" ref="J15" si="42">I15*1.9*1000</f>
        <v>7600</v>
      </c>
      <c r="K15" s="7">
        <v>14306.87</v>
      </c>
      <c r="L15" s="43">
        <f t="shared" ref="L15" si="43">IF((K15-K14)&lt;0,"0",(K15-K14))</f>
        <v>0.81000000000130967</v>
      </c>
      <c r="M15" s="28">
        <f t="shared" ref="M15" si="44">L15*1.9*1000</f>
        <v>1539.0000000024884</v>
      </c>
      <c r="N15" s="7">
        <v>3881.634</v>
      </c>
      <c r="O15" s="43">
        <f>IF((N15-N14)&lt;0,"0",(N15-N14))</f>
        <v>2.0300000000002001</v>
      </c>
      <c r="P15" s="28">
        <f t="shared" ref="P15" si="45">O15*1.9*1000</f>
        <v>3857.0000000003797</v>
      </c>
      <c r="Q15" s="7">
        <v>5657.6</v>
      </c>
      <c r="R15" s="43">
        <f t="shared" ref="R15" si="46">IF((Q15-Q14)&lt;0,"0",(Q15-Q14))</f>
        <v>1.410000000000764</v>
      </c>
      <c r="S15" s="28">
        <f t="shared" ref="S15" si="47">R15*1.9*1000</f>
        <v>2679.0000000014516</v>
      </c>
      <c r="T15" s="8">
        <f t="shared" ref="T15" si="48">C15+F15+I15+L15+O15+R15</f>
        <v>14.355000000000928</v>
      </c>
      <c r="U15" s="30">
        <f t="shared" ref="U15" si="49">T15*1.9*1000</f>
        <v>27274.500000001761</v>
      </c>
      <c r="W15" s="141">
        <v>44878</v>
      </c>
      <c r="X15" s="142">
        <v>221720</v>
      </c>
      <c r="Y15" s="147">
        <f t="shared" si="21"/>
        <v>120</v>
      </c>
      <c r="Z15" s="142">
        <v>10227</v>
      </c>
      <c r="AA15" s="147">
        <f t="shared" si="21"/>
        <v>4</v>
      </c>
      <c r="AB15" s="142">
        <v>41</v>
      </c>
      <c r="AC15" s="147">
        <f t="shared" si="21"/>
        <v>0</v>
      </c>
      <c r="AD15" s="142">
        <v>787</v>
      </c>
      <c r="AE15" s="147">
        <f t="shared" si="21"/>
        <v>2</v>
      </c>
      <c r="AF15" s="142">
        <v>9738</v>
      </c>
      <c r="AG15" s="147">
        <f t="shared" si="21"/>
        <v>10</v>
      </c>
    </row>
    <row r="16" spans="1:33" ht="16.5" thickBot="1" x14ac:dyDescent="0.25">
      <c r="A16" s="9">
        <v>44879</v>
      </c>
      <c r="B16" s="144">
        <v>25424.81</v>
      </c>
      <c r="C16" s="43">
        <f t="shared" si="22"/>
        <v>7.2100000000027649</v>
      </c>
      <c r="D16" s="28">
        <f t="shared" si="23"/>
        <v>13699.000000005253</v>
      </c>
      <c r="E16" s="1">
        <v>4659.6509999999998</v>
      </c>
      <c r="F16" s="43">
        <f t="shared" si="24"/>
        <v>2.1199999999998909</v>
      </c>
      <c r="G16" s="28">
        <f t="shared" si="25"/>
        <v>4027.9999999997926</v>
      </c>
      <c r="H16" s="1">
        <v>6500</v>
      </c>
      <c r="I16" s="43">
        <f t="shared" si="26"/>
        <v>5</v>
      </c>
      <c r="J16" s="28">
        <f t="shared" si="27"/>
        <v>9500</v>
      </c>
      <c r="K16" s="7">
        <v>14308.23</v>
      </c>
      <c r="L16" s="43">
        <f t="shared" si="28"/>
        <v>1.3599999999987631</v>
      </c>
      <c r="M16" s="28">
        <f t="shared" si="29"/>
        <v>2583.9999999976499</v>
      </c>
      <c r="N16" s="7">
        <v>3884.529</v>
      </c>
      <c r="O16" s="43">
        <f t="shared" si="30"/>
        <v>2.8949999999999818</v>
      </c>
      <c r="P16" s="28">
        <f t="shared" si="31"/>
        <v>5500.4999999999654</v>
      </c>
      <c r="Q16" s="7">
        <v>5659.53</v>
      </c>
      <c r="R16" s="43">
        <f t="shared" si="32"/>
        <v>1.9299999999993815</v>
      </c>
      <c r="S16" s="28">
        <f t="shared" si="33"/>
        <v>3666.9999999988249</v>
      </c>
      <c r="T16" s="8">
        <f t="shared" si="36"/>
        <v>20.515000000000782</v>
      </c>
      <c r="U16" s="30">
        <f t="shared" si="34"/>
        <v>38978.500000001484</v>
      </c>
      <c r="W16" s="141">
        <v>44879</v>
      </c>
      <c r="X16" s="142">
        <v>221883</v>
      </c>
      <c r="Y16" s="147">
        <f t="shared" si="21"/>
        <v>163</v>
      </c>
      <c r="Z16" s="142">
        <v>10229</v>
      </c>
      <c r="AA16" s="147">
        <f t="shared" si="21"/>
        <v>2</v>
      </c>
      <c r="AB16" s="142">
        <f t="shared" si="35"/>
        <v>41</v>
      </c>
      <c r="AC16" s="147">
        <f t="shared" si="21"/>
        <v>0</v>
      </c>
      <c r="AD16" s="142">
        <v>790</v>
      </c>
      <c r="AE16" s="147">
        <f t="shared" si="21"/>
        <v>3</v>
      </c>
      <c r="AF16" s="142">
        <v>9746</v>
      </c>
      <c r="AG16" s="147">
        <f t="shared" si="21"/>
        <v>8</v>
      </c>
    </row>
    <row r="17" spans="1:33" ht="16.5" thickBot="1" x14ac:dyDescent="0.25">
      <c r="A17" s="9">
        <v>44880</v>
      </c>
      <c r="B17" s="144">
        <v>25429.15</v>
      </c>
      <c r="C17" s="43">
        <f t="shared" si="22"/>
        <v>4.3400000000001455</v>
      </c>
      <c r="D17" s="28">
        <f t="shared" si="23"/>
        <v>8246.0000000002765</v>
      </c>
      <c r="E17" s="1">
        <v>4660.8</v>
      </c>
      <c r="F17" s="43">
        <f t="shared" si="24"/>
        <v>1.149000000000342</v>
      </c>
      <c r="G17" s="28">
        <f t="shared" si="25"/>
        <v>2183.1000000006497</v>
      </c>
      <c r="H17" s="1">
        <v>6503</v>
      </c>
      <c r="I17" s="43">
        <f t="shared" si="26"/>
        <v>3</v>
      </c>
      <c r="J17" s="28">
        <f t="shared" si="27"/>
        <v>5699.9999999999991</v>
      </c>
      <c r="K17" s="7">
        <v>14308.9</v>
      </c>
      <c r="L17" s="43">
        <f t="shared" si="28"/>
        <v>0.67000000000007276</v>
      </c>
      <c r="M17" s="28">
        <f t="shared" si="29"/>
        <v>1273.0000000001382</v>
      </c>
      <c r="N17" s="7">
        <v>3886.5520000000001</v>
      </c>
      <c r="O17" s="43">
        <f t="shared" si="30"/>
        <v>2.0230000000001382</v>
      </c>
      <c r="P17" s="28">
        <f t="shared" si="31"/>
        <v>3843.7000000002627</v>
      </c>
      <c r="Q17" s="7">
        <v>5660.17</v>
      </c>
      <c r="R17" s="43">
        <f t="shared" si="32"/>
        <v>0.64000000000032742</v>
      </c>
      <c r="S17" s="28">
        <f t="shared" si="33"/>
        <v>1216.0000000006221</v>
      </c>
      <c r="T17" s="8">
        <f t="shared" si="36"/>
        <v>11.822000000001026</v>
      </c>
      <c r="U17" s="30">
        <f t="shared" si="34"/>
        <v>22461.800000001946</v>
      </c>
      <c r="W17" s="141">
        <v>44880</v>
      </c>
      <c r="X17" s="142">
        <v>222008</v>
      </c>
      <c r="Y17" s="147">
        <f t="shared" si="21"/>
        <v>125</v>
      </c>
      <c r="Z17" s="142">
        <v>10232</v>
      </c>
      <c r="AA17" s="147">
        <f t="shared" si="21"/>
        <v>3</v>
      </c>
      <c r="AB17" s="142">
        <f t="shared" si="35"/>
        <v>41</v>
      </c>
      <c r="AC17" s="147">
        <f t="shared" si="21"/>
        <v>0</v>
      </c>
      <c r="AD17" s="142">
        <v>792</v>
      </c>
      <c r="AE17" s="147">
        <f t="shared" si="21"/>
        <v>2</v>
      </c>
      <c r="AF17" s="142">
        <v>9757</v>
      </c>
      <c r="AG17" s="147">
        <f t="shared" si="21"/>
        <v>11</v>
      </c>
    </row>
    <row r="18" spans="1:33" ht="16.5" thickBot="1" x14ac:dyDescent="0.25">
      <c r="A18" s="9">
        <v>44881</v>
      </c>
      <c r="B18" s="144">
        <v>25434.637999999999</v>
      </c>
      <c r="C18" s="43">
        <f t="shared" si="22"/>
        <v>5.4879999999975553</v>
      </c>
      <c r="D18" s="28">
        <f t="shared" si="23"/>
        <v>10427.199999995353</v>
      </c>
      <c r="E18" s="1">
        <v>4662.4459999999999</v>
      </c>
      <c r="F18" s="43">
        <f t="shared" si="24"/>
        <v>1.6459999999997308</v>
      </c>
      <c r="G18" s="28">
        <f t="shared" si="25"/>
        <v>3127.399999999488</v>
      </c>
      <c r="H18" s="1">
        <v>6508</v>
      </c>
      <c r="I18" s="43">
        <f t="shared" si="26"/>
        <v>5</v>
      </c>
      <c r="J18" s="28">
        <f t="shared" si="27"/>
        <v>9500</v>
      </c>
      <c r="K18" s="7">
        <v>14309.83</v>
      </c>
      <c r="L18" s="43">
        <f t="shared" si="28"/>
        <v>0.93000000000029104</v>
      </c>
      <c r="M18" s="28">
        <f t="shared" si="29"/>
        <v>1767.0000000005527</v>
      </c>
      <c r="N18" s="7">
        <v>3889.3739999999998</v>
      </c>
      <c r="O18" s="43">
        <f t="shared" si="30"/>
        <v>2.8219999999996617</v>
      </c>
      <c r="P18" s="28">
        <f t="shared" si="31"/>
        <v>5361.7999999993563</v>
      </c>
      <c r="Q18" s="7">
        <v>5661.2</v>
      </c>
      <c r="R18" s="43">
        <f t="shared" si="32"/>
        <v>1.0299999999997453</v>
      </c>
      <c r="S18" s="28">
        <f t="shared" si="33"/>
        <v>1956.9999999995159</v>
      </c>
      <c r="T18" s="8">
        <f t="shared" si="36"/>
        <v>16.915999999996984</v>
      </c>
      <c r="U18" s="30">
        <f t="shared" si="34"/>
        <v>32140.399999994264</v>
      </c>
      <c r="W18" s="141">
        <v>44881</v>
      </c>
      <c r="X18" s="142">
        <v>222088</v>
      </c>
      <c r="Y18" s="147">
        <f t="shared" si="21"/>
        <v>80</v>
      </c>
      <c r="Z18" s="142">
        <v>10235</v>
      </c>
      <c r="AA18" s="147">
        <f t="shared" si="21"/>
        <v>3</v>
      </c>
      <c r="AB18" s="142">
        <v>41.5</v>
      </c>
      <c r="AC18" s="147">
        <f t="shared" si="21"/>
        <v>0.5</v>
      </c>
      <c r="AD18" s="142">
        <v>794</v>
      </c>
      <c r="AE18" s="147">
        <f t="shared" si="21"/>
        <v>2</v>
      </c>
      <c r="AF18" s="142">
        <v>9764</v>
      </c>
      <c r="AG18" s="147">
        <f t="shared" si="21"/>
        <v>7</v>
      </c>
    </row>
    <row r="19" spans="1:33" ht="16.5" thickBot="1" x14ac:dyDescent="0.25">
      <c r="A19" s="9">
        <v>44882</v>
      </c>
      <c r="B19" s="144">
        <f t="shared" ref="B18:B32" si="50">B18</f>
        <v>25434.637999999999</v>
      </c>
      <c r="C19" s="43">
        <f t="shared" si="22"/>
        <v>0</v>
      </c>
      <c r="D19" s="28">
        <f t="shared" si="23"/>
        <v>0</v>
      </c>
      <c r="E19" s="1">
        <f t="shared" ref="E18:E32" si="51">E18</f>
        <v>4662.4459999999999</v>
      </c>
      <c r="F19" s="43">
        <f t="shared" si="24"/>
        <v>0</v>
      </c>
      <c r="G19" s="28">
        <f t="shared" si="25"/>
        <v>0</v>
      </c>
      <c r="H19" s="1">
        <f t="shared" ref="H18:H32" si="52">H18</f>
        <v>6508</v>
      </c>
      <c r="I19" s="43">
        <f t="shared" si="26"/>
        <v>0</v>
      </c>
      <c r="J19" s="28">
        <f t="shared" si="27"/>
        <v>0</v>
      </c>
      <c r="K19" s="7">
        <f t="shared" ref="K18:K32" si="53">K18</f>
        <v>14309.83</v>
      </c>
      <c r="L19" s="43">
        <f t="shared" si="28"/>
        <v>0</v>
      </c>
      <c r="M19" s="28">
        <f t="shared" si="29"/>
        <v>0</v>
      </c>
      <c r="N19" s="7">
        <f t="shared" ref="N18:N32" si="54">N18</f>
        <v>3889.3739999999998</v>
      </c>
      <c r="O19" s="43">
        <f t="shared" si="30"/>
        <v>0</v>
      </c>
      <c r="P19" s="28">
        <f t="shared" si="31"/>
        <v>0</v>
      </c>
      <c r="Q19" s="7">
        <f t="shared" ref="Q18:Q32" si="55">Q18</f>
        <v>5661.2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44882</v>
      </c>
      <c r="X19" s="142">
        <f t="shared" ref="X18:X32" si="56">X18</f>
        <v>222088</v>
      </c>
      <c r="Y19" s="147">
        <f t="shared" si="21"/>
        <v>0</v>
      </c>
      <c r="Z19" s="142">
        <f t="shared" ref="Z18:Z32" si="57">Z18</f>
        <v>10235</v>
      </c>
      <c r="AA19" s="147">
        <f t="shared" si="21"/>
        <v>0</v>
      </c>
      <c r="AB19" s="142">
        <f t="shared" si="35"/>
        <v>41.5</v>
      </c>
      <c r="AC19" s="147">
        <f t="shared" si="21"/>
        <v>0</v>
      </c>
      <c r="AD19" s="142">
        <f t="shared" ref="AD18:AD32" si="58">AD18</f>
        <v>794</v>
      </c>
      <c r="AE19" s="147">
        <f t="shared" si="21"/>
        <v>0</v>
      </c>
      <c r="AF19" s="142">
        <f t="shared" ref="AF18:AF32" si="59">AF18</f>
        <v>9764</v>
      </c>
      <c r="AG19" s="147">
        <f t="shared" si="21"/>
        <v>0</v>
      </c>
    </row>
    <row r="20" spans="1:33" ht="16.5" thickBot="1" x14ac:dyDescent="0.25">
      <c r="A20" s="9">
        <v>44883</v>
      </c>
      <c r="B20" s="144">
        <f t="shared" si="50"/>
        <v>25434.637999999999</v>
      </c>
      <c r="C20" s="43">
        <f t="shared" si="22"/>
        <v>0</v>
      </c>
      <c r="D20" s="28">
        <f t="shared" si="23"/>
        <v>0</v>
      </c>
      <c r="E20" s="1">
        <f t="shared" si="51"/>
        <v>4662.4459999999999</v>
      </c>
      <c r="F20" s="43">
        <f t="shared" si="24"/>
        <v>0</v>
      </c>
      <c r="G20" s="28">
        <f t="shared" si="25"/>
        <v>0</v>
      </c>
      <c r="H20" s="1">
        <f t="shared" si="52"/>
        <v>6508</v>
      </c>
      <c r="I20" s="43">
        <f t="shared" si="26"/>
        <v>0</v>
      </c>
      <c r="J20" s="28">
        <f t="shared" si="27"/>
        <v>0</v>
      </c>
      <c r="K20" s="7">
        <f t="shared" si="53"/>
        <v>14309.83</v>
      </c>
      <c r="L20" s="43">
        <f t="shared" si="28"/>
        <v>0</v>
      </c>
      <c r="M20" s="28">
        <f t="shared" si="29"/>
        <v>0</v>
      </c>
      <c r="N20" s="7">
        <f t="shared" si="54"/>
        <v>3889.3739999999998</v>
      </c>
      <c r="O20" s="43">
        <f t="shared" si="30"/>
        <v>0</v>
      </c>
      <c r="P20" s="28">
        <f t="shared" si="31"/>
        <v>0</v>
      </c>
      <c r="Q20" s="7">
        <f t="shared" si="55"/>
        <v>5661.2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44883</v>
      </c>
      <c r="X20" s="142">
        <f t="shared" si="56"/>
        <v>222088</v>
      </c>
      <c r="Y20" s="147">
        <f t="shared" si="21"/>
        <v>0</v>
      </c>
      <c r="Z20" s="142">
        <f t="shared" si="57"/>
        <v>10235</v>
      </c>
      <c r="AA20" s="147">
        <f t="shared" si="21"/>
        <v>0</v>
      </c>
      <c r="AB20" s="142">
        <f t="shared" si="35"/>
        <v>41.5</v>
      </c>
      <c r="AC20" s="147">
        <f t="shared" si="21"/>
        <v>0</v>
      </c>
      <c r="AD20" s="142">
        <f t="shared" si="58"/>
        <v>794</v>
      </c>
      <c r="AE20" s="147">
        <f t="shared" si="21"/>
        <v>0</v>
      </c>
      <c r="AF20" s="142">
        <f t="shared" si="59"/>
        <v>9764</v>
      </c>
      <c r="AG20" s="147">
        <f t="shared" si="21"/>
        <v>0</v>
      </c>
    </row>
    <row r="21" spans="1:33" ht="16.5" thickBot="1" x14ac:dyDescent="0.25">
      <c r="A21" s="9">
        <v>44884</v>
      </c>
      <c r="B21" s="144">
        <f t="shared" si="50"/>
        <v>25434.637999999999</v>
      </c>
      <c r="C21" s="43">
        <f t="shared" si="22"/>
        <v>0</v>
      </c>
      <c r="D21" s="28">
        <f t="shared" si="23"/>
        <v>0</v>
      </c>
      <c r="E21" s="1">
        <f t="shared" si="51"/>
        <v>4662.4459999999999</v>
      </c>
      <c r="F21" s="43">
        <f t="shared" si="24"/>
        <v>0</v>
      </c>
      <c r="G21" s="28">
        <f t="shared" si="25"/>
        <v>0</v>
      </c>
      <c r="H21" s="1">
        <f t="shared" si="52"/>
        <v>6508</v>
      </c>
      <c r="I21" s="43">
        <f t="shared" si="26"/>
        <v>0</v>
      </c>
      <c r="J21" s="28">
        <f t="shared" si="27"/>
        <v>0</v>
      </c>
      <c r="K21" s="7">
        <f t="shared" si="53"/>
        <v>14309.83</v>
      </c>
      <c r="L21" s="43">
        <f t="shared" si="28"/>
        <v>0</v>
      </c>
      <c r="M21" s="28">
        <f t="shared" si="29"/>
        <v>0</v>
      </c>
      <c r="N21" s="7">
        <f t="shared" si="54"/>
        <v>3889.3739999999998</v>
      </c>
      <c r="O21" s="43">
        <f t="shared" si="30"/>
        <v>0</v>
      </c>
      <c r="P21" s="28">
        <f t="shared" si="31"/>
        <v>0</v>
      </c>
      <c r="Q21" s="7">
        <f t="shared" si="55"/>
        <v>5661.2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44884</v>
      </c>
      <c r="X21" s="142">
        <f t="shared" si="56"/>
        <v>222088</v>
      </c>
      <c r="Y21" s="147">
        <f t="shared" si="21"/>
        <v>0</v>
      </c>
      <c r="Z21" s="142">
        <f t="shared" si="57"/>
        <v>10235</v>
      </c>
      <c r="AA21" s="147">
        <f t="shared" si="21"/>
        <v>0</v>
      </c>
      <c r="AB21" s="142">
        <f t="shared" si="35"/>
        <v>41.5</v>
      </c>
      <c r="AC21" s="147">
        <f t="shared" si="21"/>
        <v>0</v>
      </c>
      <c r="AD21" s="142">
        <f t="shared" si="58"/>
        <v>794</v>
      </c>
      <c r="AE21" s="147">
        <f t="shared" si="21"/>
        <v>0</v>
      </c>
      <c r="AF21" s="142">
        <f t="shared" si="59"/>
        <v>9764</v>
      </c>
      <c r="AG21" s="147">
        <f t="shared" si="21"/>
        <v>0</v>
      </c>
    </row>
    <row r="22" spans="1:33" ht="16.5" thickBot="1" x14ac:dyDescent="0.25">
      <c r="A22" s="9">
        <v>44885</v>
      </c>
      <c r="B22" s="144">
        <f t="shared" si="50"/>
        <v>25434.637999999999</v>
      </c>
      <c r="C22" s="43">
        <f t="shared" si="22"/>
        <v>0</v>
      </c>
      <c r="D22" s="28">
        <f t="shared" si="23"/>
        <v>0</v>
      </c>
      <c r="E22" s="1">
        <f t="shared" si="51"/>
        <v>4662.4459999999999</v>
      </c>
      <c r="F22" s="43">
        <f t="shared" si="24"/>
        <v>0</v>
      </c>
      <c r="G22" s="28">
        <f t="shared" si="25"/>
        <v>0</v>
      </c>
      <c r="H22" s="1">
        <f t="shared" si="52"/>
        <v>6508</v>
      </c>
      <c r="I22" s="43">
        <f t="shared" si="26"/>
        <v>0</v>
      </c>
      <c r="J22" s="28">
        <f t="shared" si="27"/>
        <v>0</v>
      </c>
      <c r="K22" s="7">
        <f t="shared" si="53"/>
        <v>14309.83</v>
      </c>
      <c r="L22" s="43">
        <f t="shared" si="28"/>
        <v>0</v>
      </c>
      <c r="M22" s="28">
        <f t="shared" si="29"/>
        <v>0</v>
      </c>
      <c r="N22" s="7">
        <f t="shared" si="54"/>
        <v>3889.3739999999998</v>
      </c>
      <c r="O22" s="43">
        <f t="shared" si="30"/>
        <v>0</v>
      </c>
      <c r="P22" s="28">
        <f t="shared" si="31"/>
        <v>0</v>
      </c>
      <c r="Q22" s="7">
        <f t="shared" si="55"/>
        <v>5661.2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44885</v>
      </c>
      <c r="X22" s="142">
        <f t="shared" si="56"/>
        <v>222088</v>
      </c>
      <c r="Y22" s="147">
        <f t="shared" si="21"/>
        <v>0</v>
      </c>
      <c r="Z22" s="142">
        <f t="shared" si="57"/>
        <v>10235</v>
      </c>
      <c r="AA22" s="147">
        <f t="shared" si="21"/>
        <v>0</v>
      </c>
      <c r="AB22" s="142">
        <f t="shared" si="35"/>
        <v>41.5</v>
      </c>
      <c r="AC22" s="147">
        <f t="shared" si="21"/>
        <v>0</v>
      </c>
      <c r="AD22" s="142">
        <f t="shared" si="58"/>
        <v>794</v>
      </c>
      <c r="AE22" s="147">
        <f t="shared" si="21"/>
        <v>0</v>
      </c>
      <c r="AF22" s="142">
        <f t="shared" si="59"/>
        <v>9764</v>
      </c>
      <c r="AG22" s="147">
        <f t="shared" si="21"/>
        <v>0</v>
      </c>
    </row>
    <row r="23" spans="1:33" ht="16.5" thickBot="1" x14ac:dyDescent="0.25">
      <c r="A23" s="9">
        <v>44886</v>
      </c>
      <c r="B23" s="144">
        <f t="shared" si="50"/>
        <v>25434.637999999999</v>
      </c>
      <c r="C23" s="43">
        <f t="shared" si="22"/>
        <v>0</v>
      </c>
      <c r="D23" s="28">
        <f t="shared" si="23"/>
        <v>0</v>
      </c>
      <c r="E23" s="1">
        <f t="shared" si="51"/>
        <v>4662.4459999999999</v>
      </c>
      <c r="F23" s="43">
        <f t="shared" si="24"/>
        <v>0</v>
      </c>
      <c r="G23" s="28">
        <f t="shared" si="25"/>
        <v>0</v>
      </c>
      <c r="H23" s="1">
        <f t="shared" si="52"/>
        <v>6508</v>
      </c>
      <c r="I23" s="43">
        <f t="shared" si="26"/>
        <v>0</v>
      </c>
      <c r="J23" s="28">
        <f t="shared" si="27"/>
        <v>0</v>
      </c>
      <c r="K23" s="7">
        <f t="shared" si="53"/>
        <v>14309.83</v>
      </c>
      <c r="L23" s="43">
        <f t="shared" si="28"/>
        <v>0</v>
      </c>
      <c r="M23" s="28">
        <f t="shared" si="29"/>
        <v>0</v>
      </c>
      <c r="N23" s="7">
        <f t="shared" si="54"/>
        <v>3889.3739999999998</v>
      </c>
      <c r="O23" s="43">
        <f t="shared" si="30"/>
        <v>0</v>
      </c>
      <c r="P23" s="28">
        <f t="shared" si="31"/>
        <v>0</v>
      </c>
      <c r="Q23" s="7">
        <f t="shared" si="55"/>
        <v>5661.2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44886</v>
      </c>
      <c r="X23" s="142">
        <f t="shared" si="56"/>
        <v>222088</v>
      </c>
      <c r="Y23" s="147">
        <f t="shared" si="21"/>
        <v>0</v>
      </c>
      <c r="Z23" s="142">
        <f t="shared" si="57"/>
        <v>10235</v>
      </c>
      <c r="AA23" s="147">
        <f t="shared" si="21"/>
        <v>0</v>
      </c>
      <c r="AB23" s="142">
        <f t="shared" si="35"/>
        <v>41.5</v>
      </c>
      <c r="AC23" s="147">
        <f t="shared" si="21"/>
        <v>0</v>
      </c>
      <c r="AD23" s="142">
        <f t="shared" si="58"/>
        <v>794</v>
      </c>
      <c r="AE23" s="147">
        <f t="shared" si="21"/>
        <v>0</v>
      </c>
      <c r="AF23" s="142">
        <f t="shared" si="59"/>
        <v>9764</v>
      </c>
      <c r="AG23" s="147">
        <f t="shared" si="21"/>
        <v>0</v>
      </c>
    </row>
    <row r="24" spans="1:33" ht="16.5" thickBot="1" x14ac:dyDescent="0.25">
      <c r="A24" s="9">
        <v>44887</v>
      </c>
      <c r="B24" s="144">
        <f t="shared" si="50"/>
        <v>25434.637999999999</v>
      </c>
      <c r="C24" s="43">
        <f t="shared" si="22"/>
        <v>0</v>
      </c>
      <c r="D24" s="28">
        <f t="shared" si="23"/>
        <v>0</v>
      </c>
      <c r="E24" s="1">
        <f t="shared" si="51"/>
        <v>4662.4459999999999</v>
      </c>
      <c r="F24" s="43">
        <f t="shared" si="24"/>
        <v>0</v>
      </c>
      <c r="G24" s="28">
        <f t="shared" si="25"/>
        <v>0</v>
      </c>
      <c r="H24" s="1">
        <f t="shared" si="52"/>
        <v>6508</v>
      </c>
      <c r="I24" s="43">
        <f t="shared" si="26"/>
        <v>0</v>
      </c>
      <c r="J24" s="28">
        <f t="shared" si="27"/>
        <v>0</v>
      </c>
      <c r="K24" s="7">
        <f t="shared" si="53"/>
        <v>14309.83</v>
      </c>
      <c r="L24" s="43">
        <f t="shared" si="28"/>
        <v>0</v>
      </c>
      <c r="M24" s="28">
        <f t="shared" si="29"/>
        <v>0</v>
      </c>
      <c r="N24" s="7">
        <f t="shared" si="54"/>
        <v>3889.3739999999998</v>
      </c>
      <c r="O24" s="43">
        <f t="shared" si="30"/>
        <v>0</v>
      </c>
      <c r="P24" s="28">
        <f t="shared" si="31"/>
        <v>0</v>
      </c>
      <c r="Q24" s="7">
        <f t="shared" si="55"/>
        <v>5661.2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44887</v>
      </c>
      <c r="X24" s="142">
        <f t="shared" si="56"/>
        <v>222088</v>
      </c>
      <c r="Y24" s="147">
        <f t="shared" si="21"/>
        <v>0</v>
      </c>
      <c r="Z24" s="142">
        <f t="shared" si="57"/>
        <v>10235</v>
      </c>
      <c r="AA24" s="147">
        <f t="shared" si="21"/>
        <v>0</v>
      </c>
      <c r="AB24" s="142">
        <f t="shared" si="35"/>
        <v>41.5</v>
      </c>
      <c r="AC24" s="147">
        <f t="shared" si="21"/>
        <v>0</v>
      </c>
      <c r="AD24" s="142">
        <f t="shared" si="58"/>
        <v>794</v>
      </c>
      <c r="AE24" s="147">
        <f t="shared" si="21"/>
        <v>0</v>
      </c>
      <c r="AF24" s="142">
        <f t="shared" si="59"/>
        <v>9764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50"/>
        <v>25434.637999999999</v>
      </c>
      <c r="C25" s="43">
        <f t="shared" si="22"/>
        <v>0</v>
      </c>
      <c r="D25" s="28">
        <f t="shared" si="23"/>
        <v>0</v>
      </c>
      <c r="E25" s="1">
        <f t="shared" si="51"/>
        <v>4662.4459999999999</v>
      </c>
      <c r="F25" s="43">
        <f t="shared" si="24"/>
        <v>0</v>
      </c>
      <c r="G25" s="28">
        <f t="shared" si="25"/>
        <v>0</v>
      </c>
      <c r="H25" s="1">
        <f t="shared" si="52"/>
        <v>6508</v>
      </c>
      <c r="I25" s="43">
        <f t="shared" si="26"/>
        <v>0</v>
      </c>
      <c r="J25" s="28">
        <f t="shared" si="27"/>
        <v>0</v>
      </c>
      <c r="K25" s="7">
        <f t="shared" si="53"/>
        <v>14309.83</v>
      </c>
      <c r="L25" s="43">
        <f t="shared" si="28"/>
        <v>0</v>
      </c>
      <c r="M25" s="28">
        <f t="shared" si="29"/>
        <v>0</v>
      </c>
      <c r="N25" s="7">
        <f t="shared" si="54"/>
        <v>3889.3739999999998</v>
      </c>
      <c r="O25" s="43">
        <f t="shared" si="30"/>
        <v>0</v>
      </c>
      <c r="P25" s="28">
        <f t="shared" si="31"/>
        <v>0</v>
      </c>
      <c r="Q25" s="7">
        <f t="shared" si="55"/>
        <v>5661.2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si="56"/>
        <v>222088</v>
      </c>
      <c r="Y25" s="147">
        <f t="shared" si="21"/>
        <v>0</v>
      </c>
      <c r="Z25" s="142">
        <f t="shared" si="57"/>
        <v>10235</v>
      </c>
      <c r="AA25" s="147">
        <f t="shared" si="21"/>
        <v>0</v>
      </c>
      <c r="AB25" s="142">
        <f t="shared" si="35"/>
        <v>41.5</v>
      </c>
      <c r="AC25" s="147">
        <f t="shared" si="21"/>
        <v>0</v>
      </c>
      <c r="AD25" s="142">
        <f t="shared" si="58"/>
        <v>794</v>
      </c>
      <c r="AE25" s="147">
        <f t="shared" si="21"/>
        <v>0</v>
      </c>
      <c r="AF25" s="142">
        <f t="shared" si="59"/>
        <v>9764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50"/>
        <v>25434.637999999999</v>
      </c>
      <c r="C26" s="43">
        <f t="shared" si="22"/>
        <v>0</v>
      </c>
      <c r="D26" s="28">
        <f t="shared" si="23"/>
        <v>0</v>
      </c>
      <c r="E26" s="1">
        <f t="shared" si="51"/>
        <v>4662.4459999999999</v>
      </c>
      <c r="F26" s="43">
        <f t="shared" si="24"/>
        <v>0</v>
      </c>
      <c r="G26" s="28">
        <f t="shared" si="25"/>
        <v>0</v>
      </c>
      <c r="H26" s="1">
        <f t="shared" si="52"/>
        <v>6508</v>
      </c>
      <c r="I26" s="43">
        <f t="shared" si="26"/>
        <v>0</v>
      </c>
      <c r="J26" s="28">
        <f t="shared" si="27"/>
        <v>0</v>
      </c>
      <c r="K26" s="7">
        <f t="shared" si="53"/>
        <v>14309.83</v>
      </c>
      <c r="L26" s="43">
        <f>IF((K26-K25)&lt;0,"0",(K26-K25))</f>
        <v>0</v>
      </c>
      <c r="M26" s="28">
        <f t="shared" si="29"/>
        <v>0</v>
      </c>
      <c r="N26" s="7">
        <f t="shared" si="54"/>
        <v>3889.3739999999998</v>
      </c>
      <c r="O26" s="43">
        <f t="shared" si="30"/>
        <v>0</v>
      </c>
      <c r="P26" s="28">
        <f t="shared" si="31"/>
        <v>0</v>
      </c>
      <c r="Q26" s="7">
        <f t="shared" si="55"/>
        <v>5661.2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56"/>
        <v>222088</v>
      </c>
      <c r="Y26" s="147">
        <f t="shared" si="21"/>
        <v>0</v>
      </c>
      <c r="Z26" s="142">
        <f t="shared" si="57"/>
        <v>10235</v>
      </c>
      <c r="AA26" s="147">
        <f t="shared" si="21"/>
        <v>0</v>
      </c>
      <c r="AB26" s="142">
        <f t="shared" si="35"/>
        <v>41.5</v>
      </c>
      <c r="AC26" s="147">
        <f t="shared" si="21"/>
        <v>0</v>
      </c>
      <c r="AD26" s="142">
        <f t="shared" si="58"/>
        <v>794</v>
      </c>
      <c r="AE26" s="147">
        <f t="shared" si="21"/>
        <v>0</v>
      </c>
      <c r="AF26" s="142">
        <f t="shared" si="59"/>
        <v>9764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50"/>
        <v>25434.637999999999</v>
      </c>
      <c r="C27" s="43">
        <f t="shared" si="22"/>
        <v>0</v>
      </c>
      <c r="D27" s="28">
        <f t="shared" si="23"/>
        <v>0</v>
      </c>
      <c r="E27" s="1">
        <f t="shared" si="51"/>
        <v>4662.4459999999999</v>
      </c>
      <c r="F27" s="43">
        <f t="shared" si="24"/>
        <v>0</v>
      </c>
      <c r="G27" s="28">
        <f t="shared" si="25"/>
        <v>0</v>
      </c>
      <c r="H27" s="1">
        <f t="shared" si="52"/>
        <v>6508</v>
      </c>
      <c r="I27" s="43">
        <f t="shared" si="26"/>
        <v>0</v>
      </c>
      <c r="J27" s="28">
        <f t="shared" si="27"/>
        <v>0</v>
      </c>
      <c r="K27" s="7">
        <f t="shared" si="53"/>
        <v>14309.83</v>
      </c>
      <c r="L27" s="43">
        <f t="shared" si="28"/>
        <v>0</v>
      </c>
      <c r="M27" s="28">
        <f t="shared" si="29"/>
        <v>0</v>
      </c>
      <c r="N27" s="7">
        <f t="shared" si="54"/>
        <v>3889.3739999999998</v>
      </c>
      <c r="O27" s="43">
        <f t="shared" si="30"/>
        <v>0</v>
      </c>
      <c r="P27" s="28">
        <f t="shared" si="31"/>
        <v>0</v>
      </c>
      <c r="Q27" s="7">
        <f t="shared" si="55"/>
        <v>5661.2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56"/>
        <v>222088</v>
      </c>
      <c r="Y27" s="147">
        <f t="shared" si="21"/>
        <v>0</v>
      </c>
      <c r="Z27" s="142">
        <f t="shared" si="57"/>
        <v>10235</v>
      </c>
      <c r="AA27" s="147">
        <f t="shared" si="21"/>
        <v>0</v>
      </c>
      <c r="AB27" s="142">
        <f t="shared" si="35"/>
        <v>41.5</v>
      </c>
      <c r="AC27" s="147">
        <f t="shared" si="21"/>
        <v>0</v>
      </c>
      <c r="AD27" s="142">
        <f t="shared" si="58"/>
        <v>794</v>
      </c>
      <c r="AE27" s="147">
        <f t="shared" si="21"/>
        <v>0</v>
      </c>
      <c r="AF27" s="142">
        <f t="shared" si="59"/>
        <v>9764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50"/>
        <v>25434.637999999999</v>
      </c>
      <c r="C28" s="43">
        <f t="shared" si="22"/>
        <v>0</v>
      </c>
      <c r="D28" s="28">
        <f t="shared" si="23"/>
        <v>0</v>
      </c>
      <c r="E28" s="1">
        <f t="shared" si="51"/>
        <v>4662.4459999999999</v>
      </c>
      <c r="F28" s="43">
        <f t="shared" si="24"/>
        <v>0</v>
      </c>
      <c r="G28" s="28">
        <f t="shared" si="25"/>
        <v>0</v>
      </c>
      <c r="H28" s="1">
        <f t="shared" si="52"/>
        <v>6508</v>
      </c>
      <c r="I28" s="43">
        <f t="shared" si="26"/>
        <v>0</v>
      </c>
      <c r="J28" s="28">
        <f t="shared" si="27"/>
        <v>0</v>
      </c>
      <c r="K28" s="7">
        <f t="shared" si="53"/>
        <v>14309.83</v>
      </c>
      <c r="L28" s="43">
        <f t="shared" si="28"/>
        <v>0</v>
      </c>
      <c r="M28" s="28">
        <f t="shared" si="29"/>
        <v>0</v>
      </c>
      <c r="N28" s="7">
        <f t="shared" si="54"/>
        <v>3889.3739999999998</v>
      </c>
      <c r="O28" s="43">
        <f t="shared" si="30"/>
        <v>0</v>
      </c>
      <c r="P28" s="28">
        <f t="shared" si="31"/>
        <v>0</v>
      </c>
      <c r="Q28" s="7">
        <f t="shared" si="55"/>
        <v>5661.2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56"/>
        <v>222088</v>
      </c>
      <c r="Y28" s="147">
        <f t="shared" si="21"/>
        <v>0</v>
      </c>
      <c r="Z28" s="142">
        <f t="shared" si="57"/>
        <v>10235</v>
      </c>
      <c r="AA28" s="147">
        <f t="shared" si="21"/>
        <v>0</v>
      </c>
      <c r="AB28" s="142">
        <f t="shared" si="35"/>
        <v>41.5</v>
      </c>
      <c r="AC28" s="147">
        <f t="shared" si="21"/>
        <v>0</v>
      </c>
      <c r="AD28" s="142">
        <f t="shared" si="58"/>
        <v>794</v>
      </c>
      <c r="AE28" s="147">
        <f t="shared" si="21"/>
        <v>0</v>
      </c>
      <c r="AF28" s="142">
        <f t="shared" si="59"/>
        <v>9764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50"/>
        <v>25434.637999999999</v>
      </c>
      <c r="C29" s="43">
        <f t="shared" si="22"/>
        <v>0</v>
      </c>
      <c r="D29" s="28">
        <f t="shared" si="23"/>
        <v>0</v>
      </c>
      <c r="E29" s="1">
        <f t="shared" si="51"/>
        <v>4662.4459999999999</v>
      </c>
      <c r="F29" s="43">
        <f t="shared" si="24"/>
        <v>0</v>
      </c>
      <c r="G29" s="28">
        <f t="shared" si="25"/>
        <v>0</v>
      </c>
      <c r="H29" s="1">
        <f t="shared" si="52"/>
        <v>6508</v>
      </c>
      <c r="I29" s="43">
        <f t="shared" si="26"/>
        <v>0</v>
      </c>
      <c r="J29" s="28">
        <f t="shared" si="27"/>
        <v>0</v>
      </c>
      <c r="K29" s="7">
        <f t="shared" si="53"/>
        <v>14309.83</v>
      </c>
      <c r="L29" s="43">
        <f t="shared" si="28"/>
        <v>0</v>
      </c>
      <c r="M29" s="28">
        <f t="shared" si="29"/>
        <v>0</v>
      </c>
      <c r="N29" s="7">
        <f t="shared" si="54"/>
        <v>3889.3739999999998</v>
      </c>
      <c r="O29" s="43">
        <f t="shared" si="30"/>
        <v>0</v>
      </c>
      <c r="P29" s="28">
        <f t="shared" si="31"/>
        <v>0</v>
      </c>
      <c r="Q29" s="7">
        <f t="shared" si="55"/>
        <v>5661.2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56"/>
        <v>222088</v>
      </c>
      <c r="Y29" s="147">
        <f t="shared" si="21"/>
        <v>0</v>
      </c>
      <c r="Z29" s="142">
        <f t="shared" si="57"/>
        <v>10235</v>
      </c>
      <c r="AA29" s="147">
        <f t="shared" si="21"/>
        <v>0</v>
      </c>
      <c r="AB29" s="142">
        <f t="shared" si="35"/>
        <v>41.5</v>
      </c>
      <c r="AC29" s="147">
        <f t="shared" si="21"/>
        <v>0</v>
      </c>
      <c r="AD29" s="142">
        <f t="shared" si="58"/>
        <v>794</v>
      </c>
      <c r="AE29" s="147">
        <f t="shared" si="21"/>
        <v>0</v>
      </c>
      <c r="AF29" s="142">
        <f t="shared" si="59"/>
        <v>9764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50"/>
        <v>25434.637999999999</v>
      </c>
      <c r="C30" s="43">
        <f t="shared" si="22"/>
        <v>0</v>
      </c>
      <c r="D30" s="28">
        <f t="shared" si="23"/>
        <v>0</v>
      </c>
      <c r="E30" s="1">
        <f t="shared" si="51"/>
        <v>4662.4459999999999</v>
      </c>
      <c r="F30" s="43">
        <f t="shared" si="24"/>
        <v>0</v>
      </c>
      <c r="G30" s="28">
        <f t="shared" si="25"/>
        <v>0</v>
      </c>
      <c r="H30" s="1">
        <f t="shared" si="52"/>
        <v>6508</v>
      </c>
      <c r="I30" s="43">
        <f t="shared" si="26"/>
        <v>0</v>
      </c>
      <c r="J30" s="28">
        <f t="shared" si="27"/>
        <v>0</v>
      </c>
      <c r="K30" s="7">
        <f t="shared" si="53"/>
        <v>14309.83</v>
      </c>
      <c r="L30" s="43">
        <f t="shared" si="28"/>
        <v>0</v>
      </c>
      <c r="M30" s="28">
        <f t="shared" si="29"/>
        <v>0</v>
      </c>
      <c r="N30" s="7">
        <f t="shared" si="54"/>
        <v>3889.3739999999998</v>
      </c>
      <c r="O30" s="43">
        <f t="shared" si="30"/>
        <v>0</v>
      </c>
      <c r="P30" s="28">
        <f t="shared" si="31"/>
        <v>0</v>
      </c>
      <c r="Q30" s="7">
        <f t="shared" si="55"/>
        <v>5661.2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56"/>
        <v>222088</v>
      </c>
      <c r="Y30" s="147">
        <f t="shared" si="21"/>
        <v>0</v>
      </c>
      <c r="Z30" s="142">
        <f t="shared" si="57"/>
        <v>10235</v>
      </c>
      <c r="AA30" s="147">
        <f t="shared" si="21"/>
        <v>0</v>
      </c>
      <c r="AB30" s="142">
        <f t="shared" si="35"/>
        <v>41.5</v>
      </c>
      <c r="AC30" s="147">
        <f t="shared" si="21"/>
        <v>0</v>
      </c>
      <c r="AD30" s="142">
        <f t="shared" si="58"/>
        <v>794</v>
      </c>
      <c r="AE30" s="147">
        <f t="shared" si="21"/>
        <v>0</v>
      </c>
      <c r="AF30" s="142">
        <f t="shared" si="59"/>
        <v>9764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50"/>
        <v>25434.637999999999</v>
      </c>
      <c r="C31" s="43">
        <f t="shared" si="22"/>
        <v>0</v>
      </c>
      <c r="D31" s="28">
        <f t="shared" si="23"/>
        <v>0</v>
      </c>
      <c r="E31" s="1">
        <f t="shared" si="51"/>
        <v>4662.4459999999999</v>
      </c>
      <c r="F31" s="43">
        <f t="shared" si="24"/>
        <v>0</v>
      </c>
      <c r="G31" s="28">
        <f t="shared" si="25"/>
        <v>0</v>
      </c>
      <c r="H31" s="1">
        <f t="shared" si="52"/>
        <v>6508</v>
      </c>
      <c r="I31" s="43">
        <f t="shared" si="26"/>
        <v>0</v>
      </c>
      <c r="J31" s="28">
        <f t="shared" si="27"/>
        <v>0</v>
      </c>
      <c r="K31" s="7">
        <f t="shared" si="53"/>
        <v>14309.83</v>
      </c>
      <c r="L31" s="43">
        <f t="shared" si="28"/>
        <v>0</v>
      </c>
      <c r="M31" s="28">
        <f t="shared" si="29"/>
        <v>0</v>
      </c>
      <c r="N31" s="7">
        <f t="shared" si="54"/>
        <v>3889.3739999999998</v>
      </c>
      <c r="O31" s="43">
        <f t="shared" si="30"/>
        <v>0</v>
      </c>
      <c r="P31" s="28">
        <f t="shared" si="31"/>
        <v>0</v>
      </c>
      <c r="Q31" s="7">
        <f t="shared" si="55"/>
        <v>5661.2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56"/>
        <v>222088</v>
      </c>
      <c r="Y31" s="147">
        <f t="shared" si="21"/>
        <v>0</v>
      </c>
      <c r="Z31" s="142">
        <f t="shared" si="57"/>
        <v>10235</v>
      </c>
      <c r="AA31" s="147">
        <f t="shared" si="21"/>
        <v>0</v>
      </c>
      <c r="AB31" s="142">
        <f t="shared" si="35"/>
        <v>41.5</v>
      </c>
      <c r="AC31" s="147">
        <f t="shared" si="21"/>
        <v>0</v>
      </c>
      <c r="AD31" s="142">
        <f t="shared" si="58"/>
        <v>794</v>
      </c>
      <c r="AE31" s="147">
        <f t="shared" si="21"/>
        <v>0</v>
      </c>
      <c r="AF31" s="142">
        <f t="shared" si="59"/>
        <v>9764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50"/>
        <v>25434.637999999999</v>
      </c>
      <c r="C32" s="43">
        <f t="shared" si="22"/>
        <v>0</v>
      </c>
      <c r="D32" s="28">
        <f t="shared" si="23"/>
        <v>0</v>
      </c>
      <c r="E32" s="1">
        <f t="shared" si="51"/>
        <v>4662.4459999999999</v>
      </c>
      <c r="F32" s="43">
        <f t="shared" si="24"/>
        <v>0</v>
      </c>
      <c r="G32" s="28">
        <f t="shared" si="25"/>
        <v>0</v>
      </c>
      <c r="H32" s="1">
        <f t="shared" si="52"/>
        <v>6508</v>
      </c>
      <c r="I32" s="43">
        <f t="shared" si="26"/>
        <v>0</v>
      </c>
      <c r="J32" s="28">
        <f t="shared" si="27"/>
        <v>0</v>
      </c>
      <c r="K32" s="7">
        <f t="shared" si="53"/>
        <v>14309.83</v>
      </c>
      <c r="L32" s="43">
        <f t="shared" si="28"/>
        <v>0</v>
      </c>
      <c r="M32" s="28">
        <f t="shared" si="29"/>
        <v>0</v>
      </c>
      <c r="N32" s="7">
        <f t="shared" si="54"/>
        <v>3889.3739999999998</v>
      </c>
      <c r="O32" s="43">
        <f t="shared" si="30"/>
        <v>0</v>
      </c>
      <c r="P32" s="28">
        <f t="shared" si="31"/>
        <v>0</v>
      </c>
      <c r="Q32" s="7">
        <f t="shared" si="55"/>
        <v>5661.2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56"/>
        <v>222088</v>
      </c>
      <c r="Y32" s="147">
        <f t="shared" ref="Y32" si="60">IF((X32-X31)&lt;0,"0",(X32-X31))</f>
        <v>0</v>
      </c>
      <c r="Z32" s="142">
        <f t="shared" si="57"/>
        <v>10235</v>
      </c>
      <c r="AA32" s="147">
        <f t="shared" ref="AA32" si="61">IF((Z32-Z31)&lt;0,"0",(Z32-Z31))</f>
        <v>0</v>
      </c>
      <c r="AB32" s="142">
        <f t="shared" si="35"/>
        <v>41.5</v>
      </c>
      <c r="AC32" s="147">
        <f t="shared" ref="AC32" si="62">IF((AB32-AB31)&lt;0,"0",(AB32-AB31))</f>
        <v>0</v>
      </c>
      <c r="AD32" s="142">
        <f t="shared" si="58"/>
        <v>794</v>
      </c>
      <c r="AE32" s="147">
        <f t="shared" ref="AE32" si="63">IF((AD32-AD31)&lt;0,"0",(AD32-AD31))</f>
        <v>0</v>
      </c>
      <c r="AF32" s="142">
        <f t="shared" si="59"/>
        <v>9764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83.773999999997613</v>
      </c>
      <c r="D33" s="124">
        <f>SUM(D4:D32)</f>
        <v>149400.7999999958</v>
      </c>
      <c r="E33" s="124"/>
      <c r="F33" s="124">
        <f>SUM(F3:F32)</f>
        <v>23.432999999999993</v>
      </c>
      <c r="G33" s="124">
        <f>SUM(G4:G32)</f>
        <v>41127.399999999485</v>
      </c>
      <c r="H33" s="124"/>
      <c r="I33" s="124">
        <f>SUM(I3:I32)</f>
        <v>64</v>
      </c>
      <c r="J33" s="124">
        <f>SUM(J4:J32)</f>
        <v>114000</v>
      </c>
      <c r="K33" s="124"/>
      <c r="L33" s="124">
        <f>SUM(L3:L32)</f>
        <v>14.959999999999127</v>
      </c>
      <c r="M33" s="124">
        <f>SUM(M4:M32)</f>
        <v>27815.999999998894</v>
      </c>
      <c r="N33" s="124"/>
      <c r="O33" s="124">
        <f>SUM(O3:O32)</f>
        <v>37.684999999999945</v>
      </c>
      <c r="P33" s="124">
        <f>SUM(P4:P32)</f>
        <v>67292.299999999843</v>
      </c>
      <c r="Q33" s="124"/>
      <c r="R33" s="124">
        <v>2.21</v>
      </c>
      <c r="S33" s="124">
        <f>SUM(S4:S32)</f>
        <v>35966.999999998829</v>
      </c>
      <c r="T33" s="124">
        <v>22.454999999999998</v>
      </c>
      <c r="U33" s="124">
        <f>SUM(U4:U32)</f>
        <v>435603.4999999929</v>
      </c>
      <c r="V33"/>
      <c r="W33" s="124" t="s">
        <v>141</v>
      </c>
      <c r="X33" s="124"/>
      <c r="Y33" s="124">
        <f>SUM(Y3:Y32)</f>
        <v>1888</v>
      </c>
      <c r="Z33" s="124"/>
      <c r="AA33" s="124">
        <f>SUM(AA3:AA32)</f>
        <v>52</v>
      </c>
      <c r="AB33" s="124"/>
      <c r="AC33" s="124">
        <f>SUM(AC3:AC32)</f>
        <v>0.70000000000000284</v>
      </c>
      <c r="AD33" s="124"/>
      <c r="AE33" s="124">
        <f>SUM(AE3:AE32)</f>
        <v>34</v>
      </c>
      <c r="AF33" s="124">
        <v>0</v>
      </c>
      <c r="AG33" s="124">
        <f>SUM(AG3:AG32)</f>
        <v>126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2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2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2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73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73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73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2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2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2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73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73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73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2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2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2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73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73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73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2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2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2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73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73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73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2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2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2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73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73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73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2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2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2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73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73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73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2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2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2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73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73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73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2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2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2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73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73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73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2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2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2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73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73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73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2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2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2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73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73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73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2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2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2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73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73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73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2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2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2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73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73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73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2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2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2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73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73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73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2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2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2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73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73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73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2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2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2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73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73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73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2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2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2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73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73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73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2">
        <v>23</v>
      </c>
      <c r="C49" s="59" t="s">
        <v>83</v>
      </c>
      <c r="D49" s="60"/>
      <c r="E49" s="60"/>
      <c r="F49" s="61">
        <f t="shared" si="6"/>
        <v>0</v>
      </c>
      <c r="G49" s="62"/>
      <c r="I49" s="172">
        <v>23</v>
      </c>
      <c r="J49" s="59" t="s">
        <v>83</v>
      </c>
      <c r="K49" s="60"/>
      <c r="L49" s="60"/>
      <c r="M49" s="61">
        <f t="shared" si="7"/>
        <v>0</v>
      </c>
      <c r="N49" s="62"/>
      <c r="P49" s="172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73"/>
      <c r="C50" s="59" t="s">
        <v>82</v>
      </c>
      <c r="D50" s="60"/>
      <c r="E50" s="60"/>
      <c r="F50" s="61">
        <f t="shared" si="6"/>
        <v>0</v>
      </c>
      <c r="G50" s="62"/>
      <c r="I50" s="173"/>
      <c r="J50" s="59" t="s">
        <v>82</v>
      </c>
      <c r="K50" s="60"/>
      <c r="L50" s="60"/>
      <c r="M50" s="61">
        <f t="shared" si="7"/>
        <v>0</v>
      </c>
      <c r="N50" s="62"/>
      <c r="P50" s="173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75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75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75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76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76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76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77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77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77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2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2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2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2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2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2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2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2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2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2">
        <v>28</v>
      </c>
      <c r="C62" s="167" t="s">
        <v>86</v>
      </c>
      <c r="D62" s="60"/>
      <c r="E62" s="60"/>
      <c r="F62" s="61">
        <f t="shared" si="6"/>
        <v>0</v>
      </c>
      <c r="G62" s="169" t="s">
        <v>87</v>
      </c>
      <c r="H62" s="155"/>
      <c r="I62" s="172">
        <v>28</v>
      </c>
      <c r="J62" s="167" t="s">
        <v>86</v>
      </c>
      <c r="K62" s="60"/>
      <c r="L62" s="60"/>
      <c r="M62" s="61">
        <f t="shared" si="7"/>
        <v>0</v>
      </c>
      <c r="N62" s="169" t="s">
        <v>87</v>
      </c>
      <c r="P62" s="172">
        <v>28</v>
      </c>
      <c r="Q62" s="167" t="s">
        <v>86</v>
      </c>
      <c r="R62" s="60"/>
      <c r="S62" s="60"/>
      <c r="T62" s="61">
        <f t="shared" si="5"/>
        <v>0</v>
      </c>
      <c r="U62" s="169" t="s">
        <v>87</v>
      </c>
    </row>
    <row r="63" spans="1:21" ht="15" x14ac:dyDescent="0.2">
      <c r="A63" s="153"/>
      <c r="B63" s="174"/>
      <c r="C63" s="168"/>
      <c r="D63" s="60"/>
      <c r="E63" s="60"/>
      <c r="F63" s="61">
        <f t="shared" si="6"/>
        <v>0</v>
      </c>
      <c r="G63" s="170"/>
      <c r="H63" s="155"/>
      <c r="I63" s="174"/>
      <c r="J63" s="168"/>
      <c r="K63" s="60"/>
      <c r="L63" s="60"/>
      <c r="M63" s="61">
        <f t="shared" si="7"/>
        <v>0</v>
      </c>
      <c r="N63" s="170"/>
      <c r="P63" s="174"/>
      <c r="Q63" s="168"/>
      <c r="R63" s="60"/>
      <c r="S63" s="60"/>
      <c r="T63" s="61">
        <f t="shared" si="5"/>
        <v>0</v>
      </c>
      <c r="U63" s="170"/>
    </row>
    <row r="64" spans="1:21" x14ac:dyDescent="0.2">
      <c r="A64" s="153"/>
      <c r="B64" s="171" t="s">
        <v>88</v>
      </c>
      <c r="C64" s="171"/>
      <c r="D64" s="171"/>
      <c r="E64" s="171"/>
      <c r="F64" s="73">
        <f>SUM(F2:F63)</f>
        <v>29502</v>
      </c>
      <c r="G64" s="74"/>
      <c r="H64" s="155"/>
      <c r="I64" s="171" t="s">
        <v>88</v>
      </c>
      <c r="J64" s="171"/>
      <c r="K64" s="171"/>
      <c r="L64" s="171"/>
      <c r="M64" s="73">
        <f>SUM(M2:M63)</f>
        <v>22105</v>
      </c>
      <c r="N64" s="74"/>
      <c r="P64" s="171" t="s">
        <v>88</v>
      </c>
      <c r="Q64" s="171"/>
      <c r="R64" s="171"/>
      <c r="S64" s="171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78">
        <v>44774</v>
      </c>
      <c r="B69" s="179"/>
      <c r="C69" s="179"/>
      <c r="D69" s="180"/>
      <c r="E69" s="159"/>
      <c r="F69" s="178">
        <v>44805</v>
      </c>
      <c r="G69" s="179"/>
      <c r="H69" s="179"/>
      <c r="I69" s="180"/>
      <c r="J69" s="159"/>
      <c r="K69" s="181" t="s">
        <v>25</v>
      </c>
      <c r="L69" s="182"/>
      <c r="M69" s="182"/>
      <c r="N69" s="183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  <mergeCell ref="B55:B56"/>
    <mergeCell ref="I55:I56"/>
    <mergeCell ref="P55:P56"/>
    <mergeCell ref="B57:B58"/>
    <mergeCell ref="I57:I58"/>
    <mergeCell ref="P57:P58"/>
    <mergeCell ref="B49:B50"/>
    <mergeCell ref="I49:I50"/>
    <mergeCell ref="P49:P50"/>
    <mergeCell ref="B52:B54"/>
    <mergeCell ref="I52:I54"/>
    <mergeCell ref="P52:P54"/>
    <mergeCell ref="B45:B46"/>
    <mergeCell ref="I45:I46"/>
    <mergeCell ref="P45:P46"/>
    <mergeCell ref="B47:B48"/>
    <mergeCell ref="I47:I48"/>
    <mergeCell ref="P47:P48"/>
    <mergeCell ref="B38:B40"/>
    <mergeCell ref="I38:I40"/>
    <mergeCell ref="P38:P40"/>
    <mergeCell ref="B41:B43"/>
    <mergeCell ref="I41:I43"/>
    <mergeCell ref="P41:P43"/>
    <mergeCell ref="B32:B34"/>
    <mergeCell ref="I32:I34"/>
    <mergeCell ref="P32:P34"/>
    <mergeCell ref="B35:B37"/>
    <mergeCell ref="I35:I37"/>
    <mergeCell ref="P35:P37"/>
    <mergeCell ref="B26:B28"/>
    <mergeCell ref="I26:I28"/>
    <mergeCell ref="P26:P28"/>
    <mergeCell ref="B29:B31"/>
    <mergeCell ref="I29:I31"/>
    <mergeCell ref="P29:P31"/>
    <mergeCell ref="B20:B22"/>
    <mergeCell ref="I20:I22"/>
    <mergeCell ref="P20:P22"/>
    <mergeCell ref="B23:B25"/>
    <mergeCell ref="I23:I25"/>
    <mergeCell ref="P23:P25"/>
    <mergeCell ref="I14:I16"/>
    <mergeCell ref="P14:P16"/>
    <mergeCell ref="B17:B19"/>
    <mergeCell ref="I17:I19"/>
    <mergeCell ref="P17:P19"/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258584</v>
      </c>
      <c r="D2" s="84">
        <f>C2*1.27</f>
        <v>328401.68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34648255</v>
      </c>
      <c r="K3" s="150">
        <f>J3-I3</f>
        <v>158422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8854119</v>
      </c>
      <c r="K4" s="150">
        <f>J4-I4</f>
        <v>833323</v>
      </c>
    </row>
    <row r="5" spans="1:13" ht="13.5" thickBot="1" x14ac:dyDescent="0.25">
      <c r="A5" s="82"/>
      <c r="B5" s="88" t="s">
        <v>27</v>
      </c>
      <c r="C5" s="92">
        <f>(K10+K12)*0.842284+K26</f>
        <v>466479.67535600002</v>
      </c>
      <c r="D5" s="92">
        <f t="shared" ref="D5:D11" si="0">C5*1.27</f>
        <v>592429.18770212005</v>
      </c>
      <c r="E5" s="93"/>
      <c r="F5" s="82"/>
      <c r="G5" s="82"/>
      <c r="H5" s="88" t="s">
        <v>23</v>
      </c>
      <c r="I5" s="94"/>
      <c r="J5" s="94"/>
      <c r="K5" s="114">
        <f>K3+K4</f>
        <v>991745</v>
      </c>
    </row>
    <row r="6" spans="1:13" ht="13.5" thickBot="1" x14ac:dyDescent="0.25">
      <c r="A6" s="82"/>
      <c r="B6" s="88" t="s">
        <v>99</v>
      </c>
      <c r="C6" s="92">
        <f>(K10+K12+K26)*0.1488</f>
        <v>82195.483199999988</v>
      </c>
      <c r="D6" s="92">
        <f t="shared" si="0"/>
        <v>104388.26366399998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871370</v>
      </c>
      <c r="K6" s="150">
        <f>J6-I6</f>
        <v>92526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149008</v>
      </c>
      <c r="D7" s="92">
        <f t="shared" si="0"/>
        <v>189240.16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1186348</v>
      </c>
      <c r="K7" s="150">
        <f>J7-I7</f>
        <v>95926</v>
      </c>
    </row>
    <row r="8" spans="1:13" ht="13.5" thickBot="1" x14ac:dyDescent="0.25">
      <c r="A8" s="82"/>
      <c r="B8" s="88" t="s">
        <v>103</v>
      </c>
      <c r="C8" s="92">
        <f>K21+K22+K23+K24</f>
        <v>17235</v>
      </c>
      <c r="D8" s="92">
        <f t="shared" si="0"/>
        <v>21888.45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7859444</v>
      </c>
      <c r="K8" s="79">
        <f>(J8-I8)*2</f>
        <v>59026</v>
      </c>
    </row>
    <row r="9" spans="1:13" ht="13.5" thickBot="1" x14ac:dyDescent="0.25">
      <c r="A9" s="82"/>
      <c r="B9" s="88" t="s">
        <v>137</v>
      </c>
      <c r="C9" s="92">
        <f>K25+K16+K17</f>
        <v>4387</v>
      </c>
      <c r="D9" s="92">
        <f t="shared" si="0"/>
        <v>5571.49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8842016</v>
      </c>
      <c r="K9" s="79">
        <f>J9-I9</f>
        <v>178605</v>
      </c>
    </row>
    <row r="10" spans="1:13" ht="13.5" thickBot="1" x14ac:dyDescent="0.25">
      <c r="A10" s="82"/>
      <c r="B10" s="88" t="s">
        <v>106</v>
      </c>
      <c r="C10" s="92">
        <f>K18</f>
        <v>8000</v>
      </c>
      <c r="D10" s="92">
        <f t="shared" si="0"/>
        <v>10160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23077793</v>
      </c>
      <c r="K10" s="79">
        <f>J10-I10</f>
        <v>173325</v>
      </c>
    </row>
    <row r="11" spans="1:13" ht="13.5" thickBot="1" x14ac:dyDescent="0.25">
      <c r="A11" s="82"/>
      <c r="B11" s="88" t="s">
        <v>108</v>
      </c>
      <c r="C11" s="92">
        <f>K19+K20</f>
        <v>2142</v>
      </c>
      <c r="D11" s="92">
        <f t="shared" si="0"/>
        <v>2720.34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1159102</v>
      </c>
      <c r="K12" s="79">
        <f>(J12-I12)*2</f>
        <v>371384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970792</v>
      </c>
    </row>
    <row r="14" spans="1:13" ht="13.5" thickBot="1" x14ac:dyDescent="0.25">
      <c r="A14" s="82"/>
      <c r="B14" s="88" t="s">
        <v>42</v>
      </c>
      <c r="C14" s="92">
        <f>K29</f>
        <v>12440</v>
      </c>
      <c r="D14" s="100">
        <f t="shared" ref="D14:D22" si="1">C14*10.03</f>
        <v>124773.2</v>
      </c>
      <c r="E14" s="101"/>
      <c r="F14" s="82"/>
      <c r="G14" s="82"/>
      <c r="H14" s="88" t="s">
        <v>114</v>
      </c>
      <c r="I14" s="97"/>
      <c r="J14" s="98"/>
      <c r="K14" s="80">
        <f>K5-K13</f>
        <v>20953</v>
      </c>
    </row>
    <row r="15" spans="1:13" ht="13.5" thickBot="1" x14ac:dyDescent="0.25">
      <c r="A15" s="82"/>
      <c r="B15" s="88" t="s">
        <v>115</v>
      </c>
      <c r="C15" s="102">
        <f>K30</f>
        <v>81.378</v>
      </c>
      <c r="D15" s="100">
        <f t="shared" si="1"/>
        <v>816.22133999999994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861.79037959999994</v>
      </c>
      <c r="D16" s="100">
        <f t="shared" si="1"/>
        <v>8643.757507387998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4095</v>
      </c>
      <c r="K16" s="81">
        <f>(J16-I16)*160</f>
        <v>1760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342885</v>
      </c>
      <c r="K17" s="81">
        <f>(J17-I17)</f>
        <v>2576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26687</v>
      </c>
      <c r="K18" s="81">
        <f>(J18-I18)*160</f>
        <v>8000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179103</v>
      </c>
      <c r="K19" s="81">
        <f>J19-I19</f>
        <v>2142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47863</v>
      </c>
      <c r="K21" s="81">
        <f>(J21-I21)*120</f>
        <v>8400</v>
      </c>
    </row>
    <row r="22" spans="1:11" ht="13.5" thickBot="1" x14ac:dyDescent="0.25">
      <c r="A22" s="82"/>
      <c r="B22" s="88" t="s">
        <v>119</v>
      </c>
      <c r="C22" s="100">
        <f>C14-(C15+C16+C17+C18+C19+C20+C21)</f>
        <v>5676.8316204000002</v>
      </c>
      <c r="D22" s="100">
        <f t="shared" si="1"/>
        <v>56938.621152612002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41147</v>
      </c>
      <c r="K22" s="81">
        <f>(J22-I22)*160</f>
        <v>7360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22290</v>
      </c>
      <c r="K23" s="81">
        <f>(J23-I23)*20</f>
        <v>1080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260245</v>
      </c>
      <c r="K24" s="81">
        <f>J24-I24</f>
        <v>395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226576</v>
      </c>
      <c r="K25" s="81">
        <f>J25-I25</f>
        <v>51</v>
      </c>
    </row>
    <row r="26" spans="1:11" ht="13.5" thickBot="1" x14ac:dyDescent="0.25">
      <c r="A26" s="82"/>
      <c r="B26" s="88" t="s">
        <v>42</v>
      </c>
      <c r="C26" s="106">
        <f>K35</f>
        <v>21580</v>
      </c>
      <c r="D26" s="92">
        <f>C26*3.65</f>
        <v>78767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20331</v>
      </c>
      <c r="K26" s="81">
        <f>(J26-I26)*160</f>
        <v>7680</v>
      </c>
    </row>
    <row r="27" spans="1:11" ht="13.5" thickBot="1" x14ac:dyDescent="0.25">
      <c r="A27" s="82"/>
      <c r="B27" s="83" t="s">
        <v>124</v>
      </c>
      <c r="C27" s="106">
        <f>C26</f>
        <v>21580</v>
      </c>
      <c r="D27" s="92">
        <f>C27*3.65</f>
        <v>78767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466744</v>
      </c>
      <c r="K29" s="81">
        <f>(J29-I29)*10</f>
        <v>12440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822016</v>
      </c>
      <c r="K30" s="81">
        <f>(J30-I30)*0.027</f>
        <v>81.378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15803</v>
      </c>
      <c r="K31" s="81">
        <f>(J31-I31)*0.027</f>
        <v>15.821999999999999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12710000</v>
      </c>
      <c r="K32" s="81">
        <f>(J32-I32)*0.027</f>
        <v>6415.2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18577800</v>
      </c>
      <c r="K35" s="112">
        <f>J35-I35</f>
        <v>21580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Omar Saber</cp:lastModifiedBy>
  <cp:lastPrinted>2022-09-30T16:14:37Z</cp:lastPrinted>
  <dcterms:created xsi:type="dcterms:W3CDTF">2017-07-31T14:40:49Z</dcterms:created>
  <dcterms:modified xsi:type="dcterms:W3CDTF">2022-11-17T00:30:41Z</dcterms:modified>
</cp:coreProperties>
</file>