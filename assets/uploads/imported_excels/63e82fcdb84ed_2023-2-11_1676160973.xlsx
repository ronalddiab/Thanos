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2"/>
  <workbookPr/>
  <mc:AlternateContent xmlns:mc="http://schemas.openxmlformats.org/markup-compatibility/2006">
    <mc:Choice Requires="x15">
      <x15ac:absPath xmlns:x15ac="http://schemas.microsoft.com/office/spreadsheetml/2010/11/ac" url="/Users/madclown/Downloads/"/>
    </mc:Choice>
  </mc:AlternateContent>
  <xr:revisionPtr revIDLastSave="18" documentId="13_ncr:1_{11D7AD14-EB9E-7048-BB4C-0F2B8BCF28AA}" xr6:coauthVersionLast="47" xr6:coauthVersionMax="47" xr10:uidLastSave="{B6AF7235-D8F2-49ED-ACCC-5C53103A4C95}"/>
  <bookViews>
    <workbookView xWindow="0" yWindow="460" windowWidth="25600" windowHeight="15540" firstSheet="1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44" i="5"/>
  <c r="J41" i="5"/>
  <c r="L40" i="5"/>
  <c r="L11" i="5"/>
  <c r="L9" i="5"/>
  <c r="F41" i="5"/>
  <c r="K33" i="1"/>
  <c r="F33" i="1"/>
  <c r="E33" i="1"/>
  <c r="E31" i="5"/>
  <c r="E10" i="5"/>
  <c r="N31" i="1"/>
  <c r="M31" i="1"/>
  <c r="K31" i="1"/>
  <c r="G31" i="1"/>
  <c r="E27" i="5"/>
  <c r="K38" i="5"/>
  <c r="I38" i="5"/>
  <c r="G38" i="5"/>
  <c r="E38" i="5"/>
  <c r="F38" i="4"/>
  <c r="G38" i="3"/>
  <c r="D38" i="3"/>
  <c r="D38" i="4" s="1"/>
  <c r="D38" i="5" s="1"/>
  <c r="C38" i="3"/>
  <c r="C38" i="4" s="1"/>
  <c r="C38" i="5" s="1"/>
  <c r="I37" i="2"/>
  <c r="J37" i="2" s="1"/>
  <c r="F37" i="2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8" i="5"/>
  <c r="E29" i="5"/>
  <c r="E30" i="5"/>
  <c r="E32" i="5"/>
  <c r="E33" i="5"/>
  <c r="E34" i="5"/>
  <c r="E35" i="5"/>
  <c r="E36" i="5"/>
  <c r="E37" i="5"/>
  <c r="E39" i="5"/>
  <c r="E9" i="5"/>
  <c r="C39" i="2"/>
  <c r="N32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32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40" i="3"/>
  <c r="F9" i="4"/>
  <c r="L40" i="3"/>
  <c r="O40" i="3"/>
  <c r="I40" i="3"/>
  <c r="G2" i="1"/>
  <c r="F27" i="4"/>
  <c r="G27" i="4" s="1"/>
  <c r="F28" i="4"/>
  <c r="F29" i="4"/>
  <c r="F30" i="4"/>
  <c r="F31" i="4"/>
  <c r="F32" i="4"/>
  <c r="F33" i="4"/>
  <c r="F34" i="4"/>
  <c r="F35" i="4"/>
  <c r="F36" i="4"/>
  <c r="F37" i="4"/>
  <c r="F39" i="4"/>
  <c r="L38" i="5" l="1"/>
  <c r="M38" i="5" s="1"/>
  <c r="E40" i="5"/>
  <c r="O41" i="3"/>
  <c r="G37" i="2"/>
  <c r="K37" i="2" s="1"/>
  <c r="L37" i="2" s="1"/>
  <c r="M37" i="2" s="1"/>
  <c r="E31" i="1"/>
  <c r="G38" i="4"/>
  <c r="H38" i="4" s="1"/>
  <c r="I31" i="1"/>
  <c r="L31" i="1"/>
  <c r="N33" i="1"/>
  <c r="H32" i="4"/>
  <c r="F38" i="2"/>
  <c r="G38" i="2" s="1"/>
  <c r="F26" i="4"/>
  <c r="I19" i="1" s="1"/>
  <c r="F25" i="4"/>
  <c r="I18" i="1" s="1"/>
  <c r="F24" i="4"/>
  <c r="I17" i="1" s="1"/>
  <c r="F23" i="4"/>
  <c r="I16" i="1" s="1"/>
  <c r="F22" i="4"/>
  <c r="G22" i="4" s="1"/>
  <c r="F21" i="4"/>
  <c r="I14" i="1" s="1"/>
  <c r="F20" i="4"/>
  <c r="I13" i="1" s="1"/>
  <c r="F19" i="4"/>
  <c r="G19" i="4" s="1"/>
  <c r="F18" i="4"/>
  <c r="I11" i="1" s="1"/>
  <c r="F17" i="4"/>
  <c r="I10" i="1" s="1"/>
  <c r="F16" i="4"/>
  <c r="I9" i="1" s="1"/>
  <c r="F15" i="4"/>
  <c r="G15" i="4" s="1"/>
  <c r="F14" i="4"/>
  <c r="I7" i="1" s="1"/>
  <c r="F13" i="4"/>
  <c r="I6" i="1" s="1"/>
  <c r="F12" i="4"/>
  <c r="I5" i="1" s="1"/>
  <c r="F11" i="4"/>
  <c r="I4" i="1" s="1"/>
  <c r="F10" i="4"/>
  <c r="G10" i="4" s="1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5" i="3"/>
  <c r="D15" i="4" s="1"/>
  <c r="D15" i="5" s="1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 s="1"/>
  <c r="D32" i="5" s="1"/>
  <c r="D33" i="3"/>
  <c r="D33" i="4" s="1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9" i="3"/>
  <c r="D39" i="4" s="1"/>
  <c r="D39" i="5" s="1"/>
  <c r="D9" i="3"/>
  <c r="D9" i="4" s="1"/>
  <c r="C10" i="3"/>
  <c r="C11" i="3"/>
  <c r="C11" i="4" s="1"/>
  <c r="C11" i="5" s="1"/>
  <c r="C12" i="3"/>
  <c r="C12" i="4" s="1"/>
  <c r="C12" i="5" s="1"/>
  <c r="C13" i="3"/>
  <c r="C13" i="4" s="1"/>
  <c r="C13" i="5" s="1"/>
  <c r="C14" i="3"/>
  <c r="C14" i="4" s="1"/>
  <c r="C14" i="5" s="1"/>
  <c r="C15" i="3"/>
  <c r="C15" i="4" s="1"/>
  <c r="C15" i="5" s="1"/>
  <c r="C16" i="3"/>
  <c r="C16" i="4" s="1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 s="1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 s="1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 s="1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 s="1"/>
  <c r="C37" i="5" s="1"/>
  <c r="C39" i="3"/>
  <c r="C39" i="4" s="1"/>
  <c r="C39" i="5" s="1"/>
  <c r="C9" i="3"/>
  <c r="C9" i="4" s="1"/>
  <c r="C9" i="5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2" i="1"/>
  <c r="G34" i="4"/>
  <c r="I8" i="1"/>
  <c r="I20" i="1"/>
  <c r="I21" i="1"/>
  <c r="I23" i="1"/>
  <c r="I24" i="1"/>
  <c r="I25" i="1"/>
  <c r="I26" i="1"/>
  <c r="I27" i="1"/>
  <c r="I28" i="1"/>
  <c r="I29" i="1"/>
  <c r="I30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2" i="1"/>
  <c r="K2" i="1"/>
  <c r="I2" i="1"/>
  <c r="J40" i="5"/>
  <c r="H40" i="5"/>
  <c r="K39" i="5"/>
  <c r="I39" i="5"/>
  <c r="G39" i="5"/>
  <c r="K37" i="5"/>
  <c r="I37" i="5"/>
  <c r="G37" i="5"/>
  <c r="K36" i="5"/>
  <c r="I36" i="5"/>
  <c r="G36" i="5"/>
  <c r="K35" i="5"/>
  <c r="I35" i="5"/>
  <c r="G35" i="5"/>
  <c r="K34" i="5"/>
  <c r="I34" i="5"/>
  <c r="G34" i="5"/>
  <c r="K33" i="5"/>
  <c r="I33" i="5"/>
  <c r="G33" i="5"/>
  <c r="K32" i="5"/>
  <c r="I32" i="5"/>
  <c r="G32" i="5"/>
  <c r="K31" i="5"/>
  <c r="I31" i="5"/>
  <c r="G31" i="5"/>
  <c r="K30" i="5"/>
  <c r="I30" i="5"/>
  <c r="G30" i="5"/>
  <c r="K29" i="5"/>
  <c r="I29" i="5"/>
  <c r="G29" i="5"/>
  <c r="K28" i="5"/>
  <c r="I28" i="5"/>
  <c r="G28" i="5"/>
  <c r="K27" i="5"/>
  <c r="I27" i="5"/>
  <c r="G27" i="5"/>
  <c r="K26" i="5"/>
  <c r="I26" i="5"/>
  <c r="G26" i="5"/>
  <c r="K25" i="5"/>
  <c r="I25" i="5"/>
  <c r="G25" i="5"/>
  <c r="K24" i="5"/>
  <c r="I24" i="5"/>
  <c r="G24" i="5"/>
  <c r="K23" i="5"/>
  <c r="I23" i="5"/>
  <c r="G23" i="5"/>
  <c r="K22" i="5"/>
  <c r="I22" i="5"/>
  <c r="G22" i="5"/>
  <c r="K21" i="5"/>
  <c r="I21" i="5"/>
  <c r="G21" i="5"/>
  <c r="K20" i="5"/>
  <c r="I20" i="5"/>
  <c r="G20" i="5"/>
  <c r="K19" i="5"/>
  <c r="I19" i="5"/>
  <c r="G19" i="5"/>
  <c r="K18" i="5"/>
  <c r="I18" i="5"/>
  <c r="G18" i="5"/>
  <c r="K17" i="5"/>
  <c r="I17" i="5"/>
  <c r="G17" i="5"/>
  <c r="K16" i="5"/>
  <c r="I16" i="5"/>
  <c r="G16" i="5"/>
  <c r="K15" i="5"/>
  <c r="I15" i="5"/>
  <c r="G15" i="5"/>
  <c r="K14" i="5"/>
  <c r="I14" i="5"/>
  <c r="G14" i="5"/>
  <c r="K13" i="5"/>
  <c r="I13" i="5"/>
  <c r="G13" i="5"/>
  <c r="K12" i="5"/>
  <c r="I12" i="5"/>
  <c r="G12" i="5"/>
  <c r="K11" i="5"/>
  <c r="I11" i="5"/>
  <c r="G11" i="5"/>
  <c r="K10" i="5"/>
  <c r="I10" i="5"/>
  <c r="G10" i="5"/>
  <c r="K9" i="5"/>
  <c r="I9" i="5"/>
  <c r="G9" i="5"/>
  <c r="G39" i="4"/>
  <c r="G37" i="4"/>
  <c r="G36" i="4"/>
  <c r="G35" i="4"/>
  <c r="G33" i="4"/>
  <c r="G31" i="4"/>
  <c r="G30" i="4"/>
  <c r="I22" i="1"/>
  <c r="G28" i="4"/>
  <c r="G23" i="4"/>
  <c r="G17" i="4"/>
  <c r="G11" i="4"/>
  <c r="H11" i="4" s="1"/>
  <c r="G9" i="4"/>
  <c r="J8" i="3"/>
  <c r="G39" i="3"/>
  <c r="G37" i="3"/>
  <c r="J36" i="3"/>
  <c r="G36" i="3"/>
  <c r="J35" i="3"/>
  <c r="G35" i="3"/>
  <c r="G34" i="3"/>
  <c r="G33" i="3"/>
  <c r="J32" i="3"/>
  <c r="G32" i="3"/>
  <c r="G31" i="3"/>
  <c r="J30" i="3"/>
  <c r="G30" i="3"/>
  <c r="G29" i="3"/>
  <c r="J28" i="3"/>
  <c r="G28" i="3"/>
  <c r="G27" i="3"/>
  <c r="G26" i="3"/>
  <c r="G25" i="3"/>
  <c r="G24" i="3"/>
  <c r="G23" i="3"/>
  <c r="G22" i="3"/>
  <c r="J21" i="3"/>
  <c r="G21" i="3"/>
  <c r="G20" i="3"/>
  <c r="J19" i="3"/>
  <c r="G19" i="3"/>
  <c r="G18" i="3"/>
  <c r="G17" i="3"/>
  <c r="G16" i="3"/>
  <c r="G15" i="3"/>
  <c r="G14" i="3"/>
  <c r="G13" i="3"/>
  <c r="G12" i="3"/>
  <c r="G11" i="3"/>
  <c r="G10" i="3"/>
  <c r="G9" i="3"/>
  <c r="U8" i="3"/>
  <c r="J33" i="3"/>
  <c r="D39" i="2"/>
  <c r="I38" i="2"/>
  <c r="I36" i="2"/>
  <c r="J36" i="2" s="1"/>
  <c r="F36" i="2"/>
  <c r="G36" i="2" s="1"/>
  <c r="I35" i="2"/>
  <c r="J35" i="2" s="1"/>
  <c r="F35" i="2"/>
  <c r="G35" i="2" s="1"/>
  <c r="I34" i="2"/>
  <c r="J34" i="2" s="1"/>
  <c r="F34" i="2"/>
  <c r="G34" i="2" s="1"/>
  <c r="I33" i="2"/>
  <c r="J33" i="2" s="1"/>
  <c r="F33" i="2"/>
  <c r="G33" i="2" s="1"/>
  <c r="I32" i="2"/>
  <c r="J32" i="2" s="1"/>
  <c r="F32" i="2"/>
  <c r="G32" i="2" s="1"/>
  <c r="I31" i="2"/>
  <c r="J31" i="2" s="1"/>
  <c r="F31" i="2"/>
  <c r="G31" i="2" s="1"/>
  <c r="I30" i="2"/>
  <c r="J30" i="2" s="1"/>
  <c r="F30" i="2"/>
  <c r="G30" i="2" s="1"/>
  <c r="I29" i="2"/>
  <c r="J29" i="2" s="1"/>
  <c r="F29" i="2"/>
  <c r="G29" i="2" s="1"/>
  <c r="I28" i="2"/>
  <c r="J28" i="2" s="1"/>
  <c r="F28" i="2"/>
  <c r="G28" i="2" s="1"/>
  <c r="I27" i="2"/>
  <c r="J27" i="2" s="1"/>
  <c r="F27" i="2"/>
  <c r="G27" i="2" s="1"/>
  <c r="I26" i="2"/>
  <c r="J26" i="2" s="1"/>
  <c r="F26" i="2"/>
  <c r="G26" i="2" s="1"/>
  <c r="I25" i="2"/>
  <c r="J25" i="2" s="1"/>
  <c r="F25" i="2"/>
  <c r="G25" i="2" s="1"/>
  <c r="I24" i="2"/>
  <c r="J24" i="2" s="1"/>
  <c r="F24" i="2"/>
  <c r="I23" i="2"/>
  <c r="J23" i="2" s="1"/>
  <c r="F23" i="2"/>
  <c r="I22" i="2"/>
  <c r="J22" i="2" s="1"/>
  <c r="F22" i="2"/>
  <c r="I21" i="2"/>
  <c r="J21" i="2" s="1"/>
  <c r="F21" i="2"/>
  <c r="G21" i="2" s="1"/>
  <c r="I20" i="2"/>
  <c r="J20" i="2" s="1"/>
  <c r="F20" i="2"/>
  <c r="G20" i="2" s="1"/>
  <c r="I19" i="2"/>
  <c r="J19" i="2" s="1"/>
  <c r="F19" i="2"/>
  <c r="G19" i="2" s="1"/>
  <c r="I18" i="2"/>
  <c r="J18" i="2" s="1"/>
  <c r="F18" i="2"/>
  <c r="G18" i="2" s="1"/>
  <c r="I17" i="2"/>
  <c r="J17" i="2" s="1"/>
  <c r="F17" i="2"/>
  <c r="G17" i="2" s="1"/>
  <c r="I16" i="2"/>
  <c r="J16" i="2" s="1"/>
  <c r="F16" i="2"/>
  <c r="G16" i="2" s="1"/>
  <c r="I15" i="2"/>
  <c r="J15" i="2" s="1"/>
  <c r="F15" i="2"/>
  <c r="G15" i="2" s="1"/>
  <c r="I14" i="2"/>
  <c r="J14" i="2" s="1"/>
  <c r="F14" i="2"/>
  <c r="G14" i="2" s="1"/>
  <c r="I13" i="2"/>
  <c r="J13" i="2" s="1"/>
  <c r="F13" i="2"/>
  <c r="G13" i="2" s="1"/>
  <c r="I12" i="2"/>
  <c r="J12" i="2" s="1"/>
  <c r="F12" i="2"/>
  <c r="I11" i="2"/>
  <c r="J11" i="2" s="1"/>
  <c r="F11" i="2"/>
  <c r="G11" i="2" s="1"/>
  <c r="I10" i="2"/>
  <c r="J10" i="2" s="1"/>
  <c r="F10" i="2"/>
  <c r="G10" i="2" s="1"/>
  <c r="I9" i="2"/>
  <c r="J9" i="2" s="1"/>
  <c r="F9" i="2"/>
  <c r="G9" i="2" s="1"/>
  <c r="I8" i="2"/>
  <c r="F8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G12" i="4"/>
  <c r="G20" i="4"/>
  <c r="L15" i="5"/>
  <c r="L8" i="1" s="1"/>
  <c r="M9" i="5"/>
  <c r="G29" i="4"/>
  <c r="P8" i="3"/>
  <c r="J18" i="3"/>
  <c r="M8" i="3"/>
  <c r="J23" i="3"/>
  <c r="J26" i="3"/>
  <c r="J9" i="3"/>
  <c r="J11" i="3"/>
  <c r="J12" i="3"/>
  <c r="J13" i="3"/>
  <c r="J15" i="3"/>
  <c r="J16" i="3"/>
  <c r="J17" i="3"/>
  <c r="P17" i="3"/>
  <c r="P23" i="3"/>
  <c r="P22" i="3"/>
  <c r="P11" i="3"/>
  <c r="P34" i="3"/>
  <c r="M25" i="3"/>
  <c r="M27" i="3"/>
  <c r="P19" i="3"/>
  <c r="M16" i="3"/>
  <c r="M9" i="3"/>
  <c r="P10" i="3"/>
  <c r="P15" i="3"/>
  <c r="P9" i="3"/>
  <c r="E32" i="1" l="1"/>
  <c r="G21" i="4"/>
  <c r="G13" i="4"/>
  <c r="G25" i="4"/>
  <c r="M24" i="3"/>
  <c r="M38" i="3"/>
  <c r="P31" i="3"/>
  <c r="P38" i="3"/>
  <c r="J29" i="3"/>
  <c r="J38" i="3"/>
  <c r="Q38" i="3" s="1"/>
  <c r="F31" i="1"/>
  <c r="L25" i="5"/>
  <c r="M25" i="5" s="1"/>
  <c r="L26" i="5"/>
  <c r="M26" i="5" s="1"/>
  <c r="L10" i="5"/>
  <c r="M10" i="5" s="1"/>
  <c r="L18" i="5"/>
  <c r="M18" i="5" s="1"/>
  <c r="P18" i="3"/>
  <c r="P33" i="3"/>
  <c r="P20" i="3"/>
  <c r="M21" i="3"/>
  <c r="M30" i="3"/>
  <c r="M31" i="3"/>
  <c r="J39" i="3"/>
  <c r="P12" i="3"/>
  <c r="P14" i="3"/>
  <c r="P26" i="3"/>
  <c r="P21" i="3"/>
  <c r="P13" i="3"/>
  <c r="P28" i="3"/>
  <c r="P29" i="3"/>
  <c r="P39" i="3"/>
  <c r="P24" i="3"/>
  <c r="P30" i="3"/>
  <c r="M36" i="3"/>
  <c r="M37" i="3"/>
  <c r="M33" i="3"/>
  <c r="M32" i="3"/>
  <c r="J20" i="3"/>
  <c r="J22" i="3"/>
  <c r="E29" i="1"/>
  <c r="F39" i="2"/>
  <c r="L39" i="5"/>
  <c r="M39" i="5" s="1"/>
  <c r="E8" i="1"/>
  <c r="E25" i="1"/>
  <c r="E15" i="1"/>
  <c r="G14" i="4"/>
  <c r="H14" i="4" s="1"/>
  <c r="G26" i="4"/>
  <c r="H26" i="4" s="1"/>
  <c r="E16" i="1"/>
  <c r="M35" i="3"/>
  <c r="M10" i="3"/>
  <c r="M19" i="3"/>
  <c r="M17" i="3"/>
  <c r="M26" i="3"/>
  <c r="Q26" i="3" s="1"/>
  <c r="M20" i="3"/>
  <c r="M12" i="3"/>
  <c r="M11" i="3"/>
  <c r="Q11" i="3" s="1"/>
  <c r="R11" i="3" s="1"/>
  <c r="M29" i="3"/>
  <c r="Q29" i="3" s="1"/>
  <c r="R29" i="3" s="1"/>
  <c r="M39" i="3"/>
  <c r="M23" i="3"/>
  <c r="M14" i="3"/>
  <c r="P32" i="3"/>
  <c r="Q32" i="3" s="1"/>
  <c r="R32" i="3" s="1"/>
  <c r="P35" i="3"/>
  <c r="P36" i="3"/>
  <c r="Q36" i="3" s="1"/>
  <c r="P25" i="3"/>
  <c r="P16" i="3"/>
  <c r="Q16" i="3" s="1"/>
  <c r="R16" i="3" s="1"/>
  <c r="P27" i="3"/>
  <c r="M13" i="3"/>
  <c r="M34" i="3"/>
  <c r="M28" i="3"/>
  <c r="Q28" i="3" s="1"/>
  <c r="R28" i="3" s="1"/>
  <c r="M18" i="3"/>
  <c r="P37" i="3"/>
  <c r="M22" i="3"/>
  <c r="M15" i="3"/>
  <c r="Q15" i="3" s="1"/>
  <c r="J25" i="3"/>
  <c r="J14" i="3"/>
  <c r="J10" i="3"/>
  <c r="Q10" i="3" s="1"/>
  <c r="J31" i="3"/>
  <c r="Q31" i="3" s="1"/>
  <c r="R31" i="3" s="1"/>
  <c r="J34" i="3"/>
  <c r="Q34" i="3" s="1"/>
  <c r="R34" i="3" s="1"/>
  <c r="J24" i="3"/>
  <c r="Q24" i="3" s="1"/>
  <c r="J27" i="3"/>
  <c r="Q27" i="3" s="1"/>
  <c r="H20" i="1" s="1"/>
  <c r="E18" i="1"/>
  <c r="E10" i="1"/>
  <c r="Q13" i="3"/>
  <c r="R13" i="3" s="1"/>
  <c r="Q9" i="3"/>
  <c r="R9" i="3" s="1"/>
  <c r="L24" i="5"/>
  <c r="M24" i="5" s="1"/>
  <c r="Q39" i="3"/>
  <c r="R39" i="3" s="1"/>
  <c r="Q23" i="3"/>
  <c r="R23" i="3" s="1"/>
  <c r="Q22" i="3"/>
  <c r="R22" i="3" s="1"/>
  <c r="E11" i="1"/>
  <c r="G22" i="2"/>
  <c r="K22" i="2" s="1"/>
  <c r="L22" i="2" s="1"/>
  <c r="M22" i="2" s="1"/>
  <c r="M33" i="1"/>
  <c r="G33" i="1"/>
  <c r="Q17" i="3"/>
  <c r="H10" i="1" s="1"/>
  <c r="Q12" i="3"/>
  <c r="R12" i="3" s="1"/>
  <c r="Q18" i="3"/>
  <c r="R18" i="3" s="1"/>
  <c r="Q33" i="3"/>
  <c r="R33" i="3" s="1"/>
  <c r="Q19" i="3"/>
  <c r="H12" i="1" s="1"/>
  <c r="Q20" i="3"/>
  <c r="R20" i="3" s="1"/>
  <c r="Q21" i="3"/>
  <c r="R21" i="3" s="1"/>
  <c r="H9" i="4"/>
  <c r="L4" i="1"/>
  <c r="L14" i="5"/>
  <c r="M14" i="5" s="1"/>
  <c r="L22" i="5"/>
  <c r="L15" i="1" s="1"/>
  <c r="L27" i="5"/>
  <c r="M27" i="5" s="1"/>
  <c r="L28" i="5"/>
  <c r="M28" i="5" s="1"/>
  <c r="L30" i="5"/>
  <c r="M30" i="5" s="1"/>
  <c r="L31" i="5"/>
  <c r="M31" i="5" s="1"/>
  <c r="L33" i="5"/>
  <c r="M33" i="5" s="1"/>
  <c r="L34" i="5"/>
  <c r="M34" i="5" s="1"/>
  <c r="L35" i="5"/>
  <c r="M35" i="5" s="1"/>
  <c r="L36" i="5"/>
  <c r="M36" i="5" s="1"/>
  <c r="D40" i="3"/>
  <c r="M11" i="5"/>
  <c r="L33" i="1"/>
  <c r="L17" i="5"/>
  <c r="L10" i="1" s="1"/>
  <c r="L13" i="5"/>
  <c r="L6" i="1" s="1"/>
  <c r="L32" i="5"/>
  <c r="L25" i="1" s="1"/>
  <c r="L19" i="5"/>
  <c r="L12" i="1" s="1"/>
  <c r="L24" i="1"/>
  <c r="L20" i="5"/>
  <c r="M20" i="5" s="1"/>
  <c r="L11" i="1"/>
  <c r="L21" i="5"/>
  <c r="L14" i="1" s="1"/>
  <c r="L29" i="5"/>
  <c r="M29" i="5" s="1"/>
  <c r="L37" i="5"/>
  <c r="M37" i="5" s="1"/>
  <c r="L16" i="5"/>
  <c r="L9" i="1" s="1"/>
  <c r="I12" i="1"/>
  <c r="Q14" i="3"/>
  <c r="R14" i="3" s="1"/>
  <c r="Q25" i="3"/>
  <c r="R25" i="3" s="1"/>
  <c r="J37" i="3"/>
  <c r="I39" i="2"/>
  <c r="E6" i="1"/>
  <c r="E17" i="1"/>
  <c r="K32" i="2"/>
  <c r="L32" i="2" s="1"/>
  <c r="M32" i="2" s="1"/>
  <c r="K35" i="2"/>
  <c r="L35" i="2" s="1"/>
  <c r="M35" i="2" s="1"/>
  <c r="E2" i="1"/>
  <c r="K28" i="2"/>
  <c r="L28" i="2" s="1"/>
  <c r="M28" i="2" s="1"/>
  <c r="G24" i="2"/>
  <c r="K24" i="2" s="1"/>
  <c r="L24" i="2" s="1"/>
  <c r="E23" i="1"/>
  <c r="G12" i="2"/>
  <c r="K12" i="2" s="1"/>
  <c r="L12" i="2" s="1"/>
  <c r="M12" i="2" s="1"/>
  <c r="E3" i="1"/>
  <c r="G23" i="2"/>
  <c r="K23" i="2" s="1"/>
  <c r="L23" i="2" s="1"/>
  <c r="E13" i="1"/>
  <c r="K11" i="2"/>
  <c r="L11" i="2" s="1"/>
  <c r="M11" i="2" s="1"/>
  <c r="E21" i="1"/>
  <c r="E27" i="1"/>
  <c r="K9" i="2"/>
  <c r="L9" i="2" s="1"/>
  <c r="M9" i="2" s="1"/>
  <c r="K17" i="2"/>
  <c r="L17" i="2" s="1"/>
  <c r="M17" i="2" s="1"/>
  <c r="K16" i="2"/>
  <c r="L16" i="2" s="1"/>
  <c r="M16" i="2" s="1"/>
  <c r="G8" i="2"/>
  <c r="K26" i="2"/>
  <c r="L26" i="2" s="1"/>
  <c r="M26" i="2" s="1"/>
  <c r="K20" i="2"/>
  <c r="L20" i="2" s="1"/>
  <c r="M20" i="2" s="1"/>
  <c r="E19" i="1"/>
  <c r="L19" i="1"/>
  <c r="L12" i="5"/>
  <c r="M12" i="5" s="1"/>
  <c r="L23" i="5"/>
  <c r="M23" i="5" s="1"/>
  <c r="L26" i="1"/>
  <c r="L18" i="1"/>
  <c r="L20" i="1"/>
  <c r="M13" i="5"/>
  <c r="K40" i="5"/>
  <c r="M15" i="5"/>
  <c r="L3" i="1"/>
  <c r="H34" i="4"/>
  <c r="H31" i="4"/>
  <c r="H30" i="4"/>
  <c r="H39" i="4"/>
  <c r="H29" i="4"/>
  <c r="H35" i="4"/>
  <c r="H37" i="4"/>
  <c r="H28" i="4"/>
  <c r="H36" i="4"/>
  <c r="H27" i="4"/>
  <c r="H33" i="4"/>
  <c r="H22" i="4"/>
  <c r="H10" i="4"/>
  <c r="G24" i="4"/>
  <c r="H25" i="4"/>
  <c r="H17" i="4"/>
  <c r="G16" i="4"/>
  <c r="I15" i="1"/>
  <c r="I3" i="1"/>
  <c r="H23" i="4"/>
  <c r="H15" i="4"/>
  <c r="F40" i="4"/>
  <c r="G18" i="4"/>
  <c r="H21" i="4"/>
  <c r="H13" i="4"/>
  <c r="H20" i="4"/>
  <c r="H12" i="4"/>
  <c r="H19" i="4"/>
  <c r="R19" i="3"/>
  <c r="H4" i="1"/>
  <c r="K34" i="2"/>
  <c r="L34" i="2" s="1"/>
  <c r="M34" i="2" s="1"/>
  <c r="E5" i="1"/>
  <c r="E12" i="1"/>
  <c r="E4" i="1"/>
  <c r="K14" i="2"/>
  <c r="L14" i="2" s="1"/>
  <c r="M14" i="2" s="1"/>
  <c r="K19" i="2"/>
  <c r="L19" i="2" s="1"/>
  <c r="M19" i="2" s="1"/>
  <c r="K21" i="2"/>
  <c r="L21" i="2" s="1"/>
  <c r="M21" i="2" s="1"/>
  <c r="K25" i="2"/>
  <c r="L25" i="2" s="1"/>
  <c r="F19" i="1" s="1"/>
  <c r="K27" i="2"/>
  <c r="L27" i="2" s="1"/>
  <c r="M27" i="2" s="1"/>
  <c r="K29" i="2"/>
  <c r="L29" i="2" s="1"/>
  <c r="J38" i="2"/>
  <c r="K38" i="2" s="1"/>
  <c r="L38" i="2" s="1"/>
  <c r="E7" i="1"/>
  <c r="J8" i="2"/>
  <c r="K10" i="2"/>
  <c r="L10" i="2" s="1"/>
  <c r="M10" i="2" s="1"/>
  <c r="K15" i="2"/>
  <c r="L15" i="2" s="1"/>
  <c r="M15" i="2" s="1"/>
  <c r="K30" i="2"/>
  <c r="L30" i="2" s="1"/>
  <c r="M30" i="2" s="1"/>
  <c r="E14" i="1"/>
  <c r="K33" i="2"/>
  <c r="L33" i="2" s="1"/>
  <c r="M33" i="2" s="1"/>
  <c r="E22" i="1"/>
  <c r="K13" i="2"/>
  <c r="L13" i="2" s="1"/>
  <c r="M13" i="2" s="1"/>
  <c r="K18" i="2"/>
  <c r="L18" i="2" s="1"/>
  <c r="M18" i="2" s="1"/>
  <c r="K36" i="2"/>
  <c r="L36" i="2" s="1"/>
  <c r="E30" i="1"/>
  <c r="E20" i="1"/>
  <c r="K31" i="2"/>
  <c r="L31" i="2" s="1"/>
  <c r="M31" i="2" s="1"/>
  <c r="M29" i="2"/>
  <c r="E9" i="1"/>
  <c r="E26" i="1"/>
  <c r="E28" i="1"/>
  <c r="E24" i="1"/>
  <c r="D14" i="4"/>
  <c r="D14" i="5" s="1"/>
  <c r="C40" i="3"/>
  <c r="C10" i="4"/>
  <c r="C10" i="5" s="1"/>
  <c r="C40" i="5" s="1"/>
  <c r="D9" i="5"/>
  <c r="H32" i="1" l="1"/>
  <c r="M19" i="5"/>
  <c r="Q35" i="3"/>
  <c r="H28" i="1" s="1"/>
  <c r="Q30" i="3"/>
  <c r="R30" i="3" s="1"/>
  <c r="R38" i="3"/>
  <c r="H31" i="1"/>
  <c r="F18" i="1"/>
  <c r="L32" i="1"/>
  <c r="H11" i="1"/>
  <c r="L21" i="1"/>
  <c r="I33" i="1"/>
  <c r="L28" i="1"/>
  <c r="R10" i="3"/>
  <c r="H3" i="1"/>
  <c r="R27" i="3"/>
  <c r="R17" i="3"/>
  <c r="H24" i="1"/>
  <c r="H6" i="1"/>
  <c r="F29" i="1"/>
  <c r="F22" i="1"/>
  <c r="F10" i="1"/>
  <c r="L27" i="1"/>
  <c r="L29" i="1"/>
  <c r="L22" i="1"/>
  <c r="M22" i="5"/>
  <c r="L30" i="1"/>
  <c r="L17" i="1"/>
  <c r="H15" i="1"/>
  <c r="H25" i="1"/>
  <c r="H2" i="1"/>
  <c r="H13" i="1"/>
  <c r="L5" i="1"/>
  <c r="D40" i="5"/>
  <c r="D40" i="4"/>
  <c r="R15" i="3"/>
  <c r="H8" i="1"/>
  <c r="H19" i="1"/>
  <c r="R26" i="3"/>
  <c r="R24" i="3"/>
  <c r="H17" i="1"/>
  <c r="R36" i="3"/>
  <c r="H29" i="1"/>
  <c r="H21" i="1"/>
  <c r="H16" i="1"/>
  <c r="H27" i="1"/>
  <c r="Q37" i="3"/>
  <c r="H30" i="1" s="1"/>
  <c r="M32" i="5"/>
  <c r="M21" i="5"/>
  <c r="L23" i="1"/>
  <c r="M17" i="5"/>
  <c r="L7" i="1"/>
  <c r="H22" i="1"/>
  <c r="H7" i="1"/>
  <c r="H26" i="1"/>
  <c r="R35" i="3"/>
  <c r="H14" i="1"/>
  <c r="H5" i="1"/>
  <c r="F30" i="1"/>
  <c r="M16" i="5"/>
  <c r="L16" i="1"/>
  <c r="L13" i="1"/>
  <c r="H18" i="1"/>
  <c r="H9" i="1"/>
  <c r="F26" i="1"/>
  <c r="F11" i="1"/>
  <c r="F17" i="1"/>
  <c r="F9" i="1"/>
  <c r="M36" i="2"/>
  <c r="F23" i="1"/>
  <c r="F14" i="1"/>
  <c r="I41" i="2"/>
  <c r="F28" i="1"/>
  <c r="F13" i="1"/>
  <c r="F21" i="1"/>
  <c r="F16" i="1"/>
  <c r="F24" i="1"/>
  <c r="M25" i="2"/>
  <c r="F12" i="1"/>
  <c r="F3" i="1"/>
  <c r="F20" i="1"/>
  <c r="F25" i="1"/>
  <c r="F8" i="1"/>
  <c r="F27" i="1"/>
  <c r="F5" i="1"/>
  <c r="F6" i="1"/>
  <c r="M24" i="2"/>
  <c r="K8" i="2"/>
  <c r="L8" i="2" s="1"/>
  <c r="L39" i="2" s="1"/>
  <c r="H16" i="4"/>
  <c r="H24" i="4"/>
  <c r="H18" i="4"/>
  <c r="M38" i="2"/>
  <c r="F32" i="1"/>
  <c r="F4" i="1"/>
  <c r="F7" i="1"/>
  <c r="F15" i="1"/>
  <c r="M23" i="2"/>
  <c r="C40" i="4"/>
  <c r="H23" i="1" l="1"/>
  <c r="H33" i="1"/>
  <c r="R37" i="3"/>
  <c r="R40" i="3" s="1"/>
  <c r="M40" i="5"/>
  <c r="H40" i="4"/>
  <c r="M8" i="2"/>
  <c r="M39" i="2" s="1"/>
  <c r="F2" i="1"/>
</calcChain>
</file>

<file path=xl/sharedStrings.xml><?xml version="1.0" encoding="utf-8"?>
<sst xmlns="http://schemas.openxmlformats.org/spreadsheetml/2006/main" count="113" uniqueCount="59">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</sst>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$&quot;* #,##0.00_-;\-&quot;$&quot;* #,##0.00_-;_-&quot;$&quot;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&quot;$&quot;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0" xfId="0" applyFill="1"/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5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5" fontId="10" fillId="0" borderId="1" xfId="1" applyFont="1" applyFill="1" applyBorder="1" applyAlignment="1">
      <alignment horizontal="center" shrinkToFit="1"/>
    </xf>
    <xf numFmtId="165" fontId="10" fillId="0" borderId="1" xfId="0" applyNumberFormat="1" applyFont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/>
    <xf numFmtId="166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Alignment="1">
      <alignment horizontal="center" shrinkToFit="1"/>
    </xf>
    <xf numFmtId="165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5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5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9" fillId="4" borderId="1" xfId="1" applyFont="1" applyFill="1" applyBorder="1" applyAlignment="1">
      <alignment horizontal="center" vertical="center" wrapText="1"/>
    </xf>
    <xf numFmtId="0" fontId="0" fillId="0" borderId="1" xfId="0" applyBorder="1"/>
    <xf numFmtId="165" fontId="13" fillId="0" borderId="1" xfId="1" applyFont="1" applyBorder="1"/>
    <xf numFmtId="0" fontId="14" fillId="0" borderId="1" xfId="0" applyFont="1" applyBorder="1"/>
    <xf numFmtId="170" fontId="9" fillId="0" borderId="0" xfId="2" applyNumberFormat="1" applyFont="1" applyFill="1" applyBorder="1" applyAlignment="1">
      <alignment shrinkToFit="1"/>
    </xf>
    <xf numFmtId="165" fontId="9" fillId="0" borderId="0" xfId="1" applyFont="1" applyFill="1" applyBorder="1" applyAlignment="1">
      <alignment shrinkToFit="1"/>
    </xf>
    <xf numFmtId="165" fontId="7" fillId="0" borderId="0" xfId="1" applyFont="1" applyAlignment="1">
      <alignment vertical="center"/>
    </xf>
    <xf numFmtId="165" fontId="0" fillId="0" borderId="0" xfId="1" applyFont="1" applyAlignment="1">
      <alignment horizontal="center" vertical="center"/>
    </xf>
    <xf numFmtId="170" fontId="0" fillId="0" borderId="1" xfId="0" applyNumberFormat="1" applyBorder="1"/>
    <xf numFmtId="167" fontId="9" fillId="0" borderId="0" xfId="1" applyNumberFormat="1" applyFont="1" applyAlignment="1">
      <alignment horizontal="center"/>
    </xf>
    <xf numFmtId="7" fontId="11" fillId="0" borderId="1" xfId="1" applyNumberFormat="1" applyFont="1" applyFill="1" applyBorder="1" applyAlignment="1">
      <alignment horizontal="center" shrinkToFit="1"/>
    </xf>
    <xf numFmtId="170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9" fillId="1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" fontId="18" fillId="11" borderId="6" xfId="0" applyNumberFormat="1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7" fillId="0" borderId="1" xfId="0" applyFont="1" applyBorder="1" applyAlignment="1">
      <alignment horizontal="center"/>
    </xf>
    <xf numFmtId="4" fontId="18" fillId="11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7" fillId="11" borderId="10" xfId="0" applyFont="1" applyFill="1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/>
    </xf>
    <xf numFmtId="0" fontId="19" fillId="11" borderId="8" xfId="0" applyFont="1" applyFill="1" applyBorder="1" applyAlignment="1">
      <alignment horizontal="center"/>
    </xf>
    <xf numFmtId="0" fontId="19" fillId="11" borderId="11" xfId="0" applyFont="1" applyFill="1" applyBorder="1" applyAlignment="1">
      <alignment horizontal="center"/>
    </xf>
    <xf numFmtId="0" fontId="19" fillId="11" borderId="12" xfId="0" applyFont="1" applyFill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9" fillId="11" borderId="10" xfId="0" applyFont="1" applyFill="1" applyBorder="1" applyAlignment="1">
      <alignment horizont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0" borderId="0" xfId="0" applyNumberFormat="1"/>
    <xf numFmtId="165" fontId="17" fillId="11" borderId="1" xfId="0" applyNumberFormat="1" applyFont="1" applyFill="1" applyBorder="1" applyAlignment="1">
      <alignment horizontal="center"/>
    </xf>
    <xf numFmtId="165" fontId="9" fillId="0" borderId="0" xfId="2" applyNumberFormat="1" applyFont="1" applyFill="1" applyBorder="1" applyAlignment="1">
      <alignment shrinkToFit="1"/>
    </xf>
    <xf numFmtId="165" fontId="11" fillId="0" borderId="0" xfId="1" applyFont="1" applyFill="1" applyBorder="1" applyAlignment="1">
      <alignment horizontal="center" shrinkToFit="1"/>
    </xf>
    <xf numFmtId="165" fontId="7" fillId="0" borderId="0" xfId="0" applyNumberFormat="1" applyFont="1" applyAlignment="1">
      <alignment vertical="center"/>
    </xf>
    <xf numFmtId="165" fontId="0" fillId="0" borderId="0" xfId="0" applyNumberFormat="1" applyAlignment="1">
      <alignment horizontal="center"/>
    </xf>
    <xf numFmtId="2" fontId="10" fillId="0" borderId="0" xfId="1" applyNumberFormat="1" applyFont="1" applyFill="1" applyBorder="1" applyAlignment="1">
      <alignment horizontal="center" shrinkToFit="1"/>
    </xf>
    <xf numFmtId="2" fontId="17" fillId="11" borderId="1" xfId="0" applyNumberFormat="1" applyFont="1" applyFill="1" applyBorder="1" applyAlignment="1">
      <alignment horizontal="center" vertical="center"/>
    </xf>
    <xf numFmtId="2" fontId="9" fillId="0" borderId="0" xfId="2" applyNumberFormat="1" applyFont="1" applyFill="1" applyBorder="1" applyAlignment="1">
      <alignment shrinkToFit="1"/>
    </xf>
    <xf numFmtId="2" fontId="7" fillId="0" borderId="0" xfId="0" applyNumberFormat="1" applyFont="1" applyAlignment="1">
      <alignment vertical="center"/>
    </xf>
    <xf numFmtId="2" fontId="0" fillId="0" borderId="0" xfId="0" applyNumberFormat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9" fillId="4" borderId="4" xfId="0" applyNumberFormat="1" applyFont="1" applyFill="1" applyBorder="1" applyAlignment="1">
      <alignment horizontal="center" vertical="center" wrapText="1"/>
    </xf>
    <xf numFmtId="165" fontId="9" fillId="4" borderId="5" xfId="0" applyNumberFormat="1" applyFont="1" applyFill="1" applyBorder="1" applyAlignment="1">
      <alignment horizontal="center" vertical="center" wrapText="1"/>
    </xf>
    <xf numFmtId="165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43" fontId="0" fillId="0" borderId="3" xfId="0" applyNumberFormat="1" applyBorder="1"/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xSplit="1" ySplit="1" topLeftCell="B24" activePane="bottomRight" state="frozen"/>
      <selection pane="bottomRight" activeCell="F33" sqref="E33:F33"/>
      <selection pane="bottomLeft" activeCell="A2" sqref="A2"/>
      <selection pane="topRight" activeCell="B1" sqref="B1"/>
    </sheetView>
  </sheetViews>
  <sheetFormatPr defaultColWidth="8.85546875" defaultRowHeight="15"/>
  <cols>
    <col min="1" max="1" width="12.7109375" bestFit="1" customWidth="1"/>
    <col min="2" max="2" width="4.28515625" bestFit="1" customWidth="1"/>
    <col min="3" max="3" width="7" bestFit="1" customWidth="1"/>
    <col min="4" max="4" width="9.42578125" customWidth="1"/>
    <col min="5" max="5" width="10.7109375" customWidth="1"/>
    <col min="6" max="6" width="12.140625" customWidth="1"/>
    <col min="7" max="7" width="8.42578125" bestFit="1" customWidth="1"/>
    <col min="8" max="8" width="11.42578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7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>
      <c r="A2" s="6" t="s">
        <v>14</v>
      </c>
      <c r="B2" s="7">
        <v>1</v>
      </c>
      <c r="C2" s="8">
        <v>1</v>
      </c>
      <c r="D2" s="7">
        <v>2023</v>
      </c>
      <c r="E2" s="9">
        <f>Electricity!F8+Electricity!I8</f>
        <v>10439.999999999827</v>
      </c>
      <c r="F2" s="10">
        <f>Electricity!L8/TOTAL!E2</f>
        <v>1236.1529214559389</v>
      </c>
      <c r="G2" s="9">
        <f>Gas!F9+Gas!I9+Gas!L9+Gas!O9</f>
        <v>129.70160000000658</v>
      </c>
      <c r="H2" s="10">
        <f>Gas!Q9/TOTAL!G2</f>
        <v>15840</v>
      </c>
      <c r="I2" s="9">
        <f>'Fuel Diesel'!F9</f>
        <v>0</v>
      </c>
      <c r="J2" s="11">
        <v>24300</v>
      </c>
      <c r="K2" s="9">
        <f>Water!F9+Water!H9+Water!J9</f>
        <v>179</v>
      </c>
      <c r="L2" s="10">
        <f>Water!L9/TOTAL!K2</f>
        <v>8657.1731843575417</v>
      </c>
      <c r="M2" s="9">
        <f>Electricity!C8</f>
        <v>54</v>
      </c>
      <c r="N2" s="9">
        <f>Electricity!D8</f>
        <v>247</v>
      </c>
    </row>
    <row r="3" spans="1:14">
      <c r="A3" s="6" t="s">
        <v>14</v>
      </c>
      <c r="B3" s="7">
        <f>B2+1</f>
        <v>2</v>
      </c>
      <c r="C3" s="8">
        <v>1</v>
      </c>
      <c r="D3" s="7">
        <v>2023</v>
      </c>
      <c r="E3" s="9">
        <f>Electricity!F9+Electricity!I9</f>
        <v>10659.999999999854</v>
      </c>
      <c r="F3" s="10">
        <f>Electricity!L9/TOTAL!E3</f>
        <v>1237.354502814268</v>
      </c>
      <c r="G3" s="9">
        <f>Gas!F10+Gas!I10+Gas!L10+Gas!O10</f>
        <v>118.22179999999503</v>
      </c>
      <c r="H3" s="10">
        <f>Gas!Q10/TOTAL!G3</f>
        <v>15840.000000000002</v>
      </c>
      <c r="I3" s="9">
        <f>'Fuel Diesel'!F10</f>
        <v>0</v>
      </c>
      <c r="J3" s="11">
        <v>24300</v>
      </c>
      <c r="K3" s="9">
        <f>Water!F10+Water!H10+Water!J10</f>
        <v>186</v>
      </c>
      <c r="L3" s="10">
        <f>Water!L10/TOTAL!K3</f>
        <v>7142.4838709677415</v>
      </c>
      <c r="M3" s="9">
        <f>Electricity!C9</f>
        <v>51</v>
      </c>
      <c r="N3" s="9">
        <f>Electricity!D9</f>
        <v>227</v>
      </c>
    </row>
    <row r="4" spans="1:14">
      <c r="A4" s="6" t="s">
        <v>14</v>
      </c>
      <c r="B4" s="7">
        <f t="shared" ref="B4:B30" si="0">B3+1</f>
        <v>3</v>
      </c>
      <c r="C4" s="8">
        <v>1</v>
      </c>
      <c r="D4" s="7">
        <v>2023</v>
      </c>
      <c r="E4" s="9">
        <f>Electricity!F10+Electricity!I10</f>
        <v>10539.999999999736</v>
      </c>
      <c r="F4" s="10">
        <f>Electricity!L10/TOTAL!E4</f>
        <v>1238.4737191650836</v>
      </c>
      <c r="G4" s="9">
        <f>Gas!F11+Gas!I11+Gas!L11+Gas!O11</f>
        <v>114.6368799999983</v>
      </c>
      <c r="H4" s="10">
        <f>Gas!Q11/TOTAL!G4</f>
        <v>15839.999999999998</v>
      </c>
      <c r="I4" s="9">
        <f>'Fuel Diesel'!F11</f>
        <v>0</v>
      </c>
      <c r="J4" s="11">
        <v>24300</v>
      </c>
      <c r="K4" s="9">
        <f>Water!F11+Water!H11+Water!J11</f>
        <v>195</v>
      </c>
      <c r="L4" s="10">
        <f>Water!L11/TOTAL!K4</f>
        <v>4000</v>
      </c>
      <c r="M4" s="9">
        <f>Electricity!C10</f>
        <v>50</v>
      </c>
      <c r="N4" s="9">
        <f>Electricity!D10</f>
        <v>307</v>
      </c>
    </row>
    <row r="5" spans="1:14">
      <c r="A5" s="6" t="s">
        <v>14</v>
      </c>
      <c r="B5" s="7">
        <f t="shared" si="0"/>
        <v>4</v>
      </c>
      <c r="C5" s="8">
        <v>1</v>
      </c>
      <c r="D5" s="7">
        <v>2023</v>
      </c>
      <c r="E5" s="9">
        <f>Electricity!F11+Electricity!I11</f>
        <v>10680.000000000291</v>
      </c>
      <c r="F5" s="10">
        <f>Electricity!L11/TOTAL!E5</f>
        <v>1237.170411985024</v>
      </c>
      <c r="G5" s="9">
        <f>Gas!F12+Gas!I12+Gas!L12+Gas!O12</f>
        <v>124.98884000000811</v>
      </c>
      <c r="H5" s="10">
        <f>Gas!Q12/TOTAL!G5</f>
        <v>15840</v>
      </c>
      <c r="I5" s="9">
        <f>'Fuel Diesel'!F12</f>
        <v>0</v>
      </c>
      <c r="J5" s="11">
        <v>24300</v>
      </c>
      <c r="K5" s="9">
        <f>Water!F12+Water!H12+Water!J12</f>
        <v>197</v>
      </c>
      <c r="L5" s="10">
        <f>Water!L12/TOTAL!K5</f>
        <v>6675.1776649746189</v>
      </c>
      <c r="M5" s="9">
        <f>Electricity!C11</f>
        <v>50</v>
      </c>
      <c r="N5" s="9">
        <f>Electricity!D11</f>
        <v>342</v>
      </c>
    </row>
    <row r="6" spans="1:14">
      <c r="A6" s="6" t="s">
        <v>14</v>
      </c>
      <c r="B6" s="7">
        <f t="shared" si="0"/>
        <v>5</v>
      </c>
      <c r="C6" s="8">
        <v>1</v>
      </c>
      <c r="D6" s="7">
        <v>2023</v>
      </c>
      <c r="E6" s="9">
        <f>Electricity!F12+Electricity!I12</f>
        <v>10179.999999999609</v>
      </c>
      <c r="F6" s="10">
        <f>Electricity!L12/TOTAL!E6</f>
        <v>1236.3951375245624</v>
      </c>
      <c r="G6" s="9">
        <f>Gas!F13+Gas!I13+Gas!L13+Gas!O13</f>
        <v>118.90655999999443</v>
      </c>
      <c r="H6" s="10">
        <f>Gas!Q13/TOTAL!G6</f>
        <v>15840</v>
      </c>
      <c r="I6" s="9">
        <f>'Fuel Diesel'!F13</f>
        <v>0</v>
      </c>
      <c r="J6" s="11">
        <v>24300</v>
      </c>
      <c r="K6" s="9">
        <f>Water!F13+Water!H13+Water!J13</f>
        <v>180</v>
      </c>
      <c r="L6" s="10">
        <f>Water!L13/TOTAL!K6</f>
        <v>7247.2333333333336</v>
      </c>
      <c r="M6" s="9">
        <f>Electricity!C12</f>
        <v>48</v>
      </c>
      <c r="N6" s="9">
        <f>Electricity!D12</f>
        <v>262</v>
      </c>
    </row>
    <row r="7" spans="1:14">
      <c r="A7" s="6" t="s">
        <v>14</v>
      </c>
      <c r="B7" s="7">
        <f t="shared" si="0"/>
        <v>6</v>
      </c>
      <c r="C7" s="8">
        <v>1</v>
      </c>
      <c r="D7" s="7">
        <v>2023</v>
      </c>
      <c r="E7" s="9">
        <f>Electricity!F13+Electricity!I13</f>
        <v>10299.999999999955</v>
      </c>
      <c r="F7" s="10">
        <f>Electricity!L13/TOTAL!E7</f>
        <v>1238.5786407766971</v>
      </c>
      <c r="G7" s="9">
        <f>Gas!F14+Gas!I14+Gas!L14+Gas!O14</f>
        <v>119.18852000000425</v>
      </c>
      <c r="H7" s="10">
        <f>Gas!Q14/TOTAL!G7</f>
        <v>15840</v>
      </c>
      <c r="I7" s="9">
        <f>'Fuel Diesel'!F14</f>
        <v>0</v>
      </c>
      <c r="J7" s="11">
        <v>24300</v>
      </c>
      <c r="K7" s="9">
        <f>Water!F14+Water!H14+Water!J14</f>
        <v>179</v>
      </c>
      <c r="L7" s="10">
        <f>Water!L14/TOTAL!K7</f>
        <v>8496.5810055865913</v>
      </c>
      <c r="M7" s="9">
        <f>Electricity!C13</f>
        <v>45</v>
      </c>
      <c r="N7" s="9">
        <f>Electricity!D13</f>
        <v>210</v>
      </c>
    </row>
    <row r="8" spans="1:14">
      <c r="A8" s="6" t="s">
        <v>14</v>
      </c>
      <c r="B8" s="7">
        <f t="shared" si="0"/>
        <v>7</v>
      </c>
      <c r="C8" s="8">
        <v>1</v>
      </c>
      <c r="D8" s="7">
        <v>2023</v>
      </c>
      <c r="E8" s="9">
        <f>Electricity!F14+Electricity!I14</f>
        <v>10020.000000000664</v>
      </c>
      <c r="F8" s="10">
        <f>Electricity!L14/TOTAL!E8</f>
        <v>1237.9495508981977</v>
      </c>
      <c r="G8" s="9">
        <f>Gas!F15+Gas!I15+Gas!L15+Gas!O15</f>
        <v>107.78927999999537</v>
      </c>
      <c r="H8" s="10">
        <f>Gas!Q15/TOTAL!G8</f>
        <v>15840.000000000002</v>
      </c>
      <c r="I8" s="9">
        <f>'Fuel Diesel'!F15</f>
        <v>0</v>
      </c>
      <c r="J8" s="11">
        <v>24300</v>
      </c>
      <c r="K8" s="9">
        <f>Water!F15+Water!H15+Water!J15</f>
        <v>237</v>
      </c>
      <c r="L8" s="10">
        <f>Water!L15/TOTAL!K8</f>
        <v>5738.506329113924</v>
      </c>
      <c r="M8" s="9">
        <f>Electricity!C14</f>
        <v>51</v>
      </c>
      <c r="N8" s="9">
        <f>Electricity!D14</f>
        <v>191</v>
      </c>
    </row>
    <row r="9" spans="1:14">
      <c r="A9" s="6" t="s">
        <v>14</v>
      </c>
      <c r="B9" s="7">
        <f t="shared" si="0"/>
        <v>8</v>
      </c>
      <c r="C9" s="8">
        <v>1</v>
      </c>
      <c r="D9" s="7">
        <v>2023</v>
      </c>
      <c r="E9" s="9">
        <f>Electricity!F15+Electricity!I15</f>
        <v>9959.999999999809</v>
      </c>
      <c r="F9" s="10">
        <f>Electricity!L15/TOTAL!E9</f>
        <v>1241.9762048192765</v>
      </c>
      <c r="G9" s="9">
        <f>Gas!F16+Gas!I16+Gas!L16+Gas!O16</f>
        <v>112.82428000000453</v>
      </c>
      <c r="H9" s="10">
        <f>Gas!Q16/TOTAL!G9</f>
        <v>15840</v>
      </c>
      <c r="I9" s="9">
        <f>'Fuel Diesel'!F16</f>
        <v>0</v>
      </c>
      <c r="J9" s="11">
        <v>24300</v>
      </c>
      <c r="K9" s="9">
        <f>Water!F16+Water!H16+Water!J16</f>
        <v>227</v>
      </c>
      <c r="L9" s="10">
        <f>Water!L16/TOTAL!K9</f>
        <v>5477.4008810572686</v>
      </c>
      <c r="M9" s="9">
        <f>Electricity!C15</f>
        <v>50</v>
      </c>
      <c r="N9" s="9">
        <f>Electricity!D15</f>
        <v>210</v>
      </c>
    </row>
    <row r="10" spans="1:14">
      <c r="A10" s="6" t="s">
        <v>14</v>
      </c>
      <c r="B10" s="7">
        <f t="shared" si="0"/>
        <v>9</v>
      </c>
      <c r="C10" s="8">
        <v>1</v>
      </c>
      <c r="D10" s="7">
        <v>2023</v>
      </c>
      <c r="E10" s="9">
        <f>Electricity!F16+Electricity!I16</f>
        <v>10120.000000000118</v>
      </c>
      <c r="F10" s="10">
        <f>Electricity!L16/TOTAL!E10</f>
        <v>1236.972282608695</v>
      </c>
      <c r="G10" s="9">
        <f>Gas!F17+Gas!I17+Gas!L17+Gas!O17</f>
        <v>117.05367999999611</v>
      </c>
      <c r="H10" s="10">
        <f>Gas!Q17/TOTAL!G10</f>
        <v>15840</v>
      </c>
      <c r="I10" s="9">
        <f>'Fuel Diesel'!F17</f>
        <v>0</v>
      </c>
      <c r="J10" s="11">
        <v>24300</v>
      </c>
      <c r="K10" s="9">
        <f>Water!F17+Water!H17+Water!J17</f>
        <v>308</v>
      </c>
      <c r="L10" s="10">
        <f>Water!L17/TOTAL!K10</f>
        <v>5866.6233766233763</v>
      </c>
      <c r="M10" s="9">
        <f>Electricity!C16</f>
        <v>48</v>
      </c>
      <c r="N10" s="9">
        <f>Electricity!D16</f>
        <v>187</v>
      </c>
    </row>
    <row r="11" spans="1:14">
      <c r="A11" s="6" t="s">
        <v>14</v>
      </c>
      <c r="B11" s="7">
        <f t="shared" si="0"/>
        <v>10</v>
      </c>
      <c r="C11" s="8">
        <v>1</v>
      </c>
      <c r="D11" s="7">
        <v>2023</v>
      </c>
      <c r="E11" s="9">
        <f>Electricity!F17+Electricity!I17</f>
        <v>10399.999999999864</v>
      </c>
      <c r="F11" s="10">
        <f>Electricity!L17/TOTAL!E11</f>
        <v>1236.526394230769</v>
      </c>
      <c r="G11" s="9">
        <f>Gas!F18+Gas!I18+Gas!L18+Gas!O18</f>
        <v>103.60016000000284</v>
      </c>
      <c r="H11" s="10">
        <f>Gas!Q18/TOTAL!G11</f>
        <v>15840.000000000002</v>
      </c>
      <c r="I11" s="9">
        <f>'Fuel Diesel'!F18</f>
        <v>10</v>
      </c>
      <c r="J11" s="11">
        <v>24300</v>
      </c>
      <c r="K11" s="9">
        <f>Water!F18+Water!H18+Water!J18</f>
        <v>260</v>
      </c>
      <c r="L11" s="10">
        <f>Water!L18/TOTAL!K11</f>
        <v>6100.669230769231</v>
      </c>
      <c r="M11" s="9">
        <f>Electricity!C17</f>
        <v>41</v>
      </c>
      <c r="N11" s="9">
        <f>Electricity!D17</f>
        <v>177</v>
      </c>
    </row>
    <row r="12" spans="1:14">
      <c r="A12" s="6" t="s">
        <v>14</v>
      </c>
      <c r="B12" s="7">
        <f t="shared" si="0"/>
        <v>11</v>
      </c>
      <c r="C12" s="8">
        <v>1</v>
      </c>
      <c r="D12" s="7">
        <v>2023</v>
      </c>
      <c r="E12" s="9">
        <f>Electricity!F18+Electricity!I18</f>
        <v>9839.9999999999181</v>
      </c>
      <c r="F12" s="10">
        <f>Electricity!L18/TOTAL!E12</f>
        <v>1236.2859756097607</v>
      </c>
      <c r="G12" s="9">
        <f>Gas!F19+Gas!I19+Gas!L19+Gas!O19</f>
        <v>117.29535999999955</v>
      </c>
      <c r="H12" s="10">
        <f>Gas!Q19/TOTAL!G12</f>
        <v>15840</v>
      </c>
      <c r="I12" s="9">
        <f>'Fuel Diesel'!F19</f>
        <v>0</v>
      </c>
      <c r="J12" s="11">
        <v>24300</v>
      </c>
      <c r="K12" s="9">
        <f>Water!F19+Water!H19+Water!J19</f>
        <v>278</v>
      </c>
      <c r="L12" s="10">
        <f>Water!L19/TOTAL!K12</f>
        <v>5964.6546762589924</v>
      </c>
      <c r="M12" s="9">
        <f>Electricity!C18</f>
        <v>39</v>
      </c>
      <c r="N12" s="9">
        <f>Electricity!D18</f>
        <v>185</v>
      </c>
    </row>
    <row r="13" spans="1:14">
      <c r="A13" s="6" t="s">
        <v>14</v>
      </c>
      <c r="B13" s="7">
        <f t="shared" si="0"/>
        <v>12</v>
      </c>
      <c r="C13" s="8">
        <v>1</v>
      </c>
      <c r="D13" s="7">
        <v>2023</v>
      </c>
      <c r="E13" s="9">
        <f>Electricity!F19+Electricity!I19</f>
        <v>10200.0000000005</v>
      </c>
      <c r="F13" s="10">
        <f>Electricity!L19/TOTAL!E13</f>
        <v>1237.3209803921518</v>
      </c>
      <c r="G13" s="9">
        <f>Gas!F20+Gas!I20+Gas!L20+Gas!O20</f>
        <v>121.44419999999485</v>
      </c>
      <c r="H13" s="10">
        <f>Gas!Q20/TOTAL!G13</f>
        <v>15840</v>
      </c>
      <c r="I13" s="9">
        <f>'Fuel Diesel'!F20</f>
        <v>0</v>
      </c>
      <c r="J13" s="11">
        <v>24300</v>
      </c>
      <c r="K13" s="9">
        <f>Water!F20+Water!H20+Water!J20</f>
        <v>289</v>
      </c>
      <c r="L13" s="10">
        <f>Water!L20/TOTAL!K13</f>
        <v>6851.3910034602077</v>
      </c>
      <c r="M13" s="9">
        <f>Electricity!C19</f>
        <v>32</v>
      </c>
      <c r="N13" s="9">
        <f>Electricity!D19</f>
        <v>169</v>
      </c>
    </row>
    <row r="14" spans="1:14">
      <c r="A14" s="6" t="s">
        <v>14</v>
      </c>
      <c r="B14" s="7">
        <f t="shared" si="0"/>
        <v>13</v>
      </c>
      <c r="C14" s="8">
        <v>1</v>
      </c>
      <c r="D14" s="7">
        <v>2023</v>
      </c>
      <c r="E14" s="9">
        <f>Electricity!F20+Electricity!I20</f>
        <v>9939.9999999998272</v>
      </c>
      <c r="F14" s="10">
        <f>Electricity!L20/TOTAL!E14</f>
        <v>1236.4536720321976</v>
      </c>
      <c r="G14" s="9">
        <f>Gas!F21+Gas!I21+Gas!L21+Gas!O21</f>
        <v>111.01168000000527</v>
      </c>
      <c r="H14" s="10">
        <f>Gas!Q21/TOTAL!G14</f>
        <v>15840</v>
      </c>
      <c r="I14" s="9">
        <f>'Fuel Diesel'!F21</f>
        <v>0</v>
      </c>
      <c r="J14" s="11">
        <v>24300</v>
      </c>
      <c r="K14" s="9">
        <f>Water!F21+Water!H21+Water!J21</f>
        <v>237</v>
      </c>
      <c r="L14" s="10">
        <f>Water!L21/TOTAL!K14</f>
        <v>8770.7848101265827</v>
      </c>
      <c r="M14" s="9">
        <f>Electricity!C20</f>
        <v>33</v>
      </c>
      <c r="N14" s="9">
        <f>Electricity!D20</f>
        <v>154</v>
      </c>
    </row>
    <row r="15" spans="1:14">
      <c r="A15" s="6" t="s">
        <v>14</v>
      </c>
      <c r="B15" s="7">
        <f t="shared" si="0"/>
        <v>14</v>
      </c>
      <c r="C15" s="8">
        <v>1</v>
      </c>
      <c r="D15" s="7">
        <v>2023</v>
      </c>
      <c r="E15" s="9">
        <f>Electricity!F21+Electricity!I21</f>
        <v>9639.9999999998727</v>
      </c>
      <c r="F15" s="10">
        <f>Electricity!L21/TOTAL!E15</f>
        <v>1235.9401452282098</v>
      </c>
      <c r="G15" s="9">
        <f>Gas!F22+Gas!I22+Gas!L22+Gas!O22</f>
        <v>100.17636000000138</v>
      </c>
      <c r="H15" s="10">
        <f>Gas!Q22/TOTAL!G15</f>
        <v>15840</v>
      </c>
      <c r="I15" s="9">
        <f>'Fuel Diesel'!F22</f>
        <v>0</v>
      </c>
      <c r="J15" s="11">
        <v>24300</v>
      </c>
      <c r="K15" s="9">
        <f>Water!F22+Water!H22+Water!J22</f>
        <v>209</v>
      </c>
      <c r="L15" s="10">
        <f>Water!L22/TOTAL!K15</f>
        <v>6704.9665071770332</v>
      </c>
      <c r="M15" s="9">
        <f>Electricity!C21</f>
        <v>26</v>
      </c>
      <c r="N15" s="9">
        <f>Electricity!D21</f>
        <v>131</v>
      </c>
    </row>
    <row r="16" spans="1:14">
      <c r="A16" s="6" t="s">
        <v>14</v>
      </c>
      <c r="B16" s="7">
        <f t="shared" si="0"/>
        <v>15</v>
      </c>
      <c r="C16" s="8">
        <v>1</v>
      </c>
      <c r="D16" s="7">
        <v>2023</v>
      </c>
      <c r="E16" s="9">
        <f>Electricity!F22+Electricity!I22</f>
        <v>9560.0000000001728</v>
      </c>
      <c r="F16" s="10">
        <f>Electricity!L22/TOTAL!E16</f>
        <v>1241.516841004184</v>
      </c>
      <c r="G16" s="9">
        <f>Gas!F23+Gas!I23+Gas!L23+Gas!O23</f>
        <v>109.64215999999551</v>
      </c>
      <c r="H16" s="10">
        <f>Gas!Q23/TOTAL!G16</f>
        <v>15839.999999999998</v>
      </c>
      <c r="I16" s="9">
        <f>'Fuel Diesel'!F23</f>
        <v>0</v>
      </c>
      <c r="J16" s="11">
        <v>24300</v>
      </c>
      <c r="K16" s="9">
        <f>Water!F23+Water!H23+Water!J23</f>
        <v>212</v>
      </c>
      <c r="L16" s="10">
        <f>Water!L23/TOTAL!K16</f>
        <v>5988.7169811320755</v>
      </c>
      <c r="M16" s="9">
        <f>Electricity!C22</f>
        <v>27</v>
      </c>
      <c r="N16" s="9">
        <f>Electricity!D22</f>
        <v>123</v>
      </c>
    </row>
    <row r="17" spans="1:14">
      <c r="A17" s="6" t="s">
        <v>14</v>
      </c>
      <c r="B17" s="7">
        <f t="shared" si="0"/>
        <v>16</v>
      </c>
      <c r="C17" s="8">
        <v>1</v>
      </c>
      <c r="D17" s="7">
        <v>2023</v>
      </c>
      <c r="E17" s="9">
        <f>Electricity!F23+Electricity!I23</f>
        <v>10059.999999999718</v>
      </c>
      <c r="F17" s="10">
        <f>Electricity!L23/TOTAL!E17</f>
        <v>1235.2917992047767</v>
      </c>
      <c r="G17" s="9">
        <f>Gas!F24+Gas!I24+Gas!L24+Gas!O24</f>
        <v>108.23235999999955</v>
      </c>
      <c r="H17" s="10">
        <f>Gas!Q24/TOTAL!G17</f>
        <v>15840</v>
      </c>
      <c r="I17" s="9">
        <f>'Fuel Diesel'!F24</f>
        <v>0</v>
      </c>
      <c r="J17" s="11">
        <v>24300</v>
      </c>
      <c r="K17" s="9">
        <f>Water!F24+Water!H24+Water!J24</f>
        <v>258</v>
      </c>
      <c r="L17" s="10">
        <f>Water!L24/TOTAL!K17</f>
        <v>5782.6976744186049</v>
      </c>
      <c r="M17" s="9">
        <f>Electricity!C23</f>
        <v>31</v>
      </c>
      <c r="N17" s="9">
        <f>Electricity!D23</f>
        <v>98</v>
      </c>
    </row>
    <row r="18" spans="1:14">
      <c r="A18" s="6" t="s">
        <v>14</v>
      </c>
      <c r="B18" s="7">
        <f t="shared" si="0"/>
        <v>17</v>
      </c>
      <c r="C18" s="8">
        <v>1</v>
      </c>
      <c r="D18" s="7">
        <v>2023</v>
      </c>
      <c r="E18" s="9">
        <f>Electricity!F24+Electricity!I24</f>
        <v>9979.9999999997908</v>
      </c>
      <c r="F18" s="10">
        <f>Electricity!L24/TOTAL!E18</f>
        <v>1238.3459418837701</v>
      </c>
      <c r="G18" s="9">
        <f>Gas!F25+Gas!I25+Gas!L25+Gas!O25</f>
        <v>101.46531999999837</v>
      </c>
      <c r="H18" s="10">
        <f>Gas!Q25/TOTAL!G18</f>
        <v>15839.999999999998</v>
      </c>
      <c r="I18" s="9">
        <f>'Fuel Diesel'!F25</f>
        <v>9</v>
      </c>
      <c r="J18" s="11">
        <v>24300</v>
      </c>
      <c r="K18" s="9">
        <f>Water!F25+Water!H25+Water!J25</f>
        <v>299</v>
      </c>
      <c r="L18" s="10">
        <f>Water!L25/TOTAL!K18</f>
        <v>5506.2006688963211</v>
      </c>
      <c r="M18" s="9">
        <f>Electricity!C24</f>
        <v>33</v>
      </c>
      <c r="N18" s="9">
        <f>Electricity!D24</f>
        <v>96</v>
      </c>
    </row>
    <row r="19" spans="1:14">
      <c r="A19" s="6" t="s">
        <v>14</v>
      </c>
      <c r="B19" s="7">
        <f t="shared" si="0"/>
        <v>18</v>
      </c>
      <c r="C19" s="8">
        <v>1</v>
      </c>
      <c r="D19" s="7">
        <v>2023</v>
      </c>
      <c r="E19" s="9">
        <f>Electricity!F25+Electricity!I25</f>
        <v>10339.999999999918</v>
      </c>
      <c r="F19" s="10">
        <f>Electricity!L25/TOTAL!E19</f>
        <v>1242.5999999999945</v>
      </c>
      <c r="G19" s="9">
        <f>Gas!F26+Gas!I26+Gas!L26+Gas!O26</f>
        <v>114.19379999999961</v>
      </c>
      <c r="H19" s="10">
        <f>Gas!Q26/TOTAL!G19</f>
        <v>15840</v>
      </c>
      <c r="I19" s="9">
        <f>'Fuel Diesel'!F26</f>
        <v>0</v>
      </c>
      <c r="J19" s="11">
        <v>24300</v>
      </c>
      <c r="K19" s="9">
        <f>Water!F26+Water!H26+Water!J26</f>
        <v>273</v>
      </c>
      <c r="L19" s="10">
        <f>Water!L26/TOTAL!K19</f>
        <v>5544.3516483516487</v>
      </c>
      <c r="M19" s="9">
        <f>Electricity!C25</f>
        <v>40</v>
      </c>
      <c r="N19" s="9">
        <f>Electricity!D25</f>
        <v>110</v>
      </c>
    </row>
    <row r="20" spans="1:14">
      <c r="A20" s="6" t="s">
        <v>14</v>
      </c>
      <c r="B20" s="7">
        <f t="shared" si="0"/>
        <v>19</v>
      </c>
      <c r="C20" s="8">
        <v>1</v>
      </c>
      <c r="D20" s="7">
        <v>2023</v>
      </c>
      <c r="E20" s="9">
        <f>Electricity!F26+Electricity!I26</f>
        <v>9680.0000000000637</v>
      </c>
      <c r="F20" s="10">
        <f>Electricity!L26/TOTAL!E20</f>
        <v>1235.5397727272782</v>
      </c>
      <c r="G20" s="9">
        <f>Gas!F27+Gas!I27+Gas!L27+Gas!O27</f>
        <v>95.342760000002116</v>
      </c>
      <c r="H20" s="10">
        <f>Gas!Q27/TOTAL!G20</f>
        <v>15840</v>
      </c>
      <c r="I20" s="9">
        <f>'Fuel Diesel'!F27</f>
        <v>0</v>
      </c>
      <c r="J20" s="11">
        <v>24300</v>
      </c>
      <c r="K20" s="9">
        <f>Water!F27+Water!H27+Water!J27</f>
        <v>261</v>
      </c>
      <c r="L20" s="10">
        <f>Water!L27/TOTAL!K20</f>
        <v>5505.2183908045981</v>
      </c>
      <c r="M20" s="9">
        <f>Electricity!C26</f>
        <v>34</v>
      </c>
      <c r="N20" s="9">
        <f>Electricity!D26</f>
        <v>175</v>
      </c>
    </row>
    <row r="21" spans="1:14">
      <c r="A21" s="6" t="s">
        <v>14</v>
      </c>
      <c r="B21" s="7">
        <f t="shared" si="0"/>
        <v>20</v>
      </c>
      <c r="C21" s="8">
        <v>1</v>
      </c>
      <c r="D21" s="7">
        <v>2023</v>
      </c>
      <c r="E21" s="9">
        <f>Electricity!F27+Electricity!I27</f>
        <v>10720.000000000482</v>
      </c>
      <c r="F21" s="10">
        <f>Electricity!L27/TOTAL!E21</f>
        <v>1233.6166511193974</v>
      </c>
      <c r="G21" s="9">
        <f>Gas!F28+Gas!I28+Gas!L28+Gas!O28</f>
        <v>120.3163600000014</v>
      </c>
      <c r="H21" s="10">
        <f>Gas!Q28/TOTAL!G21</f>
        <v>15839.999999999998</v>
      </c>
      <c r="I21" s="9">
        <f>'Fuel Diesel'!F28</f>
        <v>0</v>
      </c>
      <c r="J21" s="11">
        <v>24300</v>
      </c>
      <c r="K21" s="9">
        <f>Water!F28+Water!H28+Water!J28</f>
        <v>298</v>
      </c>
      <c r="L21" s="10">
        <f>Water!L28/TOTAL!K21</f>
        <v>5157.5570469798658</v>
      </c>
      <c r="M21" s="9">
        <f>Electricity!C27</f>
        <v>44</v>
      </c>
      <c r="N21" s="9">
        <f>Electricity!D27</f>
        <v>146</v>
      </c>
    </row>
    <row r="22" spans="1:14">
      <c r="A22" s="6" t="s">
        <v>14</v>
      </c>
      <c r="B22" s="7">
        <f t="shared" si="0"/>
        <v>21</v>
      </c>
      <c r="C22" s="8">
        <v>1</v>
      </c>
      <c r="D22" s="7">
        <v>2023</v>
      </c>
      <c r="E22" s="9">
        <f>Electricity!F28+Electricity!I28</f>
        <v>10059.999999999263</v>
      </c>
      <c r="F22" s="10">
        <f>Electricity!L28/TOTAL!E22</f>
        <v>1240.9530815109395</v>
      </c>
      <c r="G22" s="9">
        <f>Gas!F29+Gas!I29+Gas!L29+Gas!O29</f>
        <v>109.64215999999919</v>
      </c>
      <c r="H22" s="10">
        <f>Gas!Q29/TOTAL!G22</f>
        <v>15839.999999999998</v>
      </c>
      <c r="I22" s="9">
        <f>'Fuel Diesel'!F29</f>
        <v>0</v>
      </c>
      <c r="J22" s="11">
        <v>24300</v>
      </c>
      <c r="K22" s="9">
        <f>Water!F29+Water!H29+Water!J29</f>
        <v>233</v>
      </c>
      <c r="L22" s="10">
        <f>Water!L29/TOTAL!K22</f>
        <v>5686.1030042918455</v>
      </c>
      <c r="M22" s="9">
        <f>Electricity!C28</f>
        <v>43</v>
      </c>
      <c r="N22" s="9">
        <f>Electricity!D28</f>
        <v>196</v>
      </c>
    </row>
    <row r="23" spans="1:14">
      <c r="A23" s="6" t="s">
        <v>14</v>
      </c>
      <c r="B23" s="7">
        <f t="shared" si="0"/>
        <v>22</v>
      </c>
      <c r="C23" s="8">
        <v>1</v>
      </c>
      <c r="D23" s="7">
        <v>2023</v>
      </c>
      <c r="E23" s="9">
        <f>Electricity!F29+Electricity!I29</f>
        <v>10620.0000000008</v>
      </c>
      <c r="F23" s="10">
        <f>Electricity!L29/TOTAL!E23</f>
        <v>1246.3051789077133</v>
      </c>
      <c r="G23" s="9">
        <f>Gas!F30+Gas!I30+Gas!L30+Gas!O30</f>
        <v>104.84883999999896</v>
      </c>
      <c r="H23" s="10">
        <f>Gas!Q30/TOTAL!G23</f>
        <v>15840.000000000002</v>
      </c>
      <c r="I23" s="9">
        <f>'Fuel Diesel'!F30</f>
        <v>0</v>
      </c>
      <c r="J23" s="11">
        <v>24300</v>
      </c>
      <c r="K23" s="9">
        <f>Water!F30+Water!H30+Water!J30</f>
        <v>232</v>
      </c>
      <c r="L23" s="10">
        <f>Water!L30/TOTAL!K23</f>
        <v>5528.1637931034484</v>
      </c>
      <c r="M23" s="9">
        <f>Electricity!C29</f>
        <v>47</v>
      </c>
      <c r="N23" s="9">
        <f>Electricity!D29</f>
        <v>152</v>
      </c>
    </row>
    <row r="24" spans="1:14">
      <c r="A24" s="6" t="s">
        <v>14</v>
      </c>
      <c r="B24" s="7">
        <f t="shared" si="0"/>
        <v>23</v>
      </c>
      <c r="C24" s="8">
        <v>1</v>
      </c>
      <c r="D24" s="7">
        <v>2023</v>
      </c>
      <c r="E24" s="9">
        <f>Electricity!F30+Electricity!I30</f>
        <v>10939.999999999372</v>
      </c>
      <c r="F24" s="10">
        <f>Electricity!L30/TOTAL!E24</f>
        <v>1234.8384826325425</v>
      </c>
      <c r="G24" s="9">
        <f>Gas!F31+Gas!I31+Gas!L31+Gas!O31</f>
        <v>116.48975999999845</v>
      </c>
      <c r="H24" s="10">
        <f>Gas!Q31/TOTAL!G24</f>
        <v>15840</v>
      </c>
      <c r="I24" s="9">
        <f>'Fuel Diesel'!F31</f>
        <v>8</v>
      </c>
      <c r="J24" s="11">
        <v>24300</v>
      </c>
      <c r="K24" s="9">
        <f>Water!F31+Water!H31+Water!J31</f>
        <v>287</v>
      </c>
      <c r="L24" s="10">
        <f>Water!L31/TOTAL!K24</f>
        <v>5168.5365853658541</v>
      </c>
      <c r="M24" s="9">
        <f>Electricity!C30</f>
        <v>44</v>
      </c>
      <c r="N24" s="9">
        <f>Electricity!D30</f>
        <v>205</v>
      </c>
    </row>
    <row r="25" spans="1:14">
      <c r="A25" s="6" t="s">
        <v>14</v>
      </c>
      <c r="B25" s="7">
        <f t="shared" si="0"/>
        <v>24</v>
      </c>
      <c r="C25" s="8">
        <v>1</v>
      </c>
      <c r="D25" s="7">
        <v>2023</v>
      </c>
      <c r="E25" s="9">
        <f>Electricity!F31+Electricity!I31</f>
        <v>10900.000000000091</v>
      </c>
      <c r="F25" s="10">
        <f>Electricity!L31/TOTAL!E25</f>
        <v>1238.3250000000039</v>
      </c>
      <c r="G25" s="9">
        <f>Gas!F32+Gas!I32+Gas!L32+Gas!O32</f>
        <v>95.86640000000439</v>
      </c>
      <c r="H25" s="10">
        <f>Gas!Q32/TOTAL!G25</f>
        <v>15840</v>
      </c>
      <c r="I25" s="9">
        <f>'Fuel Diesel'!F32</f>
        <v>0</v>
      </c>
      <c r="J25" s="11">
        <v>24300</v>
      </c>
      <c r="K25" s="9">
        <f>Water!F32+Water!H32+Water!J32</f>
        <v>265</v>
      </c>
      <c r="L25" s="10">
        <f>Water!L32/TOTAL!K25</f>
        <v>5193.2301886792457</v>
      </c>
      <c r="M25" s="9">
        <f>Electricity!C31</f>
        <v>37</v>
      </c>
      <c r="N25" s="9">
        <f>Electricity!D31</f>
        <v>172</v>
      </c>
    </row>
    <row r="26" spans="1:14">
      <c r="A26" s="6" t="s">
        <v>14</v>
      </c>
      <c r="B26" s="7">
        <f>B25+1</f>
        <v>25</v>
      </c>
      <c r="C26" s="8">
        <v>1</v>
      </c>
      <c r="D26" s="7">
        <v>2023</v>
      </c>
      <c r="E26" s="9">
        <f>Electricity!F32+Electricity!I32</f>
        <v>10760.000000000673</v>
      </c>
      <c r="F26" s="10">
        <f>Electricity!L32/TOTAL!E26</f>
        <v>1237.4994888475842</v>
      </c>
      <c r="G26" s="9">
        <f>Gas!F33+Gas!I33+Gas!L33+Gas!O33</f>
        <v>108.99768000000344</v>
      </c>
      <c r="H26" s="10">
        <f>Gas!Q33/TOTAL!G26</f>
        <v>15840</v>
      </c>
      <c r="I26" s="9">
        <f>'Fuel Diesel'!F33</f>
        <v>0</v>
      </c>
      <c r="J26" s="11">
        <v>24300</v>
      </c>
      <c r="K26" s="9">
        <f>Water!F33+Water!H33+Water!J33</f>
        <v>224</v>
      </c>
      <c r="L26" s="10">
        <f>Water!L33/TOTAL!K26</f>
        <v>5368.8571428571431</v>
      </c>
      <c r="M26" s="9">
        <f>Electricity!C32</f>
        <v>34</v>
      </c>
      <c r="N26" s="9">
        <f>Electricity!D32</f>
        <v>154</v>
      </c>
    </row>
    <row r="27" spans="1:14">
      <c r="A27" s="6" t="s">
        <v>14</v>
      </c>
      <c r="B27" s="7">
        <f t="shared" si="0"/>
        <v>26</v>
      </c>
      <c r="C27" s="8">
        <v>1</v>
      </c>
      <c r="D27" s="7">
        <v>2023</v>
      </c>
      <c r="E27" s="9">
        <f>Electricity!F33+Electricity!I33</f>
        <v>10319.999999999027</v>
      </c>
      <c r="F27" s="10">
        <f>Electricity!L33/TOTAL!E27</f>
        <v>1243.9044089147312</v>
      </c>
      <c r="G27" s="9">
        <f>Gas!F34+Gas!I34+Gas!L34+Gas!O34</f>
        <v>107.74899999999816</v>
      </c>
      <c r="H27" s="10">
        <f>Gas!Q34/TOTAL!G27</f>
        <v>15840.000000000002</v>
      </c>
      <c r="I27" s="9">
        <f>'Fuel Diesel'!F34</f>
        <v>0</v>
      </c>
      <c r="J27" s="11">
        <v>24300</v>
      </c>
      <c r="K27" s="9">
        <f>Water!F34+Water!H34+Water!J34</f>
        <v>219</v>
      </c>
      <c r="L27" s="10">
        <f>Water!L34/TOTAL!K27</f>
        <v>5443.8630136986303</v>
      </c>
      <c r="M27" s="9">
        <f>Electricity!C33</f>
        <v>35</v>
      </c>
      <c r="N27" s="9">
        <f>Electricity!D33</f>
        <v>151</v>
      </c>
    </row>
    <row r="28" spans="1:14">
      <c r="A28" s="6" t="s">
        <v>14</v>
      </c>
      <c r="B28" s="7">
        <f t="shared" si="0"/>
        <v>27</v>
      </c>
      <c r="C28" s="8">
        <v>1</v>
      </c>
      <c r="D28" s="7">
        <v>2023</v>
      </c>
      <c r="E28" s="9">
        <f>Electricity!F34+Electricity!I34</f>
        <v>9780.0000000006548</v>
      </c>
      <c r="F28" s="10">
        <f>Electricity!L34/TOTAL!E28</f>
        <v>1226.4004601226936</v>
      </c>
      <c r="G28" s="9">
        <f>Gas!F35+Gas!I35+Gas!L35+Gas!O35</f>
        <v>114.39519999999669</v>
      </c>
      <c r="H28" s="10">
        <f>Gas!Q35/TOTAL!G28</f>
        <v>15840.000000000002</v>
      </c>
      <c r="I28" s="9">
        <f>'Fuel Diesel'!F35</f>
        <v>0</v>
      </c>
      <c r="J28" s="11">
        <v>24300</v>
      </c>
      <c r="K28" s="9">
        <f>Water!F35+Water!H35+Water!J35</f>
        <v>224</v>
      </c>
      <c r="L28" s="10">
        <f>Water!L35/TOTAL!K28</f>
        <v>5497.1875</v>
      </c>
      <c r="M28" s="9">
        <f>Electricity!C34</f>
        <v>30</v>
      </c>
      <c r="N28" s="9">
        <f>Electricity!D34</f>
        <v>109</v>
      </c>
    </row>
    <row r="29" spans="1:14">
      <c r="A29" s="6" t="s">
        <v>14</v>
      </c>
      <c r="B29" s="7">
        <f t="shared" si="0"/>
        <v>28</v>
      </c>
      <c r="C29" s="8">
        <v>1</v>
      </c>
      <c r="D29" s="7">
        <v>2023</v>
      </c>
      <c r="E29" s="9">
        <f>Electricity!F35+Electricity!I35</f>
        <v>9919.9999999993906</v>
      </c>
      <c r="F29" s="10">
        <f>Electricity!L35/TOTAL!E29</f>
        <v>1238.9465221774262</v>
      </c>
      <c r="G29" s="9">
        <f>Gas!F36+Gas!I36+Gas!L36+Gas!O36</f>
        <v>102.5126000000011</v>
      </c>
      <c r="H29" s="10">
        <f>Gas!Q36/TOTAL!G29</f>
        <v>15839.999999999998</v>
      </c>
      <c r="I29" s="9">
        <f>'Fuel Diesel'!F36</f>
        <v>0</v>
      </c>
      <c r="J29" s="11">
        <v>24300</v>
      </c>
      <c r="K29" s="9">
        <f>Water!F36+Water!H36+Water!J36</f>
        <v>224</v>
      </c>
      <c r="L29" s="10">
        <f>Water!L36/TOTAL!K29</f>
        <v>5497.1875</v>
      </c>
      <c r="M29" s="9">
        <f>Electricity!C35</f>
        <v>31</v>
      </c>
      <c r="N29" s="9">
        <f>Electricity!D35</f>
        <v>120</v>
      </c>
    </row>
    <row r="30" spans="1:14">
      <c r="A30" s="86" t="s">
        <v>14</v>
      </c>
      <c r="B30" s="87">
        <f t="shared" si="0"/>
        <v>29</v>
      </c>
      <c r="C30" s="8">
        <v>1</v>
      </c>
      <c r="D30" s="7">
        <v>2023</v>
      </c>
      <c r="E30" s="88">
        <f>Electricity!F36+Electricity!I36</f>
        <v>10300.000000000409</v>
      </c>
      <c r="F30" s="89">
        <f>Electricity!L36/TOTAL!E30</f>
        <v>1237.4727669902861</v>
      </c>
      <c r="G30" s="88">
        <f>Gas!F37+Gas!I37+Gas!L37+Gas!O37</f>
        <v>102.02923999999969</v>
      </c>
      <c r="H30" s="89">
        <f>Gas!Q37/TOTAL!G30</f>
        <v>15840</v>
      </c>
      <c r="I30" s="88">
        <f>'Fuel Diesel'!F37</f>
        <v>0</v>
      </c>
      <c r="J30" s="90">
        <v>24300</v>
      </c>
      <c r="K30" s="88">
        <f>Water!F37+Water!H37+Water!J37</f>
        <v>226</v>
      </c>
      <c r="L30" s="89">
        <f>Water!L37/TOTAL!K30</f>
        <v>5653.5309734513276</v>
      </c>
      <c r="M30" s="88">
        <f>Electricity!C36</f>
        <v>30</v>
      </c>
      <c r="N30" s="88">
        <f>Electricity!D36</f>
        <v>169</v>
      </c>
    </row>
    <row r="31" spans="1:14">
      <c r="A31" s="91" t="s">
        <v>14</v>
      </c>
      <c r="B31" s="92">
        <v>30</v>
      </c>
      <c r="C31" s="8">
        <v>1</v>
      </c>
      <c r="D31" s="7">
        <v>2023</v>
      </c>
      <c r="E31" s="93">
        <f>Electricity!F37+Electricity!I37</f>
        <v>10239.999999999554</v>
      </c>
      <c r="F31" s="94">
        <f>Electricity!L37/TOTAL!E31</f>
        <v>1239.161816406252</v>
      </c>
      <c r="G31" s="93">
        <f>Gas!F38+Gas!I38+Gas!L38+Gas!O38</f>
        <v>150.0832800000027</v>
      </c>
      <c r="H31" s="94">
        <f>Gas!Q38/TOTAL!G31</f>
        <v>15840</v>
      </c>
      <c r="I31" s="93">
        <f>'Fuel Diesel'!F38</f>
        <v>0</v>
      </c>
      <c r="J31" s="95">
        <v>24300</v>
      </c>
      <c r="K31" s="93">
        <f>Water!F38+Water!H38+Water!J38</f>
        <v>277</v>
      </c>
      <c r="L31" s="94">
        <f>Water!L38/TOTAL!K31</f>
        <v>6525.2202166064981</v>
      </c>
      <c r="M31" s="93">
        <f>Electricity!C37</f>
        <v>31</v>
      </c>
      <c r="N31" s="93">
        <f>Electricity!D37</f>
        <v>89</v>
      </c>
    </row>
    <row r="32" spans="1:14">
      <c r="A32" s="91" t="s">
        <v>14</v>
      </c>
      <c r="B32" s="92">
        <v>31</v>
      </c>
      <c r="C32" s="8">
        <v>1</v>
      </c>
      <c r="D32" s="7">
        <v>2023</v>
      </c>
      <c r="E32" s="93">
        <f>Electricity!F38+Electricity!I38</f>
        <v>10280.000000000427</v>
      </c>
      <c r="F32" s="94">
        <f>Electricity!L38/TOTAL!E32</f>
        <v>1234.3401750972739</v>
      </c>
      <c r="G32" s="93">
        <f>Gas!F39+Gas!I39+Gas!L39+Gas!O39</f>
        <v>114.99940000000072</v>
      </c>
      <c r="H32" s="94">
        <f>Gas!Q39/TOTAL!G32</f>
        <v>15840</v>
      </c>
      <c r="I32" s="93">
        <f>'Fuel Diesel'!F39</f>
        <v>14</v>
      </c>
      <c r="J32" s="95">
        <v>24300</v>
      </c>
      <c r="K32" s="93">
        <f>Water!F39+Water!H39+Water!J39</f>
        <v>227</v>
      </c>
      <c r="L32" s="94">
        <f>Water!L39/TOTAL!K32</f>
        <v>9656.3348017621138</v>
      </c>
      <c r="M32" s="93">
        <f>Electricity!C38</f>
        <v>38</v>
      </c>
      <c r="N32" s="93">
        <f>Electricity!D38</f>
        <v>89</v>
      </c>
    </row>
    <row r="33" spans="2:14">
      <c r="B33" s="19"/>
      <c r="C33" s="19"/>
      <c r="D33" s="19"/>
      <c r="E33" s="96">
        <f>SUM(E2:E32)</f>
        <v>317379.99999999959</v>
      </c>
      <c r="F33" s="96">
        <f>SUM(F2:F32)/31</f>
        <v>1237.6970621641187</v>
      </c>
      <c r="G33" s="96">
        <f>SUM(G2:G32)</f>
        <v>3493.6455200000073</v>
      </c>
      <c r="H33" s="97">
        <f>SUM(H2:H32)/31</f>
        <v>15840</v>
      </c>
      <c r="I33" s="96">
        <f>SUM(I2:I32)</f>
        <v>41</v>
      </c>
      <c r="J33" s="98">
        <v>24300</v>
      </c>
      <c r="K33" s="96">
        <f>SUM(K2:K32)</f>
        <v>7400</v>
      </c>
      <c r="L33" s="99">
        <f>SUM(L2:L32)/31</f>
        <v>6206.3420323937307</v>
      </c>
      <c r="M33" s="96">
        <f>SUM(M2:M32)</f>
        <v>1227</v>
      </c>
      <c r="N33" s="96">
        <f>SUM(N2:N32)</f>
        <v>5353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opLeftCell="A22" workbookViewId="0">
      <selection activeCell="H23" sqref="H23"/>
    </sheetView>
  </sheetViews>
  <sheetFormatPr defaultColWidth="8.85546875" defaultRowHeight="15"/>
  <cols>
    <col min="1" max="1" width="2.42578125" customWidth="1"/>
    <col min="2" max="2" width="5.85546875" customWidth="1"/>
    <col min="3" max="3" width="6.42578125" customWidth="1"/>
    <col min="4" max="4" width="7.42578125" style="19" customWidth="1"/>
    <col min="5" max="5" width="9.42578125" style="31" customWidth="1"/>
    <col min="6" max="6" width="11.28515625" style="31" customWidth="1"/>
    <col min="7" max="7" width="16.42578125" style="31" customWidth="1"/>
    <col min="8" max="8" width="10.28515625" style="31" customWidth="1"/>
    <col min="9" max="9" width="11.140625" style="31" customWidth="1"/>
    <col min="10" max="10" width="16.7109375" style="31" customWidth="1"/>
    <col min="11" max="11" width="16.28515625" style="31" customWidth="1"/>
    <col min="12" max="12" width="18" customWidth="1"/>
    <col min="13" max="13" width="16.7109375" customWidth="1"/>
    <col min="14" max="14" width="2.42578125" customWidth="1"/>
    <col min="16" max="16" width="16.7109375" customWidth="1"/>
  </cols>
  <sheetData>
    <row r="1" spans="1:14" ht="15.95">
      <c r="B1" s="128" t="s">
        <v>15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"/>
      <c r="N1" s="12"/>
    </row>
    <row r="2" spans="1:14" ht="15.95">
      <c r="B2" s="128" t="s">
        <v>16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"/>
      <c r="N2" s="12"/>
    </row>
    <row r="3" spans="1:14">
      <c r="B3" s="13"/>
      <c r="C3" s="14"/>
      <c r="D3" s="15"/>
      <c r="E3" s="14"/>
      <c r="F3" s="14"/>
      <c r="G3" s="14"/>
      <c r="H3" s="14"/>
      <c r="I3" s="14"/>
      <c r="J3" s="14"/>
      <c r="K3" s="14"/>
      <c r="L3" s="14"/>
      <c r="M3" s="12"/>
      <c r="N3" s="12"/>
    </row>
    <row r="4" spans="1:14">
      <c r="A4" s="16"/>
      <c r="B4" s="129">
        <v>44927</v>
      </c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6"/>
    </row>
    <row r="5" spans="1:14">
      <c r="A5" s="17"/>
      <c r="B5" s="127" t="s">
        <v>17</v>
      </c>
      <c r="C5" s="127" t="s">
        <v>18</v>
      </c>
      <c r="D5" s="127" t="s">
        <v>13</v>
      </c>
      <c r="E5" s="130" t="s">
        <v>19</v>
      </c>
      <c r="F5" s="130"/>
      <c r="G5" s="130"/>
      <c r="H5" s="131" t="s">
        <v>20</v>
      </c>
      <c r="I5" s="131"/>
      <c r="J5" s="131"/>
      <c r="K5" s="127" t="s">
        <v>21</v>
      </c>
      <c r="L5" s="127" t="s">
        <v>22</v>
      </c>
      <c r="M5" s="127" t="s">
        <v>23</v>
      </c>
      <c r="N5" s="18"/>
    </row>
    <row r="6" spans="1:14" s="19" customFormat="1">
      <c r="A6" s="17"/>
      <c r="B6" s="127"/>
      <c r="C6" s="127"/>
      <c r="D6" s="127"/>
      <c r="E6" s="127" t="s">
        <v>24</v>
      </c>
      <c r="F6" s="127" t="s">
        <v>25</v>
      </c>
      <c r="G6" s="127" t="s">
        <v>26</v>
      </c>
      <c r="H6" s="127" t="s">
        <v>24</v>
      </c>
      <c r="I6" s="127" t="s">
        <v>25</v>
      </c>
      <c r="J6" s="127" t="s">
        <v>27</v>
      </c>
      <c r="K6" s="127"/>
      <c r="L6" s="127"/>
      <c r="M6" s="127"/>
      <c r="N6" s="18"/>
    </row>
    <row r="7" spans="1:14" ht="15.95" thickBot="1">
      <c r="A7" s="20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21"/>
    </row>
    <row r="8" spans="1:14">
      <c r="A8" s="20"/>
      <c r="B8" s="22">
        <v>1</v>
      </c>
      <c r="C8" s="107">
        <v>54</v>
      </c>
      <c r="D8" s="113">
        <v>247</v>
      </c>
      <c r="E8" s="112">
        <v>4.3299999999999272</v>
      </c>
      <c r="F8" s="25">
        <f t="shared" ref="F8:F38" si="0">E8*2000</f>
        <v>8659.9999999998545</v>
      </c>
      <c r="G8" s="26">
        <f t="shared" ref="G8:G36" si="1">F8*1035.5</f>
        <v>8967429.9999998491</v>
      </c>
      <c r="H8" s="104">
        <v>0.88999999999998636</v>
      </c>
      <c r="I8" s="25">
        <f t="shared" ref="I8:I38" si="2">H8*2000</f>
        <v>1779.9999999999727</v>
      </c>
      <c r="J8" s="26">
        <f t="shared" ref="J8:J38" si="3">I8*1553.25</f>
        <v>2764784.9999999576</v>
      </c>
      <c r="K8" s="24">
        <f t="shared" ref="K8:K38" si="4">G8+J8</f>
        <v>11732214.999999806</v>
      </c>
      <c r="L8" s="27">
        <f t="shared" ref="L8:L38" si="5">K8*1.1</f>
        <v>12905436.499999788</v>
      </c>
      <c r="M8" s="28">
        <f>L8/14381</f>
        <v>897.39493081147259</v>
      </c>
      <c r="N8" s="29"/>
    </row>
    <row r="9" spans="1:14">
      <c r="A9" s="20"/>
      <c r="B9" s="22">
        <v>2</v>
      </c>
      <c r="C9" s="108">
        <v>51</v>
      </c>
      <c r="D9" s="111">
        <v>227</v>
      </c>
      <c r="E9" s="112">
        <v>4.4099999999998545</v>
      </c>
      <c r="F9" s="25">
        <f t="shared" si="0"/>
        <v>8819.999999999709</v>
      </c>
      <c r="G9" s="26">
        <f t="shared" si="1"/>
        <v>9133109.9999996983</v>
      </c>
      <c r="H9" s="104">
        <v>0.92000000000007276</v>
      </c>
      <c r="I9" s="25">
        <f t="shared" si="2"/>
        <v>1840.0000000001455</v>
      </c>
      <c r="J9" s="26">
        <f t="shared" si="3"/>
        <v>2857980.0000002258</v>
      </c>
      <c r="K9" s="24">
        <f t="shared" si="4"/>
        <v>11991089.999999924</v>
      </c>
      <c r="L9" s="27">
        <f t="shared" si="5"/>
        <v>13190198.999999916</v>
      </c>
      <c r="M9" s="28">
        <f t="shared" ref="M9:M38" si="6">L9/14381</f>
        <v>917.19623113830164</v>
      </c>
      <c r="N9" s="29"/>
    </row>
    <row r="10" spans="1:14">
      <c r="A10" s="20"/>
      <c r="B10" s="22">
        <v>3</v>
      </c>
      <c r="C10" s="109">
        <v>50</v>
      </c>
      <c r="D10" s="111">
        <v>307</v>
      </c>
      <c r="E10" s="112">
        <v>4.3499999999999091</v>
      </c>
      <c r="F10" s="25">
        <f t="shared" si="0"/>
        <v>8699.9999999998181</v>
      </c>
      <c r="G10" s="26">
        <f t="shared" si="1"/>
        <v>9008849.9999998119</v>
      </c>
      <c r="H10" s="104">
        <v>0.91999999999995907</v>
      </c>
      <c r="I10" s="25">
        <f t="shared" si="2"/>
        <v>1839.9999999999181</v>
      </c>
      <c r="J10" s="26">
        <f t="shared" si="3"/>
        <v>2857979.9999998729</v>
      </c>
      <c r="K10" s="24">
        <f t="shared" si="4"/>
        <v>11866829.999999685</v>
      </c>
      <c r="L10" s="27">
        <f t="shared" si="5"/>
        <v>13053512.999999655</v>
      </c>
      <c r="M10" s="28">
        <f t="shared" si="6"/>
        <v>907.6916069814099</v>
      </c>
      <c r="N10" s="29"/>
    </row>
    <row r="11" spans="1:14">
      <c r="A11" s="20"/>
      <c r="B11" s="22">
        <v>4</v>
      </c>
      <c r="C11" s="108">
        <v>50</v>
      </c>
      <c r="D11" s="111">
        <v>342</v>
      </c>
      <c r="E11" s="112">
        <v>4.4200000000000728</v>
      </c>
      <c r="F11" s="25">
        <f t="shared" si="0"/>
        <v>8840.0000000001455</v>
      </c>
      <c r="G11" s="26">
        <f t="shared" si="1"/>
        <v>9153820.0000001509</v>
      </c>
      <c r="H11" s="104">
        <v>0.92000000000007276</v>
      </c>
      <c r="I11" s="25">
        <f t="shared" si="2"/>
        <v>1840.0000000001455</v>
      </c>
      <c r="J11" s="26">
        <f t="shared" si="3"/>
        <v>2857980.0000002258</v>
      </c>
      <c r="K11" s="24">
        <f t="shared" si="4"/>
        <v>12011800.000000376</v>
      </c>
      <c r="L11" s="27">
        <f t="shared" si="5"/>
        <v>13212980.000000415</v>
      </c>
      <c r="M11" s="28">
        <f t="shared" si="6"/>
        <v>918.78033516448193</v>
      </c>
      <c r="N11" s="29"/>
    </row>
    <row r="12" spans="1:14">
      <c r="A12" s="20"/>
      <c r="B12" s="22">
        <v>5</v>
      </c>
      <c r="C12" s="108">
        <v>48</v>
      </c>
      <c r="D12" s="111">
        <v>262</v>
      </c>
      <c r="E12" s="112">
        <v>4.2199999999997999</v>
      </c>
      <c r="F12" s="25">
        <f t="shared" si="0"/>
        <v>8439.9999999995998</v>
      </c>
      <c r="G12" s="26">
        <f t="shared" si="1"/>
        <v>8739619.9999995865</v>
      </c>
      <c r="H12" s="104">
        <v>0.87000000000000455</v>
      </c>
      <c r="I12" s="25">
        <f t="shared" si="2"/>
        <v>1740.0000000000091</v>
      </c>
      <c r="J12" s="26">
        <f t="shared" si="3"/>
        <v>2702655.000000014</v>
      </c>
      <c r="K12" s="24">
        <f t="shared" si="4"/>
        <v>11442274.999999601</v>
      </c>
      <c r="L12" s="27">
        <f t="shared" si="5"/>
        <v>12586502.499999562</v>
      </c>
      <c r="M12" s="28">
        <f t="shared" si="6"/>
        <v>875.21747444541847</v>
      </c>
      <c r="N12" s="29"/>
    </row>
    <row r="13" spans="1:14">
      <c r="A13" s="20"/>
      <c r="B13" s="22">
        <v>6</v>
      </c>
      <c r="C13" s="109">
        <v>45</v>
      </c>
      <c r="D13" s="110">
        <v>210</v>
      </c>
      <c r="E13" s="112">
        <v>4.25</v>
      </c>
      <c r="F13" s="25">
        <f t="shared" si="0"/>
        <v>8500</v>
      </c>
      <c r="G13" s="26">
        <f t="shared" si="1"/>
        <v>8801750</v>
      </c>
      <c r="H13" s="104">
        <v>0.89999999999997726</v>
      </c>
      <c r="I13" s="25">
        <f t="shared" si="2"/>
        <v>1799.9999999999545</v>
      </c>
      <c r="J13" s="26">
        <f t="shared" si="3"/>
        <v>2795849.9999999292</v>
      </c>
      <c r="K13" s="24">
        <f t="shared" si="4"/>
        <v>11597599.999999929</v>
      </c>
      <c r="L13" s="27">
        <f t="shared" si="5"/>
        <v>12757359.999999924</v>
      </c>
      <c r="M13" s="28">
        <f t="shared" si="6"/>
        <v>887.09825464153562</v>
      </c>
      <c r="N13" s="29"/>
    </row>
    <row r="14" spans="1:14">
      <c r="A14" s="20"/>
      <c r="B14" s="22">
        <v>7</v>
      </c>
      <c r="C14" s="108">
        <v>51</v>
      </c>
      <c r="D14" s="111">
        <v>191</v>
      </c>
      <c r="E14" s="112">
        <v>4.1400000000003274</v>
      </c>
      <c r="F14" s="25">
        <f t="shared" si="0"/>
        <v>8280.0000000006548</v>
      </c>
      <c r="G14" s="26">
        <f t="shared" si="1"/>
        <v>8573940.000000678</v>
      </c>
      <c r="H14" s="104">
        <v>0.87000000000000455</v>
      </c>
      <c r="I14" s="25">
        <f t="shared" si="2"/>
        <v>1740.0000000000091</v>
      </c>
      <c r="J14" s="26">
        <f t="shared" si="3"/>
        <v>2702655.000000014</v>
      </c>
      <c r="K14" s="24">
        <f t="shared" si="4"/>
        <v>11276595.000000693</v>
      </c>
      <c r="L14" s="27">
        <f t="shared" si="5"/>
        <v>12404254.500000764</v>
      </c>
      <c r="M14" s="28">
        <f t="shared" si="6"/>
        <v>862.54464223633704</v>
      </c>
      <c r="N14" s="29"/>
    </row>
    <row r="15" spans="1:14">
      <c r="A15" s="20"/>
      <c r="B15" s="22">
        <v>8</v>
      </c>
      <c r="C15" s="109">
        <v>50</v>
      </c>
      <c r="D15" s="111">
        <v>210</v>
      </c>
      <c r="E15" s="112">
        <v>4.0799999999999272</v>
      </c>
      <c r="F15" s="25">
        <f t="shared" si="0"/>
        <v>8159.9999999998545</v>
      </c>
      <c r="G15" s="26">
        <f t="shared" si="1"/>
        <v>8449679.9999998491</v>
      </c>
      <c r="H15" s="104">
        <v>0.89999999999997726</v>
      </c>
      <c r="I15" s="25">
        <f t="shared" si="2"/>
        <v>1799.9999999999545</v>
      </c>
      <c r="J15" s="26">
        <f t="shared" si="3"/>
        <v>2795849.9999999292</v>
      </c>
      <c r="K15" s="24">
        <f t="shared" si="4"/>
        <v>11245529.999999778</v>
      </c>
      <c r="L15" s="27">
        <f t="shared" si="5"/>
        <v>12370082.999999758</v>
      </c>
      <c r="M15" s="28">
        <f t="shared" si="6"/>
        <v>860.16848619704876</v>
      </c>
      <c r="N15" s="29"/>
    </row>
    <row r="16" spans="1:14">
      <c r="A16" s="20"/>
      <c r="B16" s="22">
        <v>9</v>
      </c>
      <c r="C16" s="108">
        <v>48</v>
      </c>
      <c r="D16" s="111">
        <v>187</v>
      </c>
      <c r="E16" s="112">
        <v>4.1900000000000546</v>
      </c>
      <c r="F16" s="25">
        <f t="shared" si="0"/>
        <v>8380.0000000001091</v>
      </c>
      <c r="G16" s="26">
        <f t="shared" si="1"/>
        <v>8677490.0000001136</v>
      </c>
      <c r="H16" s="104">
        <v>0.87000000000000455</v>
      </c>
      <c r="I16" s="25">
        <f t="shared" si="2"/>
        <v>1740.0000000000091</v>
      </c>
      <c r="J16" s="26">
        <f t="shared" si="3"/>
        <v>2702655.000000014</v>
      </c>
      <c r="K16" s="24">
        <f t="shared" si="4"/>
        <v>11380145.000000127</v>
      </c>
      <c r="L16" s="27">
        <f t="shared" si="5"/>
        <v>12518159.50000014</v>
      </c>
      <c r="M16" s="28">
        <f t="shared" si="6"/>
        <v>870.46516236702178</v>
      </c>
      <c r="N16" s="29"/>
    </row>
    <row r="17" spans="1:14">
      <c r="A17" s="20"/>
      <c r="B17" s="22">
        <v>10</v>
      </c>
      <c r="C17" s="109">
        <v>41</v>
      </c>
      <c r="D17" s="111">
        <v>177</v>
      </c>
      <c r="E17" s="112">
        <v>4.3099999999999454</v>
      </c>
      <c r="F17" s="25">
        <f t="shared" si="0"/>
        <v>8619.9999999998909</v>
      </c>
      <c r="G17" s="26">
        <f t="shared" si="1"/>
        <v>8926009.9999998864</v>
      </c>
      <c r="H17" s="104">
        <v>0.88999999999998636</v>
      </c>
      <c r="I17" s="25">
        <f t="shared" si="2"/>
        <v>1779.9999999999727</v>
      </c>
      <c r="J17" s="26">
        <f t="shared" si="3"/>
        <v>2764784.9999999576</v>
      </c>
      <c r="K17" s="24">
        <f t="shared" si="4"/>
        <v>11690794.999999844</v>
      </c>
      <c r="L17" s="27">
        <f t="shared" si="5"/>
        <v>12859874.499999829</v>
      </c>
      <c r="M17" s="28">
        <f t="shared" si="6"/>
        <v>894.22672275918421</v>
      </c>
      <c r="N17" s="29"/>
    </row>
    <row r="18" spans="1:14">
      <c r="A18" s="20"/>
      <c r="B18" s="22">
        <v>11</v>
      </c>
      <c r="C18" s="108">
        <v>39</v>
      </c>
      <c r="D18" s="111">
        <v>185</v>
      </c>
      <c r="E18" s="112">
        <v>4.0799999999999272</v>
      </c>
      <c r="F18" s="25">
        <f t="shared" si="0"/>
        <v>8159.9999999998545</v>
      </c>
      <c r="G18" s="26">
        <f t="shared" si="1"/>
        <v>8449679.9999998491</v>
      </c>
      <c r="H18" s="104">
        <v>0.84000000000003183</v>
      </c>
      <c r="I18" s="25">
        <f t="shared" si="2"/>
        <v>1680.0000000000637</v>
      </c>
      <c r="J18" s="26">
        <f t="shared" si="3"/>
        <v>2609460.0000000987</v>
      </c>
      <c r="K18" s="24">
        <f t="shared" si="4"/>
        <v>11059139.999999948</v>
      </c>
      <c r="L18" s="27">
        <f t="shared" si="5"/>
        <v>12165053.999999944</v>
      </c>
      <c r="M18" s="28">
        <f t="shared" si="6"/>
        <v>845.91154996175123</v>
      </c>
      <c r="N18" s="29"/>
    </row>
    <row r="19" spans="1:14">
      <c r="A19" s="20"/>
      <c r="B19" s="22">
        <v>12</v>
      </c>
      <c r="C19" s="109">
        <v>32</v>
      </c>
      <c r="D19" s="111">
        <v>169</v>
      </c>
      <c r="E19" s="112">
        <v>4.2200000000002547</v>
      </c>
      <c r="F19" s="25">
        <f t="shared" si="0"/>
        <v>8440.0000000005093</v>
      </c>
      <c r="G19" s="26">
        <f t="shared" si="1"/>
        <v>8739620.0000005271</v>
      </c>
      <c r="H19" s="104">
        <v>0.87999999999999545</v>
      </c>
      <c r="I19" s="25">
        <f t="shared" si="2"/>
        <v>1759.9999999999909</v>
      </c>
      <c r="J19" s="26">
        <f t="shared" si="3"/>
        <v>2733719.999999986</v>
      </c>
      <c r="K19" s="24">
        <f t="shared" si="4"/>
        <v>11473340.000000514</v>
      </c>
      <c r="L19" s="27">
        <f t="shared" si="5"/>
        <v>12620674.000000566</v>
      </c>
      <c r="M19" s="28">
        <f t="shared" si="6"/>
        <v>877.59363048470664</v>
      </c>
      <c r="N19" s="29"/>
    </row>
    <row r="20" spans="1:14">
      <c r="A20" s="20"/>
      <c r="B20" s="22">
        <v>13</v>
      </c>
      <c r="C20" s="108">
        <v>33</v>
      </c>
      <c r="D20" s="111">
        <v>154</v>
      </c>
      <c r="E20" s="112">
        <v>4.1199999999998909</v>
      </c>
      <c r="F20" s="25">
        <f t="shared" si="0"/>
        <v>8239.9999999997817</v>
      </c>
      <c r="G20" s="26">
        <f t="shared" si="1"/>
        <v>8532519.9999997746</v>
      </c>
      <c r="H20" s="104">
        <v>0.85000000000002274</v>
      </c>
      <c r="I20" s="25">
        <f t="shared" si="2"/>
        <v>1700.0000000000455</v>
      </c>
      <c r="J20" s="26">
        <f t="shared" si="3"/>
        <v>2640525.0000000708</v>
      </c>
      <c r="K20" s="24">
        <f t="shared" si="4"/>
        <v>11173044.999999845</v>
      </c>
      <c r="L20" s="27">
        <f t="shared" si="5"/>
        <v>12290349.49999983</v>
      </c>
      <c r="M20" s="28">
        <f t="shared" si="6"/>
        <v>854.62412210554419</v>
      </c>
      <c r="N20" s="29"/>
    </row>
    <row r="21" spans="1:14">
      <c r="A21" s="20"/>
      <c r="B21" s="22">
        <v>14</v>
      </c>
      <c r="C21" s="109">
        <v>26</v>
      </c>
      <c r="D21" s="111">
        <v>131</v>
      </c>
      <c r="E21" s="112">
        <v>4</v>
      </c>
      <c r="F21" s="25">
        <f t="shared" si="0"/>
        <v>8000</v>
      </c>
      <c r="G21" s="26">
        <f t="shared" si="1"/>
        <v>8284000</v>
      </c>
      <c r="H21" s="104">
        <v>0.81999999999993634</v>
      </c>
      <c r="I21" s="25">
        <f t="shared" si="2"/>
        <v>1639.9999999998727</v>
      </c>
      <c r="J21" s="26">
        <f t="shared" si="3"/>
        <v>2547329.9999998021</v>
      </c>
      <c r="K21" s="24">
        <f t="shared" si="4"/>
        <v>10831329.999999803</v>
      </c>
      <c r="L21" s="27">
        <f t="shared" si="5"/>
        <v>11914462.999999784</v>
      </c>
      <c r="M21" s="28">
        <f t="shared" si="6"/>
        <v>828.48640567413838</v>
      </c>
      <c r="N21" s="29"/>
    </row>
    <row r="22" spans="1:14">
      <c r="A22" s="20"/>
      <c r="B22" s="22">
        <v>15</v>
      </c>
      <c r="C22" s="109">
        <v>27</v>
      </c>
      <c r="D22" s="111">
        <v>123</v>
      </c>
      <c r="E22" s="112">
        <v>3.9200000000000728</v>
      </c>
      <c r="F22" s="25">
        <f t="shared" si="0"/>
        <v>7840.0000000001455</v>
      </c>
      <c r="G22" s="26">
        <f t="shared" si="1"/>
        <v>8118320.0000001509</v>
      </c>
      <c r="H22" s="104">
        <v>0.86000000000001364</v>
      </c>
      <c r="I22" s="25">
        <f t="shared" si="2"/>
        <v>1720.0000000000273</v>
      </c>
      <c r="J22" s="26">
        <f t="shared" si="3"/>
        <v>2671590.0000000424</v>
      </c>
      <c r="K22" s="24">
        <f t="shared" si="4"/>
        <v>10789910.000000194</v>
      </c>
      <c r="L22" s="27">
        <f t="shared" si="5"/>
        <v>11868901.000000214</v>
      </c>
      <c r="M22" s="28">
        <f t="shared" si="6"/>
        <v>825.31819762187706</v>
      </c>
      <c r="N22" s="29"/>
    </row>
    <row r="23" spans="1:14">
      <c r="A23" s="20"/>
      <c r="B23" s="22">
        <v>16</v>
      </c>
      <c r="C23" s="108">
        <v>31</v>
      </c>
      <c r="D23" s="111">
        <v>98</v>
      </c>
      <c r="E23" s="112">
        <v>4.1799999999998363</v>
      </c>
      <c r="F23" s="25">
        <f t="shared" si="0"/>
        <v>8359.9999999996726</v>
      </c>
      <c r="G23" s="26">
        <f t="shared" si="1"/>
        <v>8656779.999999661</v>
      </c>
      <c r="H23" s="104">
        <v>0.85000000000002274</v>
      </c>
      <c r="I23" s="25">
        <f t="shared" si="2"/>
        <v>1700.0000000000455</v>
      </c>
      <c r="J23" s="26">
        <f t="shared" si="3"/>
        <v>2640525.0000000708</v>
      </c>
      <c r="K23" s="24">
        <f t="shared" si="4"/>
        <v>11297304.999999732</v>
      </c>
      <c r="L23" s="27">
        <f t="shared" si="5"/>
        <v>12427035.499999706</v>
      </c>
      <c r="M23" s="28">
        <f t="shared" si="6"/>
        <v>864.12874626240909</v>
      </c>
      <c r="N23" s="29"/>
    </row>
    <row r="24" spans="1:14">
      <c r="A24" s="20"/>
      <c r="B24" s="22">
        <v>17</v>
      </c>
      <c r="C24" s="108">
        <v>33</v>
      </c>
      <c r="D24" s="111">
        <v>96</v>
      </c>
      <c r="E24" s="112">
        <v>4.1199999999998909</v>
      </c>
      <c r="F24" s="25">
        <f t="shared" si="0"/>
        <v>8239.9999999997817</v>
      </c>
      <c r="G24" s="26">
        <f t="shared" si="1"/>
        <v>8532519.9999997746</v>
      </c>
      <c r="H24" s="104">
        <v>0.87000000000000455</v>
      </c>
      <c r="I24" s="25">
        <f t="shared" si="2"/>
        <v>1740.0000000000091</v>
      </c>
      <c r="J24" s="26">
        <f t="shared" si="3"/>
        <v>2702655.000000014</v>
      </c>
      <c r="K24" s="24">
        <f t="shared" si="4"/>
        <v>11235174.999999788</v>
      </c>
      <c r="L24" s="27">
        <f t="shared" si="5"/>
        <v>12358692.499999767</v>
      </c>
      <c r="M24" s="28">
        <f t="shared" si="6"/>
        <v>859.37643418397658</v>
      </c>
      <c r="N24" s="29"/>
    </row>
    <row r="25" spans="1:14">
      <c r="A25" s="20"/>
      <c r="B25" s="22">
        <v>18</v>
      </c>
      <c r="C25" s="108">
        <v>40</v>
      </c>
      <c r="D25" s="111">
        <v>110</v>
      </c>
      <c r="E25" s="112">
        <v>4.2300000000000182</v>
      </c>
      <c r="F25" s="25">
        <f t="shared" si="0"/>
        <v>8460.0000000000364</v>
      </c>
      <c r="G25" s="26">
        <f t="shared" si="1"/>
        <v>8760330.0000000373</v>
      </c>
      <c r="H25" s="104">
        <v>0.93999999999994088</v>
      </c>
      <c r="I25" s="25">
        <f t="shared" si="2"/>
        <v>1879.9999999998818</v>
      </c>
      <c r="J25" s="26">
        <f t="shared" si="3"/>
        <v>2920109.9999998165</v>
      </c>
      <c r="K25" s="24">
        <f t="shared" si="4"/>
        <v>11680439.999999855</v>
      </c>
      <c r="L25" s="27">
        <f t="shared" si="5"/>
        <v>12848483.999999842</v>
      </c>
      <c r="M25" s="28">
        <f t="shared" si="6"/>
        <v>893.43467074611237</v>
      </c>
      <c r="N25" s="29"/>
    </row>
    <row r="26" spans="1:14">
      <c r="A26" s="20"/>
      <c r="B26" s="22">
        <v>19</v>
      </c>
      <c r="C26" s="109">
        <v>34</v>
      </c>
      <c r="D26" s="111">
        <v>175</v>
      </c>
      <c r="E26" s="112">
        <v>4.0199999999999818</v>
      </c>
      <c r="F26" s="25">
        <f t="shared" si="0"/>
        <v>8039.9999999999636</v>
      </c>
      <c r="G26" s="26">
        <f t="shared" si="1"/>
        <v>8325419.9999999627</v>
      </c>
      <c r="H26" s="104">
        <v>0.82000000000005002</v>
      </c>
      <c r="I26" s="25">
        <f t="shared" si="2"/>
        <v>1640.0000000001</v>
      </c>
      <c r="J26" s="26">
        <f t="shared" si="3"/>
        <v>2547330.0000001555</v>
      </c>
      <c r="K26" s="24">
        <f t="shared" si="4"/>
        <v>10872750.000000119</v>
      </c>
      <c r="L26" s="27">
        <f t="shared" si="5"/>
        <v>11960025.000000132</v>
      </c>
      <c r="M26" s="28">
        <f t="shared" si="6"/>
        <v>831.65461372645382</v>
      </c>
      <c r="N26" s="29"/>
    </row>
    <row r="27" spans="1:14">
      <c r="A27" s="20"/>
      <c r="B27" s="22">
        <v>20</v>
      </c>
      <c r="C27" s="108">
        <v>44</v>
      </c>
      <c r="D27" s="111">
        <v>146</v>
      </c>
      <c r="E27" s="112">
        <v>4.4700000000002547</v>
      </c>
      <c r="F27" s="25">
        <f t="shared" si="0"/>
        <v>8940.0000000005093</v>
      </c>
      <c r="G27" s="26">
        <f t="shared" si="1"/>
        <v>9257370.0000005271</v>
      </c>
      <c r="H27" s="104">
        <v>0.88999999999998636</v>
      </c>
      <c r="I27" s="25">
        <f t="shared" si="2"/>
        <v>1779.9999999999727</v>
      </c>
      <c r="J27" s="26">
        <f t="shared" si="3"/>
        <v>2764784.9999999576</v>
      </c>
      <c r="K27" s="24">
        <f t="shared" si="4"/>
        <v>12022155.000000484</v>
      </c>
      <c r="L27" s="27">
        <f t="shared" si="5"/>
        <v>13224370.500000535</v>
      </c>
      <c r="M27" s="28">
        <f t="shared" si="6"/>
        <v>919.57238717756309</v>
      </c>
      <c r="N27" s="29"/>
    </row>
    <row r="28" spans="1:14">
      <c r="A28" s="20"/>
      <c r="B28" s="22">
        <v>21</v>
      </c>
      <c r="C28" s="109">
        <v>43</v>
      </c>
      <c r="D28" s="111">
        <v>196</v>
      </c>
      <c r="E28" s="112">
        <v>4.1299999999996544</v>
      </c>
      <c r="F28" s="25">
        <f t="shared" si="0"/>
        <v>8259.9999999993088</v>
      </c>
      <c r="G28" s="26">
        <f t="shared" si="1"/>
        <v>8553229.9999992847</v>
      </c>
      <c r="H28" s="104">
        <v>0.89999999999997726</v>
      </c>
      <c r="I28" s="25">
        <f t="shared" si="2"/>
        <v>1799.9999999999545</v>
      </c>
      <c r="J28" s="26">
        <f t="shared" si="3"/>
        <v>2795849.9999999292</v>
      </c>
      <c r="K28" s="24">
        <f t="shared" si="4"/>
        <v>11349079.999999214</v>
      </c>
      <c r="L28" s="27">
        <f t="shared" si="5"/>
        <v>12483987.999999136</v>
      </c>
      <c r="M28" s="28">
        <f t="shared" si="6"/>
        <v>868.0890063277335</v>
      </c>
      <c r="N28" s="29"/>
    </row>
    <row r="29" spans="1:14">
      <c r="A29" s="20"/>
      <c r="B29" s="22">
        <v>22</v>
      </c>
      <c r="C29" s="108">
        <v>47</v>
      </c>
      <c r="D29" s="111">
        <v>152</v>
      </c>
      <c r="E29" s="112">
        <v>4.3100000000004002</v>
      </c>
      <c r="F29" s="25">
        <f t="shared" si="0"/>
        <v>8620.0000000008004</v>
      </c>
      <c r="G29" s="26">
        <f t="shared" si="1"/>
        <v>8926010.0000008289</v>
      </c>
      <c r="H29" s="104">
        <v>1</v>
      </c>
      <c r="I29" s="25">
        <f t="shared" si="2"/>
        <v>2000</v>
      </c>
      <c r="J29" s="26">
        <f t="shared" si="3"/>
        <v>3106500</v>
      </c>
      <c r="K29" s="24">
        <f t="shared" si="4"/>
        <v>12032510.000000829</v>
      </c>
      <c r="L29" s="27">
        <f t="shared" si="5"/>
        <v>13235761.000000913</v>
      </c>
      <c r="M29" s="28">
        <f t="shared" si="6"/>
        <v>920.36443919066221</v>
      </c>
      <c r="N29" s="29"/>
    </row>
    <row r="30" spans="1:14">
      <c r="A30" s="20"/>
      <c r="B30" s="22">
        <v>23</v>
      </c>
      <c r="C30" s="109">
        <v>44</v>
      </c>
      <c r="D30" s="111">
        <v>205</v>
      </c>
      <c r="E30" s="112">
        <v>4.5499999999997272</v>
      </c>
      <c r="F30" s="25">
        <f t="shared" si="0"/>
        <v>9099.9999999994543</v>
      </c>
      <c r="G30" s="26">
        <f>F30*1035.5</f>
        <v>9423049.9999994356</v>
      </c>
      <c r="H30" s="104">
        <v>0.91999999999995907</v>
      </c>
      <c r="I30" s="25">
        <f t="shared" si="2"/>
        <v>1839.9999999999181</v>
      </c>
      <c r="J30" s="26">
        <f t="shared" si="3"/>
        <v>2857979.9999998729</v>
      </c>
      <c r="K30" s="24">
        <f t="shared" si="4"/>
        <v>12281029.999999309</v>
      </c>
      <c r="L30" s="27">
        <f t="shared" si="5"/>
        <v>13509132.99999924</v>
      </c>
      <c r="M30" s="28">
        <f t="shared" si="6"/>
        <v>939.37368750429312</v>
      </c>
      <c r="N30" s="29"/>
    </row>
    <row r="31" spans="1:14">
      <c r="A31" s="20"/>
      <c r="B31" s="22">
        <v>24</v>
      </c>
      <c r="C31" s="108">
        <v>37</v>
      </c>
      <c r="D31" s="111">
        <v>172</v>
      </c>
      <c r="E31" s="112">
        <v>4.5</v>
      </c>
      <c r="F31" s="25">
        <f t="shared" si="0"/>
        <v>9000</v>
      </c>
      <c r="G31" s="26">
        <f t="shared" si="1"/>
        <v>9319500</v>
      </c>
      <c r="H31" s="104">
        <v>0.95000000000004547</v>
      </c>
      <c r="I31" s="25">
        <f t="shared" si="2"/>
        <v>1900.0000000000909</v>
      </c>
      <c r="J31" s="26">
        <f t="shared" si="3"/>
        <v>2951175.0000001411</v>
      </c>
      <c r="K31" s="24">
        <f t="shared" si="4"/>
        <v>12270675.000000142</v>
      </c>
      <c r="L31" s="27">
        <f t="shared" si="5"/>
        <v>13497742.500000156</v>
      </c>
      <c r="M31" s="28">
        <f t="shared" si="6"/>
        <v>938.58163549128403</v>
      </c>
      <c r="N31" s="29"/>
    </row>
    <row r="32" spans="1:14">
      <c r="A32" s="20"/>
      <c r="B32" s="22">
        <v>25</v>
      </c>
      <c r="C32" s="109">
        <v>34</v>
      </c>
      <c r="D32" s="111">
        <v>154</v>
      </c>
      <c r="E32" s="112">
        <v>4.4500000000002728</v>
      </c>
      <c r="F32" s="25">
        <f t="shared" si="0"/>
        <v>8900.0000000005457</v>
      </c>
      <c r="G32" s="26">
        <f t="shared" si="1"/>
        <v>9215950.0000005644</v>
      </c>
      <c r="H32" s="104">
        <v>0.93000000000006366</v>
      </c>
      <c r="I32" s="25">
        <f t="shared" si="2"/>
        <v>1860.0000000001273</v>
      </c>
      <c r="J32" s="26">
        <f t="shared" si="3"/>
        <v>2889045.0000001979</v>
      </c>
      <c r="K32" s="24">
        <f t="shared" si="4"/>
        <v>12104995.000000762</v>
      </c>
      <c r="L32" s="27">
        <f t="shared" si="5"/>
        <v>13315494.500000838</v>
      </c>
      <c r="M32" s="28">
        <f t="shared" si="6"/>
        <v>925.90880328216667</v>
      </c>
      <c r="N32" s="29"/>
    </row>
    <row r="33" spans="1:16">
      <c r="A33" s="20"/>
      <c r="B33" s="22">
        <v>26</v>
      </c>
      <c r="C33" s="108">
        <v>35</v>
      </c>
      <c r="D33" s="111">
        <v>151</v>
      </c>
      <c r="E33" s="112">
        <v>4.2099999999995816</v>
      </c>
      <c r="F33" s="25">
        <f t="shared" si="0"/>
        <v>8419.9999999991633</v>
      </c>
      <c r="G33" s="26">
        <f t="shared" si="1"/>
        <v>8718909.9999991339</v>
      </c>
      <c r="H33" s="104">
        <v>0.94999999999993179</v>
      </c>
      <c r="I33" s="25">
        <f t="shared" si="2"/>
        <v>1899.9999999998636</v>
      </c>
      <c r="J33" s="26">
        <f t="shared" si="3"/>
        <v>2951174.9999997881</v>
      </c>
      <c r="K33" s="24">
        <f t="shared" si="4"/>
        <v>11670084.999998922</v>
      </c>
      <c r="L33" s="27">
        <f t="shared" si="5"/>
        <v>12837093.499998815</v>
      </c>
      <c r="M33" s="28">
        <f t="shared" si="6"/>
        <v>892.64261873296823</v>
      </c>
      <c r="N33" s="29"/>
    </row>
    <row r="34" spans="1:16">
      <c r="A34" s="20"/>
      <c r="B34" s="22">
        <v>27</v>
      </c>
      <c r="C34" s="108">
        <v>30</v>
      </c>
      <c r="D34" s="111">
        <v>109</v>
      </c>
      <c r="E34" s="112">
        <v>4.1400000000003274</v>
      </c>
      <c r="F34" s="25">
        <f t="shared" si="0"/>
        <v>8280.0000000006548</v>
      </c>
      <c r="G34" s="26">
        <f t="shared" si="1"/>
        <v>8573940.000000678</v>
      </c>
      <c r="H34" s="104">
        <v>0.75</v>
      </c>
      <c r="I34" s="25">
        <f t="shared" si="2"/>
        <v>1500</v>
      </c>
      <c r="J34" s="26">
        <f t="shared" si="3"/>
        <v>2329875</v>
      </c>
      <c r="K34" s="24">
        <f t="shared" si="4"/>
        <v>10903815.000000678</v>
      </c>
      <c r="L34" s="27">
        <f t="shared" si="5"/>
        <v>11994196.500000747</v>
      </c>
      <c r="M34" s="28">
        <f t="shared" si="6"/>
        <v>834.03076976571492</v>
      </c>
      <c r="N34" s="29"/>
    </row>
    <row r="35" spans="1:16">
      <c r="A35" s="20"/>
      <c r="B35" s="22">
        <v>28</v>
      </c>
      <c r="C35" s="108">
        <v>31</v>
      </c>
      <c r="D35" s="111">
        <v>120</v>
      </c>
      <c r="E35" s="112">
        <v>4.0899999999996908</v>
      </c>
      <c r="F35" s="25">
        <f t="shared" si="0"/>
        <v>8179.9999999993815</v>
      </c>
      <c r="G35" s="26">
        <f t="shared" si="1"/>
        <v>8470389.9999993593</v>
      </c>
      <c r="H35" s="104">
        <v>0.87000000000000455</v>
      </c>
      <c r="I35" s="25">
        <f t="shared" si="2"/>
        <v>1740.0000000000091</v>
      </c>
      <c r="J35" s="26">
        <f t="shared" si="3"/>
        <v>2702655.000000014</v>
      </c>
      <c r="K35" s="24">
        <f t="shared" si="4"/>
        <v>11173044.999999374</v>
      </c>
      <c r="L35" s="27">
        <f t="shared" si="5"/>
        <v>12290349.499999313</v>
      </c>
      <c r="M35" s="28">
        <f t="shared" si="6"/>
        <v>854.62412210550815</v>
      </c>
      <c r="N35" s="29"/>
    </row>
    <row r="36" spans="1:16">
      <c r="A36" s="20"/>
      <c r="B36" s="22">
        <v>29</v>
      </c>
      <c r="C36" s="108">
        <v>30</v>
      </c>
      <c r="D36" s="111">
        <v>169</v>
      </c>
      <c r="E36" s="112">
        <v>4.2600000000002183</v>
      </c>
      <c r="F36" s="25">
        <f t="shared" si="0"/>
        <v>8520.0000000004366</v>
      </c>
      <c r="G36" s="26">
        <f t="shared" si="1"/>
        <v>8822460.0000004526</v>
      </c>
      <c r="H36" s="104">
        <v>0.88999999999998636</v>
      </c>
      <c r="I36" s="25">
        <f t="shared" si="2"/>
        <v>1779.9999999999727</v>
      </c>
      <c r="J36" s="26">
        <f t="shared" si="3"/>
        <v>2764784.9999999576</v>
      </c>
      <c r="K36" s="24">
        <f t="shared" si="4"/>
        <v>11587245.00000041</v>
      </c>
      <c r="L36" s="27">
        <f t="shared" si="5"/>
        <v>12745969.500000453</v>
      </c>
      <c r="M36" s="28">
        <f t="shared" si="6"/>
        <v>886.30620262849959</v>
      </c>
      <c r="N36" s="29"/>
    </row>
    <row r="37" spans="1:16">
      <c r="A37" s="20"/>
      <c r="B37" s="22">
        <v>30</v>
      </c>
      <c r="C37" s="108">
        <v>31</v>
      </c>
      <c r="D37" s="111">
        <v>89</v>
      </c>
      <c r="E37" s="112">
        <v>4.2199999999997999</v>
      </c>
      <c r="F37" s="25">
        <f t="shared" ref="F37" si="7">E37*2000</f>
        <v>8439.9999999995998</v>
      </c>
      <c r="G37" s="26">
        <f>F37*1035.5</f>
        <v>8739619.9999995865</v>
      </c>
      <c r="H37" s="104">
        <v>0.89999999999997726</v>
      </c>
      <c r="I37" s="25">
        <f t="shared" ref="I37" si="8">H37*2000</f>
        <v>1799.9999999999545</v>
      </c>
      <c r="J37" s="26">
        <f t="shared" ref="J37" si="9">I37*1553.25</f>
        <v>2795849.9999999292</v>
      </c>
      <c r="K37" s="24">
        <f t="shared" ref="K37" si="10">G37+J37</f>
        <v>11535469.999999516</v>
      </c>
      <c r="L37" s="27">
        <f t="shared" ref="L37" si="11">K37*1.1</f>
        <v>12689016.999999469</v>
      </c>
      <c r="M37" s="28">
        <f t="shared" ref="M37" si="12">L37/14381</f>
        <v>882.34594256306718</v>
      </c>
      <c r="N37" s="29"/>
    </row>
    <row r="38" spans="1:16">
      <c r="A38" s="20"/>
      <c r="B38" s="22">
        <v>31</v>
      </c>
      <c r="C38" s="108">
        <v>38</v>
      </c>
      <c r="D38" s="111">
        <v>89</v>
      </c>
      <c r="E38" s="112">
        <v>4.2800000000002001</v>
      </c>
      <c r="F38" s="25">
        <f t="shared" si="0"/>
        <v>8560.0000000004002</v>
      </c>
      <c r="G38" s="26">
        <f>F38*1035.5</f>
        <v>8863880.0000004135</v>
      </c>
      <c r="H38" s="104">
        <v>0.86000000000001364</v>
      </c>
      <c r="I38" s="25">
        <f t="shared" si="2"/>
        <v>1720.0000000000273</v>
      </c>
      <c r="J38" s="26">
        <f t="shared" si="3"/>
        <v>2671590.0000000424</v>
      </c>
      <c r="K38" s="24">
        <f t="shared" si="4"/>
        <v>11535470.000000456</v>
      </c>
      <c r="L38" s="27">
        <f t="shared" si="5"/>
        <v>12689017.000000503</v>
      </c>
      <c r="M38" s="28">
        <f t="shared" si="6"/>
        <v>882.34594256313903</v>
      </c>
      <c r="N38" s="29"/>
    </row>
    <row r="39" spans="1:16">
      <c r="C39" s="30">
        <f>SUM(C8:C38)</f>
        <v>1227</v>
      </c>
      <c r="D39" s="30">
        <f>SUM(D8:D38)</f>
        <v>5353</v>
      </c>
      <c r="F39" s="30">
        <f>SUM(F8:F38)</f>
        <v>262399.99999999965</v>
      </c>
      <c r="I39" s="30">
        <f>SUM(I8:I38)</f>
        <v>54980.000000000015</v>
      </c>
      <c r="L39" s="32">
        <f>SUM(L8:L38)</f>
        <v>392824173.49999958</v>
      </c>
      <c r="M39" s="33">
        <f>SUM(M8:M38)</f>
        <v>27315.49777484178</v>
      </c>
      <c r="N39" s="34"/>
      <c r="P39" s="35"/>
    </row>
    <row r="41" spans="1:16">
      <c r="G41" s="78" t="s">
        <v>28</v>
      </c>
      <c r="H41" s="79"/>
      <c r="I41" s="80">
        <f>F39+I39</f>
        <v>317379.99999999965</v>
      </c>
      <c r="M41" s="36"/>
      <c r="P41" s="37"/>
    </row>
    <row r="42" spans="1:16">
      <c r="M42" s="38"/>
    </row>
  </sheetData>
  <mergeCells count="17"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18" workbookViewId="0">
      <selection activeCell="I36" sqref="I36:I39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style="31" customWidth="1"/>
    <col min="4" max="4" width="8.42578125" style="19" customWidth="1"/>
    <col min="5" max="5" width="11" style="31" customWidth="1"/>
    <col min="6" max="6" width="9.42578125" style="121" customWidth="1"/>
    <col min="7" max="7" width="11.140625" style="31" customWidth="1"/>
    <col min="8" max="8" width="9.42578125" style="31" customWidth="1"/>
    <col min="9" max="9" width="7.140625" style="126" customWidth="1"/>
    <col min="10" max="10" width="13.7109375" style="31" customWidth="1"/>
    <col min="11" max="11" width="11.140625" style="31" customWidth="1"/>
    <col min="12" max="12" width="6.7109375" style="31" customWidth="1"/>
    <col min="13" max="13" width="13.7109375" style="61" customWidth="1"/>
    <col min="14" max="14" width="8.7109375" style="31" customWidth="1"/>
    <col min="15" max="15" width="6.42578125" style="31" customWidth="1"/>
    <col min="16" max="16" width="11.140625" style="31" customWidth="1"/>
    <col min="17" max="17" width="15" style="19" customWidth="1"/>
    <col min="18" max="18" width="16.28515625" style="31" customWidth="1"/>
    <col min="19" max="19" width="2.42578125" customWidth="1"/>
    <col min="21" max="21" width="21.42578125" customWidth="1"/>
  </cols>
  <sheetData>
    <row r="1" spans="1:21" ht="15.95">
      <c r="B1" s="128" t="s">
        <v>29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</row>
    <row r="2" spans="1:21" ht="15.95">
      <c r="B2" s="128" t="s">
        <v>16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</row>
    <row r="3" spans="1:21">
      <c r="E3" s="39"/>
      <c r="F3" s="40"/>
      <c r="G3" s="40"/>
      <c r="H3" s="40"/>
      <c r="I3" s="122"/>
      <c r="J3" s="40"/>
      <c r="K3" s="40"/>
      <c r="L3" s="40"/>
      <c r="M3" s="41"/>
      <c r="N3" s="39"/>
      <c r="O3" s="40"/>
      <c r="P3" s="40"/>
      <c r="Q3" s="42"/>
    </row>
    <row r="4" spans="1:21">
      <c r="A4" s="16"/>
      <c r="B4" s="133">
        <v>44927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6"/>
    </row>
    <row r="5" spans="1:21">
      <c r="A5" s="17"/>
      <c r="B5" s="127" t="s">
        <v>17</v>
      </c>
      <c r="C5" s="127" t="s">
        <v>18</v>
      </c>
      <c r="D5" s="127" t="s">
        <v>13</v>
      </c>
      <c r="E5" s="134" t="s">
        <v>30</v>
      </c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5" t="s">
        <v>31</v>
      </c>
      <c r="R5" s="135"/>
      <c r="S5" s="18"/>
    </row>
    <row r="6" spans="1:21" s="19" customFormat="1">
      <c r="A6" s="17"/>
      <c r="B6" s="127"/>
      <c r="C6" s="127"/>
      <c r="D6" s="127"/>
      <c r="E6" s="134" t="s">
        <v>32</v>
      </c>
      <c r="F6" s="134"/>
      <c r="G6" s="134"/>
      <c r="H6" s="134" t="s">
        <v>33</v>
      </c>
      <c r="I6" s="134"/>
      <c r="J6" s="134"/>
      <c r="K6" s="134" t="s">
        <v>34</v>
      </c>
      <c r="L6" s="134"/>
      <c r="M6" s="134"/>
      <c r="N6" s="136" t="s">
        <v>35</v>
      </c>
      <c r="O6" s="136"/>
      <c r="P6" s="136"/>
      <c r="Q6" s="135"/>
      <c r="R6" s="135"/>
      <c r="S6" s="18"/>
    </row>
    <row r="7" spans="1:21" ht="24">
      <c r="A7" s="20"/>
      <c r="B7" s="127"/>
      <c r="C7" s="127"/>
      <c r="D7" s="127"/>
      <c r="E7" s="127" t="s">
        <v>36</v>
      </c>
      <c r="F7" s="137" t="s">
        <v>37</v>
      </c>
      <c r="G7" s="43" t="s">
        <v>38</v>
      </c>
      <c r="H7" s="127" t="s">
        <v>39</v>
      </c>
      <c r="I7" s="132" t="s">
        <v>37</v>
      </c>
      <c r="J7" s="43" t="s">
        <v>38</v>
      </c>
      <c r="K7" s="127" t="s">
        <v>36</v>
      </c>
      <c r="L7" s="127" t="s">
        <v>37</v>
      </c>
      <c r="M7" s="43" t="s">
        <v>40</v>
      </c>
      <c r="N7" s="127" t="s">
        <v>41</v>
      </c>
      <c r="O7" s="127" t="s">
        <v>37</v>
      </c>
      <c r="P7" s="43" t="s">
        <v>40</v>
      </c>
      <c r="Q7" s="135"/>
      <c r="R7" s="135"/>
      <c r="S7" s="21"/>
    </row>
    <row r="8" spans="1:21">
      <c r="A8" s="20"/>
      <c r="B8" s="127"/>
      <c r="C8" s="127"/>
      <c r="D8" s="127"/>
      <c r="E8" s="127"/>
      <c r="F8" s="138"/>
      <c r="G8" s="44">
        <v>15840</v>
      </c>
      <c r="H8" s="127"/>
      <c r="I8" s="132"/>
      <c r="J8" s="44">
        <f>G8</f>
        <v>15840</v>
      </c>
      <c r="K8" s="127"/>
      <c r="L8" s="127"/>
      <c r="M8" s="44">
        <f>J8</f>
        <v>15840</v>
      </c>
      <c r="N8" s="127"/>
      <c r="O8" s="127"/>
      <c r="P8" s="44">
        <f>J8</f>
        <v>15840</v>
      </c>
      <c r="Q8" s="45" t="s">
        <v>42</v>
      </c>
      <c r="R8" s="43" t="s">
        <v>23</v>
      </c>
      <c r="S8" s="21"/>
      <c r="U8">
        <f>792000/50</f>
        <v>15840</v>
      </c>
    </row>
    <row r="9" spans="1:21">
      <c r="A9" s="20"/>
      <c r="B9" s="22">
        <v>1</v>
      </c>
      <c r="C9" s="46">
        <f>Electricity!C8</f>
        <v>54</v>
      </c>
      <c r="D9" s="47">
        <f>Electricity!D8</f>
        <v>247</v>
      </c>
      <c r="E9" s="101">
        <v>14551.12</v>
      </c>
      <c r="F9" s="117">
        <v>110.40748000000673</v>
      </c>
      <c r="G9" s="49">
        <f>F9*$G$8</f>
        <v>1748854.4832001065</v>
      </c>
      <c r="H9" s="105">
        <v>2038.36</v>
      </c>
      <c r="I9" s="123">
        <v>19.29411999999985</v>
      </c>
      <c r="J9" s="49">
        <f>I9*$J$8</f>
        <v>305618.86079999764</v>
      </c>
      <c r="K9" s="48"/>
      <c r="L9" s="24">
        <v>0</v>
      </c>
      <c r="M9" s="25">
        <f>L9*$M$8</f>
        <v>0</v>
      </c>
      <c r="N9" s="48"/>
      <c r="O9" s="24">
        <v>0</v>
      </c>
      <c r="P9" s="50">
        <f>O9*$P$8</f>
        <v>0</v>
      </c>
      <c r="Q9" s="51">
        <f>P9+G9+J9+M9</f>
        <v>2054473.3440001041</v>
      </c>
      <c r="R9" s="52">
        <f>Q9/14381</f>
        <v>142.86025617134442</v>
      </c>
      <c r="S9" s="21"/>
    </row>
    <row r="10" spans="1:21">
      <c r="A10" s="20"/>
      <c r="B10" s="22">
        <v>2</v>
      </c>
      <c r="C10" s="46">
        <f>Electricity!C9</f>
        <v>51</v>
      </c>
      <c r="D10" s="47">
        <f>Electricity!D9</f>
        <v>227</v>
      </c>
      <c r="E10" s="101">
        <v>14575.81</v>
      </c>
      <c r="F10" s="117">
        <v>99.451319999994709</v>
      </c>
      <c r="G10" s="49">
        <f>F10*$G$8</f>
        <v>1575308.9087999163</v>
      </c>
      <c r="H10" s="105">
        <v>2043.02</v>
      </c>
      <c r="I10" s="123">
        <v>18.770480000000326</v>
      </c>
      <c r="J10" s="49">
        <f>I10*$J$8</f>
        <v>297324.40320000518</v>
      </c>
      <c r="K10" s="48"/>
      <c r="L10" s="24">
        <v>0</v>
      </c>
      <c r="M10" s="25">
        <f t="shared" ref="M10:M39" si="0">L10*$M$8</f>
        <v>0</v>
      </c>
      <c r="N10" s="48"/>
      <c r="O10" s="24">
        <v>0</v>
      </c>
      <c r="P10" s="50">
        <f>O10*$P$8</f>
        <v>0</v>
      </c>
      <c r="Q10" s="51">
        <f>J10+M10+G10+P10</f>
        <v>1872633.3119999215</v>
      </c>
      <c r="R10" s="52">
        <f t="shared" ref="R10:R39" si="1">Q10/14381</f>
        <v>130.21579250399287</v>
      </c>
      <c r="S10" s="21"/>
    </row>
    <row r="11" spans="1:21">
      <c r="A11" s="20"/>
      <c r="B11" s="22">
        <v>3</v>
      </c>
      <c r="C11" s="46">
        <f>Electricity!C10</f>
        <v>50</v>
      </c>
      <c r="D11" s="47">
        <f>Electricity!D10</f>
        <v>307</v>
      </c>
      <c r="E11" s="101">
        <v>14598.3</v>
      </c>
      <c r="F11" s="117">
        <v>90.589719999999105</v>
      </c>
      <c r="G11" s="49">
        <f t="shared" ref="G11:G39" si="2">F11*$G$8</f>
        <v>1434941.1647999857</v>
      </c>
      <c r="H11" s="105">
        <v>2048.9899999999998</v>
      </c>
      <c r="I11" s="123">
        <v>24.047159999999192</v>
      </c>
      <c r="J11" s="49">
        <f t="shared" ref="J11:J39" si="3">I11*$J$8</f>
        <v>380907.01439998718</v>
      </c>
      <c r="K11" s="48"/>
      <c r="L11" s="24">
        <v>0</v>
      </c>
      <c r="M11" s="25">
        <f t="shared" si="0"/>
        <v>0</v>
      </c>
      <c r="N11" s="48"/>
      <c r="O11" s="24">
        <v>0</v>
      </c>
      <c r="P11" s="50">
        <f t="shared" ref="P11:P39" si="4">O11*$P$8</f>
        <v>0</v>
      </c>
      <c r="Q11" s="51">
        <f t="shared" ref="Q11:Q39" si="5">J11+M11+G11+P11</f>
        <v>1815848.1791999729</v>
      </c>
      <c r="R11" s="52">
        <f t="shared" si="1"/>
        <v>126.26717051665203</v>
      </c>
      <c r="S11" s="21"/>
    </row>
    <row r="12" spans="1:21">
      <c r="A12" s="20"/>
      <c r="B12" s="22">
        <v>4</v>
      </c>
      <c r="C12" s="46">
        <f>Electricity!C11</f>
        <v>50</v>
      </c>
      <c r="D12" s="47">
        <f>Electricity!D11</f>
        <v>342</v>
      </c>
      <c r="E12" s="101">
        <v>14624.04</v>
      </c>
      <c r="F12" s="117">
        <v>103.68072000000643</v>
      </c>
      <c r="G12" s="49">
        <f t="shared" si="2"/>
        <v>1642302.6048001018</v>
      </c>
      <c r="H12" s="105">
        <v>2054.2800000000002</v>
      </c>
      <c r="I12" s="123">
        <v>21.308120000001683</v>
      </c>
      <c r="J12" s="49">
        <f t="shared" si="3"/>
        <v>337520.62080002663</v>
      </c>
      <c r="K12" s="48"/>
      <c r="L12" s="24">
        <v>0</v>
      </c>
      <c r="M12" s="25">
        <f t="shared" si="0"/>
        <v>0</v>
      </c>
      <c r="N12" s="48"/>
      <c r="O12" s="24">
        <v>0</v>
      </c>
      <c r="P12" s="50">
        <f t="shared" si="4"/>
        <v>0</v>
      </c>
      <c r="Q12" s="51">
        <f t="shared" si="5"/>
        <v>1979823.2256001285</v>
      </c>
      <c r="R12" s="52">
        <f t="shared" si="1"/>
        <v>137.66937108685966</v>
      </c>
      <c r="S12" s="21"/>
    </row>
    <row r="13" spans="1:21">
      <c r="A13" s="20"/>
      <c r="B13" s="22">
        <v>5</v>
      </c>
      <c r="C13" s="46">
        <f>Electricity!C12</f>
        <v>48</v>
      </c>
      <c r="D13" s="47">
        <f>Electricity!D12</f>
        <v>262</v>
      </c>
      <c r="E13" s="101">
        <v>14648.66</v>
      </c>
      <c r="F13" s="117">
        <v>99.169359999995891</v>
      </c>
      <c r="G13" s="49">
        <f t="shared" si="2"/>
        <v>1570842.6623999348</v>
      </c>
      <c r="H13" s="105">
        <v>2059.1799999999998</v>
      </c>
      <c r="I13" s="123">
        <v>19.737199999998534</v>
      </c>
      <c r="J13" s="49">
        <f t="shared" si="3"/>
        <v>312637.2479999768</v>
      </c>
      <c r="K13" s="48"/>
      <c r="L13" s="24">
        <v>0</v>
      </c>
      <c r="M13" s="25">
        <f t="shared" si="0"/>
        <v>0</v>
      </c>
      <c r="N13" s="48"/>
      <c r="O13" s="24">
        <v>0</v>
      </c>
      <c r="P13" s="50">
        <f t="shared" si="4"/>
        <v>0</v>
      </c>
      <c r="Q13" s="51">
        <f t="shared" si="5"/>
        <v>1883479.9103999117</v>
      </c>
      <c r="R13" s="52">
        <f t="shared" si="1"/>
        <v>130.97002367011416</v>
      </c>
      <c r="S13" s="21"/>
    </row>
    <row r="14" spans="1:21">
      <c r="A14" s="20"/>
      <c r="B14" s="22">
        <v>6</v>
      </c>
      <c r="C14" s="46">
        <f>Electricity!C13</f>
        <v>45</v>
      </c>
      <c r="D14" s="47">
        <f>Electricity!D13</f>
        <v>210</v>
      </c>
      <c r="E14" s="101">
        <v>14673.12</v>
      </c>
      <c r="F14" s="117">
        <v>98.524880000003805</v>
      </c>
      <c r="G14" s="49">
        <f t="shared" si="2"/>
        <v>1560634.0992000604</v>
      </c>
      <c r="H14" s="105">
        <v>2064.31</v>
      </c>
      <c r="I14" s="123">
        <v>20.663640000000438</v>
      </c>
      <c r="J14" s="49">
        <f t="shared" si="3"/>
        <v>327312.05760000693</v>
      </c>
      <c r="K14" s="48"/>
      <c r="L14" s="24">
        <v>0</v>
      </c>
      <c r="M14" s="25">
        <f t="shared" si="0"/>
        <v>0</v>
      </c>
      <c r="N14" s="48"/>
      <c r="O14" s="24">
        <v>0</v>
      </c>
      <c r="P14" s="50">
        <f t="shared" si="4"/>
        <v>0</v>
      </c>
      <c r="Q14" s="51">
        <f t="shared" si="5"/>
        <v>1887946.1568000673</v>
      </c>
      <c r="R14" s="52">
        <f t="shared" si="1"/>
        <v>131.28058944441048</v>
      </c>
      <c r="S14" s="21"/>
    </row>
    <row r="15" spans="1:21">
      <c r="A15" s="20"/>
      <c r="B15" s="22">
        <v>7</v>
      </c>
      <c r="C15" s="46">
        <f>Electricity!C14</f>
        <v>51</v>
      </c>
      <c r="D15" s="47">
        <f>Electricity!D14</f>
        <v>191</v>
      </c>
      <c r="E15" s="101">
        <v>14695.32</v>
      </c>
      <c r="F15" s="117">
        <v>89.421599999995593</v>
      </c>
      <c r="G15" s="49">
        <f t="shared" si="2"/>
        <v>1416438.1439999302</v>
      </c>
      <c r="H15" s="105">
        <v>2068.87</v>
      </c>
      <c r="I15" s="123">
        <v>18.36767999999978</v>
      </c>
      <c r="J15" s="49">
        <f t="shared" si="3"/>
        <v>290944.05119999649</v>
      </c>
      <c r="K15" s="48"/>
      <c r="L15" s="24">
        <v>0</v>
      </c>
      <c r="M15" s="25">
        <f t="shared" si="0"/>
        <v>0</v>
      </c>
      <c r="N15" s="48"/>
      <c r="O15" s="24">
        <v>0</v>
      </c>
      <c r="P15" s="50">
        <f t="shared" si="4"/>
        <v>0</v>
      </c>
      <c r="Q15" s="51">
        <f t="shared" si="5"/>
        <v>1707382.1951999268</v>
      </c>
      <c r="R15" s="52">
        <f t="shared" si="1"/>
        <v>118.72485885542916</v>
      </c>
      <c r="S15" s="21"/>
    </row>
    <row r="16" spans="1:21">
      <c r="A16" s="20"/>
      <c r="B16" s="22">
        <v>8</v>
      </c>
      <c r="C16" s="46">
        <f>Electricity!C15</f>
        <v>50</v>
      </c>
      <c r="D16" s="47">
        <f>Electricity!D15</f>
        <v>210</v>
      </c>
      <c r="E16" s="101">
        <v>14717.44</v>
      </c>
      <c r="F16" s="117">
        <v>89.099360000003216</v>
      </c>
      <c r="G16" s="49">
        <f t="shared" si="2"/>
        <v>1411333.862400051</v>
      </c>
      <c r="H16" s="105">
        <v>2074.7600000000002</v>
      </c>
      <c r="I16" s="123">
        <v>23.724920000001315</v>
      </c>
      <c r="J16" s="49">
        <f t="shared" si="3"/>
        <v>375802.73280002084</v>
      </c>
      <c r="K16" s="48"/>
      <c r="L16" s="24">
        <v>0</v>
      </c>
      <c r="M16" s="25">
        <f t="shared" si="0"/>
        <v>0</v>
      </c>
      <c r="N16" s="48"/>
      <c r="O16" s="24">
        <v>0</v>
      </c>
      <c r="P16" s="50">
        <f t="shared" si="4"/>
        <v>0</v>
      </c>
      <c r="Q16" s="51">
        <f t="shared" si="5"/>
        <v>1787136.5952000718</v>
      </c>
      <c r="R16" s="52">
        <f t="shared" si="1"/>
        <v>124.27067625339488</v>
      </c>
      <c r="S16" s="21"/>
    </row>
    <row r="17" spans="1:19">
      <c r="A17" s="20"/>
      <c r="B17" s="22">
        <v>9</v>
      </c>
      <c r="C17" s="46">
        <f>Electricity!C16</f>
        <v>48</v>
      </c>
      <c r="D17" s="47">
        <f>Electricity!D16</f>
        <v>187</v>
      </c>
      <c r="E17" s="101">
        <v>14741.82</v>
      </c>
      <c r="F17" s="117">
        <v>98.202639999996762</v>
      </c>
      <c r="G17" s="49">
        <f t="shared" si="2"/>
        <v>1555529.8175999487</v>
      </c>
      <c r="H17" s="105">
        <v>2079.44</v>
      </c>
      <c r="I17" s="123">
        <v>18.85103999999934</v>
      </c>
      <c r="J17" s="49">
        <f t="shared" si="3"/>
        <v>298600.47359998955</v>
      </c>
      <c r="K17" s="48"/>
      <c r="L17" s="24">
        <v>0</v>
      </c>
      <c r="M17" s="25">
        <f t="shared" si="0"/>
        <v>0</v>
      </c>
      <c r="N17" s="48"/>
      <c r="O17" s="24">
        <v>0</v>
      </c>
      <c r="P17" s="50">
        <f t="shared" si="4"/>
        <v>0</v>
      </c>
      <c r="Q17" s="51">
        <f t="shared" si="5"/>
        <v>1854130.2911999384</v>
      </c>
      <c r="R17" s="52">
        <f t="shared" si="1"/>
        <v>128.92916286766834</v>
      </c>
      <c r="S17" s="21"/>
    </row>
    <row r="18" spans="1:19">
      <c r="A18" s="20"/>
      <c r="B18" s="22">
        <v>10</v>
      </c>
      <c r="C18" s="46">
        <f>Electricity!C17</f>
        <v>41</v>
      </c>
      <c r="D18" s="47">
        <f>Electricity!D17</f>
        <v>177</v>
      </c>
      <c r="E18" s="101">
        <v>14762.27</v>
      </c>
      <c r="F18" s="117">
        <v>82.372600000002919</v>
      </c>
      <c r="G18" s="49">
        <f t="shared" si="2"/>
        <v>1304781.9840000463</v>
      </c>
      <c r="H18" s="105">
        <v>2084.71</v>
      </c>
      <c r="I18" s="123">
        <v>21.227559999999926</v>
      </c>
      <c r="J18" s="49">
        <f t="shared" si="3"/>
        <v>336244.55039999884</v>
      </c>
      <c r="K18" s="48"/>
      <c r="L18" s="24">
        <v>0</v>
      </c>
      <c r="M18" s="25">
        <f t="shared" si="0"/>
        <v>0</v>
      </c>
      <c r="N18" s="48"/>
      <c r="O18" s="24">
        <v>0</v>
      </c>
      <c r="P18" s="50">
        <f t="shared" si="4"/>
        <v>0</v>
      </c>
      <c r="Q18" s="51">
        <f t="shared" si="5"/>
        <v>1641026.5344000452</v>
      </c>
      <c r="R18" s="52">
        <f t="shared" si="1"/>
        <v>114.11073878033831</v>
      </c>
      <c r="S18" s="21"/>
    </row>
    <row r="19" spans="1:19">
      <c r="A19" s="20"/>
      <c r="B19" s="22">
        <v>11</v>
      </c>
      <c r="C19" s="46">
        <f>Electricity!C18</f>
        <v>39</v>
      </c>
      <c r="D19" s="47">
        <f>Electricity!D18</f>
        <v>185</v>
      </c>
      <c r="E19" s="101">
        <v>14785.19</v>
      </c>
      <c r="F19" s="117">
        <v>92.321760000000282</v>
      </c>
      <c r="G19" s="49">
        <f t="shared" si="2"/>
        <v>1462376.6784000045</v>
      </c>
      <c r="H19" s="105">
        <v>2090.91</v>
      </c>
      <c r="I19" s="123">
        <v>24.973599999999266</v>
      </c>
      <c r="J19" s="49">
        <f t="shared" si="3"/>
        <v>395581.82399998838</v>
      </c>
      <c r="K19" s="48"/>
      <c r="L19" s="24">
        <v>0</v>
      </c>
      <c r="M19" s="25">
        <f t="shared" si="0"/>
        <v>0</v>
      </c>
      <c r="N19" s="48"/>
      <c r="O19" s="24">
        <v>0</v>
      </c>
      <c r="P19" s="50">
        <f t="shared" si="4"/>
        <v>0</v>
      </c>
      <c r="Q19" s="51">
        <f t="shared" si="5"/>
        <v>1857958.5023999929</v>
      </c>
      <c r="R19" s="52">
        <f t="shared" si="1"/>
        <v>129.195362102774</v>
      </c>
      <c r="S19" s="21"/>
    </row>
    <row r="20" spans="1:19">
      <c r="A20" s="20"/>
      <c r="B20" s="22">
        <v>12</v>
      </c>
      <c r="C20" s="46">
        <f>Electricity!C19</f>
        <v>32</v>
      </c>
      <c r="D20" s="47">
        <f>Electricity!D19</f>
        <v>169</v>
      </c>
      <c r="E20" s="101">
        <v>14809.3</v>
      </c>
      <c r="F20" s="117">
        <v>97.115079999995004</v>
      </c>
      <c r="G20" s="49">
        <f t="shared" si="2"/>
        <v>1538302.8671999208</v>
      </c>
      <c r="H20" s="105">
        <v>2096.9499999999998</v>
      </c>
      <c r="I20" s="123">
        <v>24.32911999999985</v>
      </c>
      <c r="J20" s="49">
        <f t="shared" si="3"/>
        <v>385373.2607999976</v>
      </c>
      <c r="K20" s="48"/>
      <c r="L20" s="24">
        <v>0</v>
      </c>
      <c r="M20" s="25">
        <f t="shared" si="0"/>
        <v>0</v>
      </c>
      <c r="N20" s="48"/>
      <c r="O20" s="24">
        <v>0</v>
      </c>
      <c r="P20" s="50">
        <f t="shared" si="4"/>
        <v>0</v>
      </c>
      <c r="Q20" s="51">
        <f t="shared" si="5"/>
        <v>1923676.1279999185</v>
      </c>
      <c r="R20" s="52">
        <f t="shared" si="1"/>
        <v>133.76511563868428</v>
      </c>
      <c r="S20" s="21"/>
    </row>
    <row r="21" spans="1:19">
      <c r="A21" s="20"/>
      <c r="B21" s="22">
        <v>13</v>
      </c>
      <c r="C21" s="46">
        <f>Electricity!C20</f>
        <v>33</v>
      </c>
      <c r="D21" s="47">
        <f>Electricity!D20</f>
        <v>154</v>
      </c>
      <c r="E21" s="101">
        <v>14831.43</v>
      </c>
      <c r="F21" s="117">
        <v>89.139640000004093</v>
      </c>
      <c r="G21" s="49">
        <f t="shared" si="2"/>
        <v>1411971.8976000648</v>
      </c>
      <c r="H21" s="105">
        <v>2102.38</v>
      </c>
      <c r="I21" s="123">
        <v>21.872040000001171</v>
      </c>
      <c r="J21" s="49">
        <f t="shared" si="3"/>
        <v>346453.11360001855</v>
      </c>
      <c r="K21" s="48"/>
      <c r="L21" s="24">
        <v>0</v>
      </c>
      <c r="M21" s="25">
        <f t="shared" si="0"/>
        <v>0</v>
      </c>
      <c r="N21" s="48"/>
      <c r="O21" s="24">
        <v>0</v>
      </c>
      <c r="P21" s="50">
        <f t="shared" si="4"/>
        <v>0</v>
      </c>
      <c r="Q21" s="51">
        <f t="shared" si="5"/>
        <v>1758425.0112000834</v>
      </c>
      <c r="R21" s="52">
        <f t="shared" si="1"/>
        <v>122.27418199013167</v>
      </c>
      <c r="S21" s="21"/>
    </row>
    <row r="22" spans="1:19">
      <c r="A22" s="20"/>
      <c r="B22" s="22">
        <v>14</v>
      </c>
      <c r="C22" s="46">
        <f>Electricity!C21</f>
        <v>26</v>
      </c>
      <c r="D22" s="47">
        <f>Electricity!D21</f>
        <v>131</v>
      </c>
      <c r="E22" s="101">
        <v>14851.11</v>
      </c>
      <c r="F22" s="117">
        <v>79.271040000001165</v>
      </c>
      <c r="G22" s="49">
        <f t="shared" si="2"/>
        <v>1255653.2736000184</v>
      </c>
      <c r="H22" s="105">
        <v>2107.5700000000002</v>
      </c>
      <c r="I22" s="123">
        <v>20.905320000000216</v>
      </c>
      <c r="J22" s="49">
        <f t="shared" si="3"/>
        <v>331140.26880000345</v>
      </c>
      <c r="K22" s="48"/>
      <c r="L22" s="24">
        <v>0</v>
      </c>
      <c r="M22" s="25">
        <f t="shared" si="0"/>
        <v>0</v>
      </c>
      <c r="N22" s="48"/>
      <c r="O22" s="24">
        <v>0</v>
      </c>
      <c r="P22" s="50">
        <f t="shared" si="4"/>
        <v>0</v>
      </c>
      <c r="Q22" s="51">
        <f t="shared" si="5"/>
        <v>1586793.5424000218</v>
      </c>
      <c r="R22" s="52">
        <f t="shared" si="1"/>
        <v>110.33958294972685</v>
      </c>
      <c r="S22" s="21"/>
    </row>
    <row r="23" spans="1:19">
      <c r="A23" s="20"/>
      <c r="B23" s="22">
        <v>15</v>
      </c>
      <c r="C23" s="46">
        <f>Electricity!C22</f>
        <v>27</v>
      </c>
      <c r="D23" s="47">
        <f>Electricity!D22</f>
        <v>123</v>
      </c>
      <c r="E23" s="101">
        <v>14873.49</v>
      </c>
      <c r="F23" s="117">
        <v>90.146639999996765</v>
      </c>
      <c r="G23" s="49">
        <f t="shared" si="2"/>
        <v>1427922.7775999487</v>
      </c>
      <c r="H23" s="105">
        <v>2112.41</v>
      </c>
      <c r="I23" s="123">
        <v>19.495519999998752</v>
      </c>
      <c r="J23" s="49">
        <f t="shared" si="3"/>
        <v>308809.03679998021</v>
      </c>
      <c r="K23" s="48"/>
      <c r="L23" s="24">
        <v>0</v>
      </c>
      <c r="M23" s="25">
        <f t="shared" si="0"/>
        <v>0</v>
      </c>
      <c r="N23" s="48"/>
      <c r="O23" s="24">
        <v>0</v>
      </c>
      <c r="P23" s="50">
        <f t="shared" si="4"/>
        <v>0</v>
      </c>
      <c r="Q23" s="51">
        <f t="shared" si="5"/>
        <v>1736731.8143999288</v>
      </c>
      <c r="R23" s="52">
        <f t="shared" si="1"/>
        <v>120.76571965787697</v>
      </c>
      <c r="S23" s="21"/>
    </row>
    <row r="24" spans="1:19">
      <c r="A24" s="20"/>
      <c r="B24" s="22">
        <v>16</v>
      </c>
      <c r="C24" s="46">
        <f>Electricity!C23</f>
        <v>31</v>
      </c>
      <c r="D24" s="47">
        <f>Electricity!D23</f>
        <v>98</v>
      </c>
      <c r="E24" s="101">
        <v>14894.98</v>
      </c>
      <c r="F24" s="117">
        <v>86.561719999999113</v>
      </c>
      <c r="G24" s="49">
        <f t="shared" si="2"/>
        <v>1371137.6447999859</v>
      </c>
      <c r="H24" s="105">
        <v>2117.79</v>
      </c>
      <c r="I24" s="123">
        <v>21.670640000000436</v>
      </c>
      <c r="J24" s="49">
        <f t="shared" si="3"/>
        <v>343262.93760000693</v>
      </c>
      <c r="K24" s="48"/>
      <c r="L24" s="24">
        <v>0</v>
      </c>
      <c r="M24" s="25">
        <f t="shared" si="0"/>
        <v>0</v>
      </c>
      <c r="N24" s="48"/>
      <c r="O24" s="24">
        <v>0</v>
      </c>
      <c r="P24" s="50">
        <f t="shared" si="4"/>
        <v>0</v>
      </c>
      <c r="Q24" s="51">
        <f t="shared" si="5"/>
        <v>1714400.5823999927</v>
      </c>
      <c r="R24" s="52">
        <f t="shared" si="1"/>
        <v>119.21289078645384</v>
      </c>
      <c r="S24" s="21"/>
    </row>
    <row r="25" spans="1:19">
      <c r="A25" s="20"/>
      <c r="B25" s="22">
        <v>17</v>
      </c>
      <c r="C25" s="46">
        <f>Electricity!C24</f>
        <v>33</v>
      </c>
      <c r="D25" s="47">
        <f>Electricity!D24</f>
        <v>96</v>
      </c>
      <c r="E25" s="101">
        <v>14914.13</v>
      </c>
      <c r="F25" s="117">
        <v>77.136199999998524</v>
      </c>
      <c r="G25" s="49">
        <f t="shared" si="2"/>
        <v>1221837.4079999765</v>
      </c>
      <c r="H25" s="105">
        <v>2123.83</v>
      </c>
      <c r="I25" s="123">
        <v>24.32911999999985</v>
      </c>
      <c r="J25" s="49">
        <f t="shared" si="3"/>
        <v>385373.2607999976</v>
      </c>
      <c r="K25" s="48"/>
      <c r="L25" s="24">
        <v>0</v>
      </c>
      <c r="M25" s="25">
        <f t="shared" si="0"/>
        <v>0</v>
      </c>
      <c r="N25" s="48"/>
      <c r="O25" s="24">
        <v>0</v>
      </c>
      <c r="P25" s="50">
        <f t="shared" si="4"/>
        <v>0</v>
      </c>
      <c r="Q25" s="51">
        <f t="shared" si="5"/>
        <v>1607210.668799974</v>
      </c>
      <c r="R25" s="52">
        <f t="shared" si="1"/>
        <v>111.75931220360017</v>
      </c>
      <c r="S25" s="21"/>
    </row>
    <row r="26" spans="1:19">
      <c r="A26" s="20"/>
      <c r="B26" s="22">
        <v>18</v>
      </c>
      <c r="C26" s="46">
        <f>Electricity!C25</f>
        <v>40</v>
      </c>
      <c r="D26" s="47">
        <f>Electricity!D25</f>
        <v>110</v>
      </c>
      <c r="E26" s="101">
        <v>14936.21</v>
      </c>
      <c r="F26" s="117">
        <v>88.938239999999695</v>
      </c>
      <c r="G26" s="49">
        <f t="shared" si="2"/>
        <v>1408781.7215999952</v>
      </c>
      <c r="H26" s="105">
        <v>2130.1</v>
      </c>
      <c r="I26" s="123">
        <v>25.255559999999925</v>
      </c>
      <c r="J26" s="49">
        <f t="shared" si="3"/>
        <v>400048.0703999988</v>
      </c>
      <c r="K26" s="48"/>
      <c r="L26" s="24">
        <v>0</v>
      </c>
      <c r="M26" s="25">
        <f t="shared" si="0"/>
        <v>0</v>
      </c>
      <c r="N26" s="48"/>
      <c r="O26" s="24">
        <v>0</v>
      </c>
      <c r="P26" s="50">
        <f t="shared" si="4"/>
        <v>0</v>
      </c>
      <c r="Q26" s="51">
        <f t="shared" si="5"/>
        <v>1808829.7919999938</v>
      </c>
      <c r="R26" s="52">
        <f t="shared" si="1"/>
        <v>125.77913858563339</v>
      </c>
      <c r="S26" s="21"/>
    </row>
    <row r="27" spans="1:19">
      <c r="A27" s="20"/>
      <c r="B27" s="22">
        <v>19</v>
      </c>
      <c r="C27" s="46">
        <f>Electricity!C26</f>
        <v>34</v>
      </c>
      <c r="D27" s="47">
        <f>Electricity!D26</f>
        <v>175</v>
      </c>
      <c r="E27" s="101">
        <v>14957.32</v>
      </c>
      <c r="F27" s="117">
        <v>85.031080000002333</v>
      </c>
      <c r="G27" s="49">
        <f t="shared" si="2"/>
        <v>1346892.3072000369</v>
      </c>
      <c r="H27" s="105">
        <v>2132.66</v>
      </c>
      <c r="I27" s="123">
        <v>10.311679999999779</v>
      </c>
      <c r="J27" s="49">
        <f t="shared" si="3"/>
        <v>163337.01119999649</v>
      </c>
      <c r="K27" s="48"/>
      <c r="L27" s="24">
        <v>0</v>
      </c>
      <c r="M27" s="25">
        <f t="shared" si="0"/>
        <v>0</v>
      </c>
      <c r="N27" s="48"/>
      <c r="O27" s="24">
        <v>0</v>
      </c>
      <c r="P27" s="50">
        <f t="shared" si="4"/>
        <v>0</v>
      </c>
      <c r="Q27" s="51">
        <f t="shared" si="5"/>
        <v>1510229.3184000335</v>
      </c>
      <c r="R27" s="52">
        <f t="shared" si="1"/>
        <v>105.01559824769025</v>
      </c>
      <c r="S27" s="21"/>
    </row>
    <row r="28" spans="1:19">
      <c r="A28" s="20"/>
      <c r="B28" s="22">
        <v>20</v>
      </c>
      <c r="C28" s="46">
        <f>Electricity!C27</f>
        <v>44</v>
      </c>
      <c r="D28" s="47">
        <f>Electricity!D27</f>
        <v>146</v>
      </c>
      <c r="E28" s="101">
        <v>14979.24</v>
      </c>
      <c r="F28" s="117">
        <v>88.29376000000029</v>
      </c>
      <c r="G28" s="49">
        <f t="shared" si="2"/>
        <v>1398573.1584000045</v>
      </c>
      <c r="H28" s="105">
        <v>2140.61</v>
      </c>
      <c r="I28" s="123">
        <v>32.022600000001098</v>
      </c>
      <c r="J28" s="49">
        <f t="shared" si="3"/>
        <v>507237.9840000174</v>
      </c>
      <c r="K28" s="48"/>
      <c r="L28" s="24">
        <v>0</v>
      </c>
      <c r="M28" s="25">
        <f t="shared" si="0"/>
        <v>0</v>
      </c>
      <c r="N28" s="48"/>
      <c r="O28" s="24">
        <v>0</v>
      </c>
      <c r="P28" s="50">
        <f t="shared" si="4"/>
        <v>0</v>
      </c>
      <c r="Q28" s="51">
        <f t="shared" si="5"/>
        <v>1905811.1424000219</v>
      </c>
      <c r="R28" s="52">
        <f t="shared" si="1"/>
        <v>132.52285254154941</v>
      </c>
      <c r="S28" s="21"/>
    </row>
    <row r="29" spans="1:19">
      <c r="A29" s="20"/>
      <c r="B29" s="22">
        <v>21</v>
      </c>
      <c r="C29" s="46">
        <f>Electricity!C28</f>
        <v>43</v>
      </c>
      <c r="D29" s="47">
        <f>Electricity!D28</f>
        <v>196</v>
      </c>
      <c r="E29" s="101">
        <v>15001.83</v>
      </c>
      <c r="F29" s="117">
        <v>90.992520000000582</v>
      </c>
      <c r="G29" s="49">
        <f t="shared" si="2"/>
        <v>1441321.5168000092</v>
      </c>
      <c r="H29" s="105">
        <v>2145.2399999999998</v>
      </c>
      <c r="I29" s="123">
        <v>18.649639999998605</v>
      </c>
      <c r="J29" s="49">
        <f t="shared" si="3"/>
        <v>295410.29759997793</v>
      </c>
      <c r="K29" s="48"/>
      <c r="L29" s="24"/>
      <c r="M29" s="25">
        <f t="shared" si="0"/>
        <v>0</v>
      </c>
      <c r="N29" s="48"/>
      <c r="O29" s="24">
        <v>0</v>
      </c>
      <c r="P29" s="50">
        <f t="shared" si="4"/>
        <v>0</v>
      </c>
      <c r="Q29" s="51">
        <f t="shared" si="5"/>
        <v>1736731.814399987</v>
      </c>
      <c r="R29" s="52">
        <f t="shared" si="1"/>
        <v>120.76571965788102</v>
      </c>
      <c r="S29" s="21"/>
    </row>
    <row r="30" spans="1:19">
      <c r="A30" s="20"/>
      <c r="B30" s="22">
        <v>22</v>
      </c>
      <c r="C30" s="46">
        <f>Electricity!C29</f>
        <v>47</v>
      </c>
      <c r="D30" s="47">
        <f>Electricity!D29</f>
        <v>152</v>
      </c>
      <c r="E30" s="101">
        <v>15022.81</v>
      </c>
      <c r="F30" s="117">
        <v>84.507439999998226</v>
      </c>
      <c r="G30" s="49">
        <f t="shared" si="2"/>
        <v>1338597.8495999719</v>
      </c>
      <c r="H30" s="105">
        <v>2150.29</v>
      </c>
      <c r="I30" s="123">
        <v>20.341400000000732</v>
      </c>
      <c r="J30" s="49">
        <f t="shared" si="3"/>
        <v>322207.7760000116</v>
      </c>
      <c r="K30" s="48"/>
      <c r="L30" s="24">
        <v>0</v>
      </c>
      <c r="M30" s="25">
        <f t="shared" si="0"/>
        <v>0</v>
      </c>
      <c r="N30" s="48"/>
      <c r="O30" s="24">
        <v>0</v>
      </c>
      <c r="P30" s="50">
        <f t="shared" si="4"/>
        <v>0</v>
      </c>
      <c r="Q30" s="51">
        <f t="shared" si="5"/>
        <v>1660805.6255999836</v>
      </c>
      <c r="R30" s="52">
        <f t="shared" si="1"/>
        <v>115.48610149502703</v>
      </c>
      <c r="S30" s="21"/>
    </row>
    <row r="31" spans="1:19">
      <c r="A31" s="20"/>
      <c r="B31" s="22">
        <v>23</v>
      </c>
      <c r="C31" s="46">
        <f>Electricity!C30</f>
        <v>44</v>
      </c>
      <c r="D31" s="47">
        <f>Electricity!D30</f>
        <v>205</v>
      </c>
      <c r="E31" s="101">
        <v>15047.05</v>
      </c>
      <c r="F31" s="117">
        <v>97.638719999999111</v>
      </c>
      <c r="G31" s="49">
        <f t="shared" si="2"/>
        <v>1546597.3247999859</v>
      </c>
      <c r="H31" s="105">
        <v>2154.9699999999998</v>
      </c>
      <c r="I31" s="123">
        <v>18.85103999999934</v>
      </c>
      <c r="J31" s="49">
        <f t="shared" si="3"/>
        <v>298600.47359998955</v>
      </c>
      <c r="K31" s="48"/>
      <c r="L31" s="24">
        <v>0</v>
      </c>
      <c r="M31" s="25">
        <f t="shared" si="0"/>
        <v>0</v>
      </c>
      <c r="N31" s="48"/>
      <c r="O31" s="24">
        <v>0</v>
      </c>
      <c r="P31" s="50">
        <f t="shared" si="4"/>
        <v>0</v>
      </c>
      <c r="Q31" s="51">
        <f t="shared" si="5"/>
        <v>1845197.7983999755</v>
      </c>
      <c r="R31" s="52">
        <f t="shared" si="1"/>
        <v>128.30803131909988</v>
      </c>
      <c r="S31" s="21"/>
    </row>
    <row r="32" spans="1:19">
      <c r="A32" s="20"/>
      <c r="B32" s="22">
        <v>24</v>
      </c>
      <c r="C32" s="46">
        <f>Electricity!C31</f>
        <v>37</v>
      </c>
      <c r="D32" s="47">
        <f>Electricity!D31</f>
        <v>172</v>
      </c>
      <c r="E32" s="101">
        <v>15065.84</v>
      </c>
      <c r="F32" s="117">
        <v>75.686120000003513</v>
      </c>
      <c r="G32" s="49">
        <f t="shared" si="2"/>
        <v>1198868.1408000556</v>
      </c>
      <c r="H32" s="105">
        <v>2159.98</v>
      </c>
      <c r="I32" s="123">
        <v>20.180280000000877</v>
      </c>
      <c r="J32" s="49">
        <f t="shared" si="3"/>
        <v>319655.63520001387</v>
      </c>
      <c r="K32" s="48"/>
      <c r="L32" s="24">
        <v>0</v>
      </c>
      <c r="M32" s="25">
        <f t="shared" si="0"/>
        <v>0</v>
      </c>
      <c r="N32" s="48"/>
      <c r="O32" s="24">
        <v>0</v>
      </c>
      <c r="P32" s="50">
        <f t="shared" si="4"/>
        <v>0</v>
      </c>
      <c r="Q32" s="51">
        <f t="shared" si="5"/>
        <v>1518523.7760000695</v>
      </c>
      <c r="R32" s="52">
        <f t="shared" si="1"/>
        <v>105.59236325708014</v>
      </c>
      <c r="S32" s="21"/>
    </row>
    <row r="33" spans="1:21">
      <c r="A33" s="20"/>
      <c r="B33" s="22">
        <v>25</v>
      </c>
      <c r="C33" s="46">
        <f>Electricity!C32</f>
        <v>34</v>
      </c>
      <c r="D33" s="47">
        <f>Electricity!D32</f>
        <v>154</v>
      </c>
      <c r="E33" s="101">
        <v>15087.87</v>
      </c>
      <c r="F33" s="117">
        <v>88.73684000000263</v>
      </c>
      <c r="G33" s="49">
        <f t="shared" si="2"/>
        <v>1405591.5456000417</v>
      </c>
      <c r="H33" s="105">
        <v>2165.0100000000002</v>
      </c>
      <c r="I33" s="123">
        <v>20.260840000000805</v>
      </c>
      <c r="J33" s="49">
        <f t="shared" si="3"/>
        <v>320931.70560001273</v>
      </c>
      <c r="K33" s="48"/>
      <c r="L33" s="24">
        <v>0</v>
      </c>
      <c r="M33" s="25">
        <f t="shared" si="0"/>
        <v>0</v>
      </c>
      <c r="N33" s="48"/>
      <c r="O33" s="24">
        <v>0</v>
      </c>
      <c r="P33" s="50">
        <f t="shared" si="4"/>
        <v>0</v>
      </c>
      <c r="Q33" s="51">
        <f t="shared" si="5"/>
        <v>1726523.2512000545</v>
      </c>
      <c r="R33" s="52">
        <f t="shared" si="1"/>
        <v>120.0558550309474</v>
      </c>
      <c r="S33" s="21"/>
    </row>
    <row r="34" spans="1:21">
      <c r="A34" s="20"/>
      <c r="B34" s="22">
        <v>26</v>
      </c>
      <c r="C34" s="46">
        <f>Electricity!C33</f>
        <v>35</v>
      </c>
      <c r="D34" s="47">
        <f>Electricity!D33</f>
        <v>151</v>
      </c>
      <c r="E34" s="101">
        <v>15109.35</v>
      </c>
      <c r="F34" s="117">
        <v>86.521439999998236</v>
      </c>
      <c r="G34" s="49">
        <f t="shared" si="2"/>
        <v>1370499.6095999721</v>
      </c>
      <c r="H34" s="105">
        <v>2170.2800000000002</v>
      </c>
      <c r="I34" s="123">
        <v>21.227559999999926</v>
      </c>
      <c r="J34" s="49">
        <f t="shared" si="3"/>
        <v>336244.55039999884</v>
      </c>
      <c r="K34" s="48"/>
      <c r="L34" s="24">
        <v>0</v>
      </c>
      <c r="M34" s="25">
        <f t="shared" si="0"/>
        <v>0</v>
      </c>
      <c r="N34" s="48"/>
      <c r="O34" s="24">
        <v>0</v>
      </c>
      <c r="P34" s="50">
        <f t="shared" si="4"/>
        <v>0</v>
      </c>
      <c r="Q34" s="51">
        <f t="shared" si="5"/>
        <v>1706744.159999971</v>
      </c>
      <c r="R34" s="52">
        <f t="shared" si="1"/>
        <v>118.68049231624859</v>
      </c>
      <c r="S34" s="21"/>
    </row>
    <row r="35" spans="1:21">
      <c r="A35" s="20"/>
      <c r="B35" s="22">
        <v>27</v>
      </c>
      <c r="C35" s="46">
        <f>Electricity!C34</f>
        <v>30</v>
      </c>
      <c r="D35" s="47">
        <f>Electricity!D34</f>
        <v>109</v>
      </c>
      <c r="E35" s="101">
        <v>15132.73</v>
      </c>
      <c r="F35" s="117">
        <v>94.174639999996771</v>
      </c>
      <c r="G35" s="49">
        <f t="shared" si="2"/>
        <v>1491726.2975999489</v>
      </c>
      <c r="H35" s="105">
        <v>2175.3000000000002</v>
      </c>
      <c r="I35" s="123">
        <v>20.220559999999924</v>
      </c>
      <c r="J35" s="49">
        <f t="shared" si="3"/>
        <v>320293.67039999878</v>
      </c>
      <c r="K35" s="48"/>
      <c r="L35" s="24">
        <v>0</v>
      </c>
      <c r="M35" s="25">
        <f t="shared" si="0"/>
        <v>0</v>
      </c>
      <c r="N35" s="48"/>
      <c r="O35" s="24">
        <v>0</v>
      </c>
      <c r="P35" s="50">
        <f t="shared" si="4"/>
        <v>0</v>
      </c>
      <c r="Q35" s="51">
        <f t="shared" si="5"/>
        <v>1812019.9679999477</v>
      </c>
      <c r="R35" s="52">
        <f t="shared" si="1"/>
        <v>126.00097128154842</v>
      </c>
      <c r="S35" s="21"/>
    </row>
    <row r="36" spans="1:21">
      <c r="A36" s="20"/>
      <c r="B36" s="22">
        <v>28</v>
      </c>
      <c r="C36" s="46">
        <f>Electricity!C35</f>
        <v>31</v>
      </c>
      <c r="D36" s="47">
        <f>Electricity!D35</f>
        <v>120</v>
      </c>
      <c r="E36" s="101">
        <v>15153.42</v>
      </c>
      <c r="F36" s="117">
        <v>83.339320000002047</v>
      </c>
      <c r="G36" s="49">
        <f t="shared" si="2"/>
        <v>1320094.8288000324</v>
      </c>
      <c r="H36" s="105">
        <v>2180.06</v>
      </c>
      <c r="I36" s="123">
        <v>19.173279999999046</v>
      </c>
      <c r="J36" s="49">
        <f t="shared" si="3"/>
        <v>303704.75519998488</v>
      </c>
      <c r="K36" s="48"/>
      <c r="L36" s="24">
        <v>0</v>
      </c>
      <c r="M36" s="25">
        <f t="shared" si="0"/>
        <v>0</v>
      </c>
      <c r="N36" s="48"/>
      <c r="O36" s="24">
        <v>0</v>
      </c>
      <c r="P36" s="50">
        <f t="shared" si="4"/>
        <v>0</v>
      </c>
      <c r="Q36" s="51">
        <f t="shared" si="5"/>
        <v>1623799.5840000173</v>
      </c>
      <c r="R36" s="52">
        <f t="shared" si="1"/>
        <v>112.91284222237795</v>
      </c>
      <c r="S36" s="21"/>
    </row>
    <row r="37" spans="1:21">
      <c r="A37" s="20"/>
      <c r="B37" s="22">
        <v>29</v>
      </c>
      <c r="C37" s="46">
        <f>Electricity!C36</f>
        <v>30</v>
      </c>
      <c r="D37" s="47">
        <f>Electricity!D36</f>
        <v>169</v>
      </c>
      <c r="E37" s="101">
        <v>15173.99</v>
      </c>
      <c r="F37" s="117">
        <v>82.855959999998817</v>
      </c>
      <c r="G37" s="49">
        <f t="shared" si="2"/>
        <v>1312438.4063999814</v>
      </c>
      <c r="H37" s="105">
        <v>2184.8200000000002</v>
      </c>
      <c r="I37" s="123">
        <v>19.173280000000876</v>
      </c>
      <c r="J37" s="49">
        <f t="shared" si="3"/>
        <v>303704.75520001387</v>
      </c>
      <c r="K37" s="48"/>
      <c r="L37" s="24">
        <v>0</v>
      </c>
      <c r="M37" s="25">
        <f t="shared" si="0"/>
        <v>0</v>
      </c>
      <c r="N37" s="48"/>
      <c r="O37" s="24">
        <v>0</v>
      </c>
      <c r="P37" s="50">
        <f t="shared" si="4"/>
        <v>0</v>
      </c>
      <c r="Q37" s="51">
        <f t="shared" si="5"/>
        <v>1616143.1615999951</v>
      </c>
      <c r="R37" s="52">
        <f t="shared" si="1"/>
        <v>112.38044375217267</v>
      </c>
      <c r="S37" s="21"/>
    </row>
    <row r="38" spans="1:21">
      <c r="A38" s="20"/>
      <c r="B38" s="22">
        <v>30</v>
      </c>
      <c r="C38" s="46">
        <f>Electricity!C37</f>
        <v>31</v>
      </c>
      <c r="D38" s="47">
        <f>Electricity!D37</f>
        <v>89</v>
      </c>
      <c r="E38" s="101">
        <v>15202.01</v>
      </c>
      <c r="F38" s="117">
        <v>112.86456000000175</v>
      </c>
      <c r="G38" s="49">
        <f t="shared" ref="G38" si="6">F38*$G$8</f>
        <v>1787774.6304000276</v>
      </c>
      <c r="H38" s="105">
        <v>2189.3000000000002</v>
      </c>
      <c r="I38" s="123">
        <v>37.21872000000095</v>
      </c>
      <c r="J38" s="49">
        <f t="shared" ref="J38" si="7">I38*$J$8</f>
        <v>589544.52480001503</v>
      </c>
      <c r="K38" s="48"/>
      <c r="L38" s="24">
        <v>0</v>
      </c>
      <c r="M38" s="25">
        <f t="shared" ref="M38" si="8">L38*$M$8</f>
        <v>0</v>
      </c>
      <c r="N38" s="48"/>
      <c r="O38" s="24">
        <v>0</v>
      </c>
      <c r="P38" s="50">
        <f t="shared" ref="P38" si="9">O38*$P$8</f>
        <v>0</v>
      </c>
      <c r="Q38" s="51">
        <f t="shared" ref="Q38" si="10">J38+M38+G38+P38</f>
        <v>2377319.1552000428</v>
      </c>
      <c r="R38" s="52">
        <f t="shared" ref="R38" si="11">Q38/14381</f>
        <v>165.30972499826456</v>
      </c>
      <c r="S38" s="21"/>
    </row>
    <row r="39" spans="1:21">
      <c r="A39" s="20"/>
      <c r="B39" s="22">
        <v>31</v>
      </c>
      <c r="C39" s="46">
        <f>Electricity!C38</f>
        <v>38</v>
      </c>
      <c r="D39" s="47">
        <f>Electricity!D38</f>
        <v>89</v>
      </c>
      <c r="E39" s="101">
        <v>15220.53</v>
      </c>
      <c r="F39" s="117">
        <v>74.598560000001754</v>
      </c>
      <c r="G39" s="49">
        <f t="shared" si="2"/>
        <v>1181641.1904000277</v>
      </c>
      <c r="H39" s="105">
        <v>2194.85</v>
      </c>
      <c r="I39" s="123">
        <v>40.400839999998972</v>
      </c>
      <c r="J39" s="49">
        <f t="shared" si="3"/>
        <v>639949.30559998367</v>
      </c>
      <c r="K39" s="48"/>
      <c r="L39" s="24">
        <v>0</v>
      </c>
      <c r="M39" s="25">
        <f t="shared" si="0"/>
        <v>0</v>
      </c>
      <c r="N39" s="48"/>
      <c r="O39" s="24">
        <v>0</v>
      </c>
      <c r="P39" s="50">
        <f t="shared" si="4"/>
        <v>0</v>
      </c>
      <c r="Q39" s="51">
        <f t="shared" si="5"/>
        <v>1821590.4960000115</v>
      </c>
      <c r="R39" s="52">
        <f t="shared" si="1"/>
        <v>126.66646936930752</v>
      </c>
      <c r="S39" s="21"/>
    </row>
    <row r="40" spans="1:21">
      <c r="C40" s="53">
        <f>SUM(C9:C39)</f>
        <v>1227</v>
      </c>
      <c r="D40" s="53">
        <f>SUM(D9:D39)</f>
        <v>5353</v>
      </c>
      <c r="E40" s="30"/>
      <c r="F40" s="118">
        <f>SUM(F9:F39)</f>
        <v>2806.7909600000062</v>
      </c>
      <c r="G40" s="40"/>
      <c r="H40" s="40"/>
      <c r="I40" s="124">
        <f>SUM(I9:I39)</f>
        <v>686.85456000000102</v>
      </c>
      <c r="J40" s="40"/>
      <c r="K40" s="40"/>
      <c r="L40" s="30">
        <f>SUM(L9:L39)</f>
        <v>0</v>
      </c>
      <c r="M40" s="40"/>
      <c r="N40" s="39"/>
      <c r="O40" s="30">
        <f>SUM(O9:O39)</f>
        <v>0</v>
      </c>
      <c r="P40" s="40"/>
      <c r="Q40"/>
      <c r="R40" s="84">
        <f>SUM(R9:R39)</f>
        <v>3848.0874095542813</v>
      </c>
      <c r="U40" s="35"/>
    </row>
    <row r="41" spans="1:21">
      <c r="E41" s="54"/>
      <c r="F41" s="119"/>
      <c r="G41" s="41"/>
      <c r="H41" s="41"/>
      <c r="I41" s="122"/>
      <c r="J41" s="41"/>
      <c r="K41" s="41"/>
      <c r="L41" s="41"/>
      <c r="M41" s="41"/>
      <c r="N41" s="58" t="s">
        <v>43</v>
      </c>
      <c r="O41" s="62">
        <f>F40+I40+L40+O40</f>
        <v>3493.6455200000073</v>
      </c>
      <c r="P41" s="55"/>
      <c r="Q41" s="30"/>
      <c r="R41" s="41"/>
      <c r="U41" s="37"/>
    </row>
    <row r="42" spans="1:21">
      <c r="B42" s="56"/>
      <c r="E42" s="39"/>
      <c r="F42" s="40"/>
      <c r="G42" s="40"/>
      <c r="H42" s="40"/>
      <c r="I42" s="122"/>
      <c r="J42" s="40"/>
      <c r="K42" s="40"/>
      <c r="L42" s="40"/>
      <c r="M42" s="41"/>
      <c r="N42" s="39"/>
      <c r="O42" s="40"/>
      <c r="P42" s="40"/>
      <c r="Q42" s="42"/>
      <c r="R42" s="57"/>
    </row>
    <row r="43" spans="1:21">
      <c r="E43" s="58"/>
      <c r="F43" s="120"/>
      <c r="G43" s="58"/>
      <c r="H43" s="58"/>
      <c r="I43" s="125"/>
      <c r="J43" s="58"/>
      <c r="K43" s="58"/>
      <c r="L43" s="58"/>
      <c r="M43" s="59"/>
      <c r="N43" s="58"/>
      <c r="O43" s="58"/>
      <c r="Q43" s="58"/>
      <c r="R43" s="60"/>
    </row>
    <row r="44" spans="1:21">
      <c r="R44" s="60"/>
    </row>
  </sheetData>
  <mergeCells count="20"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  <mergeCell ref="H7:H8"/>
    <mergeCell ref="I7:I8"/>
    <mergeCell ref="K7:K8"/>
    <mergeCell ref="L7:L8"/>
    <mergeCell ref="N7:N8"/>
    <mergeCell ref="O7:O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topLeftCell="B1" workbookViewId="0">
      <selection activeCell="L30" sqref="L30"/>
    </sheetView>
  </sheetViews>
  <sheetFormatPr defaultColWidth="8.85546875" defaultRowHeight="15"/>
  <cols>
    <col min="1" max="1" width="2.42578125" customWidth="1"/>
    <col min="2" max="2" width="5.42578125" customWidth="1"/>
    <col min="3" max="3" width="6.42578125" customWidth="1"/>
    <col min="4" max="4" width="8.42578125" style="19" customWidth="1"/>
    <col min="5" max="5" width="9.85546875" style="19" customWidth="1"/>
    <col min="6" max="6" width="8" style="73" bestFit="1" customWidth="1"/>
    <col min="7" max="7" width="14" style="73" customWidth="1"/>
    <col min="8" max="8" width="16.28515625" style="31" customWidth="1"/>
    <col min="9" max="9" width="2.42578125" customWidth="1"/>
    <col min="11" max="11" width="21.42578125" customWidth="1"/>
  </cols>
  <sheetData>
    <row r="1" spans="1:9" ht="15.95">
      <c r="B1" s="128" t="s">
        <v>44</v>
      </c>
      <c r="C1" s="128"/>
      <c r="D1" s="128"/>
      <c r="E1" s="128"/>
      <c r="F1" s="128"/>
      <c r="G1" s="128"/>
      <c r="H1" s="128"/>
    </row>
    <row r="2" spans="1:9" ht="15.95">
      <c r="B2" s="128" t="s">
        <v>16</v>
      </c>
      <c r="C2" s="128"/>
      <c r="D2" s="128"/>
      <c r="E2" s="128"/>
      <c r="F2" s="128"/>
      <c r="G2" s="128"/>
      <c r="H2" s="128"/>
    </row>
    <row r="3" spans="1:9">
      <c r="B3" s="13"/>
      <c r="C3" s="14"/>
      <c r="D3" s="15"/>
      <c r="E3" s="15"/>
      <c r="F3" s="63"/>
      <c r="G3" s="63"/>
      <c r="H3" s="14"/>
    </row>
    <row r="4" spans="1:9">
      <c r="A4" s="64"/>
      <c r="B4" s="133">
        <v>44927</v>
      </c>
      <c r="C4" s="133"/>
      <c r="D4" s="133"/>
      <c r="E4" s="133"/>
      <c r="F4" s="133"/>
      <c r="G4" s="133"/>
      <c r="H4" s="133"/>
      <c r="I4" s="16"/>
    </row>
    <row r="5" spans="1:9">
      <c r="A5" s="65"/>
      <c r="B5" s="127" t="s">
        <v>45</v>
      </c>
      <c r="C5" s="127" t="s">
        <v>18</v>
      </c>
      <c r="D5" s="127" t="s">
        <v>13</v>
      </c>
      <c r="E5" s="127" t="s">
        <v>46</v>
      </c>
      <c r="F5" s="127"/>
      <c r="G5" s="127"/>
      <c r="H5" s="127" t="s">
        <v>23</v>
      </c>
      <c r="I5" s="18"/>
    </row>
    <row r="6" spans="1:9">
      <c r="A6" s="65"/>
      <c r="B6" s="127"/>
      <c r="C6" s="127"/>
      <c r="D6" s="127"/>
      <c r="E6" s="127"/>
      <c r="F6" s="127"/>
      <c r="G6" s="127"/>
      <c r="H6" s="127"/>
      <c r="I6" s="18"/>
    </row>
    <row r="7" spans="1:9" s="19" customFormat="1" ht="24">
      <c r="A7" s="65"/>
      <c r="B7" s="127"/>
      <c r="C7" s="127"/>
      <c r="D7" s="127"/>
      <c r="E7" s="43" t="s">
        <v>36</v>
      </c>
      <c r="F7" s="139" t="s">
        <v>47</v>
      </c>
      <c r="G7" s="66" t="s">
        <v>40</v>
      </c>
      <c r="H7" s="127"/>
      <c r="I7" s="18"/>
    </row>
    <row r="8" spans="1:9" s="19" customFormat="1">
      <c r="A8" s="65"/>
      <c r="B8" s="127"/>
      <c r="C8" s="127"/>
      <c r="D8" s="127"/>
      <c r="E8" s="85">
        <v>5703</v>
      </c>
      <c r="F8" s="139"/>
      <c r="G8" s="66">
        <v>24300</v>
      </c>
      <c r="H8" s="127"/>
      <c r="I8" s="18"/>
    </row>
    <row r="9" spans="1:9">
      <c r="A9" s="67"/>
      <c r="B9" s="22">
        <v>1</v>
      </c>
      <c r="C9" s="23">
        <f>Gas!C9</f>
        <v>54</v>
      </c>
      <c r="D9" s="23">
        <f>Gas!D9</f>
        <v>247</v>
      </c>
      <c r="E9" s="100">
        <v>5703</v>
      </c>
      <c r="F9" s="68">
        <f>E9-E8</f>
        <v>0</v>
      </c>
      <c r="G9" s="68">
        <f t="shared" ref="G9:G39" si="0">F9*$G$8</f>
        <v>0</v>
      </c>
      <c r="H9" s="76">
        <f>G9/14381</f>
        <v>0</v>
      </c>
      <c r="I9" s="21"/>
    </row>
    <row r="10" spans="1:9">
      <c r="A10" s="67"/>
      <c r="B10" s="22">
        <v>2</v>
      </c>
      <c r="C10" s="23">
        <f>Gas!C10</f>
        <v>51</v>
      </c>
      <c r="D10" s="23">
        <f>Gas!D10</f>
        <v>227</v>
      </c>
      <c r="E10" s="100">
        <v>5703</v>
      </c>
      <c r="F10" s="69">
        <f t="shared" ref="F10:F37" si="1">E10-E9</f>
        <v>0</v>
      </c>
      <c r="G10" s="68">
        <f>F10*$G$8</f>
        <v>0</v>
      </c>
      <c r="H10" s="76">
        <f t="shared" ref="H10:H39" si="2">G10/14381</f>
        <v>0</v>
      </c>
      <c r="I10" s="21"/>
    </row>
    <row r="11" spans="1:9">
      <c r="A11" s="67"/>
      <c r="B11" s="22">
        <v>3</v>
      </c>
      <c r="C11" s="23">
        <f>Gas!C11</f>
        <v>50</v>
      </c>
      <c r="D11" s="23">
        <f>Gas!D11</f>
        <v>307</v>
      </c>
      <c r="E11" s="100">
        <v>5703</v>
      </c>
      <c r="F11" s="69">
        <f t="shared" si="1"/>
        <v>0</v>
      </c>
      <c r="G11" s="68">
        <f t="shared" si="0"/>
        <v>0</v>
      </c>
      <c r="H11" s="76">
        <f t="shared" si="2"/>
        <v>0</v>
      </c>
      <c r="I11" s="21"/>
    </row>
    <row r="12" spans="1:9">
      <c r="A12" s="67"/>
      <c r="B12" s="22">
        <v>4</v>
      </c>
      <c r="C12" s="23">
        <f>Gas!C12</f>
        <v>50</v>
      </c>
      <c r="D12" s="23">
        <f>Gas!D12</f>
        <v>342</v>
      </c>
      <c r="E12" s="100">
        <v>5703</v>
      </c>
      <c r="F12" s="69">
        <f t="shared" si="1"/>
        <v>0</v>
      </c>
      <c r="G12" s="68">
        <f t="shared" si="0"/>
        <v>0</v>
      </c>
      <c r="H12" s="76">
        <f t="shared" si="2"/>
        <v>0</v>
      </c>
      <c r="I12" s="21"/>
    </row>
    <row r="13" spans="1:9">
      <c r="A13" s="67"/>
      <c r="B13" s="22">
        <v>5</v>
      </c>
      <c r="C13" s="23">
        <f>Gas!C13</f>
        <v>48</v>
      </c>
      <c r="D13" s="23">
        <f>Gas!D13</f>
        <v>262</v>
      </c>
      <c r="E13" s="100">
        <v>5703</v>
      </c>
      <c r="F13" s="69">
        <f t="shared" si="1"/>
        <v>0</v>
      </c>
      <c r="G13" s="68">
        <f t="shared" si="0"/>
        <v>0</v>
      </c>
      <c r="H13" s="76">
        <f t="shared" si="2"/>
        <v>0</v>
      </c>
      <c r="I13" s="21"/>
    </row>
    <row r="14" spans="1:9">
      <c r="A14" s="67"/>
      <c r="B14" s="22">
        <v>6</v>
      </c>
      <c r="C14" s="23">
        <f>Gas!C14</f>
        <v>45</v>
      </c>
      <c r="D14" s="23">
        <f>Gas!D14</f>
        <v>210</v>
      </c>
      <c r="E14" s="100">
        <v>5703</v>
      </c>
      <c r="F14" s="69">
        <f t="shared" si="1"/>
        <v>0</v>
      </c>
      <c r="G14" s="68">
        <f t="shared" si="0"/>
        <v>0</v>
      </c>
      <c r="H14" s="76">
        <f t="shared" si="2"/>
        <v>0</v>
      </c>
      <c r="I14" s="21"/>
    </row>
    <row r="15" spans="1:9">
      <c r="A15" s="67"/>
      <c r="B15" s="22">
        <v>7</v>
      </c>
      <c r="C15" s="23">
        <f>Gas!C15</f>
        <v>51</v>
      </c>
      <c r="D15" s="23">
        <f>Gas!D15</f>
        <v>191</v>
      </c>
      <c r="E15" s="100">
        <v>5703</v>
      </c>
      <c r="F15" s="69">
        <f t="shared" si="1"/>
        <v>0</v>
      </c>
      <c r="G15" s="68">
        <f t="shared" si="0"/>
        <v>0</v>
      </c>
      <c r="H15" s="76">
        <f t="shared" si="2"/>
        <v>0</v>
      </c>
      <c r="I15" s="21"/>
    </row>
    <row r="16" spans="1:9">
      <c r="A16" s="67"/>
      <c r="B16" s="22">
        <v>8</v>
      </c>
      <c r="C16" s="23">
        <f>Gas!C16</f>
        <v>50</v>
      </c>
      <c r="D16" s="23">
        <f>Gas!D16</f>
        <v>210</v>
      </c>
      <c r="E16" s="100">
        <v>5703</v>
      </c>
      <c r="F16" s="69">
        <f t="shared" si="1"/>
        <v>0</v>
      </c>
      <c r="G16" s="68">
        <f t="shared" si="0"/>
        <v>0</v>
      </c>
      <c r="H16" s="76">
        <f t="shared" si="2"/>
        <v>0</v>
      </c>
      <c r="I16" s="21"/>
    </row>
    <row r="17" spans="1:9">
      <c r="A17" s="67"/>
      <c r="B17" s="22">
        <v>9</v>
      </c>
      <c r="C17" s="23">
        <f>Gas!C17</f>
        <v>48</v>
      </c>
      <c r="D17" s="23">
        <f>Gas!D17</f>
        <v>187</v>
      </c>
      <c r="E17" s="100">
        <v>5703</v>
      </c>
      <c r="F17" s="69">
        <f t="shared" si="1"/>
        <v>0</v>
      </c>
      <c r="G17" s="68">
        <f t="shared" si="0"/>
        <v>0</v>
      </c>
      <c r="H17" s="76">
        <f t="shared" si="2"/>
        <v>0</v>
      </c>
      <c r="I17" s="21"/>
    </row>
    <row r="18" spans="1:9">
      <c r="A18" s="67"/>
      <c r="B18" s="22">
        <v>10</v>
      </c>
      <c r="C18" s="23">
        <f>Gas!C18</f>
        <v>41</v>
      </c>
      <c r="D18" s="23">
        <f>Gas!D18</f>
        <v>177</v>
      </c>
      <c r="E18" s="100">
        <v>5713</v>
      </c>
      <c r="F18" s="69">
        <f t="shared" si="1"/>
        <v>10</v>
      </c>
      <c r="G18" s="68">
        <f t="shared" si="0"/>
        <v>243000</v>
      </c>
      <c r="H18" s="76">
        <f t="shared" si="2"/>
        <v>16.897295042069398</v>
      </c>
      <c r="I18" s="21"/>
    </row>
    <row r="19" spans="1:9">
      <c r="A19" s="67"/>
      <c r="B19" s="22">
        <v>11</v>
      </c>
      <c r="C19" s="23">
        <f>Gas!C19</f>
        <v>39</v>
      </c>
      <c r="D19" s="23">
        <f>Gas!D19</f>
        <v>185</v>
      </c>
      <c r="E19" s="100">
        <v>5713</v>
      </c>
      <c r="F19" s="69">
        <f t="shared" si="1"/>
        <v>0</v>
      </c>
      <c r="G19" s="68">
        <f t="shared" si="0"/>
        <v>0</v>
      </c>
      <c r="H19" s="76">
        <f t="shared" si="2"/>
        <v>0</v>
      </c>
      <c r="I19" s="21"/>
    </row>
    <row r="20" spans="1:9">
      <c r="A20" s="67"/>
      <c r="B20" s="22">
        <v>12</v>
      </c>
      <c r="C20" s="23">
        <f>Gas!C20</f>
        <v>32</v>
      </c>
      <c r="D20" s="23">
        <f>Gas!D20</f>
        <v>169</v>
      </c>
      <c r="E20" s="100">
        <v>5713</v>
      </c>
      <c r="F20" s="69">
        <f t="shared" si="1"/>
        <v>0</v>
      </c>
      <c r="G20" s="68">
        <f t="shared" si="0"/>
        <v>0</v>
      </c>
      <c r="H20" s="76">
        <f t="shared" si="2"/>
        <v>0</v>
      </c>
      <c r="I20" s="21"/>
    </row>
    <row r="21" spans="1:9">
      <c r="A21" s="67"/>
      <c r="B21" s="22">
        <v>13</v>
      </c>
      <c r="C21" s="23">
        <f>Gas!C21</f>
        <v>33</v>
      </c>
      <c r="D21" s="23">
        <f>Gas!D21</f>
        <v>154</v>
      </c>
      <c r="E21" s="100">
        <v>5713</v>
      </c>
      <c r="F21" s="69">
        <f t="shared" si="1"/>
        <v>0</v>
      </c>
      <c r="G21" s="68">
        <f t="shared" si="0"/>
        <v>0</v>
      </c>
      <c r="H21" s="76">
        <f t="shared" si="2"/>
        <v>0</v>
      </c>
      <c r="I21" s="21"/>
    </row>
    <row r="22" spans="1:9">
      <c r="A22" s="67"/>
      <c r="B22" s="22">
        <v>14</v>
      </c>
      <c r="C22" s="23">
        <f>Gas!C22</f>
        <v>26</v>
      </c>
      <c r="D22" s="23">
        <f>Gas!D22</f>
        <v>131</v>
      </c>
      <c r="E22" s="100">
        <v>5713</v>
      </c>
      <c r="F22" s="69">
        <f t="shared" si="1"/>
        <v>0</v>
      </c>
      <c r="G22" s="68">
        <f t="shared" si="0"/>
        <v>0</v>
      </c>
      <c r="H22" s="76">
        <f t="shared" si="2"/>
        <v>0</v>
      </c>
      <c r="I22" s="21"/>
    </row>
    <row r="23" spans="1:9">
      <c r="A23" s="67"/>
      <c r="B23" s="22">
        <v>15</v>
      </c>
      <c r="C23" s="23">
        <f>Gas!C23</f>
        <v>27</v>
      </c>
      <c r="D23" s="23">
        <f>Gas!D23</f>
        <v>123</v>
      </c>
      <c r="E23" s="100">
        <v>5713</v>
      </c>
      <c r="F23" s="69">
        <f t="shared" si="1"/>
        <v>0</v>
      </c>
      <c r="G23" s="68">
        <f t="shared" si="0"/>
        <v>0</v>
      </c>
      <c r="H23" s="76">
        <f t="shared" si="2"/>
        <v>0</v>
      </c>
      <c r="I23" s="21"/>
    </row>
    <row r="24" spans="1:9">
      <c r="A24" s="67"/>
      <c r="B24" s="22">
        <v>16</v>
      </c>
      <c r="C24" s="23">
        <f>Gas!C24</f>
        <v>31</v>
      </c>
      <c r="D24" s="23">
        <f>Gas!D24</f>
        <v>98</v>
      </c>
      <c r="E24" s="100">
        <v>5713</v>
      </c>
      <c r="F24" s="69">
        <f t="shared" si="1"/>
        <v>0</v>
      </c>
      <c r="G24" s="68">
        <f t="shared" si="0"/>
        <v>0</v>
      </c>
      <c r="H24" s="76">
        <f t="shared" si="2"/>
        <v>0</v>
      </c>
      <c r="I24" s="21"/>
    </row>
    <row r="25" spans="1:9">
      <c r="A25" s="67"/>
      <c r="B25" s="22">
        <v>17</v>
      </c>
      <c r="C25" s="23">
        <f>Gas!C25</f>
        <v>33</v>
      </c>
      <c r="D25" s="23">
        <f>Gas!D25</f>
        <v>96</v>
      </c>
      <c r="E25" s="100">
        <v>5722</v>
      </c>
      <c r="F25" s="69">
        <f t="shared" si="1"/>
        <v>9</v>
      </c>
      <c r="G25" s="68">
        <f t="shared" si="0"/>
        <v>218700</v>
      </c>
      <c r="H25" s="76">
        <f t="shared" si="2"/>
        <v>15.207565537862457</v>
      </c>
      <c r="I25" s="21"/>
    </row>
    <row r="26" spans="1:9">
      <c r="A26" s="67"/>
      <c r="B26" s="22">
        <v>18</v>
      </c>
      <c r="C26" s="23">
        <f>Gas!C26</f>
        <v>40</v>
      </c>
      <c r="D26" s="23">
        <f>Gas!D26</f>
        <v>110</v>
      </c>
      <c r="E26" s="100">
        <v>5722</v>
      </c>
      <c r="F26" s="69">
        <f t="shared" si="1"/>
        <v>0</v>
      </c>
      <c r="G26" s="68">
        <f t="shared" si="0"/>
        <v>0</v>
      </c>
      <c r="H26" s="76">
        <f t="shared" si="2"/>
        <v>0</v>
      </c>
      <c r="I26" s="21"/>
    </row>
    <row r="27" spans="1:9">
      <c r="A27" s="67"/>
      <c r="B27" s="22">
        <v>19</v>
      </c>
      <c r="C27" s="23">
        <f>Gas!C27</f>
        <v>34</v>
      </c>
      <c r="D27" s="23">
        <f>Gas!D27</f>
        <v>175</v>
      </c>
      <c r="E27" s="100">
        <v>5722</v>
      </c>
      <c r="F27" s="69">
        <f t="shared" si="1"/>
        <v>0</v>
      </c>
      <c r="G27" s="68">
        <f>F27*$G$8</f>
        <v>0</v>
      </c>
      <c r="H27" s="76">
        <f t="shared" si="2"/>
        <v>0</v>
      </c>
      <c r="I27" s="21"/>
    </row>
    <row r="28" spans="1:9">
      <c r="A28" s="67"/>
      <c r="B28" s="22">
        <v>20</v>
      </c>
      <c r="C28" s="23">
        <f>Gas!C28</f>
        <v>44</v>
      </c>
      <c r="D28" s="23">
        <f>Gas!D28</f>
        <v>146</v>
      </c>
      <c r="E28" s="100">
        <v>5722</v>
      </c>
      <c r="F28" s="69">
        <f t="shared" si="1"/>
        <v>0</v>
      </c>
      <c r="G28" s="68">
        <f t="shared" si="0"/>
        <v>0</v>
      </c>
      <c r="H28" s="76">
        <f t="shared" si="2"/>
        <v>0</v>
      </c>
      <c r="I28" s="21"/>
    </row>
    <row r="29" spans="1:9">
      <c r="A29" s="67"/>
      <c r="B29" s="22">
        <v>21</v>
      </c>
      <c r="C29" s="23">
        <f>Gas!C29</f>
        <v>43</v>
      </c>
      <c r="D29" s="23">
        <f>Gas!D29</f>
        <v>196</v>
      </c>
      <c r="E29" s="100">
        <v>5722</v>
      </c>
      <c r="F29" s="69">
        <f t="shared" si="1"/>
        <v>0</v>
      </c>
      <c r="G29" s="68">
        <f t="shared" si="0"/>
        <v>0</v>
      </c>
      <c r="H29" s="76">
        <f t="shared" si="2"/>
        <v>0</v>
      </c>
      <c r="I29" s="21"/>
    </row>
    <row r="30" spans="1:9">
      <c r="A30" s="67"/>
      <c r="B30" s="22">
        <v>22</v>
      </c>
      <c r="C30" s="23">
        <f>Gas!C30</f>
        <v>47</v>
      </c>
      <c r="D30" s="23">
        <f>Gas!D30</f>
        <v>152</v>
      </c>
      <c r="E30" s="100">
        <v>5722</v>
      </c>
      <c r="F30" s="69">
        <f t="shared" si="1"/>
        <v>0</v>
      </c>
      <c r="G30" s="68">
        <f t="shared" si="0"/>
        <v>0</v>
      </c>
      <c r="H30" s="76">
        <f t="shared" si="2"/>
        <v>0</v>
      </c>
      <c r="I30" s="21"/>
    </row>
    <row r="31" spans="1:9">
      <c r="A31" s="67"/>
      <c r="B31" s="22">
        <v>23</v>
      </c>
      <c r="C31" s="23">
        <f>Gas!C31</f>
        <v>44</v>
      </c>
      <c r="D31" s="23">
        <f>Gas!D31</f>
        <v>205</v>
      </c>
      <c r="E31" s="100">
        <v>5730</v>
      </c>
      <c r="F31" s="69">
        <f t="shared" si="1"/>
        <v>8</v>
      </c>
      <c r="G31" s="68">
        <f t="shared" si="0"/>
        <v>194400</v>
      </c>
      <c r="H31" s="76">
        <f t="shared" si="2"/>
        <v>13.517836033655518</v>
      </c>
      <c r="I31" s="21"/>
    </row>
    <row r="32" spans="1:9">
      <c r="A32" s="67"/>
      <c r="B32" s="22">
        <v>24</v>
      </c>
      <c r="C32" s="23">
        <f>Gas!C32</f>
        <v>37</v>
      </c>
      <c r="D32" s="23">
        <f>Gas!D32</f>
        <v>172</v>
      </c>
      <c r="E32" s="100">
        <v>5730</v>
      </c>
      <c r="F32" s="69">
        <f t="shared" si="1"/>
        <v>0</v>
      </c>
      <c r="G32" s="68"/>
      <c r="H32" s="76">
        <f t="shared" si="2"/>
        <v>0</v>
      </c>
      <c r="I32" s="21"/>
    </row>
    <row r="33" spans="1:11">
      <c r="A33" s="67"/>
      <c r="B33" s="22">
        <v>25</v>
      </c>
      <c r="C33" s="23">
        <f>Gas!C33</f>
        <v>34</v>
      </c>
      <c r="D33" s="23">
        <f>Gas!D33</f>
        <v>154</v>
      </c>
      <c r="E33" s="100">
        <v>5730</v>
      </c>
      <c r="F33" s="69">
        <f t="shared" si="1"/>
        <v>0</v>
      </c>
      <c r="G33" s="68">
        <f t="shared" si="0"/>
        <v>0</v>
      </c>
      <c r="H33" s="76">
        <f t="shared" si="2"/>
        <v>0</v>
      </c>
      <c r="I33" s="21"/>
    </row>
    <row r="34" spans="1:11">
      <c r="A34" s="67"/>
      <c r="B34" s="22">
        <v>26</v>
      </c>
      <c r="C34" s="23">
        <f>Gas!C34</f>
        <v>35</v>
      </c>
      <c r="D34" s="23">
        <f>Gas!D34</f>
        <v>151</v>
      </c>
      <c r="E34" s="100">
        <v>5730</v>
      </c>
      <c r="F34" s="69">
        <f t="shared" si="1"/>
        <v>0</v>
      </c>
      <c r="G34" s="68">
        <f t="shared" si="0"/>
        <v>0</v>
      </c>
      <c r="H34" s="76">
        <f t="shared" si="2"/>
        <v>0</v>
      </c>
      <c r="I34" s="21"/>
    </row>
    <row r="35" spans="1:11">
      <c r="A35" s="67"/>
      <c r="B35" s="22">
        <v>27</v>
      </c>
      <c r="C35" s="23">
        <f>Gas!C35</f>
        <v>30</v>
      </c>
      <c r="D35" s="23">
        <f>Gas!D35</f>
        <v>109</v>
      </c>
      <c r="E35" s="100">
        <v>5730</v>
      </c>
      <c r="F35" s="69">
        <f t="shared" si="1"/>
        <v>0</v>
      </c>
      <c r="G35" s="68">
        <f t="shared" si="0"/>
        <v>0</v>
      </c>
      <c r="H35" s="76">
        <f t="shared" si="2"/>
        <v>0</v>
      </c>
      <c r="I35" s="21"/>
    </row>
    <row r="36" spans="1:11">
      <c r="A36" s="67"/>
      <c r="B36" s="22">
        <v>28</v>
      </c>
      <c r="C36" s="23">
        <f>Gas!C36</f>
        <v>31</v>
      </c>
      <c r="D36" s="23">
        <f>Gas!D36</f>
        <v>120</v>
      </c>
      <c r="E36" s="100">
        <v>5730</v>
      </c>
      <c r="F36" s="69">
        <f t="shared" si="1"/>
        <v>0</v>
      </c>
      <c r="G36" s="68">
        <f t="shared" si="0"/>
        <v>0</v>
      </c>
      <c r="H36" s="76">
        <f t="shared" si="2"/>
        <v>0</v>
      </c>
      <c r="I36" s="21"/>
    </row>
    <row r="37" spans="1:11">
      <c r="A37" s="67"/>
      <c r="B37" s="22">
        <v>29</v>
      </c>
      <c r="C37" s="23">
        <f>Gas!C37</f>
        <v>30</v>
      </c>
      <c r="D37" s="23">
        <f>Gas!D37</f>
        <v>169</v>
      </c>
      <c r="E37" s="100">
        <v>5730</v>
      </c>
      <c r="F37" s="69">
        <f t="shared" si="1"/>
        <v>0</v>
      </c>
      <c r="G37" s="68">
        <f t="shared" si="0"/>
        <v>0</v>
      </c>
      <c r="H37" s="76">
        <f t="shared" si="2"/>
        <v>0</v>
      </c>
      <c r="I37" s="21"/>
    </row>
    <row r="38" spans="1:11">
      <c r="A38" s="67"/>
      <c r="B38" s="22">
        <v>30</v>
      </c>
      <c r="C38" s="23">
        <f>Gas!C38</f>
        <v>31</v>
      </c>
      <c r="D38" s="23">
        <f>Gas!D38</f>
        <v>89</v>
      </c>
      <c r="E38" s="100">
        <v>5730</v>
      </c>
      <c r="F38" s="69">
        <f>E38-E36</f>
        <v>0</v>
      </c>
      <c r="G38" s="68">
        <f t="shared" ref="G38" si="3">F38*$G$8</f>
        <v>0</v>
      </c>
      <c r="H38" s="76">
        <f t="shared" ref="H38" si="4">G38/14381</f>
        <v>0</v>
      </c>
      <c r="I38" s="21"/>
    </row>
    <row r="39" spans="1:11">
      <c r="A39" s="67"/>
      <c r="B39" s="22">
        <v>31</v>
      </c>
      <c r="C39" s="23">
        <f>Gas!C39</f>
        <v>38</v>
      </c>
      <c r="D39" s="23">
        <f>Gas!D39</f>
        <v>89</v>
      </c>
      <c r="E39" s="100">
        <v>5744</v>
      </c>
      <c r="F39" s="69">
        <f>E39-E37</f>
        <v>14</v>
      </c>
      <c r="G39" s="68">
        <f t="shared" si="0"/>
        <v>340200</v>
      </c>
      <c r="H39" s="76">
        <f t="shared" si="2"/>
        <v>23.656213058897155</v>
      </c>
      <c r="I39" s="21"/>
    </row>
    <row r="40" spans="1:11">
      <c r="C40" s="30">
        <f>SUM(C9:C39)</f>
        <v>1227</v>
      </c>
      <c r="D40" s="30">
        <f>SUM(D9:D39)</f>
        <v>5353</v>
      </c>
      <c r="E40" s="30"/>
      <c r="F40" s="30">
        <f>SUM(F9:F39)</f>
        <v>41</v>
      </c>
      <c r="G40" s="30"/>
      <c r="H40" s="70">
        <f>SUM(H9:H39)</f>
        <v>69.278909672484531</v>
      </c>
      <c r="K40" s="35"/>
    </row>
    <row r="41" spans="1:11">
      <c r="E41" s="30"/>
      <c r="F41" s="71"/>
      <c r="G41" s="71"/>
      <c r="H41" s="41"/>
    </row>
    <row r="42" spans="1:11">
      <c r="E42" s="58"/>
      <c r="F42" s="72"/>
      <c r="G42" s="72"/>
    </row>
    <row r="43" spans="1:11">
      <c r="E43" s="58"/>
      <c r="F43" s="72"/>
      <c r="G43" s="72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46"/>
  <sheetViews>
    <sheetView workbookViewId="0">
      <selection activeCell="G9" sqref="G9"/>
    </sheetView>
  </sheetViews>
  <sheetFormatPr defaultColWidth="8.85546875" defaultRowHeight="15"/>
  <cols>
    <col min="1" max="1" width="2.42578125" customWidth="1"/>
    <col min="2" max="2" width="4.7109375" customWidth="1"/>
    <col min="3" max="3" width="6.42578125" customWidth="1"/>
    <col min="4" max="5" width="6.42578125" style="19" customWidth="1"/>
    <col min="6" max="6" width="9.42578125" style="31" customWidth="1"/>
    <col min="7" max="7" width="16.42578125" style="31" customWidth="1"/>
    <col min="8" max="8" width="10.28515625" style="31" customWidth="1"/>
    <col min="9" max="9" width="16.7109375" style="31" customWidth="1"/>
    <col min="10" max="10" width="10.28515625" style="31" customWidth="1"/>
    <col min="11" max="11" width="16.7109375" style="31" customWidth="1"/>
    <col min="12" max="12" width="16.28515625" style="31" customWidth="1"/>
    <col min="13" max="13" width="19.7109375" customWidth="1"/>
    <col min="14" max="14" width="34" customWidth="1"/>
    <col min="16" max="16" width="20.42578125" customWidth="1"/>
  </cols>
  <sheetData>
    <row r="2" spans="1:14" ht="15.95">
      <c r="B2" s="128" t="s">
        <v>48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4" ht="15.95">
      <c r="B3" s="128" t="s">
        <v>16</v>
      </c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1:14" ht="8.25" customHeight="1">
      <c r="B4" s="13"/>
      <c r="C4" s="14"/>
      <c r="D4" s="15"/>
      <c r="E4" s="15"/>
      <c r="F4" s="14"/>
      <c r="G4" s="14"/>
      <c r="H4" s="14"/>
      <c r="I4" s="14"/>
      <c r="J4" s="14"/>
      <c r="K4" s="14"/>
      <c r="L4" s="14"/>
    </row>
    <row r="5" spans="1:14">
      <c r="A5" s="16"/>
      <c r="B5" s="129">
        <v>44927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6"/>
    </row>
    <row r="6" spans="1:14">
      <c r="A6" s="17"/>
      <c r="B6" s="127">
        <v>3</v>
      </c>
      <c r="C6" s="127" t="s">
        <v>49</v>
      </c>
      <c r="D6" s="127" t="s">
        <v>13</v>
      </c>
      <c r="E6" s="43"/>
      <c r="F6" s="134" t="s">
        <v>50</v>
      </c>
      <c r="G6" s="134"/>
      <c r="H6" s="136" t="s">
        <v>51</v>
      </c>
      <c r="I6" s="136"/>
      <c r="J6" s="136"/>
      <c r="K6" s="136"/>
      <c r="L6" s="127" t="s">
        <v>52</v>
      </c>
      <c r="M6" s="127" t="s">
        <v>53</v>
      </c>
      <c r="N6" s="18"/>
    </row>
    <row r="7" spans="1:14" s="19" customFormat="1">
      <c r="A7" s="17"/>
      <c r="B7" s="127"/>
      <c r="C7" s="127"/>
      <c r="D7" s="127"/>
      <c r="E7" s="43"/>
      <c r="F7" s="127" t="s">
        <v>54</v>
      </c>
      <c r="G7" s="127" t="s">
        <v>55</v>
      </c>
      <c r="H7" s="127" t="s">
        <v>54</v>
      </c>
      <c r="I7" s="127" t="s">
        <v>56</v>
      </c>
      <c r="J7" s="127" t="s">
        <v>54</v>
      </c>
      <c r="K7" s="127" t="s">
        <v>57</v>
      </c>
      <c r="L7" s="127"/>
      <c r="M7" s="127"/>
      <c r="N7" s="18"/>
    </row>
    <row r="8" spans="1:14">
      <c r="A8" s="20"/>
      <c r="B8" s="127"/>
      <c r="C8" s="127"/>
      <c r="D8" s="127"/>
      <c r="E8" s="43"/>
      <c r="F8" s="127"/>
      <c r="G8" s="127"/>
      <c r="H8" s="127"/>
      <c r="I8" s="127"/>
      <c r="J8" s="127"/>
      <c r="K8" s="127"/>
      <c r="L8" s="127"/>
      <c r="M8" s="127"/>
      <c r="N8" s="21"/>
    </row>
    <row r="9" spans="1:14">
      <c r="A9" s="20"/>
      <c r="B9" s="22">
        <v>1</v>
      </c>
      <c r="C9" s="23">
        <f>'Fuel Diesel'!C9</f>
        <v>54</v>
      </c>
      <c r="D9" s="23">
        <f>'Fuel Diesel'!D9</f>
        <v>247</v>
      </c>
      <c r="E9" s="23">
        <f>F9+H9+J9</f>
        <v>179</v>
      </c>
      <c r="F9" s="102">
        <v>87</v>
      </c>
      <c r="G9" s="26">
        <f>F9*13582</f>
        <v>1181634</v>
      </c>
      <c r="H9" s="106">
        <v>32</v>
      </c>
      <c r="I9" s="26">
        <f>H9*4000</f>
        <v>128000</v>
      </c>
      <c r="J9" s="106">
        <v>60</v>
      </c>
      <c r="K9" s="26">
        <f>J9*4000</f>
        <v>240000</v>
      </c>
      <c r="L9" s="24">
        <f>G9+I9+K9</f>
        <v>1549634</v>
      </c>
      <c r="M9" s="74">
        <f>L9/14381</f>
        <v>107.75564981572909</v>
      </c>
      <c r="N9" s="21"/>
    </row>
    <row r="10" spans="1:14">
      <c r="A10" s="20"/>
      <c r="B10" s="22">
        <v>2</v>
      </c>
      <c r="C10" s="23">
        <f>'Fuel Diesel'!C10</f>
        <v>51</v>
      </c>
      <c r="D10" s="23">
        <f>'Fuel Diesel'!D10</f>
        <v>227</v>
      </c>
      <c r="E10" s="23">
        <f>F10+H10+J10</f>
        <v>186</v>
      </c>
      <c r="F10" s="102">
        <v>61</v>
      </c>
      <c r="G10" s="26">
        <f>F10*13582</f>
        <v>828502</v>
      </c>
      <c r="H10" s="106">
        <v>44</v>
      </c>
      <c r="I10" s="26">
        <f>H10*4000</f>
        <v>176000</v>
      </c>
      <c r="J10" s="106">
        <v>81</v>
      </c>
      <c r="K10" s="26">
        <f>J10*4000</f>
        <v>324000</v>
      </c>
      <c r="L10" s="24">
        <f t="shared" ref="L9:L39" si="0">G10+I10+K10</f>
        <v>1328502</v>
      </c>
      <c r="M10" s="74">
        <f t="shared" ref="M10:M39" si="1">L10/14381</f>
        <v>92.378972255058756</v>
      </c>
      <c r="N10" s="141"/>
    </row>
    <row r="11" spans="1:14">
      <c r="A11" s="20"/>
      <c r="B11" s="22">
        <v>3</v>
      </c>
      <c r="C11" s="23">
        <f>'Fuel Diesel'!C11</f>
        <v>50</v>
      </c>
      <c r="D11" s="23">
        <f>'Fuel Diesel'!D11</f>
        <v>307</v>
      </c>
      <c r="E11" s="23">
        <f t="shared" ref="E11:E39" si="2">F11+H11+J11</f>
        <v>195</v>
      </c>
      <c r="F11" s="102">
        <v>0</v>
      </c>
      <c r="G11" s="26">
        <f t="shared" ref="G11:G39" si="3">F11*13582</f>
        <v>0</v>
      </c>
      <c r="H11" s="106">
        <v>67</v>
      </c>
      <c r="I11" s="26">
        <f t="shared" ref="I11:I39" si="4">H11*4000</f>
        <v>268000</v>
      </c>
      <c r="J11" s="106">
        <v>128</v>
      </c>
      <c r="K11" s="26">
        <f t="shared" ref="K11:K39" si="5">J11*4000</f>
        <v>512000</v>
      </c>
      <c r="L11" s="24">
        <f>G11+I11+K11</f>
        <v>780000</v>
      </c>
      <c r="M11" s="74">
        <f t="shared" si="1"/>
        <v>54.2382309992351</v>
      </c>
      <c r="N11" s="21"/>
    </row>
    <row r="12" spans="1:14">
      <c r="A12" s="20"/>
      <c r="B12" s="22">
        <v>4</v>
      </c>
      <c r="C12" s="23">
        <f>'Fuel Diesel'!C12</f>
        <v>50</v>
      </c>
      <c r="D12" s="23">
        <f>'Fuel Diesel'!D12</f>
        <v>342</v>
      </c>
      <c r="E12" s="23">
        <f t="shared" si="2"/>
        <v>197</v>
      </c>
      <c r="F12" s="102">
        <v>55</v>
      </c>
      <c r="G12" s="26">
        <f t="shared" si="3"/>
        <v>747010</v>
      </c>
      <c r="H12" s="106">
        <v>46</v>
      </c>
      <c r="I12" s="26">
        <f t="shared" si="4"/>
        <v>184000</v>
      </c>
      <c r="J12" s="106">
        <v>96</v>
      </c>
      <c r="K12" s="26">
        <f t="shared" si="5"/>
        <v>384000</v>
      </c>
      <c r="L12" s="24">
        <f t="shared" si="0"/>
        <v>1315010</v>
      </c>
      <c r="M12" s="74">
        <f t="shared" si="1"/>
        <v>91.440789931159173</v>
      </c>
      <c r="N12" s="21"/>
    </row>
    <row r="13" spans="1:14">
      <c r="A13" s="20"/>
      <c r="B13" s="22">
        <v>5</v>
      </c>
      <c r="C13" s="23">
        <f>'Fuel Diesel'!C13</f>
        <v>48</v>
      </c>
      <c r="D13" s="23">
        <f>'Fuel Diesel'!D13</f>
        <v>262</v>
      </c>
      <c r="E13" s="23">
        <f t="shared" si="2"/>
        <v>180</v>
      </c>
      <c r="F13" s="102">
        <v>61</v>
      </c>
      <c r="G13" s="26">
        <f t="shared" si="3"/>
        <v>828502</v>
      </c>
      <c r="H13" s="106">
        <v>41</v>
      </c>
      <c r="I13" s="26">
        <f t="shared" si="4"/>
        <v>164000</v>
      </c>
      <c r="J13" s="106">
        <v>78</v>
      </c>
      <c r="K13" s="26">
        <f t="shared" si="5"/>
        <v>312000</v>
      </c>
      <c r="L13" s="24">
        <f t="shared" si="0"/>
        <v>1304502</v>
      </c>
      <c r="M13" s="74">
        <f t="shared" si="1"/>
        <v>90.710103608928449</v>
      </c>
      <c r="N13" s="21"/>
    </row>
    <row r="14" spans="1:14">
      <c r="A14" s="20"/>
      <c r="B14" s="22">
        <v>6</v>
      </c>
      <c r="C14" s="23">
        <f>'Fuel Diesel'!C14</f>
        <v>45</v>
      </c>
      <c r="D14" s="23">
        <f>'Fuel Diesel'!D14</f>
        <v>210</v>
      </c>
      <c r="E14" s="23">
        <f t="shared" si="2"/>
        <v>179</v>
      </c>
      <c r="F14" s="102">
        <v>84</v>
      </c>
      <c r="G14" s="26">
        <f t="shared" si="3"/>
        <v>1140888</v>
      </c>
      <c r="H14" s="106">
        <v>36</v>
      </c>
      <c r="I14" s="26">
        <f t="shared" si="4"/>
        <v>144000</v>
      </c>
      <c r="J14" s="106">
        <v>59</v>
      </c>
      <c r="K14" s="26">
        <f t="shared" si="5"/>
        <v>236000</v>
      </c>
      <c r="L14" s="24">
        <f t="shared" si="0"/>
        <v>1520888</v>
      </c>
      <c r="M14" s="74">
        <f t="shared" si="1"/>
        <v>105.75676239482651</v>
      </c>
      <c r="N14" s="21"/>
    </row>
    <row r="15" spans="1:14">
      <c r="A15" s="20"/>
      <c r="B15" s="22">
        <v>7</v>
      </c>
      <c r="C15" s="23">
        <f>'Fuel Diesel'!C15</f>
        <v>51</v>
      </c>
      <c r="D15" s="23">
        <f>'Fuel Diesel'!D15</f>
        <v>191</v>
      </c>
      <c r="E15" s="23">
        <f t="shared" si="2"/>
        <v>237</v>
      </c>
      <c r="F15" s="102">
        <v>43</v>
      </c>
      <c r="G15" s="26">
        <f t="shared" si="3"/>
        <v>584026</v>
      </c>
      <c r="H15" s="106">
        <v>65</v>
      </c>
      <c r="I15" s="26">
        <f t="shared" si="4"/>
        <v>260000</v>
      </c>
      <c r="J15" s="106">
        <v>129</v>
      </c>
      <c r="K15" s="26">
        <f t="shared" si="5"/>
        <v>516000</v>
      </c>
      <c r="L15" s="24">
        <f t="shared" si="0"/>
        <v>1360026</v>
      </c>
      <c r="M15" s="74">
        <f t="shared" si="1"/>
        <v>94.571031221750928</v>
      </c>
      <c r="N15" s="21"/>
    </row>
    <row r="16" spans="1:14">
      <c r="A16" s="20"/>
      <c r="B16" s="22">
        <v>8</v>
      </c>
      <c r="C16" s="23">
        <f>'Fuel Diesel'!C16</f>
        <v>50</v>
      </c>
      <c r="D16" s="23">
        <f>'Fuel Diesel'!D16</f>
        <v>210</v>
      </c>
      <c r="E16" s="23">
        <f t="shared" si="2"/>
        <v>227</v>
      </c>
      <c r="F16" s="102">
        <v>35</v>
      </c>
      <c r="G16" s="26">
        <f t="shared" si="3"/>
        <v>475370</v>
      </c>
      <c r="H16" s="106">
        <v>70</v>
      </c>
      <c r="I16" s="26">
        <f t="shared" si="4"/>
        <v>280000</v>
      </c>
      <c r="J16" s="106">
        <v>122</v>
      </c>
      <c r="K16" s="26">
        <f t="shared" si="5"/>
        <v>488000</v>
      </c>
      <c r="L16" s="24">
        <f t="shared" si="0"/>
        <v>1243370</v>
      </c>
      <c r="M16" s="74">
        <f t="shared" si="1"/>
        <v>86.459217022460194</v>
      </c>
      <c r="N16" s="21"/>
    </row>
    <row r="17" spans="1:14">
      <c r="A17" s="20"/>
      <c r="B17" s="22">
        <v>9</v>
      </c>
      <c r="C17" s="23">
        <f>'Fuel Diesel'!C17</f>
        <v>48</v>
      </c>
      <c r="D17" s="23">
        <f>'Fuel Diesel'!D17</f>
        <v>187</v>
      </c>
      <c r="E17" s="23">
        <f t="shared" si="2"/>
        <v>308</v>
      </c>
      <c r="F17" s="102">
        <v>60</v>
      </c>
      <c r="G17" s="26">
        <f t="shared" si="3"/>
        <v>814920</v>
      </c>
      <c r="H17" s="106">
        <v>84</v>
      </c>
      <c r="I17" s="26">
        <f t="shared" si="4"/>
        <v>336000</v>
      </c>
      <c r="J17" s="106">
        <v>164</v>
      </c>
      <c r="K17" s="26">
        <f t="shared" si="5"/>
        <v>656000</v>
      </c>
      <c r="L17" s="24">
        <f t="shared" si="0"/>
        <v>1806920</v>
      </c>
      <c r="M17" s="74">
        <f t="shared" si="1"/>
        <v>125.64633891940755</v>
      </c>
      <c r="N17" s="21"/>
    </row>
    <row r="18" spans="1:14">
      <c r="A18" s="20"/>
      <c r="B18" s="22">
        <v>10</v>
      </c>
      <c r="C18" s="23">
        <f>'Fuel Diesel'!C18</f>
        <v>41</v>
      </c>
      <c r="D18" s="23">
        <f>'Fuel Diesel'!D18</f>
        <v>177</v>
      </c>
      <c r="E18" s="23">
        <f t="shared" si="2"/>
        <v>260</v>
      </c>
      <c r="F18" s="102">
        <v>57</v>
      </c>
      <c r="G18" s="26">
        <f t="shared" si="3"/>
        <v>774174</v>
      </c>
      <c r="H18" s="106">
        <v>69</v>
      </c>
      <c r="I18" s="26">
        <f t="shared" si="4"/>
        <v>276000</v>
      </c>
      <c r="J18" s="106">
        <v>134</v>
      </c>
      <c r="K18" s="26">
        <f t="shared" si="5"/>
        <v>536000</v>
      </c>
      <c r="L18" s="24">
        <f t="shared" si="0"/>
        <v>1586174</v>
      </c>
      <c r="M18" s="74">
        <f t="shared" si="1"/>
        <v>110.29650232946248</v>
      </c>
      <c r="N18" s="21"/>
    </row>
    <row r="19" spans="1:14">
      <c r="A19" s="20"/>
      <c r="B19" s="22">
        <v>11</v>
      </c>
      <c r="C19" s="23">
        <f>'Fuel Diesel'!C19</f>
        <v>39</v>
      </c>
      <c r="D19" s="23">
        <f>'Fuel Diesel'!D19</f>
        <v>185</v>
      </c>
      <c r="E19" s="23">
        <f t="shared" si="2"/>
        <v>278</v>
      </c>
      <c r="F19" s="102">
        <v>57</v>
      </c>
      <c r="G19" s="26">
        <f t="shared" si="3"/>
        <v>774174</v>
      </c>
      <c r="H19" s="106">
        <v>73</v>
      </c>
      <c r="I19" s="26">
        <f t="shared" si="4"/>
        <v>292000</v>
      </c>
      <c r="J19" s="106">
        <v>148</v>
      </c>
      <c r="K19" s="26">
        <f t="shared" si="5"/>
        <v>592000</v>
      </c>
      <c r="L19" s="24">
        <f t="shared" si="0"/>
        <v>1658174</v>
      </c>
      <c r="M19" s="74">
        <f t="shared" si="1"/>
        <v>115.30310826785342</v>
      </c>
      <c r="N19" s="21"/>
    </row>
    <row r="20" spans="1:14">
      <c r="A20" s="20"/>
      <c r="B20" s="22">
        <v>12</v>
      </c>
      <c r="C20" s="23">
        <f>'Fuel Diesel'!C20</f>
        <v>32</v>
      </c>
      <c r="D20" s="23">
        <f>'Fuel Diesel'!D20</f>
        <v>169</v>
      </c>
      <c r="E20" s="23">
        <f t="shared" si="2"/>
        <v>289</v>
      </c>
      <c r="F20" s="102">
        <v>86</v>
      </c>
      <c r="G20" s="26">
        <f t="shared" si="3"/>
        <v>1168052</v>
      </c>
      <c r="H20" s="106">
        <v>69</v>
      </c>
      <c r="I20" s="26">
        <f>H20*4000</f>
        <v>276000</v>
      </c>
      <c r="J20" s="106">
        <v>134</v>
      </c>
      <c r="K20" s="26">
        <f t="shared" si="5"/>
        <v>536000</v>
      </c>
      <c r="L20" s="24">
        <f t="shared" si="0"/>
        <v>1980052</v>
      </c>
      <c r="M20" s="74">
        <f t="shared" si="1"/>
        <v>137.68527918781726</v>
      </c>
      <c r="N20" s="21"/>
    </row>
    <row r="21" spans="1:14">
      <c r="A21" s="20"/>
      <c r="B21" s="22">
        <v>13</v>
      </c>
      <c r="C21" s="23">
        <f>'Fuel Diesel'!C21</f>
        <v>33</v>
      </c>
      <c r="D21" s="23">
        <f>'Fuel Diesel'!D21</f>
        <v>154</v>
      </c>
      <c r="E21" s="23">
        <f t="shared" si="2"/>
        <v>237</v>
      </c>
      <c r="F21" s="102">
        <v>118</v>
      </c>
      <c r="G21" s="26">
        <f t="shared" si="3"/>
        <v>1602676</v>
      </c>
      <c r="H21" s="106">
        <v>39</v>
      </c>
      <c r="I21" s="26">
        <f t="shared" si="4"/>
        <v>156000</v>
      </c>
      <c r="J21" s="106">
        <v>80</v>
      </c>
      <c r="K21" s="26">
        <f t="shared" si="5"/>
        <v>320000</v>
      </c>
      <c r="L21" s="24">
        <f t="shared" si="0"/>
        <v>2078676</v>
      </c>
      <c r="M21" s="74">
        <f t="shared" si="1"/>
        <v>144.54321674431543</v>
      </c>
      <c r="N21" s="21"/>
    </row>
    <row r="22" spans="1:14">
      <c r="A22" s="20"/>
      <c r="B22" s="22">
        <v>14</v>
      </c>
      <c r="C22" s="23">
        <f>'Fuel Diesel'!C22</f>
        <v>26</v>
      </c>
      <c r="D22" s="23">
        <f>'Fuel Diesel'!D22</f>
        <v>131</v>
      </c>
      <c r="E22" s="23">
        <f t="shared" si="2"/>
        <v>209</v>
      </c>
      <c r="F22" s="102">
        <v>59</v>
      </c>
      <c r="G22" s="26">
        <f t="shared" si="3"/>
        <v>801338</v>
      </c>
      <c r="H22" s="106">
        <v>50</v>
      </c>
      <c r="I22" s="26">
        <f t="shared" si="4"/>
        <v>200000</v>
      </c>
      <c r="J22" s="106">
        <v>100</v>
      </c>
      <c r="K22" s="26">
        <f t="shared" si="5"/>
        <v>400000</v>
      </c>
      <c r="L22" s="24">
        <f t="shared" si="0"/>
        <v>1401338</v>
      </c>
      <c r="M22" s="74">
        <f t="shared" si="1"/>
        <v>97.443710451289903</v>
      </c>
      <c r="N22" s="21"/>
    </row>
    <row r="23" spans="1:14">
      <c r="A23" s="20"/>
      <c r="B23" s="22">
        <v>15</v>
      </c>
      <c r="C23" s="23">
        <f>'Fuel Diesel'!C23</f>
        <v>27</v>
      </c>
      <c r="D23" s="23">
        <f>'Fuel Diesel'!D23</f>
        <v>123</v>
      </c>
      <c r="E23" s="23">
        <f t="shared" si="2"/>
        <v>212</v>
      </c>
      <c r="F23" s="102">
        <v>44</v>
      </c>
      <c r="G23" s="26">
        <f t="shared" si="3"/>
        <v>597608</v>
      </c>
      <c r="H23" s="106">
        <v>57</v>
      </c>
      <c r="I23" s="26">
        <f t="shared" si="4"/>
        <v>228000</v>
      </c>
      <c r="J23" s="106">
        <v>111</v>
      </c>
      <c r="K23" s="26">
        <f t="shared" si="5"/>
        <v>444000</v>
      </c>
      <c r="L23" s="24">
        <f t="shared" si="0"/>
        <v>1269608</v>
      </c>
      <c r="M23" s="74">
        <f t="shared" si="1"/>
        <v>88.283707669842158</v>
      </c>
      <c r="N23" s="21"/>
    </row>
    <row r="24" spans="1:14">
      <c r="A24" s="20"/>
      <c r="B24" s="22">
        <v>16</v>
      </c>
      <c r="C24" s="23">
        <f>'Fuel Diesel'!C24</f>
        <v>31</v>
      </c>
      <c r="D24" s="23">
        <f>'Fuel Diesel'!D24</f>
        <v>98</v>
      </c>
      <c r="E24" s="23">
        <f t="shared" si="2"/>
        <v>258</v>
      </c>
      <c r="F24" s="102">
        <v>48</v>
      </c>
      <c r="G24" s="26">
        <f t="shared" si="3"/>
        <v>651936</v>
      </c>
      <c r="H24" s="106">
        <v>76</v>
      </c>
      <c r="I24" s="26">
        <f t="shared" si="4"/>
        <v>304000</v>
      </c>
      <c r="J24" s="106">
        <v>134</v>
      </c>
      <c r="K24" s="26">
        <f t="shared" si="5"/>
        <v>536000</v>
      </c>
      <c r="L24" s="24">
        <f t="shared" si="0"/>
        <v>1491936</v>
      </c>
      <c r="M24" s="74">
        <f t="shared" si="1"/>
        <v>103.74355051804464</v>
      </c>
      <c r="N24" s="21"/>
    </row>
    <row r="25" spans="1:14">
      <c r="A25" s="20"/>
      <c r="B25" s="22">
        <v>17</v>
      </c>
      <c r="C25" s="23">
        <f>'Fuel Diesel'!C25</f>
        <v>33</v>
      </c>
      <c r="D25" s="23">
        <f>'Fuel Diesel'!D25</f>
        <v>96</v>
      </c>
      <c r="E25" s="23">
        <f t="shared" si="2"/>
        <v>299</v>
      </c>
      <c r="F25" s="102">
        <v>47</v>
      </c>
      <c r="G25" s="26">
        <f t="shared" si="3"/>
        <v>638354</v>
      </c>
      <c r="H25" s="106">
        <v>89</v>
      </c>
      <c r="I25" s="26">
        <f t="shared" si="4"/>
        <v>356000</v>
      </c>
      <c r="J25" s="106">
        <v>163</v>
      </c>
      <c r="K25" s="26">
        <f t="shared" si="5"/>
        <v>652000</v>
      </c>
      <c r="L25" s="24">
        <f t="shared" si="0"/>
        <v>1646354</v>
      </c>
      <c r="M25" s="74">
        <f t="shared" si="1"/>
        <v>114.48119045963423</v>
      </c>
      <c r="N25" s="21"/>
    </row>
    <row r="26" spans="1:14">
      <c r="A26" s="20"/>
      <c r="B26" s="22">
        <v>18</v>
      </c>
      <c r="C26" s="23">
        <f>'Fuel Diesel'!C26</f>
        <v>40</v>
      </c>
      <c r="D26" s="23">
        <f>'Fuel Diesel'!D26</f>
        <v>110</v>
      </c>
      <c r="E26" s="23">
        <f t="shared" si="2"/>
        <v>273</v>
      </c>
      <c r="F26" s="102">
        <v>44</v>
      </c>
      <c r="G26" s="26">
        <f t="shared" si="3"/>
        <v>597608</v>
      </c>
      <c r="H26" s="106">
        <v>78</v>
      </c>
      <c r="I26" s="26">
        <f t="shared" si="4"/>
        <v>312000</v>
      </c>
      <c r="J26" s="106">
        <v>151</v>
      </c>
      <c r="K26" s="26">
        <f t="shared" si="5"/>
        <v>604000</v>
      </c>
      <c r="L26" s="24">
        <f t="shared" si="0"/>
        <v>1513608</v>
      </c>
      <c r="M26" s="74">
        <f t="shared" si="1"/>
        <v>105.25053890550031</v>
      </c>
      <c r="N26" s="21"/>
    </row>
    <row r="27" spans="1:14">
      <c r="A27" s="20"/>
      <c r="B27" s="22">
        <v>19</v>
      </c>
      <c r="C27" s="23">
        <f>'Fuel Diesel'!C27</f>
        <v>34</v>
      </c>
      <c r="D27" s="23">
        <f>'Fuel Diesel'!D27</f>
        <v>175</v>
      </c>
      <c r="E27" s="23">
        <f t="shared" si="2"/>
        <v>261</v>
      </c>
      <c r="F27" s="102">
        <v>41</v>
      </c>
      <c r="G27" s="26">
        <f t="shared" si="3"/>
        <v>556862</v>
      </c>
      <c r="H27" s="106">
        <v>75</v>
      </c>
      <c r="I27" s="26">
        <f t="shared" si="4"/>
        <v>300000</v>
      </c>
      <c r="J27" s="106">
        <v>145</v>
      </c>
      <c r="K27" s="26">
        <f t="shared" si="5"/>
        <v>580000</v>
      </c>
      <c r="L27" s="24">
        <f t="shared" si="0"/>
        <v>1436862</v>
      </c>
      <c r="M27" s="74">
        <f t="shared" si="1"/>
        <v>99.913914192337117</v>
      </c>
      <c r="N27" s="21"/>
    </row>
    <row r="28" spans="1:14">
      <c r="A28" s="20"/>
      <c r="B28" s="22">
        <v>20</v>
      </c>
      <c r="C28" s="23">
        <f>'Fuel Diesel'!C28</f>
        <v>44</v>
      </c>
      <c r="D28" s="23">
        <f>'Fuel Diesel'!D28</f>
        <v>146</v>
      </c>
      <c r="E28" s="23">
        <f t="shared" si="2"/>
        <v>298</v>
      </c>
      <c r="F28" s="102">
        <v>36</v>
      </c>
      <c r="G28" s="26">
        <f t="shared" si="3"/>
        <v>488952</v>
      </c>
      <c r="H28" s="106">
        <v>88</v>
      </c>
      <c r="I28" s="26">
        <f t="shared" si="4"/>
        <v>352000</v>
      </c>
      <c r="J28" s="106">
        <v>174</v>
      </c>
      <c r="K28" s="26">
        <f t="shared" si="5"/>
        <v>696000</v>
      </c>
      <c r="L28" s="24">
        <f t="shared" si="0"/>
        <v>1536952</v>
      </c>
      <c r="M28" s="74">
        <f t="shared" si="1"/>
        <v>106.8737918086364</v>
      </c>
      <c r="N28" s="21"/>
    </row>
    <row r="29" spans="1:14">
      <c r="A29" s="20"/>
      <c r="B29" s="22">
        <v>21</v>
      </c>
      <c r="C29" s="23">
        <f>'Fuel Diesel'!C29</f>
        <v>43</v>
      </c>
      <c r="D29" s="23">
        <f>'Fuel Diesel'!D29</f>
        <v>196</v>
      </c>
      <c r="E29" s="23">
        <f t="shared" si="2"/>
        <v>233</v>
      </c>
      <c r="F29" s="102">
        <v>41</v>
      </c>
      <c r="G29" s="26">
        <f t="shared" si="3"/>
        <v>556862</v>
      </c>
      <c r="H29" s="106">
        <v>63</v>
      </c>
      <c r="I29" s="26">
        <f t="shared" si="4"/>
        <v>252000</v>
      </c>
      <c r="J29" s="106">
        <v>129</v>
      </c>
      <c r="K29" s="26">
        <f t="shared" si="5"/>
        <v>516000</v>
      </c>
      <c r="L29" s="24">
        <f t="shared" si="0"/>
        <v>1324862</v>
      </c>
      <c r="M29" s="74">
        <f t="shared" si="1"/>
        <v>92.125860510395654</v>
      </c>
      <c r="N29" s="21"/>
    </row>
    <row r="30" spans="1:14">
      <c r="A30" s="20"/>
      <c r="B30" s="22">
        <v>22</v>
      </c>
      <c r="C30" s="23">
        <f>'Fuel Diesel'!C30</f>
        <v>47</v>
      </c>
      <c r="D30" s="23">
        <f>'Fuel Diesel'!D30</f>
        <v>152</v>
      </c>
      <c r="E30" s="23">
        <f t="shared" si="2"/>
        <v>232</v>
      </c>
      <c r="F30" s="102">
        <v>37</v>
      </c>
      <c r="G30" s="26">
        <f t="shared" si="3"/>
        <v>502534</v>
      </c>
      <c r="H30" s="106">
        <v>77</v>
      </c>
      <c r="I30" s="26">
        <f t="shared" si="4"/>
        <v>308000</v>
      </c>
      <c r="J30" s="106">
        <v>118</v>
      </c>
      <c r="K30" s="26">
        <f t="shared" si="5"/>
        <v>472000</v>
      </c>
      <c r="L30" s="24">
        <f t="shared" si="0"/>
        <v>1282534</v>
      </c>
      <c r="M30" s="74">
        <f t="shared" si="1"/>
        <v>89.182532508170496</v>
      </c>
      <c r="N30" s="21"/>
    </row>
    <row r="31" spans="1:14">
      <c r="A31" s="20"/>
      <c r="B31" s="22">
        <v>23</v>
      </c>
      <c r="C31" s="23">
        <f>'Fuel Diesel'!C31</f>
        <v>44</v>
      </c>
      <c r="D31" s="23">
        <f>'Fuel Diesel'!D31</f>
        <v>205</v>
      </c>
      <c r="E31" s="23">
        <f>F31+H31+J31</f>
        <v>287</v>
      </c>
      <c r="F31" s="102">
        <v>35</v>
      </c>
      <c r="G31" s="26">
        <f t="shared" si="3"/>
        <v>475370</v>
      </c>
      <c r="H31" s="106">
        <v>102</v>
      </c>
      <c r="I31" s="26">
        <f t="shared" si="4"/>
        <v>408000</v>
      </c>
      <c r="J31" s="106">
        <v>150</v>
      </c>
      <c r="K31" s="26">
        <f t="shared" si="5"/>
        <v>600000</v>
      </c>
      <c r="L31" s="24">
        <f t="shared" si="0"/>
        <v>1483370</v>
      </c>
      <c r="M31" s="74">
        <f t="shared" si="1"/>
        <v>103.1479034837633</v>
      </c>
      <c r="N31" s="21"/>
    </row>
    <row r="32" spans="1:14">
      <c r="A32" s="20"/>
      <c r="B32" s="22">
        <v>24</v>
      </c>
      <c r="C32" s="23">
        <f>'Fuel Diesel'!C32</f>
        <v>37</v>
      </c>
      <c r="D32" s="23">
        <f>'Fuel Diesel'!D32</f>
        <v>172</v>
      </c>
      <c r="E32" s="23">
        <f t="shared" si="2"/>
        <v>265</v>
      </c>
      <c r="F32" s="102">
        <v>33</v>
      </c>
      <c r="G32" s="26">
        <f t="shared" si="3"/>
        <v>448206</v>
      </c>
      <c r="H32" s="106">
        <v>81</v>
      </c>
      <c r="I32" s="26">
        <f t="shared" si="4"/>
        <v>324000</v>
      </c>
      <c r="J32" s="106">
        <v>151</v>
      </c>
      <c r="K32" s="26">
        <f t="shared" si="5"/>
        <v>604000</v>
      </c>
      <c r="L32" s="24">
        <f t="shared" si="0"/>
        <v>1376206</v>
      </c>
      <c r="M32" s="74">
        <f t="shared" si="1"/>
        <v>95.696126834017107</v>
      </c>
      <c r="N32" s="21"/>
    </row>
    <row r="33" spans="1:16">
      <c r="A33" s="20"/>
      <c r="B33" s="22">
        <v>25</v>
      </c>
      <c r="C33" s="23">
        <f>'Fuel Diesel'!C33</f>
        <v>34</v>
      </c>
      <c r="D33" s="23">
        <f>'Fuel Diesel'!D33</f>
        <v>154</v>
      </c>
      <c r="E33" s="23">
        <f t="shared" si="2"/>
        <v>224</v>
      </c>
      <c r="F33" s="102">
        <v>32</v>
      </c>
      <c r="G33" s="26">
        <f t="shared" si="3"/>
        <v>434624</v>
      </c>
      <c r="H33" s="106">
        <v>75</v>
      </c>
      <c r="I33" s="26">
        <f t="shared" si="4"/>
        <v>300000</v>
      </c>
      <c r="J33" s="106">
        <v>117</v>
      </c>
      <c r="K33" s="26">
        <f t="shared" si="5"/>
        <v>468000</v>
      </c>
      <c r="L33" s="24">
        <f t="shared" si="0"/>
        <v>1202624</v>
      </c>
      <c r="M33" s="74">
        <f t="shared" si="1"/>
        <v>83.62589527849245</v>
      </c>
      <c r="N33" s="21"/>
    </row>
    <row r="34" spans="1:16">
      <c r="A34" s="20"/>
      <c r="B34" s="22">
        <v>26</v>
      </c>
      <c r="C34" s="23">
        <f>'Fuel Diesel'!C34</f>
        <v>35</v>
      </c>
      <c r="D34" s="23">
        <f>'Fuel Diesel'!D34</f>
        <v>151</v>
      </c>
      <c r="E34" s="23">
        <f t="shared" si="2"/>
        <v>219</v>
      </c>
      <c r="F34" s="102">
        <v>33</v>
      </c>
      <c r="G34" s="26">
        <f t="shared" si="3"/>
        <v>448206</v>
      </c>
      <c r="H34" s="106">
        <v>79</v>
      </c>
      <c r="I34" s="26">
        <f t="shared" si="4"/>
        <v>316000</v>
      </c>
      <c r="J34" s="106">
        <v>107</v>
      </c>
      <c r="K34" s="26">
        <f t="shared" si="5"/>
        <v>428000</v>
      </c>
      <c r="L34" s="24">
        <f t="shared" si="0"/>
        <v>1192206</v>
      </c>
      <c r="M34" s="74">
        <f t="shared" si="1"/>
        <v>82.901467213684725</v>
      </c>
      <c r="N34" s="21"/>
    </row>
    <row r="35" spans="1:16">
      <c r="A35" s="20"/>
      <c r="B35" s="22">
        <v>27</v>
      </c>
      <c r="C35" s="23">
        <f>'Fuel Diesel'!C35</f>
        <v>30</v>
      </c>
      <c r="D35" s="23">
        <f>'Fuel Diesel'!D35</f>
        <v>109</v>
      </c>
      <c r="E35" s="23">
        <f t="shared" si="2"/>
        <v>224</v>
      </c>
      <c r="F35" s="102">
        <v>35</v>
      </c>
      <c r="G35" s="26">
        <f t="shared" si="3"/>
        <v>475370</v>
      </c>
      <c r="H35" s="106">
        <v>71</v>
      </c>
      <c r="I35" s="26">
        <f t="shared" si="4"/>
        <v>284000</v>
      </c>
      <c r="J35" s="106">
        <v>118</v>
      </c>
      <c r="K35" s="26">
        <f t="shared" si="5"/>
        <v>472000</v>
      </c>
      <c r="L35" s="24">
        <f t="shared" si="0"/>
        <v>1231370</v>
      </c>
      <c r="M35" s="74">
        <f t="shared" si="1"/>
        <v>85.624782699395041</v>
      </c>
      <c r="N35" s="21"/>
    </row>
    <row r="36" spans="1:16">
      <c r="A36" s="20"/>
      <c r="B36" s="22">
        <v>28</v>
      </c>
      <c r="C36" s="23">
        <f>'Fuel Diesel'!C36</f>
        <v>31</v>
      </c>
      <c r="D36" s="23">
        <f>'Fuel Diesel'!D36</f>
        <v>120</v>
      </c>
      <c r="E36" s="23">
        <f t="shared" si="2"/>
        <v>224</v>
      </c>
      <c r="F36" s="102">
        <v>35</v>
      </c>
      <c r="G36" s="26">
        <f t="shared" si="3"/>
        <v>475370</v>
      </c>
      <c r="H36" s="106">
        <v>76</v>
      </c>
      <c r="I36" s="26">
        <f t="shared" si="4"/>
        <v>304000</v>
      </c>
      <c r="J36" s="106">
        <v>113</v>
      </c>
      <c r="K36" s="26">
        <f t="shared" si="5"/>
        <v>452000</v>
      </c>
      <c r="L36" s="24">
        <f t="shared" si="0"/>
        <v>1231370</v>
      </c>
      <c r="M36" s="74">
        <f t="shared" si="1"/>
        <v>85.624782699395041</v>
      </c>
      <c r="N36" s="21"/>
    </row>
    <row r="37" spans="1:16">
      <c r="A37" s="20"/>
      <c r="B37" s="22">
        <v>29</v>
      </c>
      <c r="C37" s="23">
        <f>'Fuel Diesel'!C37</f>
        <v>30</v>
      </c>
      <c r="D37" s="23">
        <f>'Fuel Diesel'!D37</f>
        <v>169</v>
      </c>
      <c r="E37" s="23">
        <f t="shared" si="2"/>
        <v>226</v>
      </c>
      <c r="F37" s="102">
        <v>39</v>
      </c>
      <c r="G37" s="26">
        <f t="shared" si="3"/>
        <v>529698</v>
      </c>
      <c r="H37" s="106">
        <v>82</v>
      </c>
      <c r="I37" s="26">
        <f t="shared" si="4"/>
        <v>328000</v>
      </c>
      <c r="J37" s="106">
        <v>105</v>
      </c>
      <c r="K37" s="26">
        <f t="shared" si="5"/>
        <v>420000</v>
      </c>
      <c r="L37" s="24">
        <f t="shared" si="0"/>
        <v>1277698</v>
      </c>
      <c r="M37" s="74">
        <f t="shared" si="1"/>
        <v>88.846255475975241</v>
      </c>
      <c r="N37" s="21"/>
    </row>
    <row r="38" spans="1:16">
      <c r="A38" s="20"/>
      <c r="B38" s="22">
        <v>30</v>
      </c>
      <c r="C38" s="23">
        <f>'Fuel Diesel'!C38</f>
        <v>31</v>
      </c>
      <c r="D38" s="23">
        <f>'Fuel Diesel'!D38</f>
        <v>89</v>
      </c>
      <c r="E38" s="23">
        <f t="shared" ref="E38" si="6">F38+H38+J38</f>
        <v>277</v>
      </c>
      <c r="F38" s="102">
        <v>73</v>
      </c>
      <c r="G38" s="26">
        <f t="shared" ref="G38" si="7">F38*13582</f>
        <v>991486</v>
      </c>
      <c r="H38" s="106">
        <v>89</v>
      </c>
      <c r="I38" s="26">
        <f t="shared" ref="I38" si="8">H38*4000</f>
        <v>356000</v>
      </c>
      <c r="J38" s="106">
        <v>115</v>
      </c>
      <c r="K38" s="26">
        <f t="shared" ref="K38" si="9">J38*4000</f>
        <v>460000</v>
      </c>
      <c r="L38" s="24">
        <f t="shared" ref="L38" si="10">G38+I38+K38</f>
        <v>1807486</v>
      </c>
      <c r="M38" s="74">
        <f t="shared" ref="M38" si="11">L38/14381</f>
        <v>125.68569640497878</v>
      </c>
      <c r="N38" s="21"/>
    </row>
    <row r="39" spans="1:16">
      <c r="A39" s="20"/>
      <c r="B39" s="22">
        <v>31</v>
      </c>
      <c r="C39" s="23">
        <f>'Fuel Diesel'!C39</f>
        <v>38</v>
      </c>
      <c r="D39" s="23">
        <f>'Fuel Diesel'!D39</f>
        <v>89</v>
      </c>
      <c r="E39" s="23">
        <f t="shared" si="2"/>
        <v>227</v>
      </c>
      <c r="F39" s="102">
        <v>134</v>
      </c>
      <c r="G39" s="26">
        <f t="shared" si="3"/>
        <v>1819988</v>
      </c>
      <c r="H39" s="106">
        <v>49</v>
      </c>
      <c r="I39" s="26">
        <f t="shared" si="4"/>
        <v>196000</v>
      </c>
      <c r="J39" s="106">
        <v>44</v>
      </c>
      <c r="K39" s="26">
        <f t="shared" si="5"/>
        <v>176000</v>
      </c>
      <c r="L39" s="24">
        <f t="shared" si="0"/>
        <v>2191988</v>
      </c>
      <c r="M39" s="74">
        <f t="shared" si="1"/>
        <v>152.42250191224534</v>
      </c>
      <c r="N39" s="21"/>
    </row>
    <row r="40" spans="1:16">
      <c r="C40" s="30">
        <f>SUM(C9:C39)</f>
        <v>1227</v>
      </c>
      <c r="D40" s="30">
        <f>SUM(D9:D39)</f>
        <v>5353</v>
      </c>
      <c r="E40" s="30">
        <f>SUM(E9:E39)</f>
        <v>7400</v>
      </c>
      <c r="F40" s="30">
        <v>0</v>
      </c>
      <c r="H40" s="30">
        <f>SUM(H9:H39)</f>
        <v>2092</v>
      </c>
      <c r="J40" s="30">
        <f>SUM(J9:J39)</f>
        <v>3658</v>
      </c>
      <c r="K40" s="83">
        <f>H40+J40</f>
        <v>5750</v>
      </c>
      <c r="L40" s="75">
        <f>SUM(L9:L39)</f>
        <v>45410300</v>
      </c>
      <c r="M40" s="77">
        <f>SUM(M9:M39)</f>
        <v>3157.6594117238024</v>
      </c>
      <c r="P40" s="35"/>
    </row>
    <row r="41" spans="1:16">
      <c r="F41" s="31">
        <f>SUM(F9:F40)</f>
        <v>1650</v>
      </c>
      <c r="I41" s="82" t="s">
        <v>58</v>
      </c>
      <c r="J41" s="81">
        <f>H40+J40+F41</f>
        <v>7400</v>
      </c>
      <c r="M41" s="36"/>
    </row>
    <row r="42" spans="1:16">
      <c r="F42" s="114"/>
      <c r="G42" s="19"/>
      <c r="H42" s="19"/>
      <c r="I42" s="19"/>
      <c r="J42" s="57"/>
      <c r="K42" s="115"/>
      <c r="M42" s="38"/>
    </row>
    <row r="43" spans="1:16">
      <c r="F43" s="19"/>
      <c r="G43" s="19"/>
      <c r="H43" s="19"/>
      <c r="I43" s="19"/>
      <c r="J43" s="57"/>
    </row>
    <row r="44" spans="1:16">
      <c r="G44" s="103"/>
      <c r="L44" s="31">
        <f>L40/J41</f>
        <v>6136.5270270270266</v>
      </c>
    </row>
    <row r="45" spans="1:16">
      <c r="K45" s="103"/>
      <c r="M45" s="116"/>
      <c r="N45" s="116"/>
    </row>
    <row r="46" spans="1:16">
      <c r="L46" s="103"/>
    </row>
  </sheetData>
  <mergeCells count="16">
    <mergeCell ref="K7:K8"/>
    <mergeCell ref="B2:M2"/>
    <mergeCell ref="B3:M3"/>
    <mergeCell ref="B5:M5"/>
    <mergeCell ref="B6:B8"/>
    <mergeCell ref="C6:C8"/>
    <mergeCell ref="D6:D8"/>
    <mergeCell ref="F6:G6"/>
    <mergeCell ref="H6:K6"/>
    <mergeCell ref="L6:L8"/>
    <mergeCell ref="M6:M8"/>
    <mergeCell ref="F7:F8"/>
    <mergeCell ref="G7:G8"/>
    <mergeCell ref="H7:H8"/>
    <mergeCell ref="I7:I8"/>
    <mergeCell ref="J7:J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F59F86-2A63-47CA-80BE-C2B91424620F}"/>
</file>

<file path=customXml/itemProps2.xml><?xml version="1.0" encoding="utf-8"?>
<ds:datastoreItem xmlns:ds="http://schemas.openxmlformats.org/officeDocument/2006/customXml" ds:itemID="{38AAAFBA-24AE-41D5-B538-7FF216155BDB}"/>
</file>

<file path=customXml/itemProps3.xml><?xml version="1.0" encoding="utf-8"?>
<ds:datastoreItem xmlns:ds="http://schemas.openxmlformats.org/officeDocument/2006/customXml" ds:itemID="{4010D56E-76D4-4A07-ADB0-326CB9B396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Siget Pamungkas</dc:creator>
  <cp:keywords/>
  <dc:description/>
  <cp:lastModifiedBy>Dinna Wiji Safitri</cp:lastModifiedBy>
  <cp:revision/>
  <dcterms:created xsi:type="dcterms:W3CDTF">2022-01-19T02:48:06Z</dcterms:created>
  <dcterms:modified xsi:type="dcterms:W3CDTF">2023-02-07T03:23:57Z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