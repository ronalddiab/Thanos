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87B365AD-33DA-46C7-9325-16A185E364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May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E32" i="1"/>
  <c r="G32" i="1"/>
  <c r="I32" i="1"/>
  <c r="K32" i="1"/>
  <c r="L3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36" i="8" l="1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<sst xmlns="http://schemas.openxmlformats.org/spreadsheetml/2006/main" count="68" uniqueCount="36">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</sst>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8" xfId="0" applyFont="1" applyFill="1" applyBorder="1" applyAlignment="1" applyProtection="1">
      <alignment horizontal="center"/>
      <protection locked="0"/>
    </xf>
    <xf numFmtId="0" fontId="2" fillId="0" borderId="29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7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G2" sqref="G2"/>
    </sheetView>
  </sheetViews>
  <sheetFormatPr defaultColWidth="11.5546875" defaultRowHeight="14.4" x14ac:dyDescent="0.3"/>
  <cols>
    <col min="1" max="1" width="18.109375" style="3" customWidth="1"/>
    <col min="2" max="2" width="11.5546875" style="2"/>
    <col min="3" max="3" width="11.5546875" style="27"/>
    <col min="4" max="4" width="13.44140625" style="2" customWidth="1"/>
    <col min="5" max="5" width="12.5546875" style="1" customWidth="1"/>
    <col min="6" max="6" width="12.5546875" style="22" customWidth="1"/>
    <col min="7" max="7" width="11.5546875" style="1"/>
    <col min="8" max="8" width="11.5546875" style="22"/>
    <col min="9" max="9" width="11.5546875" style="1"/>
    <col min="10" max="10" width="11.5546875" style="23"/>
    <col min="11" max="11" width="11.5546875" style="30"/>
    <col min="12" max="24" width="11.5546875" style="1"/>
  </cols>
  <sheetData>
    <row r="1" spans="1:24" s="3" customFormat="1" ht="43.2" x14ac:dyDescent="0.3">
      <c r="A1" s="24" t="s">
        <v>0</v>
      </c>
      <c r="B1" s="24" t="s">
        <v>1</v>
      </c>
      <c r="C1" s="26" t="s">
        <v>2</v>
      </c>
      <c r="D1" s="24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4" t="s">
        <v>8</v>
      </c>
      <c r="J1" s="26" t="s">
        <v>9</v>
      </c>
      <c r="K1" s="28" t="s">
        <v>10</v>
      </c>
      <c r="L1" s="24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3" t="s">
        <v>12</v>
      </c>
      <c r="B2" s="2">
        <v>1</v>
      </c>
      <c r="C2" s="27">
        <v>5</v>
      </c>
      <c r="D2" s="2">
        <v>2022</v>
      </c>
      <c r="E2" s="4">
        <f>May!B4</f>
        <v>12540</v>
      </c>
      <c r="F2" s="21">
        <v>9.9000000000000005E-2</v>
      </c>
      <c r="G2" s="4">
        <f>May!C4</f>
        <v>888</v>
      </c>
      <c r="H2" s="22">
        <v>0.28000000000000003</v>
      </c>
      <c r="I2" s="4">
        <f>May!D4</f>
        <v>58</v>
      </c>
      <c r="J2" s="22">
        <v>3.2719999999999998</v>
      </c>
      <c r="K2" s="29">
        <f>May!J4</f>
        <v>76</v>
      </c>
      <c r="L2" s="29">
        <f>May!K4</f>
        <v>38</v>
      </c>
      <c r="M2" s="1" t="s">
        <v>13</v>
      </c>
    </row>
    <row r="3" spans="1:24" x14ac:dyDescent="0.3">
      <c r="A3" s="3" t="s">
        <v>12</v>
      </c>
      <c r="B3" s="2">
        <f>B2+1</f>
        <v>2</v>
      </c>
      <c r="C3" s="27">
        <v>5</v>
      </c>
      <c r="D3" s="2">
        <v>2022</v>
      </c>
      <c r="E3" s="4">
        <f>May!B5</f>
        <v>11554</v>
      </c>
      <c r="F3" s="21">
        <v>9.9000000000000005E-2</v>
      </c>
      <c r="G3" s="4">
        <f>May!C5</f>
        <v>715</v>
      </c>
      <c r="H3" s="22">
        <v>0.28000000000000003</v>
      </c>
      <c r="I3" s="4">
        <f>May!D5</f>
        <v>60</v>
      </c>
      <c r="J3" s="22">
        <v>3.2719999999999998</v>
      </c>
      <c r="K3" s="29">
        <f>May!J5</f>
        <v>74</v>
      </c>
      <c r="L3" s="29">
        <f>May!K5</f>
        <v>43</v>
      </c>
    </row>
    <row r="4" spans="1:24" x14ac:dyDescent="0.3">
      <c r="A4" s="3" t="s">
        <v>12</v>
      </c>
      <c r="B4" s="2">
        <f t="shared" ref="B4:B32" si="0">B3+1</f>
        <v>3</v>
      </c>
      <c r="C4" s="27">
        <v>5</v>
      </c>
      <c r="D4" s="2">
        <v>2022</v>
      </c>
      <c r="E4" s="4">
        <f>May!B6</f>
        <v>13304</v>
      </c>
      <c r="F4" s="21">
        <v>9.9000000000000005E-2</v>
      </c>
      <c r="G4" s="4">
        <f>May!C6</f>
        <v>818</v>
      </c>
      <c r="H4" s="22">
        <v>0.28000000000000003</v>
      </c>
      <c r="I4" s="4">
        <f>May!D6</f>
        <v>63</v>
      </c>
      <c r="J4" s="22">
        <v>3.2719999999999998</v>
      </c>
      <c r="K4" s="29">
        <f>May!J6</f>
        <v>96</v>
      </c>
      <c r="L4" s="29">
        <f>May!K6</f>
        <v>60</v>
      </c>
    </row>
    <row r="5" spans="1:24" x14ac:dyDescent="0.3">
      <c r="A5" s="3" t="s">
        <v>12</v>
      </c>
      <c r="B5" s="2">
        <f t="shared" si="0"/>
        <v>4</v>
      </c>
      <c r="C5" s="27">
        <v>5</v>
      </c>
      <c r="D5" s="2">
        <v>2022</v>
      </c>
      <c r="E5" s="4">
        <f>May!B7</f>
        <v>12785</v>
      </c>
      <c r="F5" s="21">
        <v>9.9000000000000005E-2</v>
      </c>
      <c r="G5" s="4">
        <f>May!C7</f>
        <v>606</v>
      </c>
      <c r="H5" s="22">
        <v>0.28000000000000003</v>
      </c>
      <c r="I5" s="4">
        <f>May!D7</f>
        <v>80</v>
      </c>
      <c r="J5" s="22">
        <v>3.2719999999999998</v>
      </c>
      <c r="K5" s="29">
        <f>May!J7</f>
        <v>106</v>
      </c>
      <c r="L5" s="29">
        <f>May!K7</f>
        <v>66</v>
      </c>
    </row>
    <row r="6" spans="1:24" x14ac:dyDescent="0.3">
      <c r="A6" s="3" t="s">
        <v>12</v>
      </c>
      <c r="B6" s="2">
        <f t="shared" si="0"/>
        <v>5</v>
      </c>
      <c r="C6" s="27">
        <v>5</v>
      </c>
      <c r="D6" s="2">
        <v>2022</v>
      </c>
      <c r="E6" s="4">
        <f>May!B8</f>
        <v>12663</v>
      </c>
      <c r="F6" s="21">
        <v>9.9000000000000005E-2</v>
      </c>
      <c r="G6" s="4">
        <f>May!C8</f>
        <v>835</v>
      </c>
      <c r="H6" s="22">
        <v>0.28000000000000003</v>
      </c>
      <c r="I6" s="4">
        <f>May!D8</f>
        <v>75</v>
      </c>
      <c r="J6" s="22">
        <v>3.2719999999999998</v>
      </c>
      <c r="K6" s="29">
        <f>May!J8</f>
        <v>118</v>
      </c>
      <c r="L6" s="29">
        <f>May!K8</f>
        <v>68</v>
      </c>
    </row>
    <row r="7" spans="1:24" x14ac:dyDescent="0.3">
      <c r="A7" s="3" t="s">
        <v>12</v>
      </c>
      <c r="B7" s="2">
        <f t="shared" si="0"/>
        <v>6</v>
      </c>
      <c r="C7" s="27">
        <v>5</v>
      </c>
      <c r="D7" s="2">
        <v>2022</v>
      </c>
      <c r="E7" s="4">
        <f>May!B9</f>
        <v>12082</v>
      </c>
      <c r="F7" s="21">
        <v>9.9000000000000005E-2</v>
      </c>
      <c r="G7" s="4">
        <f>May!C9</f>
        <v>741</v>
      </c>
      <c r="H7" s="22">
        <v>0.28000000000000003</v>
      </c>
      <c r="I7" s="4">
        <f>May!D9</f>
        <v>72</v>
      </c>
      <c r="J7" s="22">
        <v>3.2719999999999998</v>
      </c>
      <c r="K7" s="29">
        <f>May!J9</f>
        <v>113</v>
      </c>
      <c r="L7" s="29">
        <f>May!K9</f>
        <v>64</v>
      </c>
    </row>
    <row r="8" spans="1:24" x14ac:dyDescent="0.3">
      <c r="A8" s="3" t="s">
        <v>12</v>
      </c>
      <c r="B8" s="2">
        <f t="shared" si="0"/>
        <v>7</v>
      </c>
      <c r="C8" s="27">
        <v>5</v>
      </c>
      <c r="D8" s="2">
        <v>2022</v>
      </c>
      <c r="E8" s="4">
        <f>May!B10</f>
        <v>12622</v>
      </c>
      <c r="F8" s="21">
        <v>9.9000000000000005E-2</v>
      </c>
      <c r="G8" s="4">
        <f>May!C10</f>
        <v>707</v>
      </c>
      <c r="H8" s="22">
        <v>0.28000000000000003</v>
      </c>
      <c r="I8" s="4">
        <f>May!D10</f>
        <v>62</v>
      </c>
      <c r="J8" s="22">
        <v>3.2719999999999998</v>
      </c>
      <c r="K8" s="29">
        <f>May!J10</f>
        <v>109</v>
      </c>
      <c r="L8" s="29">
        <f>May!K10</f>
        <v>64</v>
      </c>
    </row>
    <row r="9" spans="1:24" x14ac:dyDescent="0.3">
      <c r="A9" s="3" t="s">
        <v>12</v>
      </c>
      <c r="B9" s="2">
        <f t="shared" si="0"/>
        <v>8</v>
      </c>
      <c r="C9" s="27">
        <v>5</v>
      </c>
      <c r="D9" s="2">
        <v>2022</v>
      </c>
      <c r="E9" s="4">
        <f>May!B11</f>
        <v>12695</v>
      </c>
      <c r="F9" s="21">
        <v>9.9000000000000005E-2</v>
      </c>
      <c r="G9" s="4">
        <f>May!C11</f>
        <v>789</v>
      </c>
      <c r="H9" s="22">
        <v>0.28000000000000003</v>
      </c>
      <c r="I9" s="4">
        <f>May!D11</f>
        <v>59</v>
      </c>
      <c r="J9" s="22">
        <v>3.2719999999999998</v>
      </c>
      <c r="K9" s="29">
        <f>May!J11</f>
        <v>76</v>
      </c>
      <c r="L9" s="29">
        <f>May!K11</f>
        <v>52</v>
      </c>
    </row>
    <row r="10" spans="1:24" x14ac:dyDescent="0.3">
      <c r="A10" s="3" t="s">
        <v>12</v>
      </c>
      <c r="B10" s="2">
        <f t="shared" si="0"/>
        <v>9</v>
      </c>
      <c r="C10" s="27">
        <v>5</v>
      </c>
      <c r="D10" s="2">
        <v>2022</v>
      </c>
      <c r="E10" s="4">
        <f>May!B12</f>
        <v>13179</v>
      </c>
      <c r="F10" s="21">
        <v>9.9000000000000005E-2</v>
      </c>
      <c r="G10" s="4">
        <f>May!C12</f>
        <v>689</v>
      </c>
      <c r="H10" s="22">
        <v>0.28000000000000003</v>
      </c>
      <c r="I10" s="4">
        <f>May!D12</f>
        <v>68</v>
      </c>
      <c r="J10" s="22">
        <v>3.2719999999999998</v>
      </c>
      <c r="K10" s="29">
        <f>May!J12</f>
        <v>78</v>
      </c>
      <c r="L10" s="29">
        <f>May!K12</f>
        <v>52</v>
      </c>
    </row>
    <row r="11" spans="1:24" x14ac:dyDescent="0.3">
      <c r="A11" s="3" t="s">
        <v>12</v>
      </c>
      <c r="B11" s="2">
        <f t="shared" si="0"/>
        <v>10</v>
      </c>
      <c r="C11" s="27">
        <v>5</v>
      </c>
      <c r="D11" s="2">
        <v>2022</v>
      </c>
      <c r="E11" s="4">
        <f>May!B13</f>
        <v>13153</v>
      </c>
      <c r="F11" s="21">
        <v>9.9000000000000005E-2</v>
      </c>
      <c r="G11" s="4">
        <f>May!C13</f>
        <v>699</v>
      </c>
      <c r="H11" s="22">
        <v>0.28000000000000003</v>
      </c>
      <c r="I11" s="4">
        <f>May!D13</f>
        <v>65</v>
      </c>
      <c r="J11" s="22">
        <v>3.2719999999999998</v>
      </c>
      <c r="K11" s="29">
        <f>May!J13</f>
        <v>81</v>
      </c>
      <c r="L11" s="29">
        <f>May!K13</f>
        <v>46</v>
      </c>
    </row>
    <row r="12" spans="1:24" x14ac:dyDescent="0.3">
      <c r="A12" s="3" t="s">
        <v>12</v>
      </c>
      <c r="B12" s="2">
        <f t="shared" si="0"/>
        <v>11</v>
      </c>
      <c r="C12" s="27">
        <v>5</v>
      </c>
      <c r="D12" s="2">
        <v>2022</v>
      </c>
      <c r="E12" s="4">
        <f>May!B14</f>
        <v>14698</v>
      </c>
      <c r="F12" s="21">
        <v>9.9000000000000005E-2</v>
      </c>
      <c r="G12" s="4">
        <f>May!C14</f>
        <v>742</v>
      </c>
      <c r="H12" s="22">
        <v>0.28000000000000003</v>
      </c>
      <c r="I12" s="4">
        <f>May!D14</f>
        <v>79</v>
      </c>
      <c r="J12" s="22">
        <v>3.2719999999999998</v>
      </c>
      <c r="K12" s="29">
        <f>May!J14</f>
        <v>69</v>
      </c>
      <c r="L12" s="29">
        <f>May!K14</f>
        <v>43</v>
      </c>
    </row>
    <row r="13" spans="1:24" x14ac:dyDescent="0.3">
      <c r="A13" s="3" t="s">
        <v>12</v>
      </c>
      <c r="B13" s="2">
        <f t="shared" si="0"/>
        <v>12</v>
      </c>
      <c r="C13" s="27">
        <v>5</v>
      </c>
      <c r="D13" s="2">
        <v>2022</v>
      </c>
      <c r="E13" s="4">
        <f>May!B15</f>
        <v>14912</v>
      </c>
      <c r="F13" s="21">
        <v>9.9000000000000005E-2</v>
      </c>
      <c r="G13" s="4">
        <f>May!C15</f>
        <v>789</v>
      </c>
      <c r="H13" s="22">
        <v>0.28000000000000003</v>
      </c>
      <c r="I13" s="4">
        <f>May!D15</f>
        <v>87</v>
      </c>
      <c r="J13" s="22">
        <v>3.2719999999999998</v>
      </c>
      <c r="K13" s="29">
        <f>May!J15</f>
        <v>85</v>
      </c>
      <c r="L13" s="29">
        <f>May!K15</f>
        <v>54</v>
      </c>
    </row>
    <row r="14" spans="1:24" x14ac:dyDescent="0.3">
      <c r="A14" s="3" t="s">
        <v>12</v>
      </c>
      <c r="B14" s="2">
        <f t="shared" si="0"/>
        <v>13</v>
      </c>
      <c r="C14" s="27">
        <v>5</v>
      </c>
      <c r="D14" s="2">
        <v>2022</v>
      </c>
      <c r="E14" s="4">
        <f>May!B16</f>
        <v>13874</v>
      </c>
      <c r="F14" s="21">
        <v>9.9000000000000005E-2</v>
      </c>
      <c r="G14" s="4">
        <f>May!C16</f>
        <v>826</v>
      </c>
      <c r="H14" s="22">
        <v>0.28000000000000003</v>
      </c>
      <c r="I14" s="4">
        <f>May!D16</f>
        <v>102</v>
      </c>
      <c r="J14" s="22">
        <v>3.2719999999999998</v>
      </c>
      <c r="K14" s="29">
        <f>May!J16</f>
        <v>129</v>
      </c>
      <c r="L14" s="29">
        <f>May!K16</f>
        <v>77</v>
      </c>
    </row>
    <row r="15" spans="1:24" x14ac:dyDescent="0.3">
      <c r="A15" s="3" t="s">
        <v>12</v>
      </c>
      <c r="B15" s="2">
        <f t="shared" si="0"/>
        <v>14</v>
      </c>
      <c r="C15" s="27">
        <v>5</v>
      </c>
      <c r="D15" s="2">
        <v>2022</v>
      </c>
      <c r="E15" s="4">
        <f>May!B17</f>
        <v>13192</v>
      </c>
      <c r="F15" s="21">
        <v>9.9000000000000005E-2</v>
      </c>
      <c r="G15" s="4">
        <f>May!C17</f>
        <v>825</v>
      </c>
      <c r="H15" s="22">
        <v>0.28000000000000003</v>
      </c>
      <c r="I15" s="4">
        <f>May!D17</f>
        <v>102</v>
      </c>
      <c r="J15" s="22">
        <v>3.2719999999999998</v>
      </c>
      <c r="K15" s="29">
        <f>May!J17</f>
        <v>154</v>
      </c>
      <c r="L15" s="29">
        <f>May!K17</f>
        <v>91</v>
      </c>
    </row>
    <row r="16" spans="1:24" x14ac:dyDescent="0.3">
      <c r="A16" s="3" t="s">
        <v>12</v>
      </c>
      <c r="B16" s="2">
        <f t="shared" si="0"/>
        <v>15</v>
      </c>
      <c r="C16" s="27">
        <v>5</v>
      </c>
      <c r="D16" s="2">
        <v>2022</v>
      </c>
      <c r="E16" s="4">
        <f>May!B18</f>
        <v>13121</v>
      </c>
      <c r="F16" s="21">
        <v>9.9000000000000005E-2</v>
      </c>
      <c r="G16" s="4">
        <f>May!C18</f>
        <v>869</v>
      </c>
      <c r="H16" s="22">
        <v>0.28000000000000003</v>
      </c>
      <c r="I16" s="4">
        <f>May!D18</f>
        <v>109</v>
      </c>
      <c r="J16" s="22">
        <v>3.2719999999999998</v>
      </c>
      <c r="K16" s="29">
        <f>May!J18</f>
        <v>139</v>
      </c>
      <c r="L16" s="29">
        <f>May!K18</f>
        <v>80</v>
      </c>
    </row>
    <row r="17" spans="1:12" x14ac:dyDescent="0.3">
      <c r="A17" s="3" t="s">
        <v>12</v>
      </c>
      <c r="B17" s="2">
        <f t="shared" si="0"/>
        <v>16</v>
      </c>
      <c r="C17" s="27">
        <v>5</v>
      </c>
      <c r="D17" s="2">
        <v>2022</v>
      </c>
      <c r="E17" s="4">
        <f>May!B19</f>
        <v>14398</v>
      </c>
      <c r="F17" s="21">
        <v>9.9000000000000005E-2</v>
      </c>
      <c r="G17" s="4">
        <f>May!C19</f>
        <v>825</v>
      </c>
      <c r="H17" s="22">
        <v>0.28000000000000003</v>
      </c>
      <c r="I17" s="4">
        <f>May!D19</f>
        <v>97</v>
      </c>
      <c r="J17" s="22">
        <v>3.2719999999999998</v>
      </c>
      <c r="K17" s="29">
        <f>May!J19</f>
        <v>154</v>
      </c>
      <c r="L17" s="29">
        <f>May!K19</f>
        <v>82</v>
      </c>
    </row>
    <row r="18" spans="1:12" x14ac:dyDescent="0.3">
      <c r="A18" s="3" t="s">
        <v>12</v>
      </c>
      <c r="B18" s="2">
        <f t="shared" si="0"/>
        <v>17</v>
      </c>
      <c r="C18" s="27">
        <v>5</v>
      </c>
      <c r="D18" s="2">
        <v>2022</v>
      </c>
      <c r="E18" s="4">
        <f>May!B20</f>
        <v>15443</v>
      </c>
      <c r="F18" s="21">
        <v>9.9000000000000005E-2</v>
      </c>
      <c r="G18" s="4">
        <f>May!C20</f>
        <v>777</v>
      </c>
      <c r="H18" s="22">
        <v>0.28000000000000003</v>
      </c>
      <c r="I18" s="4">
        <f>May!D20</f>
        <v>72</v>
      </c>
      <c r="J18" s="22">
        <v>3.2719999999999998</v>
      </c>
      <c r="K18" s="29">
        <f>May!J20</f>
        <v>108</v>
      </c>
      <c r="L18" s="29">
        <f>May!K20</f>
        <v>69</v>
      </c>
    </row>
    <row r="19" spans="1:12" x14ac:dyDescent="0.3">
      <c r="A19" s="3" t="s">
        <v>12</v>
      </c>
      <c r="B19" s="2">
        <f t="shared" si="0"/>
        <v>18</v>
      </c>
      <c r="C19" s="27">
        <v>5</v>
      </c>
      <c r="D19" s="2">
        <v>2022</v>
      </c>
      <c r="E19" s="4">
        <f>May!B21</f>
        <v>12009</v>
      </c>
      <c r="F19" s="21">
        <v>9.9000000000000005E-2</v>
      </c>
      <c r="G19" s="4">
        <f>May!C21</f>
        <v>783</v>
      </c>
      <c r="H19" s="22">
        <v>0.28000000000000003</v>
      </c>
      <c r="I19" s="4">
        <f>May!D21</f>
        <v>76</v>
      </c>
      <c r="J19" s="22">
        <v>3.2719999999999998</v>
      </c>
      <c r="K19" s="29">
        <f>May!J21</f>
        <v>90</v>
      </c>
      <c r="L19" s="29">
        <f>May!K21</f>
        <v>55</v>
      </c>
    </row>
    <row r="20" spans="1:12" x14ac:dyDescent="0.3">
      <c r="A20" s="3" t="s">
        <v>12</v>
      </c>
      <c r="B20" s="2">
        <f t="shared" si="0"/>
        <v>19</v>
      </c>
      <c r="C20" s="27">
        <v>5</v>
      </c>
      <c r="D20" s="2">
        <v>2022</v>
      </c>
      <c r="E20" s="4">
        <f>May!B22</f>
        <v>14909</v>
      </c>
      <c r="F20" s="21">
        <v>9.9000000000000005E-2</v>
      </c>
      <c r="G20" s="4">
        <f>May!C22</f>
        <v>772</v>
      </c>
      <c r="H20" s="22">
        <v>0.28000000000000003</v>
      </c>
      <c r="I20" s="4">
        <f>May!D22</f>
        <v>94</v>
      </c>
      <c r="J20" s="22">
        <v>3.2719999999999998</v>
      </c>
      <c r="K20" s="29">
        <f>May!J22</f>
        <v>91</v>
      </c>
      <c r="L20" s="29">
        <f>May!K22</f>
        <v>55</v>
      </c>
    </row>
    <row r="21" spans="1:12" x14ac:dyDescent="0.3">
      <c r="A21" s="3" t="s">
        <v>12</v>
      </c>
      <c r="B21" s="2">
        <f t="shared" si="0"/>
        <v>20</v>
      </c>
      <c r="C21" s="27">
        <v>5</v>
      </c>
      <c r="D21" s="2">
        <v>2022</v>
      </c>
      <c r="E21" s="4">
        <f>May!B23</f>
        <v>15515</v>
      </c>
      <c r="F21" s="21">
        <v>9.9000000000000005E-2</v>
      </c>
      <c r="G21" s="4">
        <f>May!C23</f>
        <v>687</v>
      </c>
      <c r="H21" s="22">
        <v>0.28000000000000003</v>
      </c>
      <c r="I21" s="4">
        <f>May!D23</f>
        <v>100</v>
      </c>
      <c r="J21" s="22">
        <v>3.2719999999999998</v>
      </c>
      <c r="K21" s="29">
        <f>May!J23</f>
        <v>165</v>
      </c>
      <c r="L21" s="29">
        <f>May!K23</f>
        <v>77</v>
      </c>
    </row>
    <row r="22" spans="1:12" x14ac:dyDescent="0.3">
      <c r="A22" s="3" t="s">
        <v>12</v>
      </c>
      <c r="B22" s="2">
        <f t="shared" si="0"/>
        <v>21</v>
      </c>
      <c r="C22" s="27">
        <v>5</v>
      </c>
      <c r="D22" s="2">
        <v>2022</v>
      </c>
      <c r="E22" s="4">
        <f>May!B24</f>
        <v>14042</v>
      </c>
      <c r="F22" s="21">
        <v>9.9000000000000005E-2</v>
      </c>
      <c r="G22" s="4">
        <f>May!C24</f>
        <v>778</v>
      </c>
      <c r="H22" s="22">
        <v>0.28000000000000003</v>
      </c>
      <c r="I22" s="4">
        <f>May!D24</f>
        <v>69</v>
      </c>
      <c r="J22" s="22">
        <v>3.2719999999999998</v>
      </c>
      <c r="K22" s="29">
        <f>May!J24</f>
        <v>158</v>
      </c>
      <c r="L22" s="29">
        <f>May!K24</f>
        <v>71</v>
      </c>
    </row>
    <row r="23" spans="1:12" x14ac:dyDescent="0.3">
      <c r="A23" s="3" t="s">
        <v>12</v>
      </c>
      <c r="B23" s="2">
        <f t="shared" si="0"/>
        <v>22</v>
      </c>
      <c r="C23" s="27">
        <v>5</v>
      </c>
      <c r="D23" s="2">
        <v>2022</v>
      </c>
      <c r="E23" s="4">
        <f>May!B25</f>
        <v>13681</v>
      </c>
      <c r="F23" s="21">
        <v>9.9000000000000005E-2</v>
      </c>
      <c r="G23" s="4">
        <f>May!C25</f>
        <v>786</v>
      </c>
      <c r="H23" s="22">
        <v>0.28000000000000003</v>
      </c>
      <c r="I23" s="4">
        <f>May!D25</f>
        <v>69</v>
      </c>
      <c r="J23" s="22">
        <v>3.2719999999999998</v>
      </c>
      <c r="K23" s="29">
        <f>May!J25</f>
        <v>98</v>
      </c>
      <c r="L23" s="29">
        <f>May!K25</f>
        <v>56</v>
      </c>
    </row>
    <row r="24" spans="1:12" x14ac:dyDescent="0.3">
      <c r="A24" s="3" t="s">
        <v>12</v>
      </c>
      <c r="B24" s="2">
        <f t="shared" si="0"/>
        <v>23</v>
      </c>
      <c r="C24" s="27">
        <v>5</v>
      </c>
      <c r="D24" s="2">
        <v>2022</v>
      </c>
      <c r="E24" s="4">
        <f>May!B26</f>
        <v>14447</v>
      </c>
      <c r="F24" s="21">
        <v>9.9000000000000005E-2</v>
      </c>
      <c r="G24" s="4">
        <f>May!C26</f>
        <v>757</v>
      </c>
      <c r="H24" s="22">
        <v>0.28000000000000003</v>
      </c>
      <c r="I24" s="4">
        <f>May!D26</f>
        <v>62</v>
      </c>
      <c r="J24" s="22">
        <v>3.2719999999999998</v>
      </c>
      <c r="K24" s="29">
        <f>May!J26</f>
        <v>92</v>
      </c>
      <c r="L24" s="29">
        <f>May!K26</f>
        <v>57</v>
      </c>
    </row>
    <row r="25" spans="1:12" x14ac:dyDescent="0.3">
      <c r="A25" s="3" t="s">
        <v>12</v>
      </c>
      <c r="B25" s="2">
        <f t="shared" si="0"/>
        <v>24</v>
      </c>
      <c r="C25" s="27">
        <v>5</v>
      </c>
      <c r="D25" s="2">
        <v>2022</v>
      </c>
      <c r="E25" s="4">
        <f>May!B27</f>
        <v>14480</v>
      </c>
      <c r="F25" s="21">
        <v>9.9000000000000005E-2</v>
      </c>
      <c r="G25" s="4">
        <f>May!C27</f>
        <v>815</v>
      </c>
      <c r="H25" s="22">
        <v>0.28000000000000003</v>
      </c>
      <c r="I25" s="4">
        <f>May!D27</f>
        <v>72</v>
      </c>
      <c r="J25" s="22">
        <v>3.2719999999999998</v>
      </c>
      <c r="K25" s="29">
        <f>May!J27</f>
        <v>114</v>
      </c>
      <c r="L25" s="29">
        <f>May!K27</f>
        <v>71</v>
      </c>
    </row>
    <row r="26" spans="1:12" x14ac:dyDescent="0.3">
      <c r="A26" s="3" t="s">
        <v>12</v>
      </c>
      <c r="B26" s="2">
        <f>B25+1</f>
        <v>25</v>
      </c>
      <c r="C26" s="27">
        <v>5</v>
      </c>
      <c r="D26" s="2">
        <v>2022</v>
      </c>
      <c r="E26" s="4">
        <f>May!B28</f>
        <v>13252</v>
      </c>
      <c r="F26" s="21">
        <v>9.9000000000000005E-2</v>
      </c>
      <c r="G26" s="4">
        <f>May!C28</f>
        <v>812</v>
      </c>
      <c r="H26" s="22">
        <v>0.28000000000000003</v>
      </c>
      <c r="I26" s="4">
        <f>May!D28</f>
        <v>77</v>
      </c>
      <c r="J26" s="22">
        <v>3.2719999999999998</v>
      </c>
      <c r="K26" s="29">
        <f>May!J28</f>
        <v>135</v>
      </c>
      <c r="L26" s="29">
        <f>May!K28</f>
        <v>66</v>
      </c>
    </row>
    <row r="27" spans="1:12" x14ac:dyDescent="0.3">
      <c r="A27" s="3" t="s">
        <v>12</v>
      </c>
      <c r="B27" s="2">
        <f t="shared" si="0"/>
        <v>26</v>
      </c>
      <c r="C27" s="27">
        <v>5</v>
      </c>
      <c r="D27" s="2">
        <v>2022</v>
      </c>
      <c r="E27" s="4">
        <f>May!B29</f>
        <v>14230</v>
      </c>
      <c r="F27" s="21">
        <v>9.9000000000000005E-2</v>
      </c>
      <c r="G27" s="4">
        <f>May!C29</f>
        <v>781</v>
      </c>
      <c r="H27" s="22">
        <v>0.28000000000000003</v>
      </c>
      <c r="I27" s="4">
        <f>May!D29</f>
        <v>77</v>
      </c>
      <c r="J27" s="22">
        <v>3.2719999999999998</v>
      </c>
      <c r="K27" s="29">
        <f>May!J29</f>
        <v>180</v>
      </c>
      <c r="L27" s="29">
        <f>May!K29</f>
        <v>85</v>
      </c>
    </row>
    <row r="28" spans="1:12" x14ac:dyDescent="0.3">
      <c r="A28" s="3" t="s">
        <v>12</v>
      </c>
      <c r="B28" s="2">
        <f t="shared" si="0"/>
        <v>27</v>
      </c>
      <c r="C28" s="27">
        <v>5</v>
      </c>
      <c r="D28" s="2">
        <v>2022</v>
      </c>
      <c r="E28" s="4">
        <f>May!B30</f>
        <v>13785</v>
      </c>
      <c r="F28" s="21">
        <v>9.9000000000000005E-2</v>
      </c>
      <c r="G28" s="4">
        <f>May!C30</f>
        <v>821</v>
      </c>
      <c r="H28" s="22">
        <v>0.28000000000000003</v>
      </c>
      <c r="I28" s="4">
        <f>May!D30</f>
        <v>77</v>
      </c>
      <c r="J28" s="22">
        <v>3.2719999999999998</v>
      </c>
      <c r="K28" s="29">
        <f>May!J30</f>
        <v>217</v>
      </c>
      <c r="L28" s="29">
        <f>May!K30</f>
        <v>107</v>
      </c>
    </row>
    <row r="29" spans="1:12" x14ac:dyDescent="0.3">
      <c r="A29" s="3" t="s">
        <v>12</v>
      </c>
      <c r="B29" s="2">
        <f t="shared" si="0"/>
        <v>28</v>
      </c>
      <c r="C29" s="27">
        <v>5</v>
      </c>
      <c r="D29" s="2">
        <v>2022</v>
      </c>
      <c r="E29" s="4">
        <f>May!B31</f>
        <v>12895</v>
      </c>
      <c r="F29" s="21">
        <v>9.9000000000000005E-2</v>
      </c>
      <c r="G29" s="4">
        <f>May!C31</f>
        <v>902</v>
      </c>
      <c r="H29" s="22">
        <v>0.28000000000000003</v>
      </c>
      <c r="I29" s="4">
        <f>May!D31</f>
        <v>82</v>
      </c>
      <c r="J29" s="22">
        <v>3.2719999999999998</v>
      </c>
      <c r="K29" s="29">
        <f>May!J31</f>
        <v>255</v>
      </c>
      <c r="L29" s="29">
        <f>May!K31</f>
        <v>108</v>
      </c>
    </row>
    <row r="30" spans="1:12" x14ac:dyDescent="0.3">
      <c r="A30" s="3" t="s">
        <v>12</v>
      </c>
      <c r="B30" s="2">
        <f t="shared" si="0"/>
        <v>29</v>
      </c>
      <c r="C30" s="27">
        <v>5</v>
      </c>
      <c r="D30" s="2">
        <v>2022</v>
      </c>
      <c r="E30" s="4">
        <f>May!B32</f>
        <v>12612</v>
      </c>
      <c r="F30" s="21">
        <v>9.9000000000000005E-2</v>
      </c>
      <c r="G30" s="4">
        <f>May!C32</f>
        <v>921</v>
      </c>
      <c r="H30" s="22">
        <v>0.28000000000000003</v>
      </c>
      <c r="I30" s="4">
        <f>May!D32</f>
        <v>73</v>
      </c>
      <c r="J30" s="22">
        <v>3.2719999999999998</v>
      </c>
      <c r="K30" s="29">
        <f>May!J32</f>
        <v>121</v>
      </c>
      <c r="L30" s="29">
        <f>May!K32</f>
        <v>68</v>
      </c>
    </row>
    <row r="31" spans="1:12" x14ac:dyDescent="0.3">
      <c r="A31" s="3" t="s">
        <v>12</v>
      </c>
      <c r="B31" s="2">
        <f t="shared" si="0"/>
        <v>30</v>
      </c>
      <c r="C31" s="27">
        <v>5</v>
      </c>
      <c r="D31" s="2">
        <v>2022</v>
      </c>
      <c r="E31" s="4">
        <f>May!B33</f>
        <v>11624</v>
      </c>
      <c r="F31" s="21">
        <v>9.9000000000000005E-2</v>
      </c>
      <c r="G31" s="4">
        <f>May!C33</f>
        <v>506</v>
      </c>
      <c r="H31" s="22">
        <v>0.28000000000000003</v>
      </c>
      <c r="I31" s="4">
        <f>May!D33</f>
        <v>68</v>
      </c>
      <c r="J31" s="22">
        <v>3.2719999999999998</v>
      </c>
      <c r="K31" s="29">
        <f>May!J33</f>
        <v>124</v>
      </c>
      <c r="L31" s="29">
        <f>May!K33</f>
        <v>76</v>
      </c>
    </row>
    <row r="32" spans="1:12" x14ac:dyDescent="0.3">
      <c r="A32" s="3" t="s">
        <v>12</v>
      </c>
      <c r="B32" s="2">
        <f t="shared" si="0"/>
        <v>31</v>
      </c>
      <c r="C32" s="27">
        <v>5</v>
      </c>
      <c r="D32" s="2">
        <v>2022</v>
      </c>
      <c r="E32" s="4">
        <f>May!B34</f>
        <v>13286</v>
      </c>
      <c r="F32" s="21">
        <v>1.099</v>
      </c>
      <c r="G32" s="4">
        <f>May!C34</f>
        <v>490</v>
      </c>
      <c r="H32" s="22">
        <v>1.28</v>
      </c>
      <c r="I32" s="4">
        <f>May!D34</f>
        <v>91</v>
      </c>
      <c r="J32" s="22">
        <v>4.2720000000000002</v>
      </c>
      <c r="K32" s="29">
        <f>May!J34</f>
        <v>134</v>
      </c>
      <c r="L32" s="29">
        <f>May!K34</f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O42"/>
  <sheetViews>
    <sheetView workbookViewId="0">
      <selection activeCell="O5" sqref="O5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2" ht="15" thickBot="1" x14ac:dyDescent="0.35">
      <c r="A1" s="72" t="s">
        <v>35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1:12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20"/>
      <c r="F2" s="75" t="s">
        <v>34</v>
      </c>
      <c r="G2" s="76"/>
      <c r="H2" s="77"/>
      <c r="I2" s="20"/>
      <c r="J2" s="8" t="s">
        <v>18</v>
      </c>
      <c r="K2" s="7" t="s">
        <v>29</v>
      </c>
      <c r="L2" s="7" t="s">
        <v>19</v>
      </c>
    </row>
    <row r="3" spans="1:12" ht="15" thickBot="1" x14ac:dyDescent="0.35">
      <c r="A3" s="32"/>
      <c r="B3" s="33" t="s">
        <v>20</v>
      </c>
      <c r="C3" s="33" t="s">
        <v>21</v>
      </c>
      <c r="D3" s="58" t="s">
        <v>21</v>
      </c>
      <c r="E3" s="34"/>
      <c r="F3" s="65" t="s">
        <v>31</v>
      </c>
      <c r="G3" s="65" t="s">
        <v>32</v>
      </c>
      <c r="H3" s="65" t="s">
        <v>33</v>
      </c>
      <c r="I3" s="34"/>
      <c r="J3" s="32" t="s">
        <v>22</v>
      </c>
      <c r="K3" s="33" t="s">
        <v>23</v>
      </c>
      <c r="L3" s="33" t="s">
        <v>23</v>
      </c>
    </row>
    <row r="4" spans="1:12" x14ac:dyDescent="0.3">
      <c r="A4" s="6">
        <v>1</v>
      </c>
      <c r="B4" s="35">
        <v>12540</v>
      </c>
      <c r="C4" s="36">
        <v>888</v>
      </c>
      <c r="D4" s="10">
        <v>58</v>
      </c>
      <c r="E4" s="14"/>
      <c r="F4" s="10">
        <v>5</v>
      </c>
      <c r="G4" s="66">
        <v>19</v>
      </c>
      <c r="H4" s="10">
        <v>20</v>
      </c>
      <c r="I4" s="14"/>
      <c r="J4" s="10">
        <v>76</v>
      </c>
      <c r="K4" s="10">
        <v>38</v>
      </c>
      <c r="L4" s="10">
        <v>0</v>
      </c>
    </row>
    <row r="5" spans="1:12" x14ac:dyDescent="0.3">
      <c r="A5" s="11">
        <v>2</v>
      </c>
      <c r="B5" s="37">
        <v>11554</v>
      </c>
      <c r="C5" s="38">
        <v>715</v>
      </c>
      <c r="D5" s="12">
        <v>60</v>
      </c>
      <c r="E5" s="39"/>
      <c r="F5" s="12">
        <v>10</v>
      </c>
      <c r="G5" s="67">
        <v>20</v>
      </c>
      <c r="H5" s="12">
        <v>22</v>
      </c>
      <c r="I5" s="39"/>
      <c r="J5" s="13">
        <v>74</v>
      </c>
      <c r="K5" s="13">
        <v>43</v>
      </c>
      <c r="L5" s="13">
        <v>2</v>
      </c>
    </row>
    <row r="6" spans="1:12" x14ac:dyDescent="0.3">
      <c r="A6" s="11">
        <v>3</v>
      </c>
      <c r="B6" s="37">
        <v>13304</v>
      </c>
      <c r="C6" s="38">
        <v>818</v>
      </c>
      <c r="D6" s="12">
        <v>63</v>
      </c>
      <c r="E6" s="39"/>
      <c r="F6" s="12">
        <v>9</v>
      </c>
      <c r="G6" s="61">
        <v>20</v>
      </c>
      <c r="H6" s="12">
        <v>21</v>
      </c>
      <c r="I6" s="39"/>
      <c r="J6" s="13">
        <v>96</v>
      </c>
      <c r="K6" s="13">
        <v>60</v>
      </c>
      <c r="L6" s="13">
        <v>3</v>
      </c>
    </row>
    <row r="7" spans="1:12" x14ac:dyDescent="0.3">
      <c r="A7" s="11">
        <v>4</v>
      </c>
      <c r="B7" s="37">
        <v>12785</v>
      </c>
      <c r="C7" s="38">
        <v>606</v>
      </c>
      <c r="D7" s="12">
        <v>80</v>
      </c>
      <c r="E7" s="39"/>
      <c r="F7" s="68">
        <v>9</v>
      </c>
      <c r="G7" s="61">
        <v>22</v>
      </c>
      <c r="H7" s="12">
        <v>23</v>
      </c>
      <c r="I7" s="39"/>
      <c r="J7" s="13">
        <v>106</v>
      </c>
      <c r="K7" s="13">
        <v>66</v>
      </c>
      <c r="L7" s="13">
        <v>4</v>
      </c>
    </row>
    <row r="8" spans="1:12" x14ac:dyDescent="0.3">
      <c r="A8" s="11">
        <v>5</v>
      </c>
      <c r="B8" s="37">
        <v>12663</v>
      </c>
      <c r="C8" s="38">
        <v>835</v>
      </c>
      <c r="D8" s="12">
        <v>75</v>
      </c>
      <c r="E8" s="39"/>
      <c r="F8" s="12">
        <v>10</v>
      </c>
      <c r="G8" s="61">
        <v>19</v>
      </c>
      <c r="H8" s="12">
        <v>20</v>
      </c>
      <c r="I8" s="39"/>
      <c r="J8" s="13">
        <v>118</v>
      </c>
      <c r="K8" s="13">
        <v>68</v>
      </c>
      <c r="L8" s="13">
        <v>2</v>
      </c>
    </row>
    <row r="9" spans="1:12" x14ac:dyDescent="0.3">
      <c r="A9" s="11">
        <v>6</v>
      </c>
      <c r="B9" s="37">
        <v>12082</v>
      </c>
      <c r="C9" s="38">
        <v>741</v>
      </c>
      <c r="D9" s="12">
        <v>72</v>
      </c>
      <c r="E9" s="39"/>
      <c r="F9" s="12">
        <v>10</v>
      </c>
      <c r="G9" s="61">
        <v>18</v>
      </c>
      <c r="H9" s="12">
        <v>18</v>
      </c>
      <c r="I9" s="39"/>
      <c r="J9" s="13">
        <v>113</v>
      </c>
      <c r="K9" s="13">
        <v>64</v>
      </c>
      <c r="L9" s="13">
        <v>1</v>
      </c>
    </row>
    <row r="10" spans="1:12" x14ac:dyDescent="0.3">
      <c r="A10" s="11">
        <v>7</v>
      </c>
      <c r="B10" s="37">
        <v>12622</v>
      </c>
      <c r="C10" s="38">
        <v>707</v>
      </c>
      <c r="D10" s="12">
        <v>62</v>
      </c>
      <c r="E10" s="39"/>
      <c r="F10" s="12">
        <v>10</v>
      </c>
      <c r="G10" s="61">
        <v>20</v>
      </c>
      <c r="H10" s="12">
        <v>21</v>
      </c>
      <c r="I10" s="39"/>
      <c r="J10" s="13">
        <v>109</v>
      </c>
      <c r="K10" s="13">
        <v>64</v>
      </c>
      <c r="L10" s="13">
        <v>1</v>
      </c>
    </row>
    <row r="11" spans="1:12" x14ac:dyDescent="0.3">
      <c r="A11" s="11">
        <v>8</v>
      </c>
      <c r="B11" s="37">
        <v>12695</v>
      </c>
      <c r="C11" s="38">
        <v>789</v>
      </c>
      <c r="D11" s="12">
        <v>59</v>
      </c>
      <c r="E11" s="39"/>
      <c r="F11" s="12">
        <v>7</v>
      </c>
      <c r="G11" s="61">
        <v>22</v>
      </c>
      <c r="H11" s="12">
        <v>18</v>
      </c>
      <c r="I11" s="39"/>
      <c r="J11" s="13">
        <v>76</v>
      </c>
      <c r="K11" s="13">
        <v>52</v>
      </c>
      <c r="L11" s="13">
        <v>1</v>
      </c>
    </row>
    <row r="12" spans="1:12" x14ac:dyDescent="0.3">
      <c r="A12" s="11">
        <v>9</v>
      </c>
      <c r="B12" s="37">
        <v>13179</v>
      </c>
      <c r="C12" s="38">
        <v>689</v>
      </c>
      <c r="D12" s="12">
        <v>68</v>
      </c>
      <c r="E12" s="39"/>
      <c r="F12" s="12">
        <v>10</v>
      </c>
      <c r="G12" s="61">
        <v>22</v>
      </c>
      <c r="H12" s="12">
        <v>24</v>
      </c>
      <c r="I12" s="39"/>
      <c r="J12" s="13">
        <v>78</v>
      </c>
      <c r="K12" s="13">
        <v>52</v>
      </c>
      <c r="L12" s="13">
        <v>4</v>
      </c>
    </row>
    <row r="13" spans="1:12" x14ac:dyDescent="0.3">
      <c r="A13" s="11">
        <v>10</v>
      </c>
      <c r="B13" s="37">
        <v>13153</v>
      </c>
      <c r="C13" s="38">
        <v>699</v>
      </c>
      <c r="D13" s="12">
        <v>65</v>
      </c>
      <c r="E13" s="39"/>
      <c r="F13" s="12">
        <v>8</v>
      </c>
      <c r="G13" s="61">
        <v>26</v>
      </c>
      <c r="H13" s="12">
        <v>25</v>
      </c>
      <c r="I13" s="39"/>
      <c r="J13" s="13">
        <v>81</v>
      </c>
      <c r="K13" s="13">
        <v>46</v>
      </c>
      <c r="L13" s="13">
        <v>1</v>
      </c>
    </row>
    <row r="14" spans="1:12" x14ac:dyDescent="0.3">
      <c r="A14" s="11">
        <v>11</v>
      </c>
      <c r="B14" s="37">
        <v>14698</v>
      </c>
      <c r="C14" s="38">
        <v>742</v>
      </c>
      <c r="D14" s="12">
        <v>79</v>
      </c>
      <c r="E14" s="39"/>
      <c r="F14" s="12">
        <v>13</v>
      </c>
      <c r="G14" s="61">
        <v>29</v>
      </c>
      <c r="H14" s="12">
        <v>28</v>
      </c>
      <c r="I14" s="39"/>
      <c r="J14" s="13">
        <v>69</v>
      </c>
      <c r="K14" s="13">
        <v>43</v>
      </c>
      <c r="L14" s="13">
        <v>0</v>
      </c>
    </row>
    <row r="15" spans="1:12" x14ac:dyDescent="0.3">
      <c r="A15" s="11">
        <v>12</v>
      </c>
      <c r="B15" s="37">
        <v>14912</v>
      </c>
      <c r="C15" s="38">
        <v>789</v>
      </c>
      <c r="D15" s="12">
        <v>87</v>
      </c>
      <c r="E15" s="39"/>
      <c r="F15" s="12">
        <v>15</v>
      </c>
      <c r="G15" s="61">
        <v>26</v>
      </c>
      <c r="H15" s="12">
        <v>24</v>
      </c>
      <c r="I15" s="39"/>
      <c r="J15" s="13">
        <v>85</v>
      </c>
      <c r="K15" s="13">
        <v>54</v>
      </c>
      <c r="L15" s="13">
        <v>0</v>
      </c>
    </row>
    <row r="16" spans="1:12" x14ac:dyDescent="0.3">
      <c r="A16" s="11">
        <v>13</v>
      </c>
      <c r="B16" s="37">
        <v>13874</v>
      </c>
      <c r="C16" s="38">
        <v>826</v>
      </c>
      <c r="D16" s="12">
        <v>102</v>
      </c>
      <c r="E16" s="39"/>
      <c r="F16" s="12">
        <v>9</v>
      </c>
      <c r="G16" s="61">
        <v>24</v>
      </c>
      <c r="H16" s="12">
        <v>24</v>
      </c>
      <c r="I16" s="39"/>
      <c r="J16" s="13">
        <v>129</v>
      </c>
      <c r="K16" s="13">
        <v>77</v>
      </c>
      <c r="L16" s="13">
        <v>2</v>
      </c>
    </row>
    <row r="17" spans="1:15" x14ac:dyDescent="0.3">
      <c r="A17" s="11">
        <v>14</v>
      </c>
      <c r="B17" s="37">
        <v>13192</v>
      </c>
      <c r="C17" s="37">
        <v>825</v>
      </c>
      <c r="D17" s="12">
        <v>102</v>
      </c>
      <c r="E17" s="39"/>
      <c r="F17" s="12">
        <v>7</v>
      </c>
      <c r="G17" s="61">
        <v>24</v>
      </c>
      <c r="H17" s="12">
        <v>24</v>
      </c>
      <c r="I17" s="39"/>
      <c r="J17" s="13">
        <v>154</v>
      </c>
      <c r="K17" s="13">
        <v>91</v>
      </c>
      <c r="L17" s="13">
        <v>1</v>
      </c>
    </row>
    <row r="18" spans="1:15" x14ac:dyDescent="0.3">
      <c r="A18" s="11">
        <v>15</v>
      </c>
      <c r="B18" s="37">
        <v>13121</v>
      </c>
      <c r="C18" s="37">
        <v>869</v>
      </c>
      <c r="D18" s="12">
        <v>109</v>
      </c>
      <c r="E18" s="39"/>
      <c r="F18" s="12">
        <v>8</v>
      </c>
      <c r="G18" s="61">
        <v>23</v>
      </c>
      <c r="H18" s="12">
        <v>24</v>
      </c>
      <c r="I18" s="39"/>
      <c r="J18" s="13">
        <v>139</v>
      </c>
      <c r="K18" s="13">
        <v>80</v>
      </c>
      <c r="L18" s="13">
        <v>1</v>
      </c>
    </row>
    <row r="19" spans="1:15" x14ac:dyDescent="0.3">
      <c r="A19" s="11">
        <v>16</v>
      </c>
      <c r="B19" s="37">
        <v>14398</v>
      </c>
      <c r="C19" s="38">
        <v>825</v>
      </c>
      <c r="D19" s="12">
        <v>97</v>
      </c>
      <c r="E19" s="39"/>
      <c r="F19" s="12">
        <v>8</v>
      </c>
      <c r="G19" s="61">
        <v>28</v>
      </c>
      <c r="H19" s="12">
        <v>8</v>
      </c>
      <c r="I19" s="39"/>
      <c r="J19" s="13">
        <v>154</v>
      </c>
      <c r="K19" s="13">
        <v>82</v>
      </c>
      <c r="L19" s="13">
        <v>1</v>
      </c>
    </row>
    <row r="20" spans="1:15" x14ac:dyDescent="0.3">
      <c r="A20" s="11">
        <v>17</v>
      </c>
      <c r="B20" s="37">
        <v>15443</v>
      </c>
      <c r="C20" s="38">
        <v>777</v>
      </c>
      <c r="D20" s="12">
        <v>72</v>
      </c>
      <c r="E20" s="39"/>
      <c r="F20" s="12">
        <v>12</v>
      </c>
      <c r="G20" s="61">
        <v>19</v>
      </c>
      <c r="H20" s="12">
        <v>20</v>
      </c>
      <c r="I20" s="39"/>
      <c r="J20" s="13">
        <v>108</v>
      </c>
      <c r="K20" s="13">
        <v>69</v>
      </c>
      <c r="L20" s="13">
        <v>1</v>
      </c>
    </row>
    <row r="21" spans="1:15" x14ac:dyDescent="0.3">
      <c r="A21" s="11">
        <v>18</v>
      </c>
      <c r="B21" s="37">
        <v>12009</v>
      </c>
      <c r="C21" s="38">
        <v>783</v>
      </c>
      <c r="D21" s="12">
        <v>76</v>
      </c>
      <c r="E21" s="39"/>
      <c r="F21" s="12">
        <v>12</v>
      </c>
      <c r="G21" s="61">
        <v>23</v>
      </c>
      <c r="H21" s="12">
        <v>24</v>
      </c>
      <c r="I21" s="39"/>
      <c r="J21" s="13">
        <v>90</v>
      </c>
      <c r="K21" s="13">
        <v>55</v>
      </c>
      <c r="L21" s="13">
        <v>1</v>
      </c>
      <c r="O21" s="59"/>
    </row>
    <row r="22" spans="1:15" x14ac:dyDescent="0.3">
      <c r="A22" s="11">
        <v>19</v>
      </c>
      <c r="B22" s="37">
        <v>14909</v>
      </c>
      <c r="C22" s="38">
        <v>772</v>
      </c>
      <c r="D22" s="12">
        <v>94</v>
      </c>
      <c r="E22" s="39"/>
      <c r="F22" s="12">
        <v>9</v>
      </c>
      <c r="G22" s="61">
        <v>28</v>
      </c>
      <c r="H22" s="12">
        <v>29</v>
      </c>
      <c r="I22" s="39"/>
      <c r="J22" s="13">
        <v>91</v>
      </c>
      <c r="K22" s="13">
        <v>55</v>
      </c>
      <c r="L22" s="13">
        <v>3</v>
      </c>
    </row>
    <row r="23" spans="1:15" x14ac:dyDescent="0.3">
      <c r="A23" s="11">
        <v>20</v>
      </c>
      <c r="B23" s="37">
        <v>15515</v>
      </c>
      <c r="C23" s="38">
        <v>687</v>
      </c>
      <c r="D23" s="12">
        <v>100</v>
      </c>
      <c r="E23" s="39"/>
      <c r="F23" s="12">
        <v>16</v>
      </c>
      <c r="G23" s="61">
        <v>30</v>
      </c>
      <c r="H23" s="12">
        <v>30</v>
      </c>
      <c r="I23" s="39"/>
      <c r="J23" s="13">
        <v>165</v>
      </c>
      <c r="K23" s="13">
        <v>77</v>
      </c>
      <c r="L23" s="13">
        <v>2</v>
      </c>
    </row>
    <row r="24" spans="1:15" x14ac:dyDescent="0.3">
      <c r="A24" s="11">
        <v>21</v>
      </c>
      <c r="B24" s="37">
        <v>14042</v>
      </c>
      <c r="C24" s="38">
        <v>778</v>
      </c>
      <c r="D24" s="13">
        <v>69</v>
      </c>
      <c r="E24" s="14"/>
      <c r="F24" s="13">
        <v>13</v>
      </c>
      <c r="G24" s="62">
        <v>22</v>
      </c>
      <c r="H24" s="13">
        <v>21</v>
      </c>
      <c r="I24" s="14"/>
      <c r="J24" s="13">
        <v>158</v>
      </c>
      <c r="K24" s="13">
        <v>71</v>
      </c>
      <c r="L24" s="13">
        <v>0</v>
      </c>
    </row>
    <row r="25" spans="1:15" x14ac:dyDescent="0.3">
      <c r="A25" s="11">
        <v>22</v>
      </c>
      <c r="B25" s="37">
        <v>13681</v>
      </c>
      <c r="C25" s="78">
        <v>786</v>
      </c>
      <c r="D25" s="13">
        <v>69</v>
      </c>
      <c r="E25" s="14"/>
      <c r="F25" s="13">
        <v>11</v>
      </c>
      <c r="G25" s="62">
        <v>22</v>
      </c>
      <c r="H25" s="13">
        <v>22</v>
      </c>
      <c r="I25" s="14"/>
      <c r="J25" s="13">
        <v>98</v>
      </c>
      <c r="K25" s="13">
        <v>56</v>
      </c>
      <c r="L25" s="13">
        <v>1</v>
      </c>
    </row>
    <row r="26" spans="1:15" x14ac:dyDescent="0.3">
      <c r="A26" s="11">
        <v>23</v>
      </c>
      <c r="B26" s="37">
        <v>14447</v>
      </c>
      <c r="C26" s="79">
        <v>757</v>
      </c>
      <c r="D26" s="13">
        <v>62</v>
      </c>
      <c r="E26" s="14"/>
      <c r="F26" s="13">
        <v>8</v>
      </c>
      <c r="G26" s="62">
        <v>24</v>
      </c>
      <c r="H26" s="13">
        <v>25</v>
      </c>
      <c r="I26" s="14"/>
      <c r="J26" s="13">
        <v>92</v>
      </c>
      <c r="K26" s="13">
        <v>57</v>
      </c>
      <c r="L26" s="13">
        <v>1</v>
      </c>
    </row>
    <row r="27" spans="1:15" x14ac:dyDescent="0.3">
      <c r="A27" s="11">
        <v>24</v>
      </c>
      <c r="B27" s="37">
        <v>14480</v>
      </c>
      <c r="C27" s="78">
        <v>815</v>
      </c>
      <c r="D27" s="13">
        <v>72</v>
      </c>
      <c r="E27" s="14"/>
      <c r="F27" s="13">
        <v>14</v>
      </c>
      <c r="G27" s="62">
        <v>22</v>
      </c>
      <c r="H27" s="13">
        <v>21</v>
      </c>
      <c r="I27" s="14"/>
      <c r="J27" s="13">
        <v>114</v>
      </c>
      <c r="K27" s="13">
        <v>71</v>
      </c>
      <c r="L27" s="13">
        <v>1</v>
      </c>
    </row>
    <row r="28" spans="1:15" x14ac:dyDescent="0.3">
      <c r="A28" s="11">
        <v>25</v>
      </c>
      <c r="B28" s="37">
        <v>13252</v>
      </c>
      <c r="C28" s="78">
        <v>812</v>
      </c>
      <c r="D28" s="15">
        <v>77</v>
      </c>
      <c r="E28" s="40"/>
      <c r="F28" s="15">
        <v>12</v>
      </c>
      <c r="G28" s="63">
        <v>20</v>
      </c>
      <c r="H28" s="15">
        <v>20</v>
      </c>
      <c r="I28" s="40"/>
      <c r="J28" s="13">
        <v>135</v>
      </c>
      <c r="K28" s="13">
        <v>66</v>
      </c>
      <c r="L28" s="13">
        <v>1</v>
      </c>
    </row>
    <row r="29" spans="1:15" x14ac:dyDescent="0.3">
      <c r="A29" s="11">
        <v>26</v>
      </c>
      <c r="B29" s="37">
        <v>14230</v>
      </c>
      <c r="C29" s="78">
        <v>781</v>
      </c>
      <c r="D29" s="13">
        <v>77</v>
      </c>
      <c r="E29" s="14"/>
      <c r="F29" s="13">
        <v>11</v>
      </c>
      <c r="G29" s="62">
        <v>21</v>
      </c>
      <c r="H29" s="13">
        <v>20</v>
      </c>
      <c r="I29" s="14"/>
      <c r="J29" s="13">
        <v>180</v>
      </c>
      <c r="K29" s="13">
        <v>85</v>
      </c>
      <c r="L29" s="13">
        <v>4</v>
      </c>
    </row>
    <row r="30" spans="1:15" x14ac:dyDescent="0.3">
      <c r="A30" s="9">
        <v>27</v>
      </c>
      <c r="B30" s="37">
        <v>13785</v>
      </c>
      <c r="C30" s="78">
        <v>821</v>
      </c>
      <c r="D30" s="13">
        <v>77</v>
      </c>
      <c r="E30" s="14"/>
      <c r="F30" s="13">
        <v>10</v>
      </c>
      <c r="G30" s="62">
        <v>20</v>
      </c>
      <c r="H30" s="13">
        <v>18</v>
      </c>
      <c r="I30" s="14"/>
      <c r="J30" s="13">
        <v>217</v>
      </c>
      <c r="K30" s="13">
        <v>107</v>
      </c>
      <c r="L30" s="13">
        <v>4</v>
      </c>
    </row>
    <row r="31" spans="1:15" x14ac:dyDescent="0.3">
      <c r="A31" s="41">
        <v>28</v>
      </c>
      <c r="B31" s="37">
        <v>12895</v>
      </c>
      <c r="C31" s="78">
        <v>902</v>
      </c>
      <c r="D31" s="13">
        <v>82</v>
      </c>
      <c r="E31" s="14"/>
      <c r="F31" s="13">
        <v>6</v>
      </c>
      <c r="G31" s="62">
        <v>17</v>
      </c>
      <c r="H31" s="13">
        <v>17</v>
      </c>
      <c r="I31" s="14"/>
      <c r="J31" s="13">
        <v>255</v>
      </c>
      <c r="K31" s="13">
        <v>108</v>
      </c>
      <c r="L31" s="13">
        <v>0</v>
      </c>
    </row>
    <row r="32" spans="1:15" x14ac:dyDescent="0.3">
      <c r="A32" s="41">
        <v>29</v>
      </c>
      <c r="B32" s="37">
        <v>12612</v>
      </c>
      <c r="C32" s="78">
        <v>921</v>
      </c>
      <c r="D32" s="13">
        <v>73</v>
      </c>
      <c r="E32" s="14"/>
      <c r="F32" s="13">
        <v>3</v>
      </c>
      <c r="G32" s="62">
        <v>16</v>
      </c>
      <c r="H32" s="13">
        <v>17</v>
      </c>
      <c r="I32" s="14"/>
      <c r="J32" s="13">
        <v>121</v>
      </c>
      <c r="K32" s="13">
        <v>68</v>
      </c>
      <c r="L32" s="13">
        <v>0</v>
      </c>
    </row>
    <row r="33" spans="1:15" x14ac:dyDescent="0.3">
      <c r="A33" s="41">
        <v>30</v>
      </c>
      <c r="B33" s="37">
        <v>11624</v>
      </c>
      <c r="C33" s="78">
        <v>506</v>
      </c>
      <c r="D33" s="13">
        <v>68</v>
      </c>
      <c r="E33" s="14"/>
      <c r="F33" s="13">
        <v>5</v>
      </c>
      <c r="G33" s="62">
        <v>20</v>
      </c>
      <c r="H33" s="13">
        <v>16</v>
      </c>
      <c r="I33" s="14"/>
      <c r="J33" s="13">
        <v>124</v>
      </c>
      <c r="K33" s="13">
        <v>76</v>
      </c>
      <c r="L33" s="13">
        <v>2</v>
      </c>
    </row>
    <row r="34" spans="1:15" ht="15" thickBot="1" x14ac:dyDescent="0.35">
      <c r="A34" s="42"/>
      <c r="B34" s="43">
        <v>13286</v>
      </c>
      <c r="C34" s="80">
        <v>490</v>
      </c>
      <c r="D34" s="44">
        <v>91</v>
      </c>
      <c r="E34" s="14"/>
      <c r="F34" s="44"/>
      <c r="G34" s="64"/>
      <c r="H34" s="13">
        <v>23</v>
      </c>
      <c r="I34" s="14"/>
      <c r="J34" s="44">
        <v>134</v>
      </c>
      <c r="K34" s="44">
        <v>84</v>
      </c>
      <c r="L34" s="44">
        <v>1</v>
      </c>
      <c r="O34" t="s">
        <v>30</v>
      </c>
    </row>
    <row r="35" spans="1:15" ht="15" thickBot="1" x14ac:dyDescent="0.35">
      <c r="A35" s="31" t="s">
        <v>24</v>
      </c>
      <c r="B35" s="45">
        <f>SUM(B4:B34)</f>
        <v>416982</v>
      </c>
      <c r="C35" s="46">
        <f>SUM(C4:C34)</f>
        <v>23751</v>
      </c>
      <c r="D35" s="47">
        <f>SUM(D4:D34)</f>
        <v>2397</v>
      </c>
      <c r="E35" s="60"/>
      <c r="F35" s="69">
        <f>AVERAGE(F4:F34)</f>
        <v>9.6666666666666661</v>
      </c>
      <c r="G35" s="70">
        <f>AVERAGE(G4:G34)</f>
        <v>22.2</v>
      </c>
      <c r="H35" s="71">
        <f>AVERAGE(H4:H34)</f>
        <v>21.516129032258064</v>
      </c>
      <c r="I35" s="48"/>
      <c r="J35" s="49">
        <f>SUM(J4:J34)</f>
        <v>3739</v>
      </c>
      <c r="K35" s="49">
        <f>SUM(K4:K34)</f>
        <v>2085</v>
      </c>
      <c r="L35" s="50">
        <f>SUM(L4:L34)</f>
        <v>46</v>
      </c>
    </row>
    <row r="36" spans="1:15" ht="15" thickBot="1" x14ac:dyDescent="0.35">
      <c r="A36" s="16" t="s">
        <v>25</v>
      </c>
      <c r="B36" s="51">
        <f>AVERAGE(B4:B34)</f>
        <v>13451.032258064517</v>
      </c>
      <c r="C36" s="52">
        <f>AVERAGE(C4:C34)</f>
        <v>766.16129032258061</v>
      </c>
      <c r="D36" s="53">
        <f>AVERAGE(D4:D34)</f>
        <v>77.322580645161295</v>
      </c>
      <c r="E36" s="54"/>
      <c r="F36" s="54"/>
      <c r="G36" s="54"/>
      <c r="H36" s="54"/>
      <c r="I36" s="54"/>
      <c r="J36" s="17"/>
      <c r="K36" s="5"/>
      <c r="L36" s="5"/>
    </row>
    <row r="37" spans="1:15" ht="15" thickBot="1" x14ac:dyDescent="0.35">
      <c r="A37" s="5"/>
      <c r="B37" s="18" t="s">
        <v>26</v>
      </c>
      <c r="C37" s="18"/>
      <c r="D37" s="18"/>
      <c r="E37" s="18"/>
      <c r="F37" s="18"/>
      <c r="G37" s="18"/>
      <c r="H37" s="18"/>
      <c r="I37" s="18"/>
      <c r="J37" s="18"/>
      <c r="K37" s="5"/>
      <c r="L37" s="5"/>
    </row>
    <row r="38" spans="1:15" ht="15" thickBot="1" x14ac:dyDescent="0.35">
      <c r="A38" s="19"/>
      <c r="B38" s="51">
        <f>B35/J35</f>
        <v>111.52233217437818</v>
      </c>
      <c r="C38" s="52">
        <f>C35/J35</f>
        <v>6.352233217437818</v>
      </c>
      <c r="D38" s="53">
        <f>D35/J35</f>
        <v>0.64108050280823747</v>
      </c>
      <c r="E38" s="54"/>
      <c r="F38" s="54"/>
      <c r="G38" s="54"/>
      <c r="H38" s="54"/>
      <c r="I38" s="54"/>
      <c r="J38" s="19"/>
      <c r="K38" s="5"/>
      <c r="L38" s="5"/>
    </row>
    <row r="39" spans="1:15" x14ac:dyDescent="0.3">
      <c r="A39" s="20"/>
      <c r="B39" s="18"/>
      <c r="C39" s="18"/>
      <c r="D39" s="18"/>
      <c r="E39" s="18"/>
      <c r="F39" s="18"/>
      <c r="G39" s="18"/>
      <c r="H39" s="18"/>
      <c r="I39" s="18"/>
      <c r="J39" s="20"/>
      <c r="K39" s="5"/>
      <c r="L39" s="5"/>
    </row>
    <row r="40" spans="1:15" x14ac:dyDescent="0.3">
      <c r="A40" s="20"/>
      <c r="B40" s="55"/>
      <c r="C40" s="55"/>
      <c r="D40" s="55"/>
      <c r="E40" s="55"/>
      <c r="F40" s="55"/>
      <c r="G40" s="55"/>
      <c r="H40" s="55"/>
      <c r="I40" s="55"/>
      <c r="J40" s="20"/>
      <c r="K40" s="5"/>
      <c r="L40" s="5"/>
    </row>
    <row r="41" spans="1:15" ht="15.6" x14ac:dyDescent="0.3">
      <c r="A41" s="56" t="s">
        <v>27</v>
      </c>
      <c r="B41" s="57">
        <v>72237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56" t="s">
        <v>28</v>
      </c>
      <c r="B42" s="57">
        <v>62662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2022-06-02T07:55:28Z</dcterms:modified>
  <cp:category/>
  <cp:contentStatus/>
</cp:coreProperties>
</file>