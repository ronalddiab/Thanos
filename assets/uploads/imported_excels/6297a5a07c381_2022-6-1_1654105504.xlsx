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1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9" i="6"/>
  <c r="BB30" i="6"/>
  <c r="BB31" i="6"/>
  <c r="BB32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<sst xmlns="http://schemas.openxmlformats.org/spreadsheetml/2006/main" count="315" uniqueCount="148">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</sst>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29.303999999999998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14260.000000000793</v>
      </c>
      <c r="F9" s="11">
        <f t="shared" si="0"/>
        <v>0.58765030286592534</v>
      </c>
      <c r="G9" s="12">
        <f>(Submetering!AX9+Submetering!AY9+Submetering!AZ9+Submetering!BA9+Submetering!BB9)</f>
        <v>25.640999999999998</v>
      </c>
      <c r="H9" s="11">
        <f t="shared" si="1"/>
        <v>0.99</v>
      </c>
      <c r="I9" s="12">
        <f>'FS Desroches Daily'!CM11</f>
        <v>131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14640.000000000244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141.79999999999927</v>
      </c>
      <c r="J10" s="11">
        <f t="shared" si="2"/>
        <v>10.487297712684205</v>
      </c>
      <c r="K10" s="13">
        <f>'FS Desroches Daily'!CN12</f>
        <v>43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13559.999999999127</v>
      </c>
      <c r="F11" s="11">
        <f t="shared" si="0"/>
        <v>0.58765030286592534</v>
      </c>
      <c r="G11" s="12">
        <f>(Submetering!AX11+Submetering!AY11+Submetering!AZ11+Submetering!BA11+Submetering!BB11)</f>
        <v>21.977999999999998</v>
      </c>
      <c r="H11" s="11">
        <f t="shared" si="1"/>
        <v>0.99</v>
      </c>
      <c r="I11" s="12">
        <f>'FS Desroches Daily'!CM13</f>
        <v>143.20000000000073</v>
      </c>
      <c r="J11" s="11">
        <f t="shared" si="2"/>
        <v>10.487297712684205</v>
      </c>
      <c r="K11" s="13">
        <f>'FS Desroches Daily'!CN13</f>
        <v>40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14390.000000000124</v>
      </c>
      <c r="F12" s="11">
        <f t="shared" si="0"/>
        <v>0.58765030286592534</v>
      </c>
      <c r="G12" s="12">
        <f>(Submetering!AX12+Submetering!AY12+Submetering!AZ12+Submetering!BA12+Submetering!BB12)</f>
        <v>25.640999999999998</v>
      </c>
      <c r="H12" s="11">
        <f t="shared" si="1"/>
        <v>0.99</v>
      </c>
      <c r="I12" s="12">
        <f>'FS Desroches Daily'!CM14</f>
        <v>137.79999999999927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12160.000000000056</v>
      </c>
      <c r="F13" s="11">
        <f t="shared" si="0"/>
        <v>0.58765030286592534</v>
      </c>
      <c r="G13" s="12">
        <f>(Submetering!AX13+Submetering!AY13+Submetering!AZ13+Submetering!BA13+Submetering!BB13)</f>
        <v>150.18299999999996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49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16199.999999999816</v>
      </c>
      <c r="F14" s="11">
        <f t="shared" si="0"/>
        <v>0.58765030286592534</v>
      </c>
      <c r="G14" s="12">
        <f>(Submetering!AX14+Submetering!AY14+Submetering!AZ14+Submetering!BA14+Submetering!BB14)</f>
        <v>5.4944999999999995</v>
      </c>
      <c r="H14" s="11">
        <f t="shared" si="1"/>
        <v>0.99</v>
      </c>
      <c r="I14" s="12">
        <f>'FS Desroches Daily'!CM16</f>
        <v>118</v>
      </c>
      <c r="J14" s="11">
        <f t="shared" si="2"/>
        <v>10.487297712684205</v>
      </c>
      <c r="K14" s="13">
        <f>'FS Desroches Daily'!CN16</f>
        <v>45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14400.00000000066</v>
      </c>
      <c r="F15" s="11">
        <f t="shared" si="0"/>
        <v>0.58765030286592534</v>
      </c>
      <c r="G15" s="12">
        <f>(Submetering!AX15+Submetering!AY15+Submetering!AZ15+Submetering!BA15+Submetering!BB15)</f>
        <v>27.4725</v>
      </c>
      <c r="H15" s="11">
        <f t="shared" si="1"/>
        <v>0.99</v>
      </c>
      <c r="I15" s="12">
        <f>'FS Desroches Daily'!CM17</f>
        <v>120</v>
      </c>
      <c r="J15" s="11">
        <f t="shared" si="2"/>
        <v>10.487297712684205</v>
      </c>
      <c r="K15" s="13">
        <f>'FS Desroches Daily'!CN17</f>
        <v>45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14779.999999999356</v>
      </c>
      <c r="F16" s="11">
        <f t="shared" si="0"/>
        <v>0.58765030286592534</v>
      </c>
      <c r="G16" s="12">
        <f>(Submetering!AX16+Submetering!AY16+Submetering!AZ16+Submetering!BA16+Submetering!BB16)</f>
        <v>16.483499999999999</v>
      </c>
      <c r="H16" s="11">
        <f t="shared" si="1"/>
        <v>0.99</v>
      </c>
      <c r="I16" s="12">
        <f>'FS Desroches Daily'!CM18</f>
        <v>124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14210.000000000349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122</v>
      </c>
      <c r="J17" s="11">
        <f t="shared" si="2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11049.999999999742</v>
      </c>
      <c r="F18" s="11">
        <f t="shared" si="0"/>
        <v>0.58765030286592534</v>
      </c>
      <c r="G18" s="12">
        <f>(Submetering!AX18+Submetering!AY18+Submetering!AZ18+Submetering!BA18+Submetering!BB18)</f>
        <v>14.651999999999999</v>
      </c>
      <c r="H18" s="11">
        <f t="shared" si="1"/>
        <v>0.99</v>
      </c>
      <c r="I18" s="12">
        <f>'FS Desroches Daily'!CM20</f>
        <v>96</v>
      </c>
      <c r="J18" s="11">
        <f t="shared" si="2"/>
        <v>10.487297712684205</v>
      </c>
      <c r="K18" s="13">
        <f>'FS Desroches Daily'!CN20</f>
        <v>38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13089.9999999996</v>
      </c>
      <c r="F19" s="11">
        <f t="shared" si="0"/>
        <v>0.58765030286592534</v>
      </c>
      <c r="G19" s="12">
        <f>(Submetering!AX19+Submetering!AY19+Submetering!AZ19+Submetering!BA19+Submetering!BB19)</f>
        <v>10.988999999999999</v>
      </c>
      <c r="H19" s="11">
        <f t="shared" si="1"/>
        <v>0.99</v>
      </c>
      <c r="I19" s="12">
        <f>'FS Desroches Daily'!CM21</f>
        <v>92</v>
      </c>
      <c r="J19" s="11">
        <f t="shared" si="2"/>
        <v>10.487297712684205</v>
      </c>
      <c r="K19" s="13">
        <f>'FS Desroches Daily'!CN21</f>
        <v>40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12880.000000000662</v>
      </c>
      <c r="F20" s="11">
        <f t="shared" si="0"/>
        <v>0.58765030286592534</v>
      </c>
      <c r="G20" s="12">
        <f>(Submetering!AX20+Submetering!AY20+Submetering!AZ20+Submetering!BA20+Submetering!BB20)</f>
        <v>25.640999999999998</v>
      </c>
      <c r="H20" s="11">
        <f t="shared" si="1"/>
        <v>0.99</v>
      </c>
      <c r="I20" s="12">
        <f>'FS Desroches Daily'!CM22</f>
        <v>98</v>
      </c>
      <c r="J20" s="11">
        <f t="shared" si="2"/>
        <v>10.487297712684205</v>
      </c>
      <c r="K20" s="13">
        <f>'FS Desroches Daily'!CN22</f>
        <v>27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12739.999999999189</v>
      </c>
      <c r="F21" s="11">
        <f t="shared" si="0"/>
        <v>0.58765030286592534</v>
      </c>
      <c r="G21" s="12">
        <f>(Submetering!AX21+Submetering!AY21+Submetering!AZ21+Submetering!BA21+Submetering!BB21)</f>
        <v>7.3259999999999996</v>
      </c>
      <c r="H21" s="11">
        <f t="shared" si="1"/>
        <v>0.99</v>
      </c>
      <c r="I21" s="12">
        <f>'FS Desroches Daily'!CM23</f>
        <v>99</v>
      </c>
      <c r="J21" s="11">
        <f t="shared" si="2"/>
        <v>10.487297712684205</v>
      </c>
      <c r="K21" s="13">
        <f>'FS Desroches Daily'!CN23</f>
        <v>27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11750.000000001699</v>
      </c>
      <c r="F22" s="11">
        <f t="shared" si="0"/>
        <v>0.58765030286592534</v>
      </c>
      <c r="G22" s="12">
        <f>(Submetering!AX22+Submetering!AY22+Submetering!AZ22+Submetering!BA22+Submetering!BB22)</f>
        <v>20.146499999999996</v>
      </c>
      <c r="H22" s="11">
        <f t="shared" si="1"/>
        <v>0.99</v>
      </c>
      <c r="I22" s="12">
        <f>'FS Desroches Daily'!CM24</f>
        <v>96.299999999999272</v>
      </c>
      <c r="J22" s="11">
        <f t="shared" si="2"/>
        <v>10.487297712684205</v>
      </c>
      <c r="K22" s="13">
        <f>'FS Desroches Daily'!CN24</f>
        <v>27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10989.999999998754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94.700000000000728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11980.000000000317</v>
      </c>
      <c r="F24" s="11">
        <f t="shared" si="0"/>
        <v>0.58765030286592534</v>
      </c>
      <c r="G24" s="12">
        <f>(Submetering!AX24+Submetering!AY24+Submetering!AZ24+Submetering!BA24+Submetering!BB24)</f>
        <v>12.820499999999999</v>
      </c>
      <c r="H24" s="11">
        <f t="shared" si="1"/>
        <v>0.99</v>
      </c>
      <c r="I24" s="12">
        <f>'FS Desroches Daily'!CM26</f>
        <v>101</v>
      </c>
      <c r="J24" s="11">
        <f t="shared" si="2"/>
        <v>10.487297712684205</v>
      </c>
      <c r="K24" s="13">
        <f>'FS Desroches Daily'!CN26</f>
        <v>35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12239.999999999432</v>
      </c>
      <c r="F25" s="11">
        <f t="shared" si="0"/>
        <v>0.58765030286592534</v>
      </c>
      <c r="G25" s="12">
        <f>(Submetering!AX25+Submetering!AY25+Submetering!AZ25+Submetering!BA25+Submetering!BB25)</f>
        <v>18.314999999999998</v>
      </c>
      <c r="H25" s="11">
        <f t="shared" si="1"/>
        <v>0.99</v>
      </c>
      <c r="I25" s="12">
        <f>'FS Desroches Daily'!CM27</f>
        <v>94</v>
      </c>
      <c r="J25" s="11">
        <f t="shared" si="2"/>
        <v>10.487297712684205</v>
      </c>
      <c r="K25" s="13">
        <f>'FS Desroches Daily'!CN27</f>
        <v>25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10680.000000000506</v>
      </c>
      <c r="F26" s="11">
        <f t="shared" si="0"/>
        <v>0.58765030286592534</v>
      </c>
      <c r="G26" s="12">
        <f>(Submetering!AX26+Submetering!AY26+Submetering!AZ26+Submetering!BA26+Submetering!BB26)</f>
        <v>16.483499999999999</v>
      </c>
      <c r="H26" s="11">
        <f t="shared" si="1"/>
        <v>0.99</v>
      </c>
      <c r="I26" s="12">
        <f>'FS Desroches Daily'!CM28</f>
        <v>86</v>
      </c>
      <c r="J26" s="11">
        <f t="shared" si="2"/>
        <v>10.487297712684205</v>
      </c>
      <c r="K26" s="13">
        <f>'FS Desroches Daily'!CN28</f>
        <v>25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12310.000000000116</v>
      </c>
      <c r="F27" s="11">
        <f t="shared" si="0"/>
        <v>0.58765030286592534</v>
      </c>
      <c r="G27" s="12">
        <f>(Submetering!AX27+Submetering!AY27+Submetering!AZ27+Submetering!BA27+Submetering!BB27)</f>
        <v>21.977999999999998</v>
      </c>
      <c r="H27" s="11">
        <f t="shared" si="1"/>
        <v>0.99</v>
      </c>
      <c r="I27" s="12">
        <f>'FS Desroches Daily'!CM29</f>
        <v>84</v>
      </c>
      <c r="J27" s="11">
        <f t="shared" si="2"/>
        <v>10.487297712684205</v>
      </c>
      <c r="K27" s="13">
        <f>'FS Desroches Daily'!CN29</f>
        <v>33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11989.999999999942</v>
      </c>
      <c r="F28" s="11">
        <f t="shared" si="0"/>
        <v>0.58765030286592534</v>
      </c>
      <c r="G28" s="12">
        <f>(Submetering!AX28+Submetering!AY28+Submetering!AZ28+Submetering!BA28+Submetering!BB28)</f>
        <v>21.977999999999998</v>
      </c>
      <c r="H28" s="11">
        <f t="shared" si="1"/>
        <v>0.99</v>
      </c>
      <c r="I28" s="12">
        <f>'FS Desroches Daily'!CM30</f>
        <v>88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12699.99999999938</v>
      </c>
      <c r="F29" s="11">
        <f t="shared" si="0"/>
        <v>0.58765030286592534</v>
      </c>
      <c r="G29" s="12">
        <f>(Submetering!AX29+Submetering!AY29+Submetering!AZ29+Submetering!BA29+Submetering!BB29)</f>
        <v>25.640999999999998</v>
      </c>
      <c r="H29" s="11">
        <f t="shared" si="1"/>
        <v>0.99</v>
      </c>
      <c r="I29" s="12">
        <f>'FS Desroches Daily'!CM31</f>
        <v>102</v>
      </c>
      <c r="J29" s="11">
        <f t="shared" si="2"/>
        <v>10.487297712684205</v>
      </c>
      <c r="K29" s="13">
        <f>'FS Desroches Daily'!CN31</f>
        <v>29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11440.000000000597</v>
      </c>
      <c r="F30" s="11">
        <f t="shared" si="0"/>
        <v>0.58765030286592534</v>
      </c>
      <c r="G30" s="12">
        <f>(Submetering!AX30+Submetering!AY30+Submetering!AZ30+Submetering!BA30+Submetering!BB30)</f>
        <v>2987.1765</v>
      </c>
      <c r="H30" s="11">
        <f t="shared" si="1"/>
        <v>0.99</v>
      </c>
      <c r="I30" s="12">
        <f>'FS Desroches Daily'!CM32</f>
        <v>120</v>
      </c>
      <c r="J30" s="11">
        <f t="shared" si="2"/>
        <v>10.487297712684205</v>
      </c>
      <c r="K30" s="13">
        <f>'FS Desroches Daily'!CN32</f>
        <v>29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13470.00000000024</v>
      </c>
      <c r="F31" s="11">
        <f t="shared" si="0"/>
        <v>0.58765030286592534</v>
      </c>
      <c r="G31" s="12">
        <f>(Submetering!AX31+Submetering!AY31+Submetering!AZ31+Submetering!BA31+Submetering!BB31)</f>
        <v>9.1574999999999989</v>
      </c>
      <c r="H31" s="11">
        <f t="shared" si="1"/>
        <v>0.99</v>
      </c>
      <c r="I31" s="12">
        <f>'FS Desroches Daily'!CM33</f>
        <v>110</v>
      </c>
      <c r="J31" s="11">
        <f t="shared" si="2"/>
        <v>10.487297712684205</v>
      </c>
      <c r="K31" s="13">
        <f>'FS Desroches Daily'!CN33</f>
        <v>37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9799.999999999698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99</v>
      </c>
      <c r="J32" s="11">
        <f t="shared" si="2"/>
        <v>10.487297712684205</v>
      </c>
      <c r="K32" s="13">
        <f>'FS Desroches Daily'!CN34</f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abSelected="1" workbookViewId="0">
      <selection activeCell="BF21" sqref="BF2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IF(LPG!G9-LPG!G8&lt;0,"0",(LPG!G9-LPG!G8)*1.8315)</f>
        <v>0</v>
      </c>
      <c r="AZ2" s="31">
        <f>IF(LPG!H9-LPG!H8&lt;0,"0",(LPG!H9-LPG!H8)*1.8315)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IF(LPG!G10-LPG!G9&lt;0,"0",(LPG!G10-LPG!G9)*1.8315)</f>
        <v>0</v>
      </c>
      <c r="AZ3" s="31">
        <f>IF(LPG!H10-LPG!H9&lt;0,"0",(LPG!H10-LPG!H9)*1.8315)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IF(LPG!G11-LPG!G10&lt;0,"0",(LPG!G11-LPG!G10)*1.8315)</f>
        <v>0</v>
      </c>
      <c r="AZ4" s="31">
        <f>IF(LPG!H13-LPG!H10&lt;0,"0",(LPG!H13-LPG!H10)*1.8315)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IF(LPG!G12-LPG!G11&lt;0,"0",(LPG!G12-LPG!G11)*1.8315)</f>
        <v>0</v>
      </c>
      <c r="AZ5" s="31" t="str">
        <f>IF(LPG!H12-LPG!H13&lt;0,"0",(LPG!H12-LPG!H13)*1.8315)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IF(LPG!G13-LPG!G12&lt;0,"0",(LPG!G13-LPG!G12)*1.8315)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>
        <f>'FS Desroches Daily'!CF10</f>
        <v>3.1999999999998181</v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12.820499999999999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3900.0000000002365</v>
      </c>
      <c r="F9" s="32">
        <f>'FS Desroches Daily'!F11</f>
        <v>3200.0000000005357</v>
      </c>
      <c r="G9" s="31">
        <f>'FS Desroches Daily'!H11</f>
        <v>3800.0000000000255</v>
      </c>
      <c r="H9" s="32">
        <f>'FS Desroches Daily'!J11</f>
        <v>1900.0000000000127</v>
      </c>
      <c r="I9" s="31">
        <f>'FS Desroches Daily'!L11</f>
        <v>2600.0000000001578</v>
      </c>
      <c r="J9" s="32">
        <f>'FS Desroches Daily'!N11</f>
        <v>2499.9999999999468</v>
      </c>
      <c r="K9" s="13">
        <f>'FS Desroches Daily'!P11</f>
        <v>42</v>
      </c>
      <c r="L9" s="31">
        <f>'FS Desroches Daily'!R11</f>
        <v>7</v>
      </c>
      <c r="M9" s="31">
        <f>'FS Desroches Daily'!T11</f>
        <v>1.6000000000001364</v>
      </c>
      <c r="N9" s="31">
        <f>'FS Desroches Daily'!V11</f>
        <v>457.40000000002328</v>
      </c>
      <c r="O9" s="31">
        <f>'FS Desroches Daily'!X11</f>
        <v>379.99999999999545</v>
      </c>
      <c r="P9" s="31">
        <f>'FS Desroches Daily'!Z11</f>
        <v>3100.0000000003247</v>
      </c>
      <c r="Q9" s="31">
        <f>'FS Desroches Daily'!AB11</f>
        <v>500</v>
      </c>
      <c r="R9" s="31">
        <f>'FS Desroches Daily'!AD11</f>
        <v>660.00000000002501</v>
      </c>
      <c r="S9" s="31">
        <f>'FS Desroches Daily'!AF11</f>
        <v>1210.0000000000364</v>
      </c>
      <c r="T9" s="31">
        <f>'FS Desroches Daily'!AH11</f>
        <v>38</v>
      </c>
      <c r="U9" s="35">
        <f>'FS Desroches Daily'!AJ11</f>
        <v>1070.00000000005</v>
      </c>
      <c r="V9" s="35">
        <f>'FS Desroches Daily'!AL11</f>
        <v>310.00000000000227</v>
      </c>
      <c r="W9" s="35">
        <f>'FS Desroches Daily'!AN11</f>
        <v>319.99999999999318</v>
      </c>
      <c r="X9" s="35">
        <f>'FS Desroches Daily'!AP11</f>
        <v>280.00000000000114</v>
      </c>
      <c r="Y9" s="35">
        <f>'FS Desroches Daily'!AR11</f>
        <v>230.00000000001819</v>
      </c>
      <c r="Z9" s="35">
        <f>'FS Desroches Daily'!AT11</f>
        <v>370.00000000000455</v>
      </c>
      <c r="AA9" s="35">
        <f>'FS Desroches Daily'!AT11</f>
        <v>370.00000000000455</v>
      </c>
      <c r="AB9" s="35">
        <f>'FS Desroches Daily'!AV11</f>
        <v>389.99999999998636</v>
      </c>
      <c r="AC9" s="35">
        <f>'FS Desroches Daily'!AZ11</f>
        <v>219.99999999997044</v>
      </c>
      <c r="AD9" s="35">
        <f>'FS Desroches Daily'!BB11</f>
        <v>190.00000000005457</v>
      </c>
      <c r="AE9" s="35">
        <f>'FS Desroches Daily'!BD11</f>
        <v>169.99999999995907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50.000000000011369</v>
      </c>
      <c r="AK9" s="32">
        <f>'FS Desroches Daily'!BP11</f>
        <v>69.999999999993179</v>
      </c>
      <c r="AL9" s="32">
        <f>'FS Desroches Daily'!BR11</f>
        <v>49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50.000000000011369</v>
      </c>
      <c r="AP9" s="32">
        <f>'FS Desroches Daily'!BZ11</f>
        <v>53</v>
      </c>
      <c r="AQ9" s="31">
        <f>'FS Desroches Daily'!CB11</f>
        <v>70.5</v>
      </c>
      <c r="AR9" s="31">
        <f>'FS Desroches Daily'!CD11</f>
        <v>11.600000000000364</v>
      </c>
      <c r="AS9" s="31">
        <f>'FS Desroches Daily'!CF11</f>
        <v>26</v>
      </c>
      <c r="AT9" s="31">
        <f>'FS Desroches Daily'!CH11</f>
        <v>42.400000000008731</v>
      </c>
      <c r="AU9" s="31">
        <f>'FS Desroches Daily'!CJ11</f>
        <v>408</v>
      </c>
      <c r="AV9" s="31">
        <f>'FS Desroches Daily'!CL11</f>
        <v>1039.9999999999636</v>
      </c>
      <c r="AW9" s="31">
        <f>'FS Desroches Daily'!CM11</f>
        <v>131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10.988999999999999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4099.9999999997708</v>
      </c>
      <c r="F10" s="32">
        <f>'FS Desroches Daily'!F12</f>
        <v>3800.0000000000255</v>
      </c>
      <c r="G10" s="31">
        <f>'FS Desroches Daily'!H12</f>
        <v>3600.0000000004916</v>
      </c>
      <c r="H10" s="32">
        <f>'FS Desroches Daily'!J12</f>
        <v>1900.0000000000127</v>
      </c>
      <c r="I10" s="31">
        <f>'FS Desroches Daily'!L12</f>
        <v>2399.9999999997358</v>
      </c>
      <c r="J10" s="32">
        <f>'FS Desroches Daily'!N12</f>
        <v>2199.9999999999795</v>
      </c>
      <c r="K10" s="13">
        <f>'FS Desroches Daily'!P12</f>
        <v>40</v>
      </c>
      <c r="L10" s="31">
        <f>'FS Desroches Daily'!R12</f>
        <v>7</v>
      </c>
      <c r="M10" s="31">
        <f>'FS Desroches Daily'!T12</f>
        <v>1.5999999999999091</v>
      </c>
      <c r="N10" s="31">
        <f>'FS Desroches Daily'!V12</f>
        <v>678.19999999995343</v>
      </c>
      <c r="O10" s="31">
        <f>'FS Desroches Daily'!X12</f>
        <v>410.00000000002501</v>
      </c>
      <c r="P10" s="31">
        <f>'FS Desroches Daily'!Z12</f>
        <v>3399.9999999996257</v>
      </c>
      <c r="Q10" s="31">
        <f>'FS Desroches Daily'!AB12</f>
        <v>470.00000000002728</v>
      </c>
      <c r="R10" s="31">
        <f>'FS Desroches Daily'!AD12</f>
        <v>610.00000000001364</v>
      </c>
      <c r="S10" s="31">
        <f>'FS Desroches Daily'!AF12</f>
        <v>1229.9999999999045</v>
      </c>
      <c r="T10" s="31">
        <f>'FS Desroches Daily'!AH12</f>
        <v>43</v>
      </c>
      <c r="U10" s="35">
        <f>'FS Desroches Daily'!AJ12</f>
        <v>1039.9999999999636</v>
      </c>
      <c r="V10" s="35">
        <f>'FS Desroches Daily'!AL12</f>
        <v>279.99999999997272</v>
      </c>
      <c r="W10" s="35">
        <f>'FS Desroches Daily'!AN12</f>
        <v>360.00000000001364</v>
      </c>
      <c r="X10" s="35">
        <f>'FS Desroches Daily'!AP12</f>
        <v>240.00000000000909</v>
      </c>
      <c r="Y10" s="35">
        <f>'FS Desroches Daily'!AR12</f>
        <v>379.99999999999545</v>
      </c>
      <c r="Z10" s="35">
        <f>'FS Desroches Daily'!AT12</f>
        <v>360.00000000001364</v>
      </c>
      <c r="AA10" s="35">
        <f>'FS Desroches Daily'!AT12</f>
        <v>360.00000000001364</v>
      </c>
      <c r="AB10" s="35">
        <f>'FS Desroches Daily'!AV12</f>
        <v>180.00000000000682</v>
      </c>
      <c r="AC10" s="35">
        <f>'FS Desroches Daily'!AZ12</f>
        <v>180.00000000000682</v>
      </c>
      <c r="AD10" s="35">
        <f>'FS Desroches Daily'!BB12</f>
        <v>209.99999999997954</v>
      </c>
      <c r="AE10" s="35">
        <f>'FS Desroches Daily'!BD12</f>
        <v>160.00000000002501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49.999999999982947</v>
      </c>
      <c r="AK10" s="32">
        <f>'FS Desroches Daily'!BP12</f>
        <v>69.999999999993179</v>
      </c>
      <c r="AL10" s="32">
        <f>'FS Desroches Daily'!BR12</f>
        <v>55</v>
      </c>
      <c r="AM10" s="32">
        <f>'FS Desroches Daily'!BT12</f>
        <v>69.999999999993179</v>
      </c>
      <c r="AN10" s="32">
        <f>'FS Desroches Daily'!BV12</f>
        <v>51</v>
      </c>
      <c r="AO10" s="32">
        <f>'FS Desroches Daily'!BX12</f>
        <v>60.000000000002274</v>
      </c>
      <c r="AP10" s="32">
        <f>'FS Desroches Daily'!BZ12</f>
        <v>56</v>
      </c>
      <c r="AQ10" s="31">
        <f>'FS Desroches Daily'!CB12</f>
        <v>61</v>
      </c>
      <c r="AR10" s="31">
        <f>'FS Desroches Daily'!CD12</f>
        <v>12.899999999999636</v>
      </c>
      <c r="AS10" s="31">
        <f>'FS Desroches Daily'!CF12</f>
        <v>4.5</v>
      </c>
      <c r="AT10" s="31">
        <f>'FS Desroches Daily'!CH12</f>
        <v>54.80000000000291</v>
      </c>
      <c r="AU10" s="31">
        <f>'FS Desroches Daily'!CJ12</f>
        <v>263</v>
      </c>
      <c r="AV10" s="31">
        <f>'FS Desroches Daily'!CL12</f>
        <v>960.00000000003638</v>
      </c>
      <c r="AW10" s="31">
        <f>'FS Desroches Daily'!CM12</f>
        <v>141.79999999999927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9.1574999999999989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43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3900.0000000002365</v>
      </c>
      <c r="F11" s="32">
        <f>'FS Desroches Daily'!F13</f>
        <v>2999.9999999992256</v>
      </c>
      <c r="G11" s="31">
        <f>'FS Desroches Daily'!H13</f>
        <v>3599.9999999996035</v>
      </c>
      <c r="H11" s="32">
        <f>'FS Desroches Daily'!J13</f>
        <v>1900.0000000000127</v>
      </c>
      <c r="I11" s="31">
        <f>'FS Desroches Daily'!L13</f>
        <v>2200.0000000002019</v>
      </c>
      <c r="J11" s="32">
        <f>'FS Desroches Daily'!N13</f>
        <v>2099.9999999999909</v>
      </c>
      <c r="K11" s="13">
        <f>'FS Desroches Daily'!P13</f>
        <v>35</v>
      </c>
      <c r="L11" s="31">
        <f>'FS Desroches Daily'!R13</f>
        <v>6</v>
      </c>
      <c r="M11" s="31">
        <f>'FS Desroches Daily'!T13</f>
        <v>1.5</v>
      </c>
      <c r="N11" s="31">
        <f>'FS Desroches Daily'!V13</f>
        <v>587.40000000002328</v>
      </c>
      <c r="O11" s="31">
        <f>'FS Desroches Daily'!X13</f>
        <v>339.99999999997499</v>
      </c>
      <c r="P11" s="31">
        <f>'FS Desroches Daily'!Z13</f>
        <v>2900.0000000003465</v>
      </c>
      <c r="Q11" s="31">
        <f>'FS Desroches Daily'!AB13</f>
        <v>279.99999999997272</v>
      </c>
      <c r="R11" s="31">
        <f>'FS Desroches Daily'!AD13</f>
        <v>509.99999999999091</v>
      </c>
      <c r="S11" s="31">
        <f>'FS Desroches Daily'!AF13</f>
        <v>1090.0000000000318</v>
      </c>
      <c r="T11" s="31">
        <f>'FS Desroches Daily'!AH13</f>
        <v>54</v>
      </c>
      <c r="U11" s="35">
        <f>'FS Desroches Daily'!AJ13</f>
        <v>980.00000000001819</v>
      </c>
      <c r="V11" s="35">
        <f>'FS Desroches Daily'!AL13</f>
        <v>280.00000000002956</v>
      </c>
      <c r="W11" s="35">
        <f>'FS Desroches Daily'!AN13</f>
        <v>319.99999999999318</v>
      </c>
      <c r="X11" s="35">
        <f>'FS Desroches Daily'!AP13</f>
        <v>209.99999999997954</v>
      </c>
      <c r="Y11" s="35">
        <f>'FS Desroches Daily'!AR13</f>
        <v>240.00000000000909</v>
      </c>
      <c r="Z11" s="35">
        <f>'FS Desroches Daily'!AT13</f>
        <v>339.99999999997499</v>
      </c>
      <c r="AA11" s="35">
        <f>'FS Desroches Daily'!AT13</f>
        <v>339.99999999997499</v>
      </c>
      <c r="AB11" s="35">
        <f>'FS Desroches Daily'!AV13</f>
        <v>259.99999999999091</v>
      </c>
      <c r="AC11" s="35">
        <f>'FS Desroches Daily'!AZ13</f>
        <v>170.00000000001592</v>
      </c>
      <c r="AD11" s="35">
        <f>'FS Desroches Daily'!BB13</f>
        <v>250</v>
      </c>
      <c r="AE11" s="35">
        <f>'FS Desroches Daily'!BD13</f>
        <v>170.00000000001592</v>
      </c>
      <c r="AF11" s="31">
        <f>'FS Desroches Daily'!BF13</f>
        <v>29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69.999999999993179</v>
      </c>
      <c r="AL11" s="32">
        <f>'FS Desroches Daily'!BR13</f>
        <v>45</v>
      </c>
      <c r="AM11" s="32">
        <f>'FS Desroches Daily'!BT13</f>
        <v>60.000000000002274</v>
      </c>
      <c r="AN11" s="32">
        <f>'FS Desroches Daily'!BV13</f>
        <v>40</v>
      </c>
      <c r="AO11" s="32">
        <f>'FS Desroches Daily'!BX13</f>
        <v>49.999999999982947</v>
      </c>
      <c r="AP11" s="32">
        <f>'FS Desroches Daily'!BZ13</f>
        <v>48</v>
      </c>
      <c r="AQ11" s="31">
        <f>'FS Desroches Daily'!CB13</f>
        <v>62.80000000000291</v>
      </c>
      <c r="AR11" s="31">
        <f>'FS Desroches Daily'!CD13</f>
        <v>9</v>
      </c>
      <c r="AS11" s="31">
        <f>'FS Desroches Daily'!CF13</f>
        <v>9.9999999999454303E-2</v>
      </c>
      <c r="AT11" s="31">
        <f>'FS Desroches Daily'!CH13</f>
        <v>56.399999999994179</v>
      </c>
      <c r="AU11" s="31">
        <f>'FS Desroches Daily'!CJ13</f>
        <v>324</v>
      </c>
      <c r="AV11" s="31">
        <f>'FS Desroches Daily'!CL13</f>
        <v>939.99999999994088</v>
      </c>
      <c r="AW11" s="31">
        <f>'FS Desroches Daily'!CM13</f>
        <v>143.20000000000073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5.4944999999999995</v>
      </c>
      <c r="BA11" s="31">
        <f>IF(LPG!M19-LPG!M17&lt;0,"0",(LPG!M19-LPG!M17)*1.8315)</f>
        <v>9.1574999999999989</v>
      </c>
      <c r="BB11" s="31">
        <f>IF(LPG!Q18-LPG!Q17&lt;0,"0",(LPG!Q18-LPG!Q17)*1.8315)</f>
        <v>7.3259999999999996</v>
      </c>
      <c r="BC11" s="13">
        <f>'FS Desroches Daily'!CN13</f>
        <v>40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4000.0000000000036</v>
      </c>
      <c r="F12" s="32">
        <f>'FS Desroches Daily'!F14</f>
        <v>3600.0000000004916</v>
      </c>
      <c r="G12" s="31">
        <f>'FS Desroches Daily'!H14</f>
        <v>3599.9999999996035</v>
      </c>
      <c r="H12" s="32">
        <f>'FS Desroches Daily'!J14</f>
        <v>1799.9999999998017</v>
      </c>
      <c r="I12" s="31">
        <f>'FS Desroches Daily'!L14</f>
        <v>2099.9999999999909</v>
      </c>
      <c r="J12" s="32">
        <f>'FS Desroches Daily'!N14</f>
        <v>2300.000000000191</v>
      </c>
      <c r="K12" s="13">
        <f>'FS Desroches Daily'!P14</f>
        <v>41</v>
      </c>
      <c r="L12" s="31">
        <f>'FS Desroches Daily'!R14</f>
        <v>6</v>
      </c>
      <c r="M12" s="31">
        <f>'FS Desroches Daily'!T14</f>
        <v>1.4000000000000909</v>
      </c>
      <c r="N12" s="31">
        <f>'FS Desroches Daily'!V14</f>
        <v>592.09999999997672</v>
      </c>
      <c r="O12" s="31">
        <f>'FS Desroches Daily'!X14</f>
        <v>389.99999999998636</v>
      </c>
      <c r="P12" s="31">
        <f>'FS Desroches Daily'!Z14</f>
        <v>2999.9999999996694</v>
      </c>
      <c r="Q12" s="31">
        <f>'FS Desroches Daily'!AB14</f>
        <v>420.00000000001592</v>
      </c>
      <c r="R12" s="31">
        <f>'FS Desroches Daily'!AD14</f>
        <v>550.00000000001137</v>
      </c>
      <c r="S12" s="31">
        <f>'FS Desroches Daily'!AF14</f>
        <v>1120.0000000000045</v>
      </c>
      <c r="T12" s="31">
        <f>'FS Desroches Daily'!AH14</f>
        <v>62</v>
      </c>
      <c r="U12" s="35">
        <f>'FS Desroches Daily'!AJ14</f>
        <v>1080.0000000000409</v>
      </c>
      <c r="V12" s="35">
        <f>'FS Desroches Daily'!AL14</f>
        <v>349.99999999996589</v>
      </c>
      <c r="W12" s="35">
        <f>'FS Desroches Daily'!AN14</f>
        <v>350.00000000002274</v>
      </c>
      <c r="X12" s="35">
        <f>'FS Desroches Daily'!AP14</f>
        <v>230.00000000001819</v>
      </c>
      <c r="Y12" s="35">
        <f>'FS Desroches Daily'!AR14</f>
        <v>319.99999999999318</v>
      </c>
      <c r="Z12" s="35">
        <f>'FS Desroches Daily'!AT14</f>
        <v>389.99999999998636</v>
      </c>
      <c r="AA12" s="35">
        <f>'FS Desroches Daily'!AT14</f>
        <v>389.99999999998636</v>
      </c>
      <c r="AB12" s="35">
        <f>'FS Desroches Daily'!AV14</f>
        <v>280.00000000002956</v>
      </c>
      <c r="AC12" s="35">
        <f>'FS Desroches Daily'!AZ14</f>
        <v>240.00000000000909</v>
      </c>
      <c r="AD12" s="35">
        <f>'FS Desroches Daily'!BB14</f>
        <v>240.00000000000909</v>
      </c>
      <c r="AE12" s="35">
        <f>'FS Desroches Daily'!BD14</f>
        <v>169.99999999995907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60.000000000002274</v>
      </c>
      <c r="AJ12" s="32">
        <f>'FS Desroches Daily'!BN14</f>
        <v>60.000000000002274</v>
      </c>
      <c r="AK12" s="32">
        <f>'FS Desroches Daily'!BP14</f>
        <v>69.999999999993179</v>
      </c>
      <c r="AL12" s="32">
        <f>'FS Desroches Daily'!BR14</f>
        <v>44</v>
      </c>
      <c r="AM12" s="32">
        <f>'FS Desroches Daily'!BT14</f>
        <v>49.999999999982947</v>
      </c>
      <c r="AN12" s="32">
        <f>'FS Desroches Daily'!BV14</f>
        <v>57</v>
      </c>
      <c r="AO12" s="32">
        <f>'FS Desroches Daily'!BX14</f>
        <v>50.000000000011369</v>
      </c>
      <c r="AP12" s="32">
        <f>'FS Desroches Daily'!BZ14</f>
        <v>50</v>
      </c>
      <c r="AQ12" s="31">
        <f>'FS Desroches Daily'!CB14</f>
        <v>60</v>
      </c>
      <c r="AR12" s="31">
        <f>'FS Desroches Daily'!CD14</f>
        <v>8.7000000000007276</v>
      </c>
      <c r="AS12" s="31">
        <f>'FS Desroches Daily'!CF14</f>
        <v>5.5</v>
      </c>
      <c r="AT12" s="31">
        <f>'FS Desroches Daily'!CH14</f>
        <v>46.899999999994179</v>
      </c>
      <c r="AU12" s="31">
        <f>'FS Desroches Daily'!CJ14</f>
        <v>317</v>
      </c>
      <c r="AV12" s="31">
        <f>'FS Desroches Daily'!CL14</f>
        <v>909.99999999996817</v>
      </c>
      <c r="AW12" s="31">
        <f>'FS Desroches Daily'!CM14</f>
        <v>137.79999999999927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7.3259999999999996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4399.9999999999591</v>
      </c>
      <c r="F13" s="32">
        <f>'FS Desroches Daily'!F15</f>
        <v>899.99999999967883</v>
      </c>
      <c r="G13" s="31">
        <f>'FS Desroches Daily'!H15</f>
        <v>3600.0000000004916</v>
      </c>
      <c r="H13" s="32">
        <f>'FS Desroches Daily'!J15</f>
        <v>1900.0000000000127</v>
      </c>
      <c r="I13" s="31">
        <f>'FS Desroches Daily'!L15</f>
        <v>2199.9999999997576</v>
      </c>
      <c r="J13" s="32">
        <f>'FS Desroches Daily'!N15</f>
        <v>2299.9999999999686</v>
      </c>
      <c r="K13" s="13">
        <f>'FS Desroches Daily'!P15</f>
        <v>42</v>
      </c>
      <c r="L13" s="31">
        <f>'FS Desroches Daily'!R15</f>
        <v>7</v>
      </c>
      <c r="M13" s="31">
        <f>'FS Desroches Daily'!T15</f>
        <v>1.2999999999999545</v>
      </c>
      <c r="N13" s="31">
        <f>'FS Desroches Daily'!V15</f>
        <v>515.5</v>
      </c>
      <c r="O13" s="31">
        <f>'FS Desroches Daily'!X15</f>
        <v>400.00000000003411</v>
      </c>
      <c r="P13" s="31">
        <f>'FS Desroches Daily'!Z15</f>
        <v>3200.0000000000919</v>
      </c>
      <c r="Q13" s="31">
        <f>'FS Desroches Daily'!AB15</f>
        <v>439.99999999999773</v>
      </c>
      <c r="R13" s="31">
        <f>'FS Desroches Daily'!AD15</f>
        <v>569.99999999999318</v>
      </c>
      <c r="S13" s="31">
        <f>'FS Desroches Daily'!AF15</f>
        <v>1230.0000000000182</v>
      </c>
      <c r="T13" s="31">
        <f>'FS Desroches Daily'!AH15</f>
        <v>44</v>
      </c>
      <c r="U13" s="35">
        <f>'FS Desroches Daily'!AJ15</f>
        <v>1079.9999999999272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229.99999999998977</v>
      </c>
      <c r="Y13" s="35">
        <f>'FS Desroches Daily'!AR15</f>
        <v>279.99999999997272</v>
      </c>
      <c r="Z13" s="35">
        <f>'FS Desroches Daily'!AT15</f>
        <v>380.0000000000523</v>
      </c>
      <c r="AA13" s="35">
        <f>'FS Desroches Daily'!AT15</f>
        <v>380.0000000000523</v>
      </c>
      <c r="AB13" s="35">
        <f>'FS Desroches Daily'!AV15</f>
        <v>329.99999999998408</v>
      </c>
      <c r="AC13" s="35">
        <f>'FS Desroches Daily'!AZ15</f>
        <v>310.00000000000227</v>
      </c>
      <c r="AD13" s="35">
        <f>'FS Desroches Daily'!BB15</f>
        <v>240.00000000000909</v>
      </c>
      <c r="AE13" s="35">
        <f>'FS Desroches Daily'!BD15</f>
        <v>160.00000000002501</v>
      </c>
      <c r="AF13" s="31">
        <f>'FS Desroches Daily'!BF15</f>
        <v>37</v>
      </c>
      <c r="AG13" s="32">
        <f>'FS Desroches Daily'!BH15</f>
        <v>40.000000000020464</v>
      </c>
      <c r="AH13" s="32">
        <f>'FS Desroches Daily'!BJ15</f>
        <v>50.000000000011369</v>
      </c>
      <c r="AI13" s="32">
        <f>'FS Desroches Daily'!BL15</f>
        <v>79.999999999984084</v>
      </c>
      <c r="AJ13" s="32">
        <f>'FS Desroches Daily'!BN15</f>
        <v>60.000000000002274</v>
      </c>
      <c r="AK13" s="32">
        <f>'FS Desroches Daily'!BP15</f>
        <v>60.000000000002274</v>
      </c>
      <c r="AL13" s="32">
        <f>'FS Desroches Daily'!BR15</f>
        <v>50</v>
      </c>
      <c r="AM13" s="32">
        <f>'FS Desroches Daily'!BT15</f>
        <v>60.000000000002274</v>
      </c>
      <c r="AN13" s="32">
        <f>'FS Desroches Daily'!BV15</f>
        <v>57</v>
      </c>
      <c r="AO13" s="32">
        <f>'FS Desroches Daily'!BX15</f>
        <v>50.000000000011369</v>
      </c>
      <c r="AP13" s="32">
        <f>'FS Desroches Daily'!BZ15</f>
        <v>56</v>
      </c>
      <c r="AQ13" s="31">
        <f>'FS Desroches Daily'!CB15</f>
        <v>54.399999999994179</v>
      </c>
      <c r="AR13" s="31">
        <f>'FS Desroches Daily'!CD15</f>
        <v>13.700000000000728</v>
      </c>
      <c r="AS13" s="31">
        <f>'FS Desroches Daily'!CF15</f>
        <v>7.7000000000007276</v>
      </c>
      <c r="AT13" s="31">
        <f>'FS Desroches Daily'!CH15</f>
        <v>49.80000000000291</v>
      </c>
      <c r="AU13" s="31">
        <f>'FS Desroches Daily'!CJ15</f>
        <v>325</v>
      </c>
      <c r="AV13" s="31">
        <f>'FS Desroches Daily'!CL15</f>
        <v>940.00000000005457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IF(LPG!G20-LPG!G19&lt;0,"0",(LPG!G20-LPG!G19)*1.8315)</f>
        <v>137.36249999999998</v>
      </c>
      <c r="AZ13" s="31">
        <f>IF(LPG!H20-LPG!H19&lt;0,"0",(LPG!H20-LPG!H19)*1.8315)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1.8314999999999999</v>
      </c>
      <c r="BC13" s="13">
        <f>'FS Desroches Daily'!CN15</f>
        <v>49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4099.9999999997708</v>
      </c>
      <c r="F14" s="32">
        <f>'FS Desroches Daily'!F16</f>
        <v>5500.0000000005048</v>
      </c>
      <c r="G14" s="31">
        <f>'FS Desroches Daily'!H16</f>
        <v>3599.9999999996035</v>
      </c>
      <c r="H14" s="32">
        <f>'FS Desroches Daily'!J16</f>
        <v>1900.0000000000127</v>
      </c>
      <c r="I14" s="31">
        <f>'FS Desroches Daily'!L16</f>
        <v>2099.9999999999909</v>
      </c>
      <c r="J14" s="32">
        <f>'FS Desroches Daily'!N16</f>
        <v>2299.9999999999686</v>
      </c>
      <c r="K14" s="13">
        <f>'FS Desroches Daily'!P16</f>
        <v>43</v>
      </c>
      <c r="L14" s="31">
        <f>'FS Desroches Daily'!R16</f>
        <v>6</v>
      </c>
      <c r="M14" s="31">
        <f>'FS Desroches Daily'!T16</f>
        <v>1.3999999999998636</v>
      </c>
      <c r="N14" s="31">
        <f>'FS Desroches Daily'!V16</f>
        <v>544.40000000002328</v>
      </c>
      <c r="O14" s="31">
        <f>'FS Desroches Daily'!X16</f>
        <v>370.00000000000455</v>
      </c>
      <c r="P14" s="31">
        <f>'FS Desroches Daily'!Z16</f>
        <v>3000.0000000001137</v>
      </c>
      <c r="Q14" s="31">
        <f>'FS Desroches Daily'!AB16</f>
        <v>439.99999999999773</v>
      </c>
      <c r="R14" s="31">
        <f>'FS Desroches Daily'!AD16</f>
        <v>560.00000000000227</v>
      </c>
      <c r="S14" s="31">
        <f>'FS Desroches Daily'!AF16</f>
        <v>1230.0000000000182</v>
      </c>
      <c r="T14" s="31">
        <f>'FS Desroches Daily'!AH16</f>
        <v>47</v>
      </c>
      <c r="U14" s="35">
        <f>'FS Desroches Daily'!AJ16</f>
        <v>1009.9999999999909</v>
      </c>
      <c r="V14" s="35">
        <f>'FS Desroches Daily'!AL16</f>
        <v>290.00000000002046</v>
      </c>
      <c r="W14" s="35">
        <f>'FS Desroches Daily'!AN16</f>
        <v>370.00000000000455</v>
      </c>
      <c r="X14" s="35">
        <f>'FS Desroches Daily'!AP16</f>
        <v>219.99999999999886</v>
      </c>
      <c r="Y14" s="35">
        <f>'FS Desroches Daily'!AR16</f>
        <v>310.00000000000227</v>
      </c>
      <c r="Z14" s="35">
        <f>'FS Desroches Daily'!AT16</f>
        <v>379.99999999999545</v>
      </c>
      <c r="AA14" s="35">
        <f>'FS Desroches Daily'!AT16</f>
        <v>379.99999999999545</v>
      </c>
      <c r="AB14" s="35">
        <f>'FS Desroches Daily'!AV16</f>
        <v>350.00000000002274</v>
      </c>
      <c r="AC14" s="35">
        <f>'FS Desroches Daily'!AZ16</f>
        <v>269.99999999998181</v>
      </c>
      <c r="AD14" s="35">
        <f>'FS Desroches Daily'!BB16</f>
        <v>629.99999999999545</v>
      </c>
      <c r="AE14" s="35">
        <f>'FS Desroches Daily'!BD16</f>
        <v>159.99999999996817</v>
      </c>
      <c r="AF14" s="31">
        <f>'FS Desroches Daily'!BF16</f>
        <v>40</v>
      </c>
      <c r="AG14" s="32">
        <f>'FS Desroches Daily'!BH16</f>
        <v>49.999999999982947</v>
      </c>
      <c r="AH14" s="32">
        <f>'FS Desroches Daily'!BJ16</f>
        <v>50.000000000011369</v>
      </c>
      <c r="AI14" s="32">
        <f>'FS Desroches Daily'!BL16</f>
        <v>70.0000000000216</v>
      </c>
      <c r="AJ14" s="32">
        <f>'FS Desroches Daily'!BN16</f>
        <v>49.999999999982947</v>
      </c>
      <c r="AK14" s="32">
        <f>'FS Desroches Daily'!BP16</f>
        <v>69.999999999993179</v>
      </c>
      <c r="AL14" s="32">
        <f>'FS Desroches Daily'!BR16</f>
        <v>45</v>
      </c>
      <c r="AM14" s="32">
        <f>'FS Desroches Daily'!BT16</f>
        <v>60.000000000002274</v>
      </c>
      <c r="AN14" s="32">
        <f>'FS Desroches Daily'!BV16</f>
        <v>38</v>
      </c>
      <c r="AO14" s="32">
        <f>'FS Desroches Daily'!BX16</f>
        <v>60.000000000002274</v>
      </c>
      <c r="AP14" s="32">
        <f>'FS Desroches Daily'!BZ16</f>
        <v>55</v>
      </c>
      <c r="AQ14" s="31">
        <f>'FS Desroches Daily'!CB16</f>
        <v>48.400000000001455</v>
      </c>
      <c r="AR14" s="31">
        <f>'FS Desroches Daily'!CD16</f>
        <v>12.399999999999636</v>
      </c>
      <c r="AS14" s="31">
        <f>'FS Desroches Daily'!CF16</f>
        <v>7.5</v>
      </c>
      <c r="AT14" s="31">
        <f>'FS Desroches Daily'!CH16</f>
        <v>80</v>
      </c>
      <c r="AU14" s="31">
        <f>'FS Desroches Daily'!CJ16</f>
        <v>334</v>
      </c>
      <c r="AV14" s="31">
        <f>'FS Desroches Daily'!CL16</f>
        <v>1200.0000000000455</v>
      </c>
      <c r="AW14" s="31">
        <f>'FS Desroches Daily'!CM16</f>
        <v>118</v>
      </c>
      <c r="AX14" s="31">
        <f>IF(LPG!F21-LPG!F20&lt;0,"0",(LPG!F21-LPG!F20)*1.8315)</f>
        <v>0</v>
      </c>
      <c r="AY14" s="31" t="str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3.6629999999999998</v>
      </c>
      <c r="BB14" s="31">
        <f>IF(LPG!Q21-LPG!Q20&lt;0,"0",(LPG!Q21-LPG!Q20)*1.8315)</f>
        <v>1.8314999999999999</v>
      </c>
      <c r="BC14" s="13">
        <f>'FS Desroches Daily'!CN16</f>
        <v>45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4000.0000000000036</v>
      </c>
      <c r="F15" s="32">
        <f>'FS Desroches Daily'!F17</f>
        <v>3000.0000000001137</v>
      </c>
      <c r="G15" s="31">
        <f>'FS Desroches Daily'!H17</f>
        <v>3700.0000000002588</v>
      </c>
      <c r="H15" s="32">
        <f>'FS Desroches Daily'!J17</f>
        <v>2000.0000000002237</v>
      </c>
      <c r="I15" s="31">
        <f>'FS Desroches Daily'!L17</f>
        <v>2099.9999999999909</v>
      </c>
      <c r="J15" s="32">
        <f>'FS Desroches Daily'!N17</f>
        <v>2299.9999999999686</v>
      </c>
      <c r="K15" s="13">
        <f>'FS Desroches Daily'!P17</f>
        <v>41</v>
      </c>
      <c r="L15" s="31">
        <f>'FS Desroches Daily'!R17</f>
        <v>7</v>
      </c>
      <c r="M15" s="31">
        <f>'FS Desroches Daily'!T17</f>
        <v>1.5</v>
      </c>
      <c r="N15" s="31">
        <f>'FS Desroches Daily'!V17</f>
        <v>574.90000000002328</v>
      </c>
      <c r="O15" s="31">
        <f>'FS Desroches Daily'!X17</f>
        <v>370.00000000000455</v>
      </c>
      <c r="P15" s="31">
        <f>'FS Desroches Daily'!Z17</f>
        <v>3099.9999999998809</v>
      </c>
      <c r="Q15" s="31">
        <f>'FS Desroches Daily'!AB17</f>
        <v>430.00000000000682</v>
      </c>
      <c r="R15" s="31">
        <f>'FS Desroches Daily'!AD17</f>
        <v>620.00000000000455</v>
      </c>
      <c r="S15" s="31">
        <f>'FS Desroches Daily'!AF17</f>
        <v>1189.9999999999409</v>
      </c>
      <c r="T15" s="31">
        <f>'FS Desroches Daily'!AH17</f>
        <v>42</v>
      </c>
      <c r="U15" s="35">
        <f>'FS Desroches Daily'!AJ17</f>
        <v>970.00000000002728</v>
      </c>
      <c r="V15" s="35">
        <f>'FS Desroches Daily'!AL17</f>
        <v>319.99999999999318</v>
      </c>
      <c r="W15" s="35">
        <f>'FS Desroches Daily'!AN17</f>
        <v>339.99999999997499</v>
      </c>
      <c r="X15" s="35">
        <f>'FS Desroches Daily'!AP17</f>
        <v>219.99999999999886</v>
      </c>
      <c r="Y15" s="35">
        <f>'FS Desroches Daily'!AR17</f>
        <v>436.5</v>
      </c>
      <c r="Z15" s="35">
        <f>'FS Desroches Daily'!AT17</f>
        <v>399.99999999997726</v>
      </c>
      <c r="AA15" s="35">
        <f>'FS Desroches Daily'!AT17</f>
        <v>399.99999999997726</v>
      </c>
      <c r="AB15" s="35">
        <f>'FS Desroches Daily'!AV17</f>
        <v>389.99999999998636</v>
      </c>
      <c r="AC15" s="35">
        <f>'FS Desroches Daily'!AZ17</f>
        <v>290.00000000002046</v>
      </c>
      <c r="AD15" s="35">
        <f>'FS Desroches Daily'!BB17</f>
        <v>39.99999999996362</v>
      </c>
      <c r="AE15" s="35">
        <f>'FS Desroches Daily'!BD17</f>
        <v>170.00000000001592</v>
      </c>
      <c r="AF15" s="31">
        <f>'FS Desroches Daily'!BF17</f>
        <v>28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69.999999999993179</v>
      </c>
      <c r="AJ15" s="32">
        <f>'FS Desroches Daily'!BN17</f>
        <v>50.000000000011369</v>
      </c>
      <c r="AK15" s="32">
        <f>'FS Desroches Daily'!BP17</f>
        <v>80.000000000040927</v>
      </c>
      <c r="AL15" s="32">
        <f>'FS Desroches Daily'!BR17</f>
        <v>46</v>
      </c>
      <c r="AM15" s="32">
        <f>'FS Desroches Daily'!BT17</f>
        <v>70.0000000000216</v>
      </c>
      <c r="AN15" s="32">
        <f>'FS Desroches Daily'!BV17</f>
        <v>59</v>
      </c>
      <c r="AO15" s="32">
        <f>'FS Desroches Daily'!BX17</f>
        <v>49.999999999982947</v>
      </c>
      <c r="AP15" s="32">
        <f>'FS Desroches Daily'!BZ17</f>
        <v>60</v>
      </c>
      <c r="AQ15" s="31">
        <f>'FS Desroches Daily'!CB17</f>
        <v>48.30000000000291</v>
      </c>
      <c r="AR15" s="31">
        <f>'FS Desroches Daily'!CD17</f>
        <v>15</v>
      </c>
      <c r="AS15" s="31">
        <f>'FS Desroches Daily'!CF17</f>
        <v>4.5</v>
      </c>
      <c r="AT15" s="31">
        <f>'FS Desroches Daily'!CH17</f>
        <v>26.80000000000291</v>
      </c>
      <c r="AU15" s="31">
        <f>'FS Desroches Daily'!CJ17</f>
        <v>349</v>
      </c>
      <c r="AV15" s="31">
        <f>'FS Desroches Daily'!CL17</f>
        <v>599.99999999990905</v>
      </c>
      <c r="AW15" s="31">
        <f>'FS Desroches Daily'!CM17</f>
        <v>120</v>
      </c>
      <c r="AX15" s="31">
        <f>IF(LPG!F22-LPG!F21&lt;0,"0",(LPG!F22-LPG!F21)*1.8315)</f>
        <v>0</v>
      </c>
      <c r="AY15" s="31" t="str">
        <f>IF(LPG!G22-LPG!G21&lt;0,"0",(LPG!G22-LPG!G21)*1.8315)</f>
        <v>0</v>
      </c>
      <c r="AZ15" s="31">
        <f>IF(LPG!H22-LPG!H21&lt;0,"0",(LPG!H22-LPG!H21)*1.8315)</f>
        <v>14.651999999999999</v>
      </c>
      <c r="BA15" s="31">
        <f>IF(LPG!M22-LPG!M21&lt;0,"0",(LPG!M22-LPG!M21)*1.8315)</f>
        <v>5.4944999999999995</v>
      </c>
      <c r="BB15" s="31">
        <f>IF(LPG!Q22-LPG!Q21&lt;0,"0",(LPG!Q22-LPG!Q21)*1.8315)</f>
        <v>7.3259999999999996</v>
      </c>
      <c r="BC15" s="13">
        <f>'FS Desroches Daily'!CN17</f>
        <v>45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4000.0000000000036</v>
      </c>
      <c r="F16" s="32">
        <f>'FS Desroches Daily'!F18</f>
        <v>3999.9999999995593</v>
      </c>
      <c r="G16" s="31">
        <f>'FS Desroches Daily'!H18</f>
        <v>3800.0000000000255</v>
      </c>
      <c r="H16" s="32">
        <f>'FS Desroches Daily'!J18</f>
        <v>1799.9999999998017</v>
      </c>
      <c r="I16" s="31">
        <f>'FS Desroches Daily'!L18</f>
        <v>2099.9999999999909</v>
      </c>
      <c r="J16" s="32">
        <f>'FS Desroches Daily'!N18</f>
        <v>2299.9999999999686</v>
      </c>
      <c r="K16" s="13">
        <f>'FS Desroches Daily'!P18</f>
        <v>40</v>
      </c>
      <c r="L16" s="31">
        <f>'FS Desroches Daily'!R18</f>
        <v>6</v>
      </c>
      <c r="M16" s="31">
        <f>'FS Desroches Daily'!T18</f>
        <v>1.8000000000001819</v>
      </c>
      <c r="N16" s="31">
        <f>'FS Desroches Daily'!V18</f>
        <v>662.29999999993015</v>
      </c>
      <c r="O16" s="31">
        <f>'FS Desroches Daily'!X18</f>
        <v>419.99999999995907</v>
      </c>
      <c r="P16" s="31">
        <f>'FS Desroches Daily'!Z18</f>
        <v>3099.9999999998809</v>
      </c>
      <c r="Q16" s="31">
        <f>'FS Desroches Daily'!AB18</f>
        <v>450.00000000004547</v>
      </c>
      <c r="R16" s="31">
        <f>'FS Desroches Daily'!AD18</f>
        <v>629.99999999999545</v>
      </c>
      <c r="S16" s="31">
        <f>'FS Desroches Daily'!AF18</f>
        <v>1160.0000000000819</v>
      </c>
      <c r="T16" s="31">
        <f>'FS Desroches Daily'!AH18</f>
        <v>48</v>
      </c>
      <c r="U16" s="35">
        <f>'FS Desroches Daily'!AJ18</f>
        <v>850.00000000002274</v>
      </c>
      <c r="V16" s="35">
        <f>'FS Desroches Daily'!AL18</f>
        <v>259.99999999999091</v>
      </c>
      <c r="W16" s="35">
        <f>'FS Desroches Daily'!AN18</f>
        <v>230.00000000001819</v>
      </c>
      <c r="X16" s="35">
        <f>'FS Desroches Daily'!AP18</f>
        <v>240.00000000000909</v>
      </c>
      <c r="Y16" s="35">
        <f>'FS Desroches Daily'!AR18</f>
        <v>300.00000000001137</v>
      </c>
      <c r="Z16" s="35">
        <f>'FS Desroches Daily'!AT18</f>
        <v>360.00000000001364</v>
      </c>
      <c r="AA16" s="35">
        <f>'FS Desroches Daily'!AT18</f>
        <v>360.00000000001364</v>
      </c>
      <c r="AB16" s="35">
        <f>'FS Desroches Daily'!AV18</f>
        <v>379.99999999999545</v>
      </c>
      <c r="AC16" s="35">
        <f>'FS Desroches Daily'!AZ18</f>
        <v>299.99999999995453</v>
      </c>
      <c r="AD16" s="35">
        <f>'FS Desroches Daily'!BB18</f>
        <v>50.000000000011369</v>
      </c>
      <c r="AE16" s="35">
        <f>'FS Desroches Daily'!BD18</f>
        <v>180.00000000000682</v>
      </c>
      <c r="AF16" s="31">
        <f>'FS Desroches Daily'!BF18</f>
        <v>57</v>
      </c>
      <c r="AG16" s="32">
        <f>'FS Desroches Daily'!BH18</f>
        <v>50.000000000011369</v>
      </c>
      <c r="AH16" s="32">
        <f>'FS Desroches Daily'!BJ18</f>
        <v>29.999999999972715</v>
      </c>
      <c r="AI16" s="32">
        <f>'FS Desroches Daily'!BL18</f>
        <v>79.999999999984084</v>
      </c>
      <c r="AJ16" s="32">
        <f>'FS Desroches Daily'!BN18</f>
        <v>50.000000000011369</v>
      </c>
      <c r="AK16" s="32">
        <f>'FS Desroches Daily'!BP18</f>
        <v>69.999999999993179</v>
      </c>
      <c r="AL16" s="32">
        <f>'FS Desroches Daily'!BR18</f>
        <v>46</v>
      </c>
      <c r="AM16" s="32">
        <f>'FS Desroches Daily'!BT18</f>
        <v>49.999999999982947</v>
      </c>
      <c r="AN16" s="32">
        <f>'FS Desroches Daily'!BV18</f>
        <v>50</v>
      </c>
      <c r="AO16" s="32">
        <f>'FS Desroches Daily'!BX18</f>
        <v>60.000000000002274</v>
      </c>
      <c r="AP16" s="32">
        <f>'FS Desroches Daily'!BZ18</f>
        <v>56</v>
      </c>
      <c r="AQ16" s="31">
        <f>'FS Desroches Daily'!CB18</f>
        <v>43.099999999998545</v>
      </c>
      <c r="AR16" s="31">
        <f>'FS Desroches Daily'!CD18</f>
        <v>11.299999999999272</v>
      </c>
      <c r="AS16" s="31">
        <f>'FS Desroches Daily'!CF18</f>
        <v>1.7999999999992724</v>
      </c>
      <c r="AT16" s="31">
        <f>'FS Desroches Daily'!CH18</f>
        <v>47.30000000000291</v>
      </c>
      <c r="AU16" s="31">
        <f>'FS Desroches Daily'!CJ18</f>
        <v>332</v>
      </c>
      <c r="AV16" s="31">
        <f>'FS Desroches Daily'!CL18</f>
        <v>1120.0000000000045</v>
      </c>
      <c r="AW16" s="31">
        <f>'FS Desroches Daily'!CM18</f>
        <v>124</v>
      </c>
      <c r="AX16" s="31">
        <f>IF(LPG!F23-LPG!F22&lt;0,"0",(LPG!F23-LPG!F22)*1.8315)</f>
        <v>0</v>
      </c>
      <c r="AY16" s="31" t="str">
        <f>IF(LPG!G23-LPG!G22&lt;0,"0",(LPG!G23-LPG!G22)*1.8315)</f>
        <v>0</v>
      </c>
      <c r="AZ16" s="31">
        <f>IF(LPG!H23-LPG!H22&lt;0,"0",(LPG!H23-LPG!H22)*1.8315)</f>
        <v>5.4944999999999995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3600.0000000000477</v>
      </c>
      <c r="F17" s="32">
        <f>'FS Desroches Daily'!F19</f>
        <v>4000.0000000004475</v>
      </c>
      <c r="G17" s="31">
        <f>'FS Desroches Daily'!H19</f>
        <v>3499.9999999998367</v>
      </c>
      <c r="H17" s="32">
        <f>'FS Desroches Daily'!J19</f>
        <v>1900.0000000000127</v>
      </c>
      <c r="I17" s="31">
        <f>'FS Desroches Daily'!L19</f>
        <v>2000.0000000002237</v>
      </c>
      <c r="J17" s="32">
        <f>'FS Desroches Daily'!N19</f>
        <v>2099.9999999999909</v>
      </c>
      <c r="K17" s="13">
        <f>'FS Desroches Daily'!P19</f>
        <v>33</v>
      </c>
      <c r="L17" s="31">
        <f>'FS Desroches Daily'!R19</f>
        <v>5</v>
      </c>
      <c r="M17" s="31">
        <f>'FS Desroches Daily'!T19</f>
        <v>1.1999999999998181</v>
      </c>
      <c r="N17" s="31">
        <f>'FS Desroches Daily'!V19</f>
        <v>440.10000000009313</v>
      </c>
      <c r="O17" s="31">
        <f>'FS Desroches Daily'!X19</f>
        <v>319.99999999999318</v>
      </c>
      <c r="P17" s="31">
        <f>'FS Desroches Daily'!Z19</f>
        <v>3000.0000000001137</v>
      </c>
      <c r="Q17" s="31">
        <f>'FS Desroches Daily'!AB19</f>
        <v>419.99999999995907</v>
      </c>
      <c r="R17" s="31">
        <f>'FS Desroches Daily'!AD19</f>
        <v>519.99999999998181</v>
      </c>
      <c r="S17" s="31">
        <f>'FS Desroches Daily'!AF19</f>
        <v>1009.9999999999909</v>
      </c>
      <c r="T17" s="31">
        <f>'FS Desroches Daily'!AH19</f>
        <v>37</v>
      </c>
      <c r="U17" s="35">
        <f>'FS Desroches Daily'!AJ19</f>
        <v>779.99999999997272</v>
      </c>
      <c r="V17" s="35">
        <f>'FS Desroches Daily'!AL19</f>
        <v>230.00000000001819</v>
      </c>
      <c r="W17" s="35">
        <f>'FS Desroches Daily'!AN19</f>
        <v>219.99999999997044</v>
      </c>
      <c r="X17" s="35">
        <f>'FS Desroches Daily'!AP19</f>
        <v>200.00000000001705</v>
      </c>
      <c r="Y17" s="35">
        <f>'FS Desroches Daily'!AR19</f>
        <v>250</v>
      </c>
      <c r="Z17" s="35">
        <f>'FS Desroches Daily'!AU20</f>
        <v>346.72</v>
      </c>
      <c r="AA17" s="35">
        <f>'FS Desroches Daily'!AU20</f>
        <v>346.72</v>
      </c>
      <c r="AB17" s="35">
        <f>'FS Desroches Daily'!AV19</f>
        <v>339.99999999997499</v>
      </c>
      <c r="AC17" s="35">
        <f>'FS Desroches Daily'!AZ19</f>
        <v>230.00000000001819</v>
      </c>
      <c r="AD17" s="35">
        <f>'FS Desroches Daily'!BB19</f>
        <v>230.00000000001819</v>
      </c>
      <c r="AE17" s="35">
        <f>'FS Desroches Daily'!BD19</f>
        <v>100.00000000002274</v>
      </c>
      <c r="AF17" s="31">
        <f>'FS Desroches Daily'!BF19</f>
        <v>21</v>
      </c>
      <c r="AG17" s="32">
        <f>'FS Desroches Daily'!BH19</f>
        <v>39.999999999992042</v>
      </c>
      <c r="AH17" s="32">
        <f>'FS Desroches Daily'!BJ19</f>
        <v>30.000000000029559</v>
      </c>
      <c r="AI17" s="32">
        <f>'FS Desroches Daily'!BL19</f>
        <v>60.000000000002274</v>
      </c>
      <c r="AJ17" s="32">
        <f>'FS Desroches Daily'!BN19</f>
        <v>49.999999999982947</v>
      </c>
      <c r="AK17" s="32">
        <f>'FS Desroches Daily'!BP19</f>
        <v>69.999999999993179</v>
      </c>
      <c r="AL17" s="32">
        <f>'FS Desroches Daily'!BR19</f>
        <v>46</v>
      </c>
      <c r="AM17" s="32">
        <f>'FS Desroches Daily'!BT19</f>
        <v>50.000000000011369</v>
      </c>
      <c r="AN17" s="32">
        <f>'FS Desroches Daily'!BV19</f>
        <v>51</v>
      </c>
      <c r="AO17" s="32">
        <f>'FS Desroches Daily'!BX19</f>
        <v>50.000000000011369</v>
      </c>
      <c r="AP17" s="32">
        <f>'FS Desroches Daily'!BZ19</f>
        <v>49</v>
      </c>
      <c r="AQ17" s="31">
        <f>'FS Desroches Daily'!CB19</f>
        <v>50.400000000001455</v>
      </c>
      <c r="AR17" s="31">
        <f>'FS Desroches Daily'!CD19</f>
        <v>10</v>
      </c>
      <c r="AS17" s="31">
        <f>'FS Desroches Daily'!CF19</f>
        <v>5.1000000000003638</v>
      </c>
      <c r="AT17" s="31">
        <f>'FS Desroches Daily'!CH19</f>
        <v>39.399999999994179</v>
      </c>
      <c r="AU17" s="31">
        <f>'FS Desroches Daily'!CJ19</f>
        <v>332</v>
      </c>
      <c r="AV17" s="31">
        <f>'FS Desroches Daily'!CL19</f>
        <v>889.99999999998636</v>
      </c>
      <c r="AW17" s="31">
        <f>'FS Desroches Daily'!CM19</f>
        <v>122</v>
      </c>
      <c r="AX17" s="31">
        <f>IF(LPG!F24-LPG!F23&lt;0,"0",(LPG!F24-LPG!F23)*1.8315)</f>
        <v>0</v>
      </c>
      <c r="AY17" s="31" t="str">
        <f>IF(LPG!G24-LPG!G23&lt;0,"0",(LPG!G24-LPG!G23)*1.8315)</f>
        <v>0</v>
      </c>
      <c r="AZ17" s="31">
        <f>IF(LPG!H24-LPG!H23&lt;0,"0",(LPG!H24-LPG!H23)*1.8315)</f>
        <v>5.4944999999999995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37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2699.9999999999245</v>
      </c>
      <c r="F18" s="32">
        <f>'FS Desroches Daily'!F20</f>
        <v>2699.9999999999245</v>
      </c>
      <c r="G18" s="31">
        <f>'FS Desroches Daily'!H20</f>
        <v>3499.9999999998367</v>
      </c>
      <c r="H18" s="32">
        <f>'FS Desroches Daily'!J20</f>
        <v>1500.0000000000568</v>
      </c>
      <c r="I18" s="31">
        <f>'FS Desroches Daily'!L20</f>
        <v>1999.9999999997797</v>
      </c>
      <c r="J18" s="32">
        <f>'FS Desroches Daily'!N20</f>
        <v>1600.0000000000459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1.2000000000000455</v>
      </c>
      <c r="N18" s="31">
        <f>'FS Desroches Daily'!V20</f>
        <v>421.59999999997672</v>
      </c>
      <c r="O18" s="31">
        <f>'FS Desroches Daily'!X20</f>
        <v>300.00000000001137</v>
      </c>
      <c r="P18" s="31">
        <f>'FS Desroches Daily'!Z20</f>
        <v>2899.9999999999027</v>
      </c>
      <c r="Q18" s="31">
        <f>'FS Desroches Daily'!AB20</f>
        <v>220.00000000002728</v>
      </c>
      <c r="R18" s="31">
        <f>'FS Desroches Daily'!AD20</f>
        <v>439.99999999999773</v>
      </c>
      <c r="S18" s="31">
        <f>'FS Desroches Daily'!AF20</f>
        <v>859.99999999989996</v>
      </c>
      <c r="T18" s="31">
        <f>'FS Desroches Daily'!AH20</f>
        <v>30</v>
      </c>
      <c r="U18" s="35">
        <f>'FS Desroches Daily'!AJ20</f>
        <v>660.00000000008185</v>
      </c>
      <c r="V18" s="35">
        <f>'FS Desroches Daily'!AL20</f>
        <v>189.99999999999773</v>
      </c>
      <c r="W18" s="35">
        <f>'FS Desroches Daily'!AN20</f>
        <v>189.99999999999773</v>
      </c>
      <c r="X18" s="35">
        <f>'FS Desroches Daily'!AP20</f>
        <v>179.99999999994998</v>
      </c>
      <c r="Y18" s="35">
        <f>'FS Desroches Daily'!AR20</f>
        <v>239.99999999995225</v>
      </c>
      <c r="Z18" s="35">
        <f>'FS Desroches Daily'!AT20</f>
        <v>299.99999999995453</v>
      </c>
      <c r="AA18" s="35">
        <f>'FS Desroches Daily'!AT20</f>
        <v>299.99999999995453</v>
      </c>
      <c r="AB18" s="35">
        <f>'FS Desroches Daily'!AV20</f>
        <v>260.00000000004775</v>
      </c>
      <c r="AC18" s="35">
        <f>'FS Desroches Daily'!AZ20</f>
        <v>160.00000000002501</v>
      </c>
      <c r="AD18" s="35">
        <f>'FS Desroches Daily'!BB20</f>
        <v>149.99999999997726</v>
      </c>
      <c r="AE18" s="35">
        <f>'FS Desroches Daily'!BD20</f>
        <v>49.999999999954525</v>
      </c>
      <c r="AF18" s="31">
        <f>'FS Desroches Daily'!BF20</f>
        <v>36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60.000000000002274</v>
      </c>
      <c r="AJ18" s="32">
        <f>'FS Desroches Daily'!BN20</f>
        <v>50.000000000011369</v>
      </c>
      <c r="AK18" s="32">
        <f>'FS Desroches Daily'!BP20</f>
        <v>50.000000000011369</v>
      </c>
      <c r="AL18" s="32">
        <f>'FS Desroches Daily'!BR20</f>
        <v>38</v>
      </c>
      <c r="AM18" s="32">
        <f>'FS Desroches Daily'!BT20</f>
        <v>39.999999999992042</v>
      </c>
      <c r="AN18" s="32">
        <f>'FS Desroches Daily'!BV20</f>
        <v>43</v>
      </c>
      <c r="AO18" s="32">
        <f>'FS Desroches Daily'!BX20</f>
        <v>30.000000000001137</v>
      </c>
      <c r="AP18" s="32">
        <f>'FS Desroches Daily'!BZ20</f>
        <v>39</v>
      </c>
      <c r="AQ18" s="31">
        <f>'FS Desroches Daily'!CB20</f>
        <v>50.299999999995634</v>
      </c>
      <c r="AR18" s="31">
        <f>'FS Desroches Daily'!CD20</f>
        <v>10.600000000000364</v>
      </c>
      <c r="AS18" s="31">
        <f>'FS Desroches Daily'!CF20</f>
        <v>2.6000000000003638</v>
      </c>
      <c r="AT18" s="31">
        <f>'FS Desroches Daily'!CH20</f>
        <v>49.100000000005821</v>
      </c>
      <c r="AU18" s="31">
        <f>'FS Desroches Daily'!CJ20</f>
        <v>280</v>
      </c>
      <c r="AV18" s="31">
        <f>'FS Desroches Daily'!CL20</f>
        <v>950.00000000004547</v>
      </c>
      <c r="AW18" s="31">
        <f>'FS Desroches Daily'!CM20</f>
        <v>96</v>
      </c>
      <c r="AX18" s="31">
        <f>IF(LPG!F25-LPG!F24&lt;0,"0",(LPG!F25-LPG!F24)*1.8315)</f>
        <v>0</v>
      </c>
      <c r="AY18" s="31" t="str">
        <f>IF(LPG!G25-LPG!G24&lt;0,"0",(LPG!G25-LPG!G24)*1.8315)</f>
        <v>0</v>
      </c>
      <c r="AZ18" s="31">
        <f>IF(LPG!H25-LPG!H24&lt;0,"0",(LPG!H25-LPG!H24)*1.8315)</f>
        <v>5.4944999999999995</v>
      </c>
      <c r="BA18" s="31">
        <f>IF(LPG!M25-LPG!M24&lt;0,"0",(LPG!M25-LPG!M24)*1.8315)</f>
        <v>1.8314999999999999</v>
      </c>
      <c r="BB18" s="31">
        <f>IF(LPG!Q25-LPG!Q24&lt;0,"0",(LPG!Q25-LPG!Q24)*1.8315)</f>
        <v>7.3259999999999996</v>
      </c>
      <c r="BC18" s="13">
        <f>'FS Desroches Daily'!CN20</f>
        <v>38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3400.0000000000696</v>
      </c>
      <c r="F19" s="32">
        <f>'FS Desroches Daily'!F21</f>
        <v>3299.9999999994143</v>
      </c>
      <c r="G19" s="31">
        <f>'FS Desroches Daily'!H21</f>
        <v>3300.0000000003029</v>
      </c>
      <c r="H19" s="32">
        <f>'FS Desroches Daily'!J21</f>
        <v>1799.9999999998017</v>
      </c>
      <c r="I19" s="31">
        <f>'FS Desroches Daily'!L21</f>
        <v>2100.0000000004347</v>
      </c>
      <c r="J19" s="32">
        <f>'FS Desroches Daily'!N21</f>
        <v>2199.9999999999795</v>
      </c>
      <c r="K19" s="13">
        <f>'FS Desroches Daily'!P21</f>
        <v>29</v>
      </c>
      <c r="L19" s="31">
        <f>'FS Desroches Daily'!R21</f>
        <v>6</v>
      </c>
      <c r="M19" s="31">
        <f>'FS Desroches Daily'!T21</f>
        <v>1.2000000000000455</v>
      </c>
      <c r="N19" s="31">
        <f>'FS Desroches Daily'!V21</f>
        <v>464.59999999997672</v>
      </c>
      <c r="O19" s="31">
        <f>'FS Desroches Daily'!X21</f>
        <v>340.00000000003183</v>
      </c>
      <c r="P19" s="31">
        <f>'FS Desroches Daily'!Z21</f>
        <v>2900.0000000003465</v>
      </c>
      <c r="Q19" s="31">
        <f>'FS Desroches Daily'!AB21</f>
        <v>399.99999999997726</v>
      </c>
      <c r="R19" s="31">
        <f>'FS Desroches Daily'!AD21</f>
        <v>540.00000000002046</v>
      </c>
      <c r="S19" s="31">
        <f>'FS Desroches Daily'!AF21</f>
        <v>1060.0000000000591</v>
      </c>
      <c r="T19" s="31">
        <f>'FS Desroches Daily'!AH21</f>
        <v>35</v>
      </c>
      <c r="U19" s="35">
        <f>'FS Desroches Daily'!AJ21</f>
        <v>769.99999999998181</v>
      </c>
      <c r="V19" s="35">
        <f>'FS Desroches Daily'!AL21</f>
        <v>250</v>
      </c>
      <c r="W19" s="35">
        <f>'FS Desroches Daily'!AN21</f>
        <v>340.00000000003183</v>
      </c>
      <c r="X19" s="35">
        <f>'FS Desroches Daily'!AP21</f>
        <v>240.00000000000909</v>
      </c>
      <c r="Y19" s="35">
        <f>'FS Desroches Daily'!AR21</f>
        <v>330.00000000004093</v>
      </c>
      <c r="Z19" s="35">
        <f>'FS Desroches Daily'!AT21</f>
        <v>350.00000000002274</v>
      </c>
      <c r="AA19" s="35">
        <f>'FS Desroches Daily'!AT21</f>
        <v>350.00000000002274</v>
      </c>
      <c r="AB19" s="35">
        <f>'FS Desroches Daily'!AV21</f>
        <v>349.99999999996589</v>
      </c>
      <c r="AC19" s="35">
        <f>'FS Desroches Daily'!AZ21</f>
        <v>180.00000000000682</v>
      </c>
      <c r="AD19" s="35">
        <f>'FS Desroches Daily'!BB21</f>
        <v>199.99999999998863</v>
      </c>
      <c r="AE19" s="35">
        <f>'FS Desroches Daily'!BD21</f>
        <v>70.000000000050022</v>
      </c>
      <c r="AF19" s="31">
        <f>'FS Desroches Daily'!BF21</f>
        <v>27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69.999999999993179</v>
      </c>
      <c r="AJ19" s="32">
        <f>'FS Desroches Daily'!BN21</f>
        <v>60.000000000002274</v>
      </c>
      <c r="AK19" s="32">
        <f>'FS Desroches Daily'!BP21</f>
        <v>69.999999999993179</v>
      </c>
      <c r="AL19" s="32">
        <f>'FS Desroches Daily'!BR21</f>
        <v>43</v>
      </c>
      <c r="AM19" s="32">
        <f>'FS Desroches Daily'!BT21</f>
        <v>50.000000000011369</v>
      </c>
      <c r="AN19" s="32">
        <f>'FS Desroches Daily'!BV21</f>
        <v>53</v>
      </c>
      <c r="AO19" s="32">
        <f>'FS Desroches Daily'!BX21</f>
        <v>49.999999999982947</v>
      </c>
      <c r="AP19" s="32">
        <f>'FS Desroches Daily'!BZ21</f>
        <v>48</v>
      </c>
      <c r="AQ19" s="31">
        <f>'FS Desroches Daily'!CB21</f>
        <v>47</v>
      </c>
      <c r="AR19" s="31">
        <f>'FS Desroches Daily'!CD21</f>
        <v>9.7000000000007276</v>
      </c>
      <c r="AS19" s="31">
        <f>'FS Desroches Daily'!CF21</f>
        <v>5.6999999999998181</v>
      </c>
      <c r="AT19" s="31">
        <f>'FS Desroches Daily'!CH21</f>
        <v>47.099999999991269</v>
      </c>
      <c r="AU19" s="31">
        <f>'FS Desroches Daily'!CJ21</f>
        <v>295</v>
      </c>
      <c r="AV19" s="31">
        <f>'FS Desroches Daily'!CL21</f>
        <v>909.99999999996817</v>
      </c>
      <c r="AW19" s="31">
        <f>'FS Desroches Daily'!CM21</f>
        <v>92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3.6629999999999998</v>
      </c>
      <c r="BA19" s="31">
        <f>IF(LPG!M26-LPG!M25&lt;0,"0",(LPG!M26-LPG!M25)*1.8315)</f>
        <v>3.6629999999999998</v>
      </c>
      <c r="BB19" s="31">
        <f>IF(LPG!Q26-LPG!Q25&lt;0,"0",(LPG!Q26-LPG!Q25)*1.8315)</f>
        <v>3.6629999999999998</v>
      </c>
      <c r="BC19" s="13">
        <f>'FS Desroches Daily'!CN21</f>
        <v>40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3300.0000000003029</v>
      </c>
      <c r="F20" s="32">
        <f>'FS Desroches Daily'!F22</f>
        <v>3000.0000000001137</v>
      </c>
      <c r="G20" s="31">
        <f>'FS Desroches Daily'!H22</f>
        <v>3700.0000000002588</v>
      </c>
      <c r="H20" s="32">
        <f>'FS Desroches Daily'!J22</f>
        <v>1700.0000000000348</v>
      </c>
      <c r="I20" s="31">
        <f>'FS Desroches Daily'!L22</f>
        <v>2099.9999999999909</v>
      </c>
      <c r="J20" s="32">
        <f>'FS Desroches Daily'!N22</f>
        <v>2000.0000000000018</v>
      </c>
      <c r="K20" s="13">
        <f>'FS Desroches Daily'!P22</f>
        <v>30</v>
      </c>
      <c r="L20" s="31">
        <f>'FS Desroches Daily'!R22</f>
        <v>5</v>
      </c>
      <c r="M20" s="31">
        <f>'FS Desroches Daily'!T22</f>
        <v>1.5999999999999091</v>
      </c>
      <c r="N20" s="31">
        <f>'FS Desroches Daily'!V22</f>
        <v>636.40000000002328</v>
      </c>
      <c r="O20" s="31">
        <f>'FS Desroches Daily'!X22</f>
        <v>359.9999999999568</v>
      </c>
      <c r="P20" s="31">
        <f>'FS Desroches Daily'!Z22</f>
        <v>2799.9999999996917</v>
      </c>
      <c r="Q20" s="31">
        <f>'FS Desroches Daily'!AB22</f>
        <v>450.00000000004547</v>
      </c>
      <c r="R20" s="31">
        <f>'FS Desroches Daily'!AD22</f>
        <v>419.99999999995907</v>
      </c>
      <c r="S20" s="31">
        <f>'FS Desroches Daily'!AF22</f>
        <v>1049.9999999999545</v>
      </c>
      <c r="T20" s="31">
        <f>'FS Desroches Daily'!AH22</f>
        <v>32</v>
      </c>
      <c r="U20" s="35">
        <f>'FS Desroches Daily'!AJ22</f>
        <v>730.00000000001819</v>
      </c>
      <c r="V20" s="35">
        <f>'FS Desroches Daily'!AL22</f>
        <v>290.00000000002046</v>
      </c>
      <c r="W20" s="35">
        <f>'FS Desroches Daily'!AN22</f>
        <v>269.99999999998181</v>
      </c>
      <c r="X20" s="35">
        <f>'FS Desroches Daily'!AP22</f>
        <v>189.99999999999773</v>
      </c>
      <c r="Y20" s="35">
        <f>'FS Desroches Daily'!AR22</f>
        <v>180.00000000000682</v>
      </c>
      <c r="Z20" s="35">
        <f>'FS Desroches Daily'!AT22</f>
        <v>379.99999999999545</v>
      </c>
      <c r="AA20" s="35">
        <f>'FS Desroches Daily'!AT22</f>
        <v>379.99999999999545</v>
      </c>
      <c r="AB20" s="35">
        <f>'FS Desroches Daily'!AV22</f>
        <v>350.00000000002274</v>
      </c>
      <c r="AC20" s="35">
        <f>'FS Desroches Daily'!AZ22</f>
        <v>149.99999999997726</v>
      </c>
      <c r="AD20" s="35">
        <f>'FS Desroches Daily'!BB22</f>
        <v>160.00000000002501</v>
      </c>
      <c r="AE20" s="35">
        <f>'FS Desroches Daily'!BD22</f>
        <v>60.000000000002274</v>
      </c>
      <c r="AF20" s="31">
        <f>'FS Desroches Daily'!BF22</f>
        <v>34</v>
      </c>
      <c r="AG20" s="32">
        <f>'FS Desroches Daily'!BH22</f>
        <v>39.999999999992042</v>
      </c>
      <c r="AH20" s="32">
        <f>'FS Desroches Daily'!BJ22</f>
        <v>29.999999999972715</v>
      </c>
      <c r="AI20" s="32">
        <f>'FS Desroches Daily'!BL22</f>
        <v>60.000000000002274</v>
      </c>
      <c r="AJ20" s="32">
        <f>'FS Desroches Daily'!BN22</f>
        <v>49.999999999982947</v>
      </c>
      <c r="AK20" s="32">
        <f>'FS Desroches Daily'!BP22</f>
        <v>69.999999999993179</v>
      </c>
      <c r="AL20" s="32">
        <f>'FS Desroches Daily'!BR22</f>
        <v>40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42</v>
      </c>
      <c r="AQ20" s="31">
        <f>'FS Desroches Daily'!CB22</f>
        <v>36.30000000000291</v>
      </c>
      <c r="AR20" s="31">
        <f>'FS Desroches Daily'!CD22</f>
        <v>8.5999999999985448</v>
      </c>
      <c r="AS20" s="31">
        <f>'FS Desroches Daily'!CF22</f>
        <v>4.6999999999998181</v>
      </c>
      <c r="AT20" s="31">
        <f>'FS Desroches Daily'!CH22</f>
        <v>35.5</v>
      </c>
      <c r="AU20" s="31">
        <f>'FS Desroches Daily'!CJ22</f>
        <v>269</v>
      </c>
      <c r="AV20" s="31">
        <f>'FS Desroches Daily'!CL22</f>
        <v>820.00000000005002</v>
      </c>
      <c r="AW20" s="31">
        <f>'FS Desroches Daily'!CM22</f>
        <v>98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5.4944999999999995</v>
      </c>
      <c r="BA20" s="31">
        <f>IF(LPG!M27-LPG!M26&lt;0,"0",(LPG!M27-LPG!M26)*1.8315)</f>
        <v>3.6629999999999998</v>
      </c>
      <c r="BB20" s="31">
        <f>IF(LPG!Q27-LPG!Q26&lt;0,"0",(LPG!Q27-LPG!Q26)*1.8315)</f>
        <v>16.483499999999999</v>
      </c>
      <c r="BC20" s="13">
        <f>'FS Desroches Daily'!CN22</f>
        <v>27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3199.9999999996476</v>
      </c>
      <c r="F21" s="32">
        <f>'FS Desroches Daily'!F23</f>
        <v>3499.9999999998367</v>
      </c>
      <c r="G21" s="31">
        <f>'FS Desroches Daily'!H23</f>
        <v>3199.9999999996476</v>
      </c>
      <c r="H21" s="32">
        <f>'FS Desroches Daily'!J23</f>
        <v>1700.0000000000348</v>
      </c>
      <c r="I21" s="31">
        <f>'FS Desroches Daily'!L23</f>
        <v>1999.9999999997797</v>
      </c>
      <c r="J21" s="32">
        <f>'FS Desroches Daily'!N23</f>
        <v>1900.0000000000127</v>
      </c>
      <c r="K21" s="13">
        <f>'FS Desroches Daily'!P23</f>
        <v>27</v>
      </c>
      <c r="L21" s="31">
        <f>'FS Desroches Daily'!R23</f>
        <v>4</v>
      </c>
      <c r="M21" s="31">
        <f>'FS Desroches Daily'!T23</f>
        <v>1.3000000000001819</v>
      </c>
      <c r="N21" s="31">
        <f>'FS Desroches Daily'!V23</f>
        <v>560.79999999993015</v>
      </c>
      <c r="O21" s="31">
        <f>'FS Desroches Daily'!X23</f>
        <v>330.00000000004093</v>
      </c>
      <c r="P21" s="31">
        <f>'FS Desroches Daily'!Z23</f>
        <v>2800.0000000001355</v>
      </c>
      <c r="Q21" s="31">
        <f>'FS Desroches Daily'!AB23</f>
        <v>419.99999999995907</v>
      </c>
      <c r="R21" s="31">
        <f>'FS Desroches Daily'!AD23</f>
        <v>370.00000000000455</v>
      </c>
      <c r="S21" s="31">
        <f>'FS Desroches Daily'!AF23</f>
        <v>950.00000000004547</v>
      </c>
      <c r="T21" s="31">
        <f>'FS Desroches Daily'!AH23</f>
        <v>36</v>
      </c>
      <c r="U21" s="35">
        <f>'FS Desroches Daily'!AJ23</f>
        <v>879.99999999999545</v>
      </c>
      <c r="V21" s="35">
        <f>'FS Desroches Daily'!AL23</f>
        <v>279.99999999997272</v>
      </c>
      <c r="W21" s="35">
        <f>'FS Desroches Daily'!AN23</f>
        <v>250</v>
      </c>
      <c r="X21" s="35">
        <f>'FS Desroches Daily'!AP23</f>
        <v>200.00000000004547</v>
      </c>
      <c r="Y21" s="35">
        <f>'FS Desroches Daily'!AR23</f>
        <v>169.99999999995907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339.99999999997499</v>
      </c>
      <c r="AC21" s="35">
        <f>'FS Desroches Daily'!AZ23</f>
        <v>160.00000000002501</v>
      </c>
      <c r="AD21" s="35">
        <f>'FS Desroches Daily'!BB23</f>
        <v>149.99999999997726</v>
      </c>
      <c r="AE21" s="35">
        <f>'FS Desroches Daily'!BD23</f>
        <v>119.9999999999477</v>
      </c>
      <c r="AF21" s="31">
        <f>'FS Desroches Daily'!BF23</f>
        <v>32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70.0000000000216</v>
      </c>
      <c r="AJ21" s="32">
        <f>'FS Desroches Daily'!BN23</f>
        <v>40.000000000020464</v>
      </c>
      <c r="AK21" s="32">
        <f>'FS Desroches Daily'!BP23</f>
        <v>69.999999999993179</v>
      </c>
      <c r="AL21" s="32">
        <f>'FS Desroches Daily'!BR23</f>
        <v>44</v>
      </c>
      <c r="AM21" s="32">
        <f>'FS Desroches Daily'!BT23</f>
        <v>60.000000000002274</v>
      </c>
      <c r="AN21" s="32">
        <f>'FS Desroches Daily'!BV23</f>
        <v>47</v>
      </c>
      <c r="AO21" s="32">
        <f>'FS Desroches Daily'!BX23</f>
        <v>49.999999999982947</v>
      </c>
      <c r="AP21" s="32">
        <f>'FS Desroches Daily'!BZ23</f>
        <v>45</v>
      </c>
      <c r="AQ21" s="31">
        <f>'FS Desroches Daily'!CB23</f>
        <v>41.69999999999709</v>
      </c>
      <c r="AR21" s="31">
        <f>'FS Desroches Daily'!CD23</f>
        <v>11.400000000001455</v>
      </c>
      <c r="AS21" s="31">
        <f>'FS Desroches Daily'!CF23</f>
        <v>2</v>
      </c>
      <c r="AT21" s="31">
        <f>'FS Desroches Daily'!CH23</f>
        <v>55.700000000011642</v>
      </c>
      <c r="AU21" s="31">
        <f>'FS Desroches Daily'!CJ23</f>
        <v>318</v>
      </c>
      <c r="AV21" s="31">
        <f>'FS Desroches Daily'!CL23</f>
        <v>759.99999999999091</v>
      </c>
      <c r="AW21" s="31">
        <f>'FS Desroches Daily'!CM23</f>
        <v>99</v>
      </c>
      <c r="AX21" s="31">
        <f>IF(LPG!F28-LPG!F27&lt;0,"0",(LPG!F28-LPG!F27)*1.8315)</f>
        <v>0</v>
      </c>
      <c r="AY21" s="31" t="str">
        <f>IF(LPG!G28-LPG!G27&lt;0,"0",(LPG!G28-LPG!G27)*1.8315)</f>
        <v>0</v>
      </c>
      <c r="AZ21" s="31">
        <f>IF(LPG!H28-LPG!H27&lt;0,"0",(LPG!H28-LPG!H27)*1.8315)</f>
        <v>7.3259999999999996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27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2900.0000000003465</v>
      </c>
      <c r="F22" s="32">
        <f>'FS Desroches Daily'!F24</f>
        <v>3100.000000000769</v>
      </c>
      <c r="G22" s="31">
        <f>'FS Desroches Daily'!H24</f>
        <v>3200.0000000005357</v>
      </c>
      <c r="H22" s="32">
        <f>'FS Desroches Daily'!J24</f>
        <v>1700.0000000000348</v>
      </c>
      <c r="I22" s="31">
        <f>'FS Desroches Daily'!L24</f>
        <v>2200.0000000002019</v>
      </c>
      <c r="J22" s="32">
        <f>'FS Desroches Daily'!N24</f>
        <v>1700.0000000000348</v>
      </c>
      <c r="K22" s="13">
        <f>'FS Desroches Daily'!P24</f>
        <v>25</v>
      </c>
      <c r="L22" s="31">
        <f>'FS Desroches Daily'!R24</f>
        <v>5</v>
      </c>
      <c r="M22" s="31">
        <f>'FS Desroches Daily'!T24</f>
        <v>1.0999999999999091</v>
      </c>
      <c r="N22" s="31">
        <f>'FS Desroches Daily'!V24</f>
        <v>465.5</v>
      </c>
      <c r="O22" s="31">
        <f>'FS Desroches Daily'!X24</f>
        <v>349.99999999996589</v>
      </c>
      <c r="P22" s="31">
        <f>'FS Desroches Daily'!Z24</f>
        <v>3000.0000000001137</v>
      </c>
      <c r="Q22" s="31">
        <f>'FS Desroches Daily'!AB24</f>
        <v>269.99999999998181</v>
      </c>
      <c r="R22" s="31">
        <f>'FS Desroches Daily'!AD24</f>
        <v>439.99999999999773</v>
      </c>
      <c r="S22" s="31">
        <f>'FS Desroches Daily'!AF24</f>
        <v>990.00000000000909</v>
      </c>
      <c r="T22" s="31">
        <f>'FS Desroches Daily'!AH24</f>
        <v>30</v>
      </c>
      <c r="U22" s="35">
        <f>'FS Desroches Daily'!AJ24</f>
        <v>879.99999999999545</v>
      </c>
      <c r="V22" s="35">
        <f>'FS Desroches Daily'!AL24</f>
        <v>310.00000000000227</v>
      </c>
      <c r="W22" s="35">
        <f>'FS Desroches Daily'!AN24</f>
        <v>259.99999999999091</v>
      </c>
      <c r="X22" s="35">
        <f>'FS Desroches Daily'!AP24</f>
        <v>189.99999999999773</v>
      </c>
      <c r="Y22" s="35">
        <f>'FS Desroches Daily'!AR24</f>
        <v>180.00000000000682</v>
      </c>
      <c r="Z22" s="35">
        <f>'FS Desroches Daily'!AT24</f>
        <v>140.0000000000432</v>
      </c>
      <c r="AA22" s="35">
        <f>'FS Desroches Daily'!AT24</f>
        <v>140.0000000000432</v>
      </c>
      <c r="AB22" s="35">
        <f>'FS Desroches Daily'!AV24</f>
        <v>139.99999999998636</v>
      </c>
      <c r="AC22" s="35">
        <f>'FS Desroches Daily'!AZ24</f>
        <v>149.99999999997726</v>
      </c>
      <c r="AD22" s="35">
        <f>'FS Desroches Daily'!BB24</f>
        <v>140.0000000000432</v>
      </c>
      <c r="AE22" s="35">
        <f>'FS Desroches Daily'!BD24</f>
        <v>120.00000000000455</v>
      </c>
      <c r="AF22" s="31">
        <f>'FS Desroches Daily'!BF24</f>
        <v>42</v>
      </c>
      <c r="AG22" s="32">
        <f>'FS Desroches Daily'!BH24</f>
        <v>50.000000000011369</v>
      </c>
      <c r="AH22" s="32">
        <f>'FS Desroches Daily'!BJ24</f>
        <v>40.000000000020464</v>
      </c>
      <c r="AI22" s="32">
        <f>'FS Desroches Daily'!BL24</f>
        <v>60.000000000002274</v>
      </c>
      <c r="AJ22" s="32">
        <f>'FS Desroches Daily'!BN24</f>
        <v>49.999999999982947</v>
      </c>
      <c r="AK22" s="32">
        <f>'FS Desroches Daily'!BP24</f>
        <v>69.999999999993179</v>
      </c>
      <c r="AL22" s="32">
        <f>'FS Desroches Daily'!BR24</f>
        <v>39</v>
      </c>
      <c r="AM22" s="32">
        <f>'FS Desroches Daily'!BT24</f>
        <v>50.000000000011369</v>
      </c>
      <c r="AN22" s="32">
        <f>'FS Desroches Daily'!BV24</f>
        <v>43</v>
      </c>
      <c r="AO22" s="32">
        <f>'FS Desroches Daily'!BX24</f>
        <v>40.000000000020464</v>
      </c>
      <c r="AP22" s="32">
        <f>'FS Desroches Daily'!BZ24</f>
        <v>48</v>
      </c>
      <c r="AQ22" s="31">
        <f>'FS Desroches Daily'!CB24</f>
        <v>46.5</v>
      </c>
      <c r="AR22" s="31">
        <f>'FS Desroches Daily'!CD24</f>
        <v>11.599999999998545</v>
      </c>
      <c r="AS22" s="31">
        <f>'FS Desroches Daily'!CF24</f>
        <v>4</v>
      </c>
      <c r="AT22" s="31">
        <f>'FS Desroches Daily'!CH24</f>
        <v>45.5</v>
      </c>
      <c r="AU22" s="31">
        <f>'FS Desroches Daily'!CJ24</f>
        <v>289</v>
      </c>
      <c r="AV22" s="31">
        <f>'FS Desroches Daily'!CL24</f>
        <v>850.00000000002274</v>
      </c>
      <c r="AW22" s="31">
        <f>'FS Desroches Daily'!CM24</f>
        <v>96.299999999999272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5.4944999999999995</v>
      </c>
      <c r="BA22" s="31">
        <f>IF(LPG!M29-LPG!M28&lt;0,"0",(LPG!M29-LPG!M28)*1.8315)</f>
        <v>5.4944999999999995</v>
      </c>
      <c r="BB22" s="31">
        <f>IF(LPG!Q29-LPG!Q28&lt;0,"0",(LPG!Q29-LPG!Q28)*1.8315)</f>
        <v>9.1574999999999989</v>
      </c>
      <c r="BC22" s="13">
        <f>'FS Desroches Daily'!CN24</f>
        <v>27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2299.9999999999686</v>
      </c>
      <c r="F23" s="32">
        <f>'FS Desroches Daily'!F25</f>
        <v>2999.9999999992256</v>
      </c>
      <c r="G23" s="31">
        <f>'FS Desroches Daily'!H25</f>
        <v>2999.9999999992256</v>
      </c>
      <c r="H23" s="32">
        <f>'FS Desroches Daily'!J25</f>
        <v>1600.0000000002678</v>
      </c>
      <c r="I23" s="31">
        <f>'FS Desroches Daily'!L25</f>
        <v>1999.9999999997797</v>
      </c>
      <c r="J23" s="32">
        <f>'FS Desroches Daily'!N25</f>
        <v>1900.0000000000127</v>
      </c>
      <c r="K23" s="13">
        <f>'FS Desroches Daily'!P25</f>
        <v>44</v>
      </c>
      <c r="L23" s="31">
        <f>'FS Desroches Daily'!R25</f>
        <v>4</v>
      </c>
      <c r="M23" s="31">
        <f>'FS Desroches Daily'!T25</f>
        <v>1.2000000000000455</v>
      </c>
      <c r="N23" s="31">
        <f>'FS Desroches Daily'!V25</f>
        <v>418.90000000002328</v>
      </c>
      <c r="O23" s="31">
        <f>'FS Desroches Daily'!X25</f>
        <v>310.00000000000227</v>
      </c>
      <c r="P23" s="31">
        <f>'FS Desroches Daily'!Z25</f>
        <v>2799.9999999996917</v>
      </c>
      <c r="Q23" s="31">
        <f>'FS Desroches Daily'!AB25</f>
        <v>419.99999999995907</v>
      </c>
      <c r="R23" s="31">
        <f>'FS Desroches Daily'!AD25</f>
        <v>439.99999999999773</v>
      </c>
      <c r="S23" s="31">
        <f>'FS Desroches Daily'!AF25</f>
        <v>1059.9999999999454</v>
      </c>
      <c r="T23" s="31">
        <f>'FS Desroches Daily'!AH25</f>
        <v>27</v>
      </c>
      <c r="U23" s="35">
        <f>'FS Desroches Daily'!AJ25</f>
        <v>799.99999999995453</v>
      </c>
      <c r="V23" s="35">
        <f>'FS Desroches Daily'!AL25</f>
        <v>280.00000000002956</v>
      </c>
      <c r="W23" s="35">
        <f>'FS Desroches Daily'!AN25</f>
        <v>230.00000000001819</v>
      </c>
      <c r="X23" s="35">
        <f>'FS Desroches Daily'!AP25</f>
        <v>159.99999999996817</v>
      </c>
      <c r="Y23" s="35">
        <f>'FS Desroches Daily'!AR25</f>
        <v>139.99999999998636</v>
      </c>
      <c r="Z23" s="35">
        <f>'FS Desroches Daily'!AT25</f>
        <v>89.999999999974989</v>
      </c>
      <c r="AA23" s="35">
        <f>'FS Desroches Daily'!AT25</f>
        <v>89.999999999974989</v>
      </c>
      <c r="AB23" s="35">
        <f>'FS Desroches Daily'!AV25</f>
        <v>50.000000000011369</v>
      </c>
      <c r="AC23" s="35">
        <f>'FS Desroches Daily'!AZ25</f>
        <v>139.99999999998636</v>
      </c>
      <c r="AD23" s="35">
        <f>'FS Desroches Daily'!BB25</f>
        <v>119.9999999999477</v>
      </c>
      <c r="AE23" s="35">
        <f>'FS Desroches Daily'!BD25</f>
        <v>110.00000000001364</v>
      </c>
      <c r="AF23" s="31">
        <f>'FS Desroches Daily'!BF25</f>
        <v>17</v>
      </c>
      <c r="AG23" s="32">
        <f>'FS Desroches Daily'!BH25</f>
        <v>39.999999999992042</v>
      </c>
      <c r="AH23" s="32">
        <f>'FS Desroches Daily'!BJ25</f>
        <v>39.99999999996362</v>
      </c>
      <c r="AI23" s="32">
        <f>'FS Desroches Daily'!BL25</f>
        <v>49.999999999982947</v>
      </c>
      <c r="AJ23" s="32">
        <f>'FS Desroches Daily'!BN25</f>
        <v>40.000000000020464</v>
      </c>
      <c r="AK23" s="32">
        <f>'FS Desroches Daily'!BP25</f>
        <v>60.000000000002274</v>
      </c>
      <c r="AL23" s="32">
        <f>'FS Desroches Daily'!BR25</f>
        <v>37</v>
      </c>
      <c r="AM23" s="32">
        <f>'FS Desroches Daily'!BT25</f>
        <v>49.999999999982947</v>
      </c>
      <c r="AN23" s="32">
        <f>'FS Desroches Daily'!BV25</f>
        <v>42</v>
      </c>
      <c r="AO23" s="32">
        <f>'FS Desroches Daily'!BX25</f>
        <v>39.999999999992042</v>
      </c>
      <c r="AP23" s="32">
        <f>'FS Desroches Daily'!BZ25</f>
        <v>46</v>
      </c>
      <c r="AQ23" s="31">
        <f>'FS Desroches Daily'!CB25</f>
        <v>46.5</v>
      </c>
      <c r="AR23" s="31">
        <f>'FS Desroches Daily'!CD25</f>
        <v>8.5</v>
      </c>
      <c r="AS23" s="31">
        <f>'FS Desroches Daily'!CF25</f>
        <v>9.1999999999998181</v>
      </c>
      <c r="AT23" s="31">
        <f>'FS Desroches Daily'!CH25</f>
        <v>47.399999999994179</v>
      </c>
      <c r="AU23" s="31">
        <f>'FS Desroches Daily'!CJ25</f>
        <v>280</v>
      </c>
      <c r="AV23" s="31">
        <f>'FS Desroches Daily'!CL25</f>
        <v>809.99999999994543</v>
      </c>
      <c r="AW23" s="31">
        <f>'FS Desroches Daily'!CM25</f>
        <v>94.700000000000728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1.8314999999999999</v>
      </c>
      <c r="BA23" s="31">
        <f>IF(LPG!M30-LPG!M29&lt;0,"0",(LPG!M30-LPG!M29)*1.8315)</f>
        <v>3.6629999999999998</v>
      </c>
      <c r="BB23" s="31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2599.9999999997135</v>
      </c>
      <c r="F24" s="32">
        <f>'FS Desroches Daily'!F26</f>
        <v>3300.0000000003029</v>
      </c>
      <c r="G24" s="31">
        <f>'FS Desroches Daily'!H26</f>
        <v>3200.0000000005357</v>
      </c>
      <c r="H24" s="32">
        <f>'FS Desroches Daily'!J26</f>
        <v>1599.9999999998238</v>
      </c>
      <c r="I24" s="31">
        <f>'FS Desroches Daily'!L26</f>
        <v>2200.0000000002019</v>
      </c>
      <c r="J24" s="32">
        <f>'FS Desroches Daily'!N26</f>
        <v>2099.9999999999909</v>
      </c>
      <c r="K24" s="13">
        <f>'FS Desroches Daily'!P26</f>
        <v>8</v>
      </c>
      <c r="L24" s="31">
        <f>'FS Desroches Daily'!R26</f>
        <v>5</v>
      </c>
      <c r="M24" s="31">
        <f>'FS Desroches Daily'!T26</f>
        <v>1.0999999999999091</v>
      </c>
      <c r="N24" s="31">
        <f>'FS Desroches Daily'!V26</f>
        <v>411</v>
      </c>
      <c r="O24" s="31">
        <f>'FS Desroches Daily'!X26</f>
        <v>280.00000000002956</v>
      </c>
      <c r="P24" s="31">
        <f>'FS Desroches Daily'!Z26</f>
        <v>2700.0000000003688</v>
      </c>
      <c r="Q24" s="31">
        <f>'FS Desroches Daily'!AB26</f>
        <v>390.00000000010004</v>
      </c>
      <c r="R24" s="31">
        <f>'FS Desroches Daily'!AD26</f>
        <v>500</v>
      </c>
      <c r="S24" s="31">
        <f>'FS Desroches Daily'!AF26</f>
        <v>920.00000000007276</v>
      </c>
      <c r="T24" s="31">
        <f>'FS Desroches Daily'!AH26</f>
        <v>26</v>
      </c>
      <c r="U24" s="35">
        <f>'FS Desroches Daily'!AJ26</f>
        <v>710.00000000003638</v>
      </c>
      <c r="V24" s="35">
        <f>'FS Desroches Daily'!AL26</f>
        <v>250</v>
      </c>
      <c r="W24" s="35">
        <f>'FS Desroches Daily'!AN26</f>
        <v>189.99999999999773</v>
      </c>
      <c r="X24" s="35">
        <f>'FS Desroches Daily'!AP26</f>
        <v>129.99999999999545</v>
      </c>
      <c r="Y24" s="35">
        <f>'FS Desroches Daily'!AR26</f>
        <v>140.0000000000432</v>
      </c>
      <c r="Z24" s="35">
        <f>'FS Desroches Daily'!AT26</f>
        <v>129.99999999999545</v>
      </c>
      <c r="AA24" s="35">
        <f>'FS Desroches Daily'!AT26</f>
        <v>129.99999999999545</v>
      </c>
      <c r="AB24" s="35">
        <f>'FS Desroches Daily'!AV26</f>
        <v>100.00000000002274</v>
      </c>
      <c r="AC24" s="35">
        <f>'FS Desroches Daily'!AZ26</f>
        <v>100.00000000002274</v>
      </c>
      <c r="AD24" s="35">
        <f>'FS Desroches Daily'!BB26</f>
        <v>110.00000000001364</v>
      </c>
      <c r="AE24" s="35">
        <f>'FS Desroches Daily'!BD26</f>
        <v>69.999999999993179</v>
      </c>
      <c r="AF24" s="31">
        <f>'FS Desroches Daily'!BF26</f>
        <v>39</v>
      </c>
      <c r="AG24" s="32">
        <f>'FS Desroches Daily'!BH26</f>
        <v>40.000000000020464</v>
      </c>
      <c r="AH24" s="32">
        <f>'FS Desroches Daily'!BJ26</f>
        <v>30.000000000029559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60.000000000002274</v>
      </c>
      <c r="AL24" s="32">
        <f>'FS Desroches Daily'!BR26</f>
        <v>35</v>
      </c>
      <c r="AM24" s="32">
        <f>'FS Desroches Daily'!BT26</f>
        <v>60.000000000002274</v>
      </c>
      <c r="AN24" s="32">
        <f>'FS Desroches Daily'!BV26</f>
        <v>47</v>
      </c>
      <c r="AO24" s="32">
        <f>'FS Desroches Daily'!BX26</f>
        <v>50.000000000011369</v>
      </c>
      <c r="AP24" s="32">
        <f>'FS Desroches Daily'!BZ26</f>
        <v>44</v>
      </c>
      <c r="AQ24" s="31">
        <f>'FS Desroches Daily'!CB26</f>
        <v>46</v>
      </c>
      <c r="AR24" s="31">
        <f>'FS Desroches Daily'!CD26</f>
        <v>8.9000000000014552</v>
      </c>
      <c r="AS24" s="31">
        <f>'FS Desroches Daily'!CF26</f>
        <v>4.9000000000005457</v>
      </c>
      <c r="AT24" s="31">
        <f>'FS Desroches Daily'!CH26</f>
        <v>40.80000000000291</v>
      </c>
      <c r="AU24" s="31">
        <f>'FS Desroches Daily'!CJ26</f>
        <v>300</v>
      </c>
      <c r="AV24" s="31">
        <f>'FS Desroches Daily'!CL26</f>
        <v>820.00000000005002</v>
      </c>
      <c r="AW24" s="31">
        <f>'FS Desroches Daily'!CM26</f>
        <v>101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7.3259999999999996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35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3000.0000000001137</v>
      </c>
      <c r="F25" s="32">
        <f>'FS Desroches Daily'!F27</f>
        <v>3099.9999999998809</v>
      </c>
      <c r="G25" s="31">
        <f>'FS Desroches Daily'!H27</f>
        <v>3599.9999999996035</v>
      </c>
      <c r="H25" s="32">
        <f>'FS Desroches Daily'!J27</f>
        <v>1599.9999999998238</v>
      </c>
      <c r="I25" s="31">
        <f>'FS Desroches Daily'!L27</f>
        <v>1700.0000000000348</v>
      </c>
      <c r="J25" s="32">
        <f>'FS Desroches Daily'!N27</f>
        <v>1800.0000000000239</v>
      </c>
      <c r="K25" s="13">
        <f>'FS Desroches Daily'!P27</f>
        <v>22</v>
      </c>
      <c r="L25" s="31">
        <f>'FS Desroches Daily'!R27</f>
        <v>4</v>
      </c>
      <c r="M25" s="31">
        <f>'FS Desroches Daily'!T27</f>
        <v>1</v>
      </c>
      <c r="N25" s="31">
        <f>'FS Desroches Daily'!V27</f>
        <v>409.5</v>
      </c>
      <c r="O25" s="31">
        <f>'FS Desroches Daily'!X27</f>
        <v>329.99999999998408</v>
      </c>
      <c r="P25" s="31">
        <f>'FS Desroches Daily'!Z27</f>
        <v>2899.9999999999027</v>
      </c>
      <c r="Q25" s="31">
        <f>'FS Desroches Daily'!AB27</f>
        <v>289.99999999996362</v>
      </c>
      <c r="R25" s="31">
        <f>'FS Desroches Daily'!AD27</f>
        <v>470.00000000002728</v>
      </c>
      <c r="S25" s="31">
        <f>'FS Desroches Daily'!AF27</f>
        <v>929.99999999994998</v>
      </c>
      <c r="T25" s="31">
        <f>'FS Desroches Daily'!AH27</f>
        <v>31</v>
      </c>
      <c r="U25" s="35">
        <f>'FS Desroches Daily'!AJ27</f>
        <v>769.99999999998181</v>
      </c>
      <c r="V25" s="35">
        <f>'FS Desroches Daily'!AL27</f>
        <v>310.00000000000227</v>
      </c>
      <c r="W25" s="35">
        <f>'FS Desroches Daily'!AN27</f>
        <v>240.00000000000909</v>
      </c>
      <c r="X25" s="35">
        <f>'FS Desroches Daily'!AP27</f>
        <v>230.00000000001819</v>
      </c>
      <c r="Y25" s="35">
        <f>'FS Desroches Daily'!AR27</f>
        <v>159.99999999996817</v>
      </c>
      <c r="Z25" s="35">
        <f>'FS Desroches Daily'!AT27</f>
        <v>189.99999999999773</v>
      </c>
      <c r="AA25" s="35">
        <f>'FS Desroches Daily'!AT27</f>
        <v>189.99999999999773</v>
      </c>
      <c r="AB25" s="35">
        <f>'FS Desroches Daily'!AV27</f>
        <v>159.99999999996817</v>
      </c>
      <c r="AC25" s="35">
        <f>'FS Desroches Daily'!AZ27</f>
        <v>129.99999999999545</v>
      </c>
      <c r="AD25" s="35">
        <f>'FS Desroches Daily'!BB27</f>
        <v>120.00000000000455</v>
      </c>
      <c r="AE25" s="35">
        <f>'FS Desroches Daily'!BD27</f>
        <v>69.999999999993179</v>
      </c>
      <c r="AF25" s="31">
        <f>'FS Desroches Daily'!BF27</f>
        <v>26</v>
      </c>
      <c r="AG25" s="32">
        <f>'FS Desroches Daily'!BH27</f>
        <v>30.000000000001137</v>
      </c>
      <c r="AH25" s="32">
        <f>'FS Desroches Daily'!BJ27</f>
        <v>29.999999999972715</v>
      </c>
      <c r="AI25" s="32">
        <f>'FS Desroches Daily'!BL27</f>
        <v>60.000000000002274</v>
      </c>
      <c r="AJ25" s="32">
        <f>'FS Desroches Daily'!BN27</f>
        <v>39.999999999992042</v>
      </c>
      <c r="AK25" s="32">
        <f>'FS Desroches Daily'!BP27</f>
        <v>60.000000000002274</v>
      </c>
      <c r="AL25" s="32">
        <f>'FS Desroches Daily'!BR27</f>
        <v>36</v>
      </c>
      <c r="AM25" s="32">
        <f>'FS Desroches Daily'!BT27</f>
        <v>40.000000000020464</v>
      </c>
      <c r="AN25" s="32">
        <f>'FS Desroches Daily'!BV27</f>
        <v>44</v>
      </c>
      <c r="AO25" s="32">
        <f>'FS Desroches Daily'!BX27</f>
        <v>39.999999999992042</v>
      </c>
      <c r="AP25" s="32">
        <f>'FS Desroches Daily'!BZ27</f>
        <v>44</v>
      </c>
      <c r="AQ25" s="31">
        <f>'FS Desroches Daily'!CB27</f>
        <v>38.80000000000291</v>
      </c>
      <c r="AR25" s="31">
        <f>'FS Desroches Daily'!CD27</f>
        <v>10.899999999999636</v>
      </c>
      <c r="AS25" s="31">
        <f>'FS Desroches Daily'!CF27</f>
        <v>2.0999999999994543</v>
      </c>
      <c r="AT25" s="31">
        <f>'FS Desroches Daily'!CH27</f>
        <v>48</v>
      </c>
      <c r="AU25" s="31">
        <f>'FS Desroches Daily'!CJ27</f>
        <v>302</v>
      </c>
      <c r="AV25" s="31">
        <f>'FS Desroches Daily'!CL27</f>
        <v>860.00000000001364</v>
      </c>
      <c r="AW25" s="31">
        <f>'FS Desroches Daily'!CM27</f>
        <v>94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3.6629999999999998</v>
      </c>
      <c r="BA25" s="31">
        <f>IF(LPG!M32-LPG!M31&lt;0,"0",(LPG!M32-LPG!M31)*1.8315)</f>
        <v>5.4944999999999995</v>
      </c>
      <c r="BB25" s="31">
        <f>IF(LPG!Q32-LPG!Q31&lt;0,"0",(LPG!Q32-LPG!Q31)*1.8315)</f>
        <v>9.1574999999999989</v>
      </c>
      <c r="BC25" s="13">
        <f>'FS Desroches Daily'!CN27</f>
        <v>25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2000.0000000002237</v>
      </c>
      <c r="F26" s="32">
        <f>'FS Desroches Daily'!F28</f>
        <v>3000.0000000001137</v>
      </c>
      <c r="G26" s="31">
        <f>'FS Desroches Daily'!H28</f>
        <v>3000.0000000001137</v>
      </c>
      <c r="H26" s="32">
        <f>'FS Desroches Daily'!J28</f>
        <v>1700.0000000000348</v>
      </c>
      <c r="I26" s="31">
        <f>'FS Desroches Daily'!L28</f>
        <v>2999.9999999996694</v>
      </c>
      <c r="J26" s="32">
        <f>'FS Desroches Daily'!N28</f>
        <v>2000.0000000000018</v>
      </c>
      <c r="K26" s="13">
        <f>'FS Desroches Daily'!P28</f>
        <v>23</v>
      </c>
      <c r="L26" s="31">
        <f>'FS Desroches Daily'!R28</f>
        <v>4</v>
      </c>
      <c r="M26" s="31">
        <f>'FS Desroches Daily'!T28</f>
        <v>1.1000000000001364</v>
      </c>
      <c r="N26" s="31">
        <f>'FS Desroches Daily'!V28</f>
        <v>380.30000000004657</v>
      </c>
      <c r="O26" s="31">
        <f>'FS Desroches Daily'!X28</f>
        <v>300.00000000001137</v>
      </c>
      <c r="P26" s="31">
        <f>'FS Desroches Daily'!Z28</f>
        <v>2699.9999999999245</v>
      </c>
      <c r="Q26" s="31">
        <f>'FS Desroches Daily'!AB28</f>
        <v>419.99999999995907</v>
      </c>
      <c r="R26" s="31">
        <f>'FS Desroches Daily'!AD28</f>
        <v>500</v>
      </c>
      <c r="S26" s="31">
        <f>'FS Desroches Daily'!AF28</f>
        <v>909.99999999996817</v>
      </c>
      <c r="T26" s="31">
        <f>'FS Desroches Daily'!AH28</f>
        <v>34</v>
      </c>
      <c r="U26" s="35">
        <f>'FS Desroches Daily'!AJ28</f>
        <v>740.00000000000909</v>
      </c>
      <c r="V26" s="35">
        <f>'FS Desroches Daily'!AL28</f>
        <v>310.00000000000227</v>
      </c>
      <c r="W26" s="35">
        <f>'FS Desroches Daily'!AN28</f>
        <v>230.00000000001819</v>
      </c>
      <c r="X26" s="35">
        <f>'FS Desroches Daily'!AP28</f>
        <v>199.99999999998863</v>
      </c>
      <c r="Y26" s="35">
        <f>'FS Desroches Daily'!AR28</f>
        <v>150.00000000003411</v>
      </c>
      <c r="Z26" s="35">
        <f>'FS Desroches Daily'!AT28</f>
        <v>160.00000000002501</v>
      </c>
      <c r="AA26" s="35">
        <f>'FS Desroches Daily'!AT28</f>
        <v>160.00000000002501</v>
      </c>
      <c r="AB26" s="35">
        <f>'FS Desroches Daily'!AV28</f>
        <v>129.99999999999545</v>
      </c>
      <c r="AC26" s="35">
        <f>'FS Desroches Daily'!AZ28</f>
        <v>139.99999999998636</v>
      </c>
      <c r="AD26" s="35">
        <f>'FS Desroches Daily'!BB28</f>
        <v>129.99999999999545</v>
      </c>
      <c r="AE26" s="35">
        <f>'FS Desroches Daily'!BD28</f>
        <v>60.000000000002274</v>
      </c>
      <c r="AF26" s="31">
        <f>'FS Desroches Daily'!BF28</f>
        <v>32</v>
      </c>
      <c r="AG26" s="32">
        <f>'FS Desroches Daily'!BH28</f>
        <v>39.999999999992042</v>
      </c>
      <c r="AH26" s="32">
        <f>'FS Desroches Daily'!BJ28</f>
        <v>30.000000000029559</v>
      </c>
      <c r="AI26" s="32">
        <f>'FS Desroches Daily'!BL28</f>
        <v>50.000000000011369</v>
      </c>
      <c r="AJ26" s="32">
        <f>'FS Desroches Daily'!BN28</f>
        <v>50.000000000011369</v>
      </c>
      <c r="AK26" s="32">
        <f>'FS Desroches Daily'!BP28</f>
        <v>60.000000000002274</v>
      </c>
      <c r="AL26" s="32">
        <f>'FS Desroches Daily'!BR28</f>
        <v>33</v>
      </c>
      <c r="AM26" s="32">
        <f>'FS Desroches Daily'!BT28</f>
        <v>49.999999999982947</v>
      </c>
      <c r="AN26" s="32">
        <f>'FS Desroches Daily'!BV28</f>
        <v>39</v>
      </c>
      <c r="AO26" s="32">
        <f>'FS Desroches Daily'!BX28</f>
        <v>50.000000000011369</v>
      </c>
      <c r="AP26" s="32">
        <f>'FS Desroches Daily'!BZ28</f>
        <v>41</v>
      </c>
      <c r="AQ26" s="31">
        <f>'FS Desroches Daily'!CB28</f>
        <v>47.69999999999709</v>
      </c>
      <c r="AR26" s="31">
        <f>'FS Desroches Daily'!CD28</f>
        <v>9.7999999999992724</v>
      </c>
      <c r="AS26" s="31">
        <f>'FS Desroches Daily'!CF28</f>
        <v>1.1000000000003638</v>
      </c>
      <c r="AT26" s="31">
        <f>'FS Desroches Daily'!CH28</f>
        <v>43.19999999999709</v>
      </c>
      <c r="AU26" s="31">
        <f>'FS Desroches Daily'!CJ28</f>
        <v>305</v>
      </c>
      <c r="AV26" s="31">
        <f>'FS Desroches Daily'!CL28</f>
        <v>1019.9999999999818</v>
      </c>
      <c r="AW26" s="31">
        <f>'FS Desroches Daily'!CM28</f>
        <v>86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5.4944999999999995</v>
      </c>
      <c r="BA26" s="31">
        <f>IF(LPG!M33-LPG!M32&lt;0,"0",(LPG!M33-LPG!M32)*1.8315)</f>
        <v>5.4944999999999995</v>
      </c>
      <c r="BB26" s="31">
        <f>IF(LPG!Q33-LPG!Q32&lt;0,"0",(LPG!Q33-LPG!Q32)*1.8315)</f>
        <v>5.4944999999999995</v>
      </c>
      <c r="BC26" s="13">
        <f>'FS Desroches Daily'!CN28</f>
        <v>25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3399.9999999996257</v>
      </c>
      <c r="F27" s="32">
        <f>'FS Desroches Daily'!F29</f>
        <v>3000.0000000001137</v>
      </c>
      <c r="G27" s="31">
        <f>'FS Desroches Daily'!H29</f>
        <v>3000.0000000001137</v>
      </c>
      <c r="H27" s="32">
        <f>'FS Desroches Daily'!J29</f>
        <v>1800.0000000002458</v>
      </c>
      <c r="I27" s="31">
        <f>'FS Desroches Daily'!L29</f>
        <v>0</v>
      </c>
      <c r="J27" s="32">
        <f>'FS Desroches Daily'!N29</f>
        <v>2000.0000000000018</v>
      </c>
      <c r="K27" s="13">
        <f>'FS Desroches Daily'!P29</f>
        <v>30</v>
      </c>
      <c r="L27" s="31">
        <f>'FS Desroches Daily'!R29</f>
        <v>5</v>
      </c>
      <c r="M27" s="31">
        <f>'FS Desroches Daily'!T29</f>
        <v>1.2999999999999545</v>
      </c>
      <c r="N27" s="31">
        <f>'FS Desroches Daily'!V29</f>
        <v>486.09999999997672</v>
      </c>
      <c r="O27" s="31">
        <f>'FS Desroches Daily'!X29</f>
        <v>349.99999999996589</v>
      </c>
      <c r="P27" s="31">
        <f>'FS Desroches Daily'!Z29</f>
        <v>3000.0000000001137</v>
      </c>
      <c r="Q27" s="31">
        <f>'FS Desroches Daily'!AB29</f>
        <v>440.00000000005457</v>
      </c>
      <c r="R27" s="31">
        <f>'FS Desroches Daily'!AD29</f>
        <v>550.00000000001137</v>
      </c>
      <c r="S27" s="31">
        <f>'FS Desroches Daily'!AF29</f>
        <v>1110.0000000000136</v>
      </c>
      <c r="T27" s="31">
        <f>'FS Desroches Daily'!AH29</f>
        <v>37</v>
      </c>
      <c r="U27" s="35">
        <f>'FS Desroches Daily'!AJ29</f>
        <v>889.99999999998636</v>
      </c>
      <c r="V27" s="35">
        <f>'FS Desroches Daily'!AL29</f>
        <v>339.99999999997499</v>
      </c>
      <c r="W27" s="35">
        <f>'FS Desroches Daily'!AN29</f>
        <v>289.99999999996362</v>
      </c>
      <c r="X27" s="35">
        <f>'FS Desroches Daily'!AP29</f>
        <v>250</v>
      </c>
      <c r="Y27" s="35">
        <f>'FS Desroches Daily'!AR29</f>
        <v>199.99999999998863</v>
      </c>
      <c r="Z27" s="35">
        <f>'FS Desroches Daily'!AT29</f>
        <v>180.00000000000682</v>
      </c>
      <c r="AA27" s="35">
        <f>'FS Desroches Daily'!AT29</f>
        <v>180.00000000000682</v>
      </c>
      <c r="AB27" s="35">
        <f>'FS Desroches Daily'!AV29</f>
        <v>160.00000000002501</v>
      </c>
      <c r="AC27" s="35">
        <f>'FS Desroches Daily'!AZ29</f>
        <v>240.00000000000909</v>
      </c>
      <c r="AD27" s="35">
        <f>'FS Desroches Daily'!BB29</f>
        <v>160.00000000002501</v>
      </c>
      <c r="AE27" s="35">
        <f>'FS Desroches Daily'!BD29</f>
        <v>69.999999999993179</v>
      </c>
      <c r="AF27" s="31">
        <f>'FS Desroches Daily'!BF29</f>
        <v>39</v>
      </c>
      <c r="AG27" s="32">
        <f>'FS Desroches Daily'!BH29</f>
        <v>39.999999999992042</v>
      </c>
      <c r="AH27" s="32">
        <f>'FS Desroches Daily'!BJ29</f>
        <v>29.999999999972715</v>
      </c>
      <c r="AI27" s="32">
        <f>'FS Desroches Daily'!BL29</f>
        <v>39.999999999992042</v>
      </c>
      <c r="AJ27" s="32">
        <f>'FS Desroches Daily'!BN29</f>
        <v>39.999999999992042</v>
      </c>
      <c r="AK27" s="32">
        <f>'FS Desroches Daily'!BP29</f>
        <v>50.000000000011369</v>
      </c>
      <c r="AL27" s="32">
        <f>'FS Desroches Daily'!BR29</f>
        <v>36</v>
      </c>
      <c r="AM27" s="32">
        <f>'FS Desroches Daily'!BT29</f>
        <v>60.000000000002274</v>
      </c>
      <c r="AN27" s="32">
        <f>'FS Desroches Daily'!BV29</f>
        <v>47</v>
      </c>
      <c r="AO27" s="32">
        <f>'FS Desroches Daily'!BX29</f>
        <v>39.999999999992042</v>
      </c>
      <c r="AP27" s="32">
        <f>'FS Desroches Daily'!BZ29</f>
        <v>43</v>
      </c>
      <c r="AQ27" s="31">
        <f>'FS Desroches Daily'!CB29</f>
        <v>48.100000000005821</v>
      </c>
      <c r="AR27" s="31">
        <f>'FS Desroches Daily'!CD29</f>
        <v>10.300000000001091</v>
      </c>
      <c r="AS27" s="31">
        <f>'FS Desroches Daily'!CF29</f>
        <v>12</v>
      </c>
      <c r="AT27" s="31">
        <f>'FS Desroches Daily'!CH29</f>
        <v>44.30000000000291</v>
      </c>
      <c r="AU27" s="31">
        <f>'FS Desroches Daily'!CJ29</f>
        <v>315</v>
      </c>
      <c r="AV27" s="31">
        <f>'FS Desroches Daily'!CL29</f>
        <v>889.99999999998636</v>
      </c>
      <c r="AW27" s="31">
        <f>'FS Desroches Daily'!CM29</f>
        <v>84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9.1574999999999989</v>
      </c>
      <c r="BA27" s="31">
        <f>IF(LPG!M35-LPG!M33&lt;0,"0",(LPG!M35-LPG!M33)*1.8315)</f>
        <v>5.4944999999999995</v>
      </c>
      <c r="BB27" s="31">
        <f>IF(LPG!Q34-LPG!Q33&lt;0,"0",(LPG!Q34-LPG!Q33)*1.8315)</f>
        <v>7.3259999999999996</v>
      </c>
      <c r="BC27" s="13">
        <f>'FS Desroches Daily'!CN29</f>
        <v>33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2600.0000000001578</v>
      </c>
      <c r="F28" s="32">
        <f>'FS Desroches Daily'!F30</f>
        <v>3999.9999999995593</v>
      </c>
      <c r="G28" s="31">
        <f>'FS Desroches Daily'!H30</f>
        <v>3000.0000000001137</v>
      </c>
      <c r="H28" s="32">
        <f>'FS Desroches Daily'!J30</f>
        <v>1300.0000000000789</v>
      </c>
      <c r="I28" s="31">
        <f>'FS Desroches Daily'!L30</f>
        <v>4000.0000000000036</v>
      </c>
      <c r="J28" s="32">
        <f>'FS Desroches Daily'!N30</f>
        <v>2000.0000000000018</v>
      </c>
      <c r="K28" s="13">
        <f>'FS Desroches Daily'!P30</f>
        <v>19</v>
      </c>
      <c r="L28" s="31">
        <f>'FS Desroches Daily'!R30</f>
        <v>4</v>
      </c>
      <c r="M28" s="31">
        <f>'FS Desroches Daily'!T30</f>
        <v>1.0999999999999091</v>
      </c>
      <c r="N28" s="31">
        <f>'FS Desroches Daily'!V30</f>
        <v>370.19999999995343</v>
      </c>
      <c r="O28" s="31">
        <f>'FS Desroches Daily'!X30</f>
        <v>370.00000000000455</v>
      </c>
      <c r="P28" s="31">
        <f>'FS Desroches Daily'!Z30</f>
        <v>2599.9999999997135</v>
      </c>
      <c r="Q28" s="31">
        <f>'FS Desroches Daily'!AB30</f>
        <v>389.99999999998636</v>
      </c>
      <c r="R28" s="31">
        <f>'FS Desroches Daily'!AD30</f>
        <v>490.00000000000909</v>
      </c>
      <c r="S28" s="31">
        <f>'FS Desroches Daily'!AF30</f>
        <v>900.00000000009095</v>
      </c>
      <c r="T28" s="31">
        <f>'FS Desroches Daily'!AH30</f>
        <v>30</v>
      </c>
      <c r="U28" s="35">
        <f>'FS Desroches Daily'!AJ30</f>
        <v>730.00000000001819</v>
      </c>
      <c r="V28" s="35">
        <f>'FS Desroches Daily'!AL30</f>
        <v>279.99999999997272</v>
      </c>
      <c r="W28" s="35">
        <f>'FS Desroches Daily'!AN30</f>
        <v>160.00000000002501</v>
      </c>
      <c r="X28" s="35">
        <f>'FS Desroches Daily'!AP30</f>
        <v>189.99999999999773</v>
      </c>
      <c r="Y28" s="35">
        <f>'FS Desroches Daily'!AR30</f>
        <v>159.99999999996817</v>
      </c>
      <c r="Z28" s="35">
        <f>'FS Desroches Daily'!AT30</f>
        <v>180.00000000000682</v>
      </c>
      <c r="AA28" s="35">
        <f>'FS Desroches Daily'!AT30</f>
        <v>180.00000000000682</v>
      </c>
      <c r="AB28" s="35">
        <f>'FS Desroches Daily'!AV30</f>
        <v>120.00000000000455</v>
      </c>
      <c r="AC28" s="35">
        <f>'FS Desroches Daily'!AZ30</f>
        <v>189.99999999999773</v>
      </c>
      <c r="AD28" s="35">
        <f>'FS Desroches Daily'!BB30</f>
        <v>129.99999999999545</v>
      </c>
      <c r="AE28" s="35">
        <f>'FS Desroches Daily'!BD30</f>
        <v>80.000000000040927</v>
      </c>
      <c r="AF28" s="31">
        <f>'FS Desroches Daily'!BF30</f>
        <v>25</v>
      </c>
      <c r="AG28" s="32">
        <f>'FS Desroches Daily'!BH30</f>
        <v>30.000000000001137</v>
      </c>
      <c r="AH28" s="32">
        <f>'FS Desroches Daily'!BJ30</f>
        <v>30.000000000029559</v>
      </c>
      <c r="AI28" s="32">
        <f>'FS Desroches Daily'!BL30</f>
        <v>30.000000000001137</v>
      </c>
      <c r="AJ28" s="32">
        <f>'FS Desroches Daily'!BN30</f>
        <v>40.000000000020464</v>
      </c>
      <c r="AK28" s="32">
        <f>'FS Desroches Daily'!BP30</f>
        <v>79.999999999984084</v>
      </c>
      <c r="AL28" s="32">
        <f>'FS Desroches Daily'!BR30</f>
        <v>28</v>
      </c>
      <c r="AM28" s="32">
        <f>'FS Desroches Daily'!BT30</f>
        <v>39.999999999992042</v>
      </c>
      <c r="AN28" s="32">
        <f>'FS Desroches Daily'!BV30</f>
        <v>38</v>
      </c>
      <c r="AO28" s="32">
        <f>'FS Desroches Daily'!BX30</f>
        <v>30.000000000001137</v>
      </c>
      <c r="AP28" s="32">
        <f>'FS Desroches Daily'!BZ30</f>
        <v>39</v>
      </c>
      <c r="AQ28" s="31">
        <f>'FS Desroches Daily'!CB30</f>
        <v>46.399999999994179</v>
      </c>
      <c r="AR28" s="31">
        <f>'FS Desroches Daily'!CD30</f>
        <v>10.299999999999272</v>
      </c>
      <c r="AS28" s="31">
        <f>'FS Desroches Daily'!CF30</f>
        <v>1.8000000000001819</v>
      </c>
      <c r="AT28" s="31">
        <f>'FS Desroches Daily'!CH30</f>
        <v>47.5</v>
      </c>
      <c r="AU28" s="31">
        <f>'FS Desroches Daily'!CJ30</f>
        <v>312</v>
      </c>
      <c r="AV28" s="31">
        <f>'FS Desroches Daily'!CL30</f>
        <v>909.99999999996817</v>
      </c>
      <c r="AW28" s="31">
        <f>'FS Desroches Daily'!CM30</f>
        <v>88</v>
      </c>
      <c r="AX28" s="31">
        <f>IF(LPG!F36-LPG!F34&lt;0,"0",(LPG!F36-LPG!F34)*1.8315)</f>
        <v>0</v>
      </c>
      <c r="AY28" s="31" t="str">
        <f>IF(LPG!G35-LPG!G34&lt;0,"0",(LPG!G35-LPG!G34)*1.8315)</f>
        <v>0</v>
      </c>
      <c r="AZ28" s="31">
        <f>IF(LPG!H36-LPG!H34&lt;0,"0",(LPG!H36-LPG!H34)*1.8315)</f>
        <v>10.988999999999999</v>
      </c>
      <c r="BA28" s="31">
        <f>IF(LPG!M36-LPG!M34&lt;0,"0",(LPG!M36-LPG!M34)*1.8315)</f>
        <v>5.4944999999999995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3000.0000000001137</v>
      </c>
      <c r="F29" s="32">
        <f>'FS Desroches Daily'!F31</f>
        <v>3000.0000000001137</v>
      </c>
      <c r="G29" s="31">
        <f>'FS Desroches Daily'!H31</f>
        <v>3999.9999999995593</v>
      </c>
      <c r="H29" s="32">
        <f>'FS Desroches Daily'!J31</f>
        <v>1699.9999999995907</v>
      </c>
      <c r="I29" s="31">
        <f>'FS Desroches Daily'!L31</f>
        <v>3000.0000000001137</v>
      </c>
      <c r="J29" s="32">
        <f>'FS Desroches Daily'!N31</f>
        <v>2000.0000000000018</v>
      </c>
      <c r="K29" s="13">
        <f>'FS Desroches Daily'!P31</f>
        <v>24</v>
      </c>
      <c r="L29" s="31">
        <f>'FS Desroches Daily'!R31</f>
        <v>5</v>
      </c>
      <c r="M29" s="31">
        <f>'FS Desroches Daily'!T31</f>
        <v>1.2999999999999545</v>
      </c>
      <c r="N29" s="31">
        <f>'FS Desroches Daily'!V31</f>
        <v>442</v>
      </c>
      <c r="O29" s="31">
        <f>'FS Desroches Daily'!X31</f>
        <v>360.00000000001364</v>
      </c>
      <c r="P29" s="31">
        <f>'FS Desroches Daily'!Z31</f>
        <v>2900.0000000003465</v>
      </c>
      <c r="Q29" s="31">
        <f>'FS Desroches Daily'!AB31</f>
        <v>269.99999999998181</v>
      </c>
      <c r="R29" s="31">
        <f>'FS Desroches Daily'!AD31</f>
        <v>519.99999999998181</v>
      </c>
      <c r="S29" s="31">
        <f>'FS Desroches Daily'!AF31</f>
        <v>1000</v>
      </c>
      <c r="T29" s="31">
        <f>'FS Desroches Daily'!AH31</f>
        <v>38</v>
      </c>
      <c r="U29" s="35">
        <f>'FS Desroches Daily'!AJ31</f>
        <v>689.99999999994088</v>
      </c>
      <c r="V29" s="35">
        <f>'FS Desroches Daily'!AL31</f>
        <v>310.00000000000227</v>
      </c>
      <c r="W29" s="35">
        <f>'FS Desroches Daily'!AN31</f>
        <v>300.00000000001137</v>
      </c>
      <c r="X29" s="35">
        <f>'FS Desroches Daily'!AP31</f>
        <v>209.99999999997954</v>
      </c>
      <c r="Y29" s="35">
        <f>'FS Desroches Daily'!AR31</f>
        <v>140.0000000000432</v>
      </c>
      <c r="Z29" s="35">
        <f>'FS Desroches Daily'!AT31</f>
        <v>289.99999999996362</v>
      </c>
      <c r="AA29" s="35">
        <f>'FS Desroches Daily'!AT31</f>
        <v>289.99999999996362</v>
      </c>
      <c r="AB29" s="35">
        <f>'FS Desroches Daily'!AV31</f>
        <v>139.99999999998636</v>
      </c>
      <c r="AC29" s="35">
        <f>'FS Desroches Daily'!AZ31</f>
        <v>219.99999999997044</v>
      </c>
      <c r="AD29" s="35">
        <f>'FS Desroches Daily'!BB31</f>
        <v>149.99999999997726</v>
      </c>
      <c r="AE29" s="35">
        <f>'FS Desroches Daily'!BD31</f>
        <v>99.999999999965894</v>
      </c>
      <c r="AF29" s="31">
        <f>'FS Desroches Daily'!BF31</f>
        <v>40</v>
      </c>
      <c r="AG29" s="32">
        <f>'FS Desroches Daily'!BH31</f>
        <v>50.000000000011369</v>
      </c>
      <c r="AH29" s="32">
        <f>'FS Desroches Daily'!BJ31</f>
        <v>39.99999999996362</v>
      </c>
      <c r="AI29" s="32">
        <f>'FS Desroches Daily'!BL31</f>
        <v>39.999999999992042</v>
      </c>
      <c r="AJ29" s="32">
        <f>'FS Desroches Daily'!BN31</f>
        <v>39.999999999992042</v>
      </c>
      <c r="AK29" s="32">
        <f>'FS Desroches Daily'!BP31</f>
        <v>19.99999999998181</v>
      </c>
      <c r="AL29" s="32">
        <f>'FS Desroches Daily'!BR31</f>
        <v>35</v>
      </c>
      <c r="AM29" s="32">
        <f>'FS Desroches Daily'!BT31</f>
        <v>40.000000000020464</v>
      </c>
      <c r="AN29" s="32">
        <f>'FS Desroches Daily'!BV31</f>
        <v>34</v>
      </c>
      <c r="AO29" s="32">
        <f>'FS Desroches Daily'!BX31</f>
        <v>49.999999999982947</v>
      </c>
      <c r="AP29" s="32">
        <f>'FS Desroches Daily'!BZ31</f>
        <v>53</v>
      </c>
      <c r="AQ29" s="31">
        <f>'FS Desroches Daily'!CB31</f>
        <v>64.200000000004366</v>
      </c>
      <c r="AR29" s="31">
        <f>'FS Desroches Daily'!CD31</f>
        <v>10.700000000000728</v>
      </c>
      <c r="AS29" s="31">
        <f>'FS Desroches Daily'!CF31</f>
        <v>2.6999999999998181</v>
      </c>
      <c r="AT29" s="31">
        <f>'FS Desroches Daily'!CH31</f>
        <v>46.099999999991269</v>
      </c>
      <c r="AU29" s="31">
        <f>'FS Desroches Daily'!CJ31</f>
        <v>299</v>
      </c>
      <c r="AV29" s="31">
        <f>'FS Desroches Daily'!CL31</f>
        <v>1000</v>
      </c>
      <c r="AW29" s="31">
        <f>'FS Desroches Daily'!CM31</f>
        <v>102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10.988999999999999</v>
      </c>
      <c r="BA29" s="31">
        <f>IF(LPG!M37-LPG!M35&lt;0,"0",(LPG!M37-LPG!M35)*1.8315)</f>
        <v>10.988999999999999</v>
      </c>
      <c r="BB29" s="31">
        <f>IF(LPG!Q36-LPG!Q35&lt;0,"0",(LPG!Q36-LPG!Q35)*1.8315)</f>
        <v>3.6629999999999998</v>
      </c>
      <c r="BC29" s="13">
        <f>'FS Desroches Daily'!CN31</f>
        <v>29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3000.0000000001137</v>
      </c>
      <c r="F30" s="32">
        <f>'FS Desroches Daily'!F32</f>
        <v>3000.0000000001137</v>
      </c>
      <c r="G30" s="31">
        <f>'FS Desroches Daily'!H32</f>
        <v>3000.0000000001137</v>
      </c>
      <c r="H30" s="32">
        <f>'FS Desroches Daily'!J32</f>
        <v>1600.0000000002678</v>
      </c>
      <c r="I30" s="31">
        <f>'FS Desroches Daily'!L32</f>
        <v>2000.0000000002237</v>
      </c>
      <c r="J30" s="32">
        <f>'FS Desroches Daily'!N32</f>
        <v>1800.0000000000239</v>
      </c>
      <c r="K30" s="13">
        <f>'FS Desroches Daily'!P32</f>
        <v>30</v>
      </c>
      <c r="L30" s="31">
        <f>'FS Desroches Daily'!R32</f>
        <v>4</v>
      </c>
      <c r="M30" s="31">
        <f>'FS Desroches Daily'!T32</f>
        <v>0.90000000000009095</v>
      </c>
      <c r="N30" s="31">
        <f>'FS Desroches Daily'!V32</f>
        <v>435.60000000009313</v>
      </c>
      <c r="O30" s="31">
        <f>'FS Desroches Daily'!X32</f>
        <v>370.00000000000455</v>
      </c>
      <c r="P30" s="31">
        <f>'FS Desroches Daily'!Z32</f>
        <v>3099.9999999998809</v>
      </c>
      <c r="Q30" s="31">
        <f>'FS Desroches Daily'!AB32</f>
        <v>389.99999999998636</v>
      </c>
      <c r="R30" s="31">
        <f>'FS Desroches Daily'!AD32</f>
        <v>509.99999999999091</v>
      </c>
      <c r="S30" s="31">
        <f>'FS Desroches Daily'!AF32</f>
        <v>879.99999999999545</v>
      </c>
      <c r="T30" s="31">
        <f>'FS Desroches Daily'!AH32</f>
        <v>41</v>
      </c>
      <c r="U30" s="35">
        <f>'FS Desroches Daily'!AJ32</f>
        <v>740.00000000000909</v>
      </c>
      <c r="V30" s="35">
        <f>'FS Desroches Daily'!AL32</f>
        <v>330.00000000004093</v>
      </c>
      <c r="W30" s="35">
        <f>'FS Desroches Daily'!AN32</f>
        <v>169.99999999995907</v>
      </c>
      <c r="X30" s="35">
        <f>'FS Desroches Daily'!AP32</f>
        <v>210.00000000003638</v>
      </c>
      <c r="Y30" s="35">
        <f>'FS Desroches Daily'!AR32</f>
        <v>169.99999999995907</v>
      </c>
      <c r="Z30" s="35">
        <f>'FS Desroches Daily'!AT32</f>
        <v>280.00000000002956</v>
      </c>
      <c r="AA30" s="35">
        <f>'FS Desroches Daily'!AT32</f>
        <v>280.00000000002956</v>
      </c>
      <c r="AB30" s="35">
        <f>'FS Desroches Daily'!AV32</f>
        <v>139.99999999998636</v>
      </c>
      <c r="AC30" s="35">
        <f>'FS Desroches Daily'!AZ32</f>
        <v>140.0000000000432</v>
      </c>
      <c r="AD30" s="35">
        <f>'FS Desroches Daily'!BB32</f>
        <v>20.000000000038654</v>
      </c>
      <c r="AE30" s="35">
        <f>'FS Desroches Daily'!BD32</f>
        <v>100.00000000002274</v>
      </c>
      <c r="AF30" s="31">
        <f>'FS Desroches Daily'!BF32</f>
        <v>32</v>
      </c>
      <c r="AG30" s="32">
        <f>'FS Desroches Daily'!BH32</f>
        <v>30.000000000001137</v>
      </c>
      <c r="AH30" s="32">
        <f>'FS Desroches Daily'!BJ32</f>
        <v>30.000000000029559</v>
      </c>
      <c r="AI30" s="32">
        <f>'FS Desroches Daily'!BL32</f>
        <v>39.999999999992042</v>
      </c>
      <c r="AJ30" s="32">
        <f>'FS Desroches Daily'!BN32</f>
        <v>60.000000000002274</v>
      </c>
      <c r="AK30" s="32">
        <f>'FS Desroches Daily'!BP32</f>
        <v>50.000000000011369</v>
      </c>
      <c r="AL30" s="32">
        <f>'FS Desroches Daily'!BR32</f>
        <v>37</v>
      </c>
      <c r="AM30" s="32">
        <f>'FS Desroches Daily'!BT32</f>
        <v>49.999999999982947</v>
      </c>
      <c r="AN30" s="32">
        <f>'FS Desroches Daily'!BV32</f>
        <v>38</v>
      </c>
      <c r="AO30" s="32">
        <f>'FS Desroches Daily'!BX32</f>
        <v>30.000000000001137</v>
      </c>
      <c r="AP30" s="32">
        <f>'FS Desroches Daily'!BZ32</f>
        <v>46</v>
      </c>
      <c r="AQ30" s="31">
        <f>'FS Desroches Daily'!CB32</f>
        <v>57.799999999995634</v>
      </c>
      <c r="AR30" s="31">
        <f>'FS Desroches Daily'!CD32</f>
        <v>10.199999999998909</v>
      </c>
      <c r="AS30" s="31">
        <f>'FS Desroches Daily'!CF32</f>
        <v>7.3000000000001819</v>
      </c>
      <c r="AT30" s="31">
        <f>'FS Desroches Daily'!CH32</f>
        <v>45.200000000011642</v>
      </c>
      <c r="AU30" s="31">
        <f>'FS Desroches Daily'!CJ32</f>
        <v>297</v>
      </c>
      <c r="AV30" s="31">
        <f>'FS Desroches Daily'!CL32</f>
        <v>960.00000000003638</v>
      </c>
      <c r="AW30" s="31">
        <f>'FS Desroches Daily'!CM32</f>
        <v>120</v>
      </c>
      <c r="AX30" s="31">
        <f>IF(LPG!F38-LPG!F36&lt;0,"0",(LPG!F38-LPG!F36)*1.8315)</f>
        <v>0</v>
      </c>
      <c r="AY30" s="31">
        <f>IF(LPG!G37-LPG!G36&lt;0,"0",(LPG!G37-LPG!G36)*1.8315)</f>
        <v>144.6885</v>
      </c>
      <c r="AZ30" s="31">
        <f>IF(LPG!J38-LPG!H36&lt;0,"0",(LPG!J38-LPG!H36)*1.8315)</f>
        <v>2829.6675</v>
      </c>
      <c r="BA30" s="31">
        <f>IF(LPG!M38-LPG!M36&lt;0,"0",(LPG!M38-LPG!M36)*1.8315)</f>
        <v>5.4944999999999995</v>
      </c>
      <c r="BB30" s="31">
        <f>IF(LPG!Q37-LPG!Q36&lt;0,"0",(LPG!Q37-LPG!Q36)*1.8315)</f>
        <v>7.3259999999999996</v>
      </c>
      <c r="BC30" s="13">
        <f>'FS Desroches Daily'!CN32</f>
        <v>29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2999.9999999996694</v>
      </c>
      <c r="F31" s="32">
        <f>'FS Desroches Daily'!F33</f>
        <v>4000.0000000004475</v>
      </c>
      <c r="G31" s="31">
        <f>'FS Desroches Daily'!H33</f>
        <v>4000.0000000004475</v>
      </c>
      <c r="H31" s="32">
        <f>'FS Desroches Daily'!J33</f>
        <v>1599.9999999998238</v>
      </c>
      <c r="I31" s="31">
        <f>'FS Desroches Daily'!L33</f>
        <v>1999.9999999997797</v>
      </c>
      <c r="J31" s="32">
        <f>'FS Desroches Daily'!N33</f>
        <v>1799.9999999998017</v>
      </c>
      <c r="K31" s="13">
        <f>'FS Desroches Daily'!P33</f>
        <v>29</v>
      </c>
      <c r="L31" s="31">
        <f>'FS Desroches Daily'!R33</f>
        <v>5</v>
      </c>
      <c r="M31" s="31">
        <f>'FS Desroches Daily'!T33</f>
        <v>1.4000000000000909</v>
      </c>
      <c r="N31" s="31">
        <f>'FS Desroches Daily'!V33</f>
        <v>493.79999999993015</v>
      </c>
      <c r="O31" s="31">
        <f>'FS Desroches Daily'!X33</f>
        <v>429.99999999994998</v>
      </c>
      <c r="P31" s="31">
        <f>'FS Desroches Daily'!Z33</f>
        <v>3000.0000000001137</v>
      </c>
      <c r="Q31" s="31">
        <f>'FS Desroches Daily'!AB33</f>
        <v>379.99999999999545</v>
      </c>
      <c r="R31" s="31">
        <f>'FS Desroches Daily'!AD33</f>
        <v>480.00000000001819</v>
      </c>
      <c r="S31" s="31">
        <f>'FS Desroches Daily'!AF33</f>
        <v>809.99999999994543</v>
      </c>
      <c r="T31" s="31">
        <f>'FS Desroches Daily'!AH33</f>
        <v>35</v>
      </c>
      <c r="U31" s="35">
        <f>'FS Desroches Daily'!AJ33</f>
        <v>710.00000000003638</v>
      </c>
      <c r="V31" s="35">
        <f>'FS Desroches Daily'!AL33</f>
        <v>310.00000000000227</v>
      </c>
      <c r="W31" s="35">
        <f>'FS Desroches Daily'!AN33</f>
        <v>129.99999999999545</v>
      </c>
      <c r="X31" s="35">
        <f>'FS Desroches Daily'!AP33</f>
        <v>180.00000000000682</v>
      </c>
      <c r="Y31" s="35">
        <f>'FS Desroches Daily'!AR33</f>
        <v>140.0000000000432</v>
      </c>
      <c r="Z31" s="35">
        <f>'FS Desroches Daily'!AT33</f>
        <v>259.99999999999091</v>
      </c>
      <c r="AA31" s="35">
        <f>'FS Desroches Daily'!AT33</f>
        <v>259.99999999999091</v>
      </c>
      <c r="AB31" s="35">
        <f>'FS Desroches Daily'!AV33</f>
        <v>140.0000000000432</v>
      </c>
      <c r="AC31" s="35">
        <f>'FS Desroches Daily'!AZ33</f>
        <v>129.99999999999545</v>
      </c>
      <c r="AD31" s="35">
        <f>'FS Desroches Daily'!BB33</f>
        <v>229.99999999996135</v>
      </c>
      <c r="AE31" s="35">
        <f>'FS Desroches Daily'!BD33</f>
        <v>89.999999999974989</v>
      </c>
      <c r="AF31" s="31">
        <f>'FS Desroches Daily'!BF33</f>
        <v>30</v>
      </c>
      <c r="AG31" s="32">
        <f>'FS Desroches Daily'!BH33</f>
        <v>39.999999999992042</v>
      </c>
      <c r="AH31" s="32">
        <f>'FS Desroches Daily'!BJ33</f>
        <v>40.000000000020464</v>
      </c>
      <c r="AI31" s="32">
        <f>'FS Desroches Daily'!BL33</f>
        <v>30.000000000001137</v>
      </c>
      <c r="AJ31" s="32">
        <f>'FS Desroches Daily'!BN33</f>
        <v>39.999999999992042</v>
      </c>
      <c r="AK31" s="32">
        <f>'FS Desroches Daily'!BP33</f>
        <v>50.000000000011369</v>
      </c>
      <c r="AL31" s="32">
        <f>'FS Desroches Daily'!BR33</f>
        <v>38</v>
      </c>
      <c r="AM31" s="32">
        <f>'FS Desroches Daily'!BT33</f>
        <v>50.000000000011369</v>
      </c>
      <c r="AN31" s="32">
        <f>'FS Desroches Daily'!BV33</f>
        <v>49</v>
      </c>
      <c r="AO31" s="32">
        <f>'FS Desroches Daily'!BX33</f>
        <v>40.000000000020464</v>
      </c>
      <c r="AP31" s="32">
        <f>'FS Desroches Daily'!BZ33</f>
        <v>51</v>
      </c>
      <c r="AQ31" s="31">
        <f>'FS Desroches Daily'!CB33</f>
        <v>40.200000000004366</v>
      </c>
      <c r="AR31" s="31">
        <f>'FS Desroches Daily'!CD33</f>
        <v>11.200000000000728</v>
      </c>
      <c r="AS31" s="31">
        <f>'FS Desroches Daily'!CF33</f>
        <v>3.8999999999996362</v>
      </c>
      <c r="AT31" s="31">
        <f>'FS Desroches Daily'!CH33</f>
        <v>46.5</v>
      </c>
      <c r="AU31" s="31">
        <f>'FS Desroches Daily'!CJ33</f>
        <v>303</v>
      </c>
      <c r="AV31" s="31">
        <f>'FS Desroches Daily'!CL33</f>
        <v>929.99999999994998</v>
      </c>
      <c r="AW31" s="31">
        <f>'FS Desroches Daily'!CM33</f>
        <v>110</v>
      </c>
      <c r="AX31" s="31" t="str">
        <f>IF(LPG!F39-LPG!F37&lt;0,"0",(LPG!F39-LPG!F37)*1.8315)</f>
        <v>0</v>
      </c>
      <c r="AY31" s="31" t="str">
        <f>IF(LPG!G38-LPG!G37&lt;0,"0",(LPG!G38-LPG!G37)*1.8315)</f>
        <v>0</v>
      </c>
      <c r="AZ31" s="31" t="str">
        <f>IF(LPG!J39-LPG!H37&lt;0,"0",(LPG!J39-LPG!H37)*1.8315)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9.1574999999999989</v>
      </c>
      <c r="BC31" s="13">
        <f>'FS Desroches Daily'!CN33</f>
        <v>37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2200.0000000002019</v>
      </c>
      <c r="F32" s="32">
        <f>'FS Desroches Daily'!F34</f>
        <v>2699.9999999999245</v>
      </c>
      <c r="G32" s="31">
        <f>'FS Desroches Daily'!H34</f>
        <v>2899.9999999994584</v>
      </c>
      <c r="H32" s="32">
        <f>'FS Desroches Daily'!J34</f>
        <v>1500.0000000000568</v>
      </c>
      <c r="I32" s="31">
        <f>'FS Desroches Daily'!L34</f>
        <v>2400.0000000001796</v>
      </c>
      <c r="J32" s="32">
        <f>'FS Desroches Daily'!N34</f>
        <v>1500.0000000000568</v>
      </c>
      <c r="K32" s="13">
        <f>'FS Desroches Daily'!P34</f>
        <v>21</v>
      </c>
      <c r="L32" s="31">
        <f>'FS Desroches Daily'!R34</f>
        <v>4</v>
      </c>
      <c r="M32" s="31">
        <f>'FS Desroches Daily'!T34</f>
        <v>1.0999999999999091</v>
      </c>
      <c r="N32" s="31">
        <f>'FS Desroches Daily'!V34</f>
        <v>408.5</v>
      </c>
      <c r="O32" s="31">
        <f>'FS Desroches Daily'!X34</f>
        <v>400.00000000009095</v>
      </c>
      <c r="P32" s="31">
        <f>'FS Desroches Daily'!Z34</f>
        <v>2699.9999999999245</v>
      </c>
      <c r="Q32" s="31">
        <f>'FS Desroches Daily'!AB34</f>
        <v>240.00000000000909</v>
      </c>
      <c r="R32" s="31">
        <f>'FS Desroches Daily'!AD34</f>
        <v>420.00000000001592</v>
      </c>
      <c r="S32" s="31">
        <f>'FS Desroches Daily'!AF34</f>
        <v>779.99999999997272</v>
      </c>
      <c r="T32" s="31">
        <f>'FS Desroches Daily'!AH34</f>
        <v>35</v>
      </c>
      <c r="U32" s="35">
        <f>'FS Desroches Daily'!AJ34</f>
        <v>679.99999999994998</v>
      </c>
      <c r="V32" s="35">
        <f>'FS Desroches Daily'!AL34</f>
        <v>289.99999999996362</v>
      </c>
      <c r="W32" s="35">
        <f>'FS Desroches Daily'!AN34</f>
        <v>310.00000000000227</v>
      </c>
      <c r="X32" s="35">
        <f>'FS Desroches Daily'!AP34</f>
        <v>169.99999999995907</v>
      </c>
      <c r="Y32" s="35">
        <f>'FS Desroches Daily'!AR34</f>
        <v>129.99999999999545</v>
      </c>
      <c r="Z32" s="35">
        <f>'FS Desroches Daily'!AT34</f>
        <v>250</v>
      </c>
      <c r="AA32" s="35">
        <f>'FS Desroches Daily'!AT34</f>
        <v>250</v>
      </c>
      <c r="AB32" s="35">
        <f>'FS Desroches Daily'!AV34</f>
        <v>149.99999999997726</v>
      </c>
      <c r="AC32" s="35">
        <f>'FS Desroches Daily'!AZ34</f>
        <v>129.99999999999545</v>
      </c>
      <c r="AD32" s="35">
        <f>'FS Desroches Daily'!BB34</f>
        <v>129.99999999999545</v>
      </c>
      <c r="AE32" s="35">
        <f>'FS Desroches Daily'!BD34</f>
        <v>129.99999999999545</v>
      </c>
      <c r="AF32" s="31">
        <f>'FS Desroches Daily'!BF34</f>
        <v>34</v>
      </c>
      <c r="AG32" s="32">
        <f>'FS Desroches Daily'!BH34</f>
        <v>39.999999999992042</v>
      </c>
      <c r="AH32" s="32">
        <f>'FS Desroches Daily'!BJ34</f>
        <v>29.999999999972715</v>
      </c>
      <c r="AI32" s="32">
        <f>'FS Desroches Daily'!BL34</f>
        <v>40.000000000020464</v>
      </c>
      <c r="AJ32" s="32">
        <f>'FS Desroches Daily'!BN34</f>
        <v>60.000000000002274</v>
      </c>
      <c r="AK32" s="32">
        <f>'FS Desroches Daily'!BP34</f>
        <v>40.000000000020464</v>
      </c>
      <c r="AL32" s="32">
        <f>'FS Desroches Daily'!BR34</f>
        <v>34</v>
      </c>
      <c r="AM32" s="32">
        <f>'FS Desroches Daily'!BT34</f>
        <v>39.999999999992042</v>
      </c>
      <c r="AN32" s="32">
        <f>'FS Desroches Daily'!BV34</f>
        <v>29</v>
      </c>
      <c r="AO32" s="32">
        <f>'FS Desroches Daily'!BX34</f>
        <v>39.999999999992042</v>
      </c>
      <c r="AP32" s="32">
        <f>'FS Desroches Daily'!BZ34</f>
        <v>43</v>
      </c>
      <c r="AQ32" s="31">
        <f>'FS Desroches Daily'!CB34</f>
        <v>52.099999999998545</v>
      </c>
      <c r="AR32" s="31">
        <f>'FS Desroches Daily'!CD34</f>
        <v>9.3999999999996362</v>
      </c>
      <c r="AS32" s="31">
        <f>'FS Desroches Daily'!CF34</f>
        <v>1.3999999999996362</v>
      </c>
      <c r="AT32" s="31">
        <f>'FS Desroches Daily'!CH34</f>
        <v>47</v>
      </c>
      <c r="AU32" s="31">
        <f>'FS Desroches Daily'!CJ34</f>
        <v>281</v>
      </c>
      <c r="AV32" s="31">
        <f>'FS Desroches Daily'!CL34</f>
        <v>1000</v>
      </c>
      <c r="AW32" s="31">
        <f>'FS Desroches Daily'!CM34</f>
        <v>99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 t="str">
        <f>IF(LPG!Q39-LPG!Q38&lt;0,"0",(LPG!Q39-LPG!Q38)*1.8315)</f>
        <v>0</v>
      </c>
      <c r="BC32" s="13">
        <f>'FS Desroches Daily'!CN34</f>
        <v>22</v>
      </c>
      <c r="BD32" s="9"/>
    </row>
    <row r="33" spans="5:55" x14ac:dyDescent="0.25">
      <c r="E33" s="35">
        <f>SUM(E2:E32)</f>
        <v>105999.99999999985</v>
      </c>
      <c r="F33" s="17">
        <f t="shared" ref="F33:BC33" si="0">SUM(F2:F32)</f>
        <v>105100.00000000025</v>
      </c>
      <c r="G33" s="17">
        <f t="shared" si="0"/>
        <v>108399.99999999968</v>
      </c>
      <c r="H33" s="17">
        <f t="shared" si="0"/>
        <v>54500.000000000029</v>
      </c>
      <c r="I33" s="17">
        <f t="shared" si="0"/>
        <v>73800.000000000335</v>
      </c>
      <c r="J33" s="17">
        <f t="shared" si="0"/>
        <v>65699.999999999854</v>
      </c>
      <c r="K33" s="17">
        <f t="shared" si="0"/>
        <v>993</v>
      </c>
      <c r="L33" s="17">
        <f t="shared" si="0"/>
        <v>167</v>
      </c>
      <c r="M33" s="17">
        <f t="shared" si="0"/>
        <v>41.5</v>
      </c>
      <c r="N33" s="17">
        <f t="shared" si="0"/>
        <v>15483</v>
      </c>
      <c r="O33" s="17">
        <f t="shared" si="0"/>
        <v>11420.000000000015</v>
      </c>
      <c r="P33" s="17">
        <f t="shared" si="0"/>
        <v>93800.000000000349</v>
      </c>
      <c r="Q33" s="17">
        <f t="shared" si="0"/>
        <v>12689.999999999998</v>
      </c>
      <c r="R33" s="17">
        <f t="shared" si="0"/>
        <v>16830.000000000044</v>
      </c>
      <c r="S33" s="17">
        <f t="shared" si="0"/>
        <v>32959.99999999992</v>
      </c>
      <c r="T33" s="17">
        <f t="shared" si="0"/>
        <v>1170</v>
      </c>
      <c r="U33" s="35">
        <f t="shared" si="0"/>
        <v>27439.999999999942</v>
      </c>
      <c r="V33" s="35">
        <f t="shared" si="0"/>
        <v>8999.9999999999982</v>
      </c>
      <c r="W33" s="35">
        <f t="shared" si="0"/>
        <v>8750.0000000000018</v>
      </c>
      <c r="X33" s="35">
        <f t="shared" si="0"/>
        <v>7149.9999999999791</v>
      </c>
      <c r="Y33" s="35">
        <f t="shared" si="0"/>
        <v>6766.4999999999827</v>
      </c>
      <c r="Z33" s="35">
        <f t="shared" si="0"/>
        <v>8626.7199999999739</v>
      </c>
      <c r="AA33" s="35">
        <f t="shared" si="0"/>
        <v>8626.7199999999739</v>
      </c>
      <c r="AB33" s="35">
        <f t="shared" si="0"/>
        <v>7540.0000000000191</v>
      </c>
      <c r="AC33" s="35">
        <f t="shared" si="0"/>
        <v>5949.9999999999891</v>
      </c>
      <c r="AD33" s="35">
        <f t="shared" si="0"/>
        <v>6199.9999999999882</v>
      </c>
      <c r="AE33" s="35">
        <f t="shared" si="0"/>
        <v>3869.9999999999477</v>
      </c>
      <c r="AF33" s="17">
        <f t="shared" si="0"/>
        <v>1065</v>
      </c>
      <c r="AG33" s="32">
        <f t="shared" si="0"/>
        <v>1340.0000000000034</v>
      </c>
      <c r="AH33" s="32">
        <f t="shared" si="0"/>
        <v>1129.9999999999955</v>
      </c>
      <c r="AI33" s="32">
        <f t="shared" si="0"/>
        <v>1780.0000000000011</v>
      </c>
      <c r="AJ33" s="32">
        <f t="shared" si="0"/>
        <v>1500</v>
      </c>
      <c r="AK33" s="32">
        <f t="shared" si="0"/>
        <v>1949.9999999999886</v>
      </c>
      <c r="AL33" s="32">
        <f t="shared" si="0"/>
        <v>1322</v>
      </c>
      <c r="AM33" s="32">
        <f t="shared" si="0"/>
        <v>1669.9999999999875</v>
      </c>
      <c r="AN33" s="32">
        <f t="shared" si="0"/>
        <v>1438</v>
      </c>
      <c r="AO33" s="32">
        <f t="shared" si="0"/>
        <v>1460.000000000008</v>
      </c>
      <c r="AP33" s="32">
        <f t="shared" si="0"/>
        <v>1498</v>
      </c>
      <c r="AQ33" s="17">
        <f t="shared" si="0"/>
        <v>1703.1999999999971</v>
      </c>
      <c r="AR33" s="17">
        <f t="shared" si="0"/>
        <v>350.5</v>
      </c>
      <c r="AS33" s="17">
        <f t="shared" si="0"/>
        <v>157.29999999999927</v>
      </c>
      <c r="AT33" s="17">
        <f t="shared" si="0"/>
        <v>1529.9000000000087</v>
      </c>
      <c r="AU33" s="17">
        <f t="shared" si="0"/>
        <v>9584</v>
      </c>
      <c r="AV33" s="17">
        <f t="shared" si="0"/>
        <v>28740.000000000011</v>
      </c>
      <c r="AW33" s="17">
        <f t="shared" si="0"/>
        <v>3516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197.80199999999996</v>
      </c>
      <c r="BC33" s="17">
        <f t="shared" si="0"/>
        <v>970</v>
      </c>
    </row>
    <row r="35" spans="5:55" x14ac:dyDescent="0.25">
      <c r="E35" s="38">
        <f>E33/E37</f>
        <v>0.24603215129584657</v>
      </c>
      <c r="G35" s="29">
        <f>G33-M36</f>
        <v>92875.49999999968</v>
      </c>
      <c r="AE35" s="35">
        <f>SUM(U33:AE33)</f>
        <v>99919.939999999784</v>
      </c>
      <c r="AG35" s="32">
        <f>SUM(AG33:AP33)</f>
        <v>15087.999999999984</v>
      </c>
    </row>
    <row r="36" spans="5:55" x14ac:dyDescent="0.25">
      <c r="G36" s="29">
        <f>G35-633*14</f>
        <v>84013.49999999968</v>
      </c>
      <c r="M36" s="29">
        <f>M33+N33</f>
        <v>15524.5</v>
      </c>
    </row>
    <row r="37" spans="5:55" x14ac:dyDescent="0.25">
      <c r="E37" s="17">
        <f>E33+F33+G33+H33+J33-633*14</f>
        <v>430837.99999999965</v>
      </c>
      <c r="G37" s="37">
        <f>M36/E37</f>
        <v>3.603326540370165E-2</v>
      </c>
      <c r="M37" s="35">
        <f>AE35</f>
        <v>99919.939999999784</v>
      </c>
    </row>
    <row r="38" spans="5:55" x14ac:dyDescent="0.25">
      <c r="L38" s="27">
        <f>M38/E37</f>
        <v>3.5020123573129565E-2</v>
      </c>
      <c r="M38" s="29">
        <f>AG35</f>
        <v>15087.999999999984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zoomScale="82" zoomScaleNormal="82" workbookViewId="0">
      <pane ySplit="1" topLeftCell="A14" activePane="bottomLeft" state="frozen"/>
      <selection pane="bottomLeft" activeCell="CW38" sqref="CW3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>
        <v>8042.3</v>
      </c>
      <c r="CF10" s="67">
        <f t="shared" si="90"/>
        <v>3.1999999999998181</v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>
        <v>3.1745000000000001</v>
      </c>
      <c r="D11" s="64">
        <f t="shared" si="50"/>
        <v>3900.0000000002365</v>
      </c>
      <c r="E11" s="58">
        <v>4.2712000000000003</v>
      </c>
      <c r="F11" s="64">
        <f t="shared" si="51"/>
        <v>3200.0000000005357</v>
      </c>
      <c r="G11" s="58">
        <v>4.2282999999999999</v>
      </c>
      <c r="H11" s="64">
        <f t="shared" si="52"/>
        <v>3800.0000000000255</v>
      </c>
      <c r="I11" s="58">
        <v>2.1242000000000001</v>
      </c>
      <c r="J11" s="64">
        <f t="shared" si="53"/>
        <v>1900.0000000000127</v>
      </c>
      <c r="K11" s="58">
        <v>3.3235000000000001</v>
      </c>
      <c r="L11" s="64">
        <f t="shared" si="54"/>
        <v>2600.0000000001578</v>
      </c>
      <c r="M11" s="58">
        <v>1.9058999999999999</v>
      </c>
      <c r="N11" s="64">
        <f t="shared" si="55"/>
        <v>2499.9999999999468</v>
      </c>
      <c r="O11" s="58">
        <v>20490</v>
      </c>
      <c r="P11" s="67">
        <f t="shared" si="56"/>
        <v>42</v>
      </c>
      <c r="Q11" s="58">
        <v>2495</v>
      </c>
      <c r="R11" s="67">
        <f t="shared" si="57"/>
        <v>7</v>
      </c>
      <c r="S11" s="58">
        <v>1329.9</v>
      </c>
      <c r="T11" s="67">
        <f t="shared" si="58"/>
        <v>1.6000000000001364</v>
      </c>
      <c r="U11" s="58">
        <v>543644.9</v>
      </c>
      <c r="V11" s="67">
        <f t="shared" si="59"/>
        <v>457.40000000002328</v>
      </c>
      <c r="W11" s="58">
        <v>506.01</v>
      </c>
      <c r="X11" s="65">
        <f t="shared" si="60"/>
        <v>379.99999999999545</v>
      </c>
      <c r="Y11" s="58">
        <v>3.7541000000000002</v>
      </c>
      <c r="Z11" s="65">
        <f t="shared" si="61"/>
        <v>3100.0000000003247</v>
      </c>
      <c r="AA11" s="58">
        <v>509.15</v>
      </c>
      <c r="AB11" s="65">
        <f t="shared" si="62"/>
        <v>500</v>
      </c>
      <c r="AC11" s="58">
        <v>499.81</v>
      </c>
      <c r="AD11" s="65">
        <f t="shared" si="63"/>
        <v>660.00000000002501</v>
      </c>
      <c r="AE11" s="58">
        <v>739.69</v>
      </c>
      <c r="AF11" s="65">
        <f t="shared" si="64"/>
        <v>1210.0000000000364</v>
      </c>
      <c r="AG11" s="58">
        <v>16795</v>
      </c>
      <c r="AH11" s="67">
        <f t="shared" si="65"/>
        <v>38</v>
      </c>
      <c r="AI11" s="58">
        <v>843.87</v>
      </c>
      <c r="AJ11" s="65">
        <f t="shared" si="66"/>
        <v>1070.00000000005</v>
      </c>
      <c r="AK11" s="58">
        <v>281.98</v>
      </c>
      <c r="AL11" s="65">
        <f t="shared" si="67"/>
        <v>310.00000000000227</v>
      </c>
      <c r="AM11" s="58">
        <v>263.45</v>
      </c>
      <c r="AN11" s="65">
        <f t="shared" si="68"/>
        <v>319.99999999999318</v>
      </c>
      <c r="AO11" s="58">
        <v>254.37</v>
      </c>
      <c r="AP11" s="65">
        <f t="shared" si="69"/>
        <v>280.00000000000114</v>
      </c>
      <c r="AQ11" s="58">
        <v>309.67</v>
      </c>
      <c r="AR11" s="65">
        <f t="shared" si="70"/>
        <v>230.00000000001819</v>
      </c>
      <c r="AS11" s="58">
        <v>434.25</v>
      </c>
      <c r="AT11" s="65">
        <f t="shared" si="71"/>
        <v>370.00000000000455</v>
      </c>
      <c r="AU11" s="58">
        <v>343.95</v>
      </c>
      <c r="AV11" s="65">
        <f t="shared" si="72"/>
        <v>389.99999999998636</v>
      </c>
      <c r="AW11" s="58">
        <v>374.37</v>
      </c>
      <c r="AX11" s="65">
        <f t="shared" si="73"/>
        <v>310.00000000000227</v>
      </c>
      <c r="AY11" s="58">
        <v>407.58</v>
      </c>
      <c r="AZ11" s="65">
        <f t="shared" si="74"/>
        <v>219.99999999997044</v>
      </c>
      <c r="BA11" s="58">
        <v>428.22</v>
      </c>
      <c r="BB11" s="65">
        <f t="shared" si="75"/>
        <v>190.00000000005457</v>
      </c>
      <c r="BC11" s="58">
        <v>274.95999999999998</v>
      </c>
      <c r="BD11" s="65">
        <f t="shared" si="76"/>
        <v>169.99999999995907</v>
      </c>
      <c r="BE11" s="59">
        <v>50922</v>
      </c>
      <c r="BF11" s="67">
        <f t="shared" si="77"/>
        <v>39</v>
      </c>
      <c r="BG11" s="60">
        <v>247.85</v>
      </c>
      <c r="BH11" s="65">
        <f t="shared" si="78"/>
        <v>39.999999999992042</v>
      </c>
      <c r="BI11" s="60">
        <v>302.67</v>
      </c>
      <c r="BJ11" s="65">
        <f t="shared" si="79"/>
        <v>40.000000000020464</v>
      </c>
      <c r="BK11" s="60">
        <v>250.99</v>
      </c>
      <c r="BL11" s="65">
        <f t="shared" si="80"/>
        <v>60.000000000002274</v>
      </c>
      <c r="BM11" s="60">
        <v>237.4</v>
      </c>
      <c r="BN11" s="65">
        <f t="shared" si="81"/>
        <v>50.000000000011369</v>
      </c>
      <c r="BO11" s="60">
        <v>305</v>
      </c>
      <c r="BP11" s="65">
        <f t="shared" si="82"/>
        <v>69.999999999993179</v>
      </c>
      <c r="BQ11" s="60">
        <v>56011</v>
      </c>
      <c r="BR11" s="65">
        <f t="shared" si="83"/>
        <v>49</v>
      </c>
      <c r="BS11" s="60">
        <v>214.96</v>
      </c>
      <c r="BT11" s="65">
        <f t="shared" si="84"/>
        <v>60.000000000002274</v>
      </c>
      <c r="BU11" s="60">
        <v>53545</v>
      </c>
      <c r="BV11" s="65">
        <f t="shared" si="85"/>
        <v>49</v>
      </c>
      <c r="BW11" s="60">
        <v>243.28</v>
      </c>
      <c r="BX11" s="65">
        <f t="shared" si="86"/>
        <v>50.000000000011369</v>
      </c>
      <c r="BY11" s="60">
        <v>73189</v>
      </c>
      <c r="BZ11" s="67">
        <f t="shared" si="87"/>
        <v>53</v>
      </c>
      <c r="CA11" s="60">
        <v>47562</v>
      </c>
      <c r="CB11" s="67">
        <f t="shared" si="88"/>
        <v>70.5</v>
      </c>
      <c r="CC11" s="60">
        <v>15550.9</v>
      </c>
      <c r="CD11" s="67">
        <f t="shared" si="89"/>
        <v>11.600000000000364</v>
      </c>
      <c r="CE11" s="60">
        <v>8068.3</v>
      </c>
      <c r="CF11" s="67">
        <f t="shared" si="90"/>
        <v>26</v>
      </c>
      <c r="CG11" s="60">
        <v>73859.3</v>
      </c>
      <c r="CH11" s="67">
        <f t="shared" si="91"/>
        <v>42.400000000008731</v>
      </c>
      <c r="CI11" s="60">
        <v>1042430</v>
      </c>
      <c r="CJ11" s="67">
        <f t="shared" si="92"/>
        <v>408</v>
      </c>
      <c r="CK11" s="60">
        <v>980.25</v>
      </c>
      <c r="CL11" s="64">
        <f t="shared" si="93"/>
        <v>1039.9999999999636</v>
      </c>
      <c r="CM11" s="65">
        <f t="shared" si="94"/>
        <v>131</v>
      </c>
      <c r="CN11" s="62">
        <v>43</v>
      </c>
      <c r="CO11" s="62">
        <v>106</v>
      </c>
      <c r="CP11" s="68">
        <v>29377</v>
      </c>
      <c r="CQ11" s="67">
        <f t="shared" si="45"/>
        <v>101</v>
      </c>
      <c r="CR11" s="68">
        <v>21210.2</v>
      </c>
      <c r="CS11" s="67">
        <f t="shared" si="45"/>
        <v>30</v>
      </c>
      <c r="CT11" s="75">
        <v>9980</v>
      </c>
      <c r="CU11" s="67">
        <f t="shared" si="47"/>
        <v>9</v>
      </c>
      <c r="CV11" s="68">
        <v>24074</v>
      </c>
      <c r="CW11" s="67">
        <f t="shared" si="95"/>
        <v>11</v>
      </c>
      <c r="CX11" s="58">
        <v>2849.9</v>
      </c>
      <c r="CY11" s="67">
        <f t="shared" si="96"/>
        <v>13.700000000000273</v>
      </c>
    </row>
    <row r="12" spans="1:103" ht="25.5" customHeight="1" thickBot="1" x14ac:dyDescent="0.45">
      <c r="A12" s="63">
        <v>44690</v>
      </c>
      <c r="B12" s="44"/>
      <c r="C12" s="58">
        <v>3.1785999999999999</v>
      </c>
      <c r="D12" s="64">
        <f t="shared" si="50"/>
        <v>4099.9999999997708</v>
      </c>
      <c r="E12" s="58">
        <v>4.2750000000000004</v>
      </c>
      <c r="F12" s="64">
        <f t="shared" si="51"/>
        <v>3800.0000000000255</v>
      </c>
      <c r="G12" s="58">
        <v>4.2319000000000004</v>
      </c>
      <c r="H12" s="64">
        <f t="shared" si="52"/>
        <v>3600.0000000004916</v>
      </c>
      <c r="I12" s="58">
        <v>2.1261000000000001</v>
      </c>
      <c r="J12" s="64">
        <f t="shared" si="53"/>
        <v>1900.0000000000127</v>
      </c>
      <c r="K12" s="58">
        <v>3.3258999999999999</v>
      </c>
      <c r="L12" s="64">
        <f t="shared" si="54"/>
        <v>2399.9999999997358</v>
      </c>
      <c r="M12" s="58">
        <v>1.9080999999999999</v>
      </c>
      <c r="N12" s="64">
        <f t="shared" si="55"/>
        <v>2199.9999999999795</v>
      </c>
      <c r="O12" s="58">
        <v>20530</v>
      </c>
      <c r="P12" s="67">
        <f t="shared" si="56"/>
        <v>40</v>
      </c>
      <c r="Q12" s="58">
        <v>2502</v>
      </c>
      <c r="R12" s="67">
        <f t="shared" si="57"/>
        <v>7</v>
      </c>
      <c r="S12" s="58">
        <v>1331.5</v>
      </c>
      <c r="T12" s="67">
        <f t="shared" si="58"/>
        <v>1.5999999999999091</v>
      </c>
      <c r="U12" s="58">
        <v>544323.1</v>
      </c>
      <c r="V12" s="67">
        <f t="shared" si="59"/>
        <v>678.19999999995343</v>
      </c>
      <c r="W12" s="58">
        <v>506.42</v>
      </c>
      <c r="X12" s="65">
        <f t="shared" si="60"/>
        <v>410.00000000002501</v>
      </c>
      <c r="Y12" s="58">
        <v>3.7574999999999998</v>
      </c>
      <c r="Z12" s="65">
        <f t="shared" si="61"/>
        <v>3399.9999999996257</v>
      </c>
      <c r="AA12" s="58">
        <v>509.62</v>
      </c>
      <c r="AB12" s="65">
        <f t="shared" si="62"/>
        <v>470.00000000002728</v>
      </c>
      <c r="AC12" s="58">
        <v>500.42</v>
      </c>
      <c r="AD12" s="65">
        <f t="shared" si="63"/>
        <v>610.00000000001364</v>
      </c>
      <c r="AE12" s="58">
        <v>740.92</v>
      </c>
      <c r="AF12" s="65">
        <f t="shared" si="64"/>
        <v>1229.9999999999045</v>
      </c>
      <c r="AG12" s="58">
        <v>16838</v>
      </c>
      <c r="AH12" s="67">
        <f t="shared" si="65"/>
        <v>43</v>
      </c>
      <c r="AI12" s="58">
        <v>844.91</v>
      </c>
      <c r="AJ12" s="65">
        <f t="shared" si="66"/>
        <v>1039.9999999999636</v>
      </c>
      <c r="AK12" s="58">
        <v>282.26</v>
      </c>
      <c r="AL12" s="65">
        <f t="shared" si="67"/>
        <v>279.99999999997272</v>
      </c>
      <c r="AM12" s="58">
        <v>263.81</v>
      </c>
      <c r="AN12" s="65">
        <f t="shared" si="68"/>
        <v>360.00000000001364</v>
      </c>
      <c r="AO12" s="58">
        <v>254.61</v>
      </c>
      <c r="AP12" s="65">
        <f t="shared" si="69"/>
        <v>240.00000000000909</v>
      </c>
      <c r="AQ12" s="58">
        <v>310.05</v>
      </c>
      <c r="AR12" s="65">
        <f t="shared" si="70"/>
        <v>379.99999999999545</v>
      </c>
      <c r="AS12" s="58">
        <v>434.61</v>
      </c>
      <c r="AT12" s="65">
        <f t="shared" si="71"/>
        <v>360.00000000001364</v>
      </c>
      <c r="AU12" s="58">
        <v>344.13</v>
      </c>
      <c r="AV12" s="65">
        <f t="shared" si="72"/>
        <v>180.00000000000682</v>
      </c>
      <c r="AW12" s="58">
        <v>374.71</v>
      </c>
      <c r="AX12" s="65">
        <f t="shared" si="73"/>
        <v>339.99999999997499</v>
      </c>
      <c r="AY12" s="58">
        <v>407.76</v>
      </c>
      <c r="AZ12" s="65">
        <f t="shared" si="74"/>
        <v>180.00000000000682</v>
      </c>
      <c r="BA12" s="58">
        <v>428.43</v>
      </c>
      <c r="BB12" s="65">
        <f t="shared" si="75"/>
        <v>209.99999999997954</v>
      </c>
      <c r="BC12" s="58">
        <v>275.12</v>
      </c>
      <c r="BD12" s="65">
        <f t="shared" si="76"/>
        <v>160.00000000002501</v>
      </c>
      <c r="BE12" s="59">
        <v>50958</v>
      </c>
      <c r="BF12" s="67">
        <f t="shared" si="77"/>
        <v>36</v>
      </c>
      <c r="BG12" s="60">
        <v>247.9</v>
      </c>
      <c r="BH12" s="65">
        <f t="shared" si="78"/>
        <v>50.000000000011369</v>
      </c>
      <c r="BI12" s="60">
        <v>302.70999999999998</v>
      </c>
      <c r="BJ12" s="65">
        <f t="shared" si="79"/>
        <v>39.99999999996362</v>
      </c>
      <c r="BK12" s="60">
        <v>251.06</v>
      </c>
      <c r="BL12" s="65">
        <f t="shared" si="80"/>
        <v>69.999999999993179</v>
      </c>
      <c r="BM12" s="60">
        <v>237.45</v>
      </c>
      <c r="BN12" s="65">
        <f t="shared" si="81"/>
        <v>49.999999999982947</v>
      </c>
      <c r="BO12" s="60">
        <v>305.07</v>
      </c>
      <c r="BP12" s="65">
        <f t="shared" si="82"/>
        <v>69.999999999993179</v>
      </c>
      <c r="BQ12" s="60">
        <v>56066</v>
      </c>
      <c r="BR12" s="65">
        <f t="shared" si="83"/>
        <v>55</v>
      </c>
      <c r="BS12" s="60">
        <v>215.03</v>
      </c>
      <c r="BT12" s="65">
        <f t="shared" si="84"/>
        <v>69.999999999993179</v>
      </c>
      <c r="BU12" s="60">
        <v>53596</v>
      </c>
      <c r="BV12" s="65">
        <f t="shared" si="85"/>
        <v>51</v>
      </c>
      <c r="BW12" s="60">
        <v>243.34</v>
      </c>
      <c r="BX12" s="65">
        <f t="shared" si="86"/>
        <v>60.000000000002274</v>
      </c>
      <c r="BY12" s="60">
        <v>73245</v>
      </c>
      <c r="BZ12" s="67">
        <f t="shared" si="87"/>
        <v>56</v>
      </c>
      <c r="CA12" s="60">
        <v>47623</v>
      </c>
      <c r="CB12" s="67">
        <f t="shared" si="88"/>
        <v>61</v>
      </c>
      <c r="CC12" s="60">
        <v>15563.8</v>
      </c>
      <c r="CD12" s="67">
        <f t="shared" si="89"/>
        <v>12.899999999999636</v>
      </c>
      <c r="CE12" s="60">
        <v>8072.8</v>
      </c>
      <c r="CF12" s="67">
        <f t="shared" si="90"/>
        <v>4.5</v>
      </c>
      <c r="CG12" s="60">
        <v>73914.100000000006</v>
      </c>
      <c r="CH12" s="67">
        <f t="shared" si="91"/>
        <v>54.80000000000291</v>
      </c>
      <c r="CI12" s="60">
        <v>1042693</v>
      </c>
      <c r="CJ12" s="67">
        <f t="shared" si="92"/>
        <v>263</v>
      </c>
      <c r="CK12" s="60">
        <v>981.21</v>
      </c>
      <c r="CL12" s="64">
        <f t="shared" si="93"/>
        <v>960.00000000003638</v>
      </c>
      <c r="CM12" s="65">
        <f t="shared" si="94"/>
        <v>141.79999999999927</v>
      </c>
      <c r="CN12" s="62">
        <v>43</v>
      </c>
      <c r="CO12" s="62">
        <v>106</v>
      </c>
      <c r="CP12" s="68">
        <v>29476</v>
      </c>
      <c r="CQ12" s="67">
        <f t="shared" si="45"/>
        <v>99</v>
      </c>
      <c r="CR12" s="68">
        <v>21253</v>
      </c>
      <c r="CS12" s="67">
        <f t="shared" si="45"/>
        <v>42.799999999999272</v>
      </c>
      <c r="CT12" s="75">
        <v>9989</v>
      </c>
      <c r="CU12" s="67">
        <f t="shared" si="47"/>
        <v>9</v>
      </c>
      <c r="CV12" s="68">
        <v>24085</v>
      </c>
      <c r="CW12" s="67">
        <f t="shared" si="95"/>
        <v>11</v>
      </c>
      <c r="CX12" s="58">
        <v>2863.4</v>
      </c>
      <c r="CY12" s="67">
        <f t="shared" si="96"/>
        <v>13.5</v>
      </c>
    </row>
    <row r="13" spans="1:103" ht="25.5" customHeight="1" thickBot="1" x14ac:dyDescent="0.45">
      <c r="A13" s="63">
        <v>44691</v>
      </c>
      <c r="B13" s="44"/>
      <c r="C13" s="58">
        <v>3.1825000000000001</v>
      </c>
      <c r="D13" s="64">
        <f t="shared" si="50"/>
        <v>3900.0000000002365</v>
      </c>
      <c r="E13" s="58">
        <v>4.2779999999999996</v>
      </c>
      <c r="F13" s="64">
        <f t="shared" si="51"/>
        <v>2999.9999999992256</v>
      </c>
      <c r="G13" s="58">
        <v>4.2355</v>
      </c>
      <c r="H13" s="64">
        <f t="shared" si="52"/>
        <v>3599.9999999996035</v>
      </c>
      <c r="I13" s="58">
        <v>2.1280000000000001</v>
      </c>
      <c r="J13" s="64">
        <f t="shared" si="53"/>
        <v>1900.0000000000127</v>
      </c>
      <c r="K13" s="58">
        <v>3.3281000000000001</v>
      </c>
      <c r="L13" s="64">
        <f t="shared" si="54"/>
        <v>2200.0000000002019</v>
      </c>
      <c r="M13" s="58">
        <v>1.9101999999999999</v>
      </c>
      <c r="N13" s="64">
        <f t="shared" si="55"/>
        <v>2099.9999999999909</v>
      </c>
      <c r="O13" s="58">
        <v>20565</v>
      </c>
      <c r="P13" s="67">
        <f t="shared" si="56"/>
        <v>35</v>
      </c>
      <c r="Q13" s="58">
        <v>2508</v>
      </c>
      <c r="R13" s="67">
        <f t="shared" si="57"/>
        <v>6</v>
      </c>
      <c r="S13" s="58">
        <v>1333</v>
      </c>
      <c r="T13" s="67">
        <f t="shared" si="58"/>
        <v>1.5</v>
      </c>
      <c r="U13" s="58">
        <v>544910.5</v>
      </c>
      <c r="V13" s="67">
        <f t="shared" si="59"/>
        <v>587.40000000002328</v>
      </c>
      <c r="W13" s="58">
        <v>506.76</v>
      </c>
      <c r="X13" s="65">
        <f t="shared" si="60"/>
        <v>339.99999999997499</v>
      </c>
      <c r="Y13" s="58">
        <v>3.7604000000000002</v>
      </c>
      <c r="Z13" s="65">
        <f t="shared" si="61"/>
        <v>2900.0000000003465</v>
      </c>
      <c r="AA13" s="58">
        <v>509.9</v>
      </c>
      <c r="AB13" s="65">
        <f t="shared" si="62"/>
        <v>279.99999999997272</v>
      </c>
      <c r="AC13" s="58">
        <v>500.93</v>
      </c>
      <c r="AD13" s="65">
        <f t="shared" si="63"/>
        <v>509.99999999999091</v>
      </c>
      <c r="AE13" s="58">
        <v>742.01</v>
      </c>
      <c r="AF13" s="65">
        <f t="shared" si="64"/>
        <v>1090.0000000000318</v>
      </c>
      <c r="AG13" s="58">
        <v>16892</v>
      </c>
      <c r="AH13" s="67">
        <f t="shared" si="65"/>
        <v>54</v>
      </c>
      <c r="AI13" s="58">
        <v>845.89</v>
      </c>
      <c r="AJ13" s="65">
        <f t="shared" si="66"/>
        <v>980.00000000001819</v>
      </c>
      <c r="AK13" s="58">
        <v>282.54000000000002</v>
      </c>
      <c r="AL13" s="65">
        <f t="shared" si="67"/>
        <v>280.00000000002956</v>
      </c>
      <c r="AM13" s="58">
        <v>264.13</v>
      </c>
      <c r="AN13" s="65">
        <f t="shared" si="68"/>
        <v>319.99999999999318</v>
      </c>
      <c r="AO13" s="58">
        <v>254.82</v>
      </c>
      <c r="AP13" s="65">
        <f t="shared" si="69"/>
        <v>209.99999999997954</v>
      </c>
      <c r="AQ13" s="58">
        <v>310.29000000000002</v>
      </c>
      <c r="AR13" s="65">
        <f t="shared" si="70"/>
        <v>240.00000000000909</v>
      </c>
      <c r="AS13" s="58">
        <v>434.95</v>
      </c>
      <c r="AT13" s="65">
        <f t="shared" si="71"/>
        <v>339.99999999997499</v>
      </c>
      <c r="AU13" s="58">
        <v>344.39</v>
      </c>
      <c r="AV13" s="65">
        <f t="shared" si="72"/>
        <v>259.99999999999091</v>
      </c>
      <c r="AW13" s="58">
        <v>374.98</v>
      </c>
      <c r="AX13" s="65">
        <f t="shared" si="73"/>
        <v>270.00000000003865</v>
      </c>
      <c r="AY13" s="58">
        <v>407.93</v>
      </c>
      <c r="AZ13" s="65">
        <f t="shared" si="74"/>
        <v>170.00000000001592</v>
      </c>
      <c r="BA13" s="58">
        <v>428.68</v>
      </c>
      <c r="BB13" s="65">
        <f t="shared" si="75"/>
        <v>250</v>
      </c>
      <c r="BC13" s="58">
        <v>275.29000000000002</v>
      </c>
      <c r="BD13" s="65">
        <f t="shared" si="76"/>
        <v>170.00000000001592</v>
      </c>
      <c r="BE13" s="59">
        <v>50987</v>
      </c>
      <c r="BF13" s="67">
        <f t="shared" si="77"/>
        <v>29</v>
      </c>
      <c r="BG13" s="60">
        <v>247.94</v>
      </c>
      <c r="BH13" s="65">
        <f t="shared" si="78"/>
        <v>39.999999999992042</v>
      </c>
      <c r="BI13" s="60">
        <v>302.75</v>
      </c>
      <c r="BJ13" s="65">
        <f t="shared" si="79"/>
        <v>40.000000000020464</v>
      </c>
      <c r="BK13" s="60">
        <v>251.12</v>
      </c>
      <c r="BL13" s="65">
        <f t="shared" si="80"/>
        <v>60.000000000002274</v>
      </c>
      <c r="BM13" s="60">
        <v>237.5</v>
      </c>
      <c r="BN13" s="65">
        <f t="shared" si="81"/>
        <v>50.000000000011369</v>
      </c>
      <c r="BO13" s="60">
        <v>305.14</v>
      </c>
      <c r="BP13" s="65">
        <f t="shared" si="82"/>
        <v>69.999999999993179</v>
      </c>
      <c r="BQ13" s="60">
        <v>56111</v>
      </c>
      <c r="BR13" s="65">
        <f t="shared" si="83"/>
        <v>45</v>
      </c>
      <c r="BS13" s="60">
        <v>215.09</v>
      </c>
      <c r="BT13" s="65">
        <f t="shared" si="84"/>
        <v>60.000000000002274</v>
      </c>
      <c r="BU13" s="60">
        <v>53636</v>
      </c>
      <c r="BV13" s="65">
        <f t="shared" si="85"/>
        <v>40</v>
      </c>
      <c r="BW13" s="60">
        <v>243.39</v>
      </c>
      <c r="BX13" s="65">
        <f t="shared" si="86"/>
        <v>49.999999999982947</v>
      </c>
      <c r="BY13" s="60">
        <v>73293</v>
      </c>
      <c r="BZ13" s="67">
        <f t="shared" si="87"/>
        <v>48</v>
      </c>
      <c r="CA13" s="60">
        <v>47685.8</v>
      </c>
      <c r="CB13" s="67">
        <f t="shared" si="88"/>
        <v>62.80000000000291</v>
      </c>
      <c r="CC13" s="60">
        <v>15572.8</v>
      </c>
      <c r="CD13" s="67">
        <f t="shared" si="89"/>
        <v>9</v>
      </c>
      <c r="CE13" s="60">
        <v>8072.9</v>
      </c>
      <c r="CF13" s="67">
        <f t="shared" si="90"/>
        <v>9.9999999999454303E-2</v>
      </c>
      <c r="CG13" s="60">
        <v>73970.5</v>
      </c>
      <c r="CH13" s="67">
        <f t="shared" si="91"/>
        <v>56.399999999994179</v>
      </c>
      <c r="CI13" s="60">
        <v>1043017</v>
      </c>
      <c r="CJ13" s="67">
        <f t="shared" si="92"/>
        <v>324</v>
      </c>
      <c r="CK13" s="60">
        <v>982.15</v>
      </c>
      <c r="CL13" s="64">
        <f t="shared" si="93"/>
        <v>939.99999999994088</v>
      </c>
      <c r="CM13" s="65">
        <f t="shared" si="94"/>
        <v>143.20000000000073</v>
      </c>
      <c r="CN13" s="62">
        <v>40</v>
      </c>
      <c r="CO13" s="62">
        <v>96</v>
      </c>
      <c r="CP13" s="68">
        <v>29592</v>
      </c>
      <c r="CQ13" s="67">
        <f t="shared" si="45"/>
        <v>116</v>
      </c>
      <c r="CR13" s="68">
        <v>21280.2</v>
      </c>
      <c r="CS13" s="67">
        <f t="shared" si="45"/>
        <v>27.200000000000728</v>
      </c>
      <c r="CT13" s="75">
        <v>10001</v>
      </c>
      <c r="CU13" s="67">
        <f t="shared" si="47"/>
        <v>12</v>
      </c>
      <c r="CV13" s="68">
        <v>24095</v>
      </c>
      <c r="CW13" s="67">
        <f t="shared" si="95"/>
        <v>10</v>
      </c>
      <c r="CX13" s="58">
        <v>2875.9</v>
      </c>
      <c r="CY13" s="67">
        <f t="shared" si="96"/>
        <v>12.5</v>
      </c>
    </row>
    <row r="14" spans="1:103" ht="25.5" customHeight="1" thickBot="1" x14ac:dyDescent="0.45">
      <c r="A14" s="63">
        <v>44692</v>
      </c>
      <c r="B14" s="44"/>
      <c r="C14" s="58">
        <v>3.1865000000000001</v>
      </c>
      <c r="D14" s="64">
        <f t="shared" si="50"/>
        <v>4000.0000000000036</v>
      </c>
      <c r="E14" s="58">
        <v>4.2816000000000001</v>
      </c>
      <c r="F14" s="64">
        <f t="shared" si="51"/>
        <v>3600.0000000004916</v>
      </c>
      <c r="G14" s="58">
        <v>4.2390999999999996</v>
      </c>
      <c r="H14" s="64">
        <f t="shared" si="52"/>
        <v>3599.9999999996035</v>
      </c>
      <c r="I14" s="58">
        <v>2.1297999999999999</v>
      </c>
      <c r="J14" s="64">
        <f t="shared" si="53"/>
        <v>1799.9999999998017</v>
      </c>
      <c r="K14" s="58">
        <v>3.3302</v>
      </c>
      <c r="L14" s="64">
        <f t="shared" si="54"/>
        <v>2099.9999999999909</v>
      </c>
      <c r="M14" s="58">
        <v>1.9125000000000001</v>
      </c>
      <c r="N14" s="64">
        <f t="shared" si="55"/>
        <v>2300.000000000191</v>
      </c>
      <c r="O14" s="58">
        <v>20606</v>
      </c>
      <c r="P14" s="67">
        <f t="shared" si="56"/>
        <v>41</v>
      </c>
      <c r="Q14" s="58">
        <v>2514</v>
      </c>
      <c r="R14" s="67">
        <f t="shared" si="57"/>
        <v>6</v>
      </c>
      <c r="S14" s="58">
        <v>1334.4</v>
      </c>
      <c r="T14" s="67">
        <f t="shared" si="58"/>
        <v>1.4000000000000909</v>
      </c>
      <c r="U14" s="58">
        <v>545502.6</v>
      </c>
      <c r="V14" s="67">
        <f t="shared" si="59"/>
        <v>592.09999999997672</v>
      </c>
      <c r="W14" s="58">
        <v>507.15</v>
      </c>
      <c r="X14" s="65">
        <f t="shared" si="60"/>
        <v>389.99999999998636</v>
      </c>
      <c r="Y14" s="58">
        <v>3.7633999999999999</v>
      </c>
      <c r="Z14" s="65">
        <f t="shared" si="61"/>
        <v>2999.9999999996694</v>
      </c>
      <c r="AA14" s="58">
        <v>510.32</v>
      </c>
      <c r="AB14" s="65">
        <f t="shared" si="62"/>
        <v>420.00000000001592</v>
      </c>
      <c r="AC14" s="58">
        <v>501.48</v>
      </c>
      <c r="AD14" s="65">
        <f t="shared" si="63"/>
        <v>550.00000000001137</v>
      </c>
      <c r="AE14" s="58">
        <v>743.13</v>
      </c>
      <c r="AF14" s="65">
        <f t="shared" si="64"/>
        <v>1120.0000000000045</v>
      </c>
      <c r="AG14" s="58">
        <v>16954</v>
      </c>
      <c r="AH14" s="67">
        <f t="shared" si="65"/>
        <v>62</v>
      </c>
      <c r="AI14" s="58">
        <v>846.97</v>
      </c>
      <c r="AJ14" s="65">
        <f t="shared" si="66"/>
        <v>1080.0000000000409</v>
      </c>
      <c r="AK14" s="58">
        <v>282.89</v>
      </c>
      <c r="AL14" s="65">
        <f t="shared" si="67"/>
        <v>349.99999999996589</v>
      </c>
      <c r="AM14" s="58">
        <v>264.48</v>
      </c>
      <c r="AN14" s="65">
        <f t="shared" si="68"/>
        <v>350.00000000002274</v>
      </c>
      <c r="AO14" s="58">
        <v>255.05</v>
      </c>
      <c r="AP14" s="65">
        <f t="shared" si="69"/>
        <v>230.00000000001819</v>
      </c>
      <c r="AQ14" s="58">
        <v>310.61</v>
      </c>
      <c r="AR14" s="65">
        <f t="shared" si="70"/>
        <v>319.99999999999318</v>
      </c>
      <c r="AS14" s="58">
        <v>435.34</v>
      </c>
      <c r="AT14" s="65">
        <f t="shared" si="71"/>
        <v>389.99999999998636</v>
      </c>
      <c r="AU14" s="58">
        <v>344.67</v>
      </c>
      <c r="AV14" s="65">
        <f t="shared" si="72"/>
        <v>280.00000000002956</v>
      </c>
      <c r="AW14" s="58">
        <v>375.25</v>
      </c>
      <c r="AX14" s="65">
        <f t="shared" si="73"/>
        <v>269.99999999998181</v>
      </c>
      <c r="AY14" s="58">
        <v>408.17</v>
      </c>
      <c r="AZ14" s="65">
        <f t="shared" si="74"/>
        <v>240.00000000000909</v>
      </c>
      <c r="BA14" s="58">
        <v>428.92</v>
      </c>
      <c r="BB14" s="65">
        <f t="shared" si="75"/>
        <v>240.00000000000909</v>
      </c>
      <c r="BC14" s="58">
        <v>275.45999999999998</v>
      </c>
      <c r="BD14" s="65">
        <f t="shared" si="76"/>
        <v>169.99999999995907</v>
      </c>
      <c r="BE14" s="59">
        <v>51026</v>
      </c>
      <c r="BF14" s="67">
        <f t="shared" si="77"/>
        <v>39</v>
      </c>
      <c r="BG14" s="60">
        <v>247.98</v>
      </c>
      <c r="BH14" s="65">
        <f t="shared" si="78"/>
        <v>39.999999999992042</v>
      </c>
      <c r="BI14" s="60">
        <v>302.77999999999997</v>
      </c>
      <c r="BJ14" s="65">
        <f t="shared" si="79"/>
        <v>29.999999999972715</v>
      </c>
      <c r="BK14" s="60">
        <v>251.18</v>
      </c>
      <c r="BL14" s="65">
        <f t="shared" si="80"/>
        <v>60.000000000002274</v>
      </c>
      <c r="BM14" s="60">
        <v>237.56</v>
      </c>
      <c r="BN14" s="65">
        <f t="shared" si="81"/>
        <v>60.000000000002274</v>
      </c>
      <c r="BO14" s="60">
        <v>305.20999999999998</v>
      </c>
      <c r="BP14" s="65">
        <f t="shared" si="82"/>
        <v>69.999999999993179</v>
      </c>
      <c r="BQ14" s="60">
        <v>56155</v>
      </c>
      <c r="BR14" s="65">
        <f t="shared" si="83"/>
        <v>44</v>
      </c>
      <c r="BS14" s="60">
        <v>215.14</v>
      </c>
      <c r="BT14" s="65">
        <f t="shared" si="84"/>
        <v>49.999999999982947</v>
      </c>
      <c r="BU14" s="60">
        <v>53693</v>
      </c>
      <c r="BV14" s="65">
        <f t="shared" si="85"/>
        <v>57</v>
      </c>
      <c r="BW14" s="60">
        <v>243.44</v>
      </c>
      <c r="BX14" s="65">
        <f t="shared" si="86"/>
        <v>50.000000000011369</v>
      </c>
      <c r="BY14" s="60">
        <v>73343</v>
      </c>
      <c r="BZ14" s="67">
        <f t="shared" si="87"/>
        <v>50</v>
      </c>
      <c r="CA14" s="60">
        <v>47745.8</v>
      </c>
      <c r="CB14" s="67">
        <f t="shared" si="88"/>
        <v>60</v>
      </c>
      <c r="CC14" s="60">
        <v>15581.5</v>
      </c>
      <c r="CD14" s="67">
        <f t="shared" si="89"/>
        <v>8.7000000000007276</v>
      </c>
      <c r="CE14" s="60">
        <v>8078.4</v>
      </c>
      <c r="CF14" s="67">
        <f t="shared" si="90"/>
        <v>5.5</v>
      </c>
      <c r="CG14" s="60">
        <v>74017.399999999994</v>
      </c>
      <c r="CH14" s="67">
        <f t="shared" si="91"/>
        <v>46.899999999994179</v>
      </c>
      <c r="CI14" s="60">
        <v>1043334</v>
      </c>
      <c r="CJ14" s="67">
        <f t="shared" si="92"/>
        <v>317</v>
      </c>
      <c r="CK14" s="60">
        <v>983.06</v>
      </c>
      <c r="CL14" s="64">
        <f t="shared" si="93"/>
        <v>909.99999999996817</v>
      </c>
      <c r="CM14" s="65">
        <f t="shared" si="94"/>
        <v>137.79999999999927</v>
      </c>
      <c r="CN14" s="62">
        <v>41</v>
      </c>
      <c r="CO14" s="62">
        <v>96</v>
      </c>
      <c r="CP14" s="68">
        <v>29699</v>
      </c>
      <c r="CQ14" s="67">
        <f t="shared" si="45"/>
        <v>107</v>
      </c>
      <c r="CR14" s="68">
        <v>21311</v>
      </c>
      <c r="CS14" s="67">
        <f t="shared" si="45"/>
        <v>30.799999999999272</v>
      </c>
      <c r="CT14" s="75">
        <v>10014</v>
      </c>
      <c r="CU14" s="67">
        <f t="shared" si="47"/>
        <v>13</v>
      </c>
      <c r="CV14" s="68">
        <v>24107</v>
      </c>
      <c r="CW14" s="67">
        <f t="shared" si="95"/>
        <v>12</v>
      </c>
      <c r="CX14" s="58">
        <v>2888.8</v>
      </c>
      <c r="CY14" s="67">
        <f t="shared" si="96"/>
        <v>12.900000000000091</v>
      </c>
    </row>
    <row r="15" spans="1:103" ht="25.5" customHeight="1" thickBot="1" x14ac:dyDescent="0.45">
      <c r="A15" s="63">
        <v>44693</v>
      </c>
      <c r="B15" s="44"/>
      <c r="C15" s="58">
        <v>3.1909000000000001</v>
      </c>
      <c r="D15" s="64">
        <f t="shared" si="50"/>
        <v>4399.9999999999591</v>
      </c>
      <c r="E15" s="58">
        <v>4.2824999999999998</v>
      </c>
      <c r="F15" s="64">
        <f t="shared" si="51"/>
        <v>899.99999999967883</v>
      </c>
      <c r="G15" s="58">
        <v>4.2427000000000001</v>
      </c>
      <c r="H15" s="64">
        <f t="shared" si="52"/>
        <v>3600.0000000004916</v>
      </c>
      <c r="I15" s="58">
        <v>2.1316999999999999</v>
      </c>
      <c r="J15" s="64">
        <f t="shared" si="53"/>
        <v>1900.0000000000127</v>
      </c>
      <c r="K15" s="58">
        <v>3.3323999999999998</v>
      </c>
      <c r="L15" s="64">
        <f t="shared" si="54"/>
        <v>2199.9999999997576</v>
      </c>
      <c r="M15" s="58">
        <v>1.9148000000000001</v>
      </c>
      <c r="N15" s="64">
        <f t="shared" si="55"/>
        <v>2299.9999999999686</v>
      </c>
      <c r="O15" s="58">
        <v>20648</v>
      </c>
      <c r="P15" s="67">
        <f t="shared" si="56"/>
        <v>42</v>
      </c>
      <c r="Q15" s="58">
        <v>2521</v>
      </c>
      <c r="R15" s="67">
        <f>IF((Q15-Q14&lt;0), "",Q15-Q14)</f>
        <v>7</v>
      </c>
      <c r="S15" s="58">
        <v>1335.7</v>
      </c>
      <c r="T15" s="67">
        <f t="shared" si="58"/>
        <v>1.2999999999999545</v>
      </c>
      <c r="U15" s="58">
        <v>546018.1</v>
      </c>
      <c r="V15" s="67">
        <f t="shared" si="59"/>
        <v>515.5</v>
      </c>
      <c r="W15" s="58">
        <v>507.55</v>
      </c>
      <c r="X15" s="65">
        <f t="shared" si="60"/>
        <v>400.00000000003411</v>
      </c>
      <c r="Y15" s="58">
        <v>3.7665999999999999</v>
      </c>
      <c r="Z15" s="65">
        <f t="shared" si="61"/>
        <v>3200.0000000000919</v>
      </c>
      <c r="AA15" s="58">
        <v>510.76</v>
      </c>
      <c r="AB15" s="65">
        <f t="shared" si="62"/>
        <v>439.99999999999773</v>
      </c>
      <c r="AC15" s="58">
        <v>502.05</v>
      </c>
      <c r="AD15" s="65">
        <f t="shared" si="63"/>
        <v>569.99999999999318</v>
      </c>
      <c r="AE15" s="58">
        <v>744.36</v>
      </c>
      <c r="AF15" s="65">
        <f t="shared" si="64"/>
        <v>1230.0000000000182</v>
      </c>
      <c r="AG15" s="58">
        <v>16998</v>
      </c>
      <c r="AH15" s="67">
        <f t="shared" si="65"/>
        <v>44</v>
      </c>
      <c r="AI15" s="58">
        <v>848.05</v>
      </c>
      <c r="AJ15" s="65">
        <f t="shared" si="66"/>
        <v>1079.9999999999272</v>
      </c>
      <c r="AK15" s="58">
        <v>283.14999999999998</v>
      </c>
      <c r="AL15" s="65">
        <f t="shared" si="67"/>
        <v>259.99999999999091</v>
      </c>
      <c r="AM15" s="58">
        <v>264.86</v>
      </c>
      <c r="AN15" s="65">
        <f t="shared" si="68"/>
        <v>379.99999999999545</v>
      </c>
      <c r="AO15" s="58">
        <v>255.28</v>
      </c>
      <c r="AP15" s="65">
        <f t="shared" si="69"/>
        <v>229.99999999998977</v>
      </c>
      <c r="AQ15" s="58">
        <v>310.89</v>
      </c>
      <c r="AR15" s="65">
        <f t="shared" si="70"/>
        <v>279.99999999997272</v>
      </c>
      <c r="AS15" s="58">
        <v>435.72</v>
      </c>
      <c r="AT15" s="65">
        <f t="shared" si="71"/>
        <v>380.0000000000523</v>
      </c>
      <c r="AU15" s="58">
        <v>345</v>
      </c>
      <c r="AV15" s="65">
        <f t="shared" si="72"/>
        <v>329.99999999998408</v>
      </c>
      <c r="AW15" s="58">
        <v>375.54</v>
      </c>
      <c r="AX15" s="65">
        <f t="shared" si="73"/>
        <v>290.00000000002046</v>
      </c>
      <c r="AY15" s="58">
        <v>408.48</v>
      </c>
      <c r="AZ15" s="65">
        <f t="shared" si="74"/>
        <v>310.00000000000227</v>
      </c>
      <c r="BA15" s="58">
        <v>429.16</v>
      </c>
      <c r="BB15" s="65">
        <f t="shared" si="75"/>
        <v>240.00000000000909</v>
      </c>
      <c r="BC15" s="58">
        <v>275.62</v>
      </c>
      <c r="BD15" s="65">
        <f t="shared" si="76"/>
        <v>160.00000000002501</v>
      </c>
      <c r="BE15" s="59">
        <v>51063</v>
      </c>
      <c r="BF15" s="67">
        <f t="shared" si="77"/>
        <v>37</v>
      </c>
      <c r="BG15" s="60">
        <v>248.02</v>
      </c>
      <c r="BH15" s="65">
        <f t="shared" si="78"/>
        <v>40.000000000020464</v>
      </c>
      <c r="BI15" s="60">
        <v>302.83</v>
      </c>
      <c r="BJ15" s="65">
        <f t="shared" si="79"/>
        <v>50.000000000011369</v>
      </c>
      <c r="BK15" s="60">
        <v>251.26</v>
      </c>
      <c r="BL15" s="65">
        <f t="shared" si="80"/>
        <v>79.999999999984084</v>
      </c>
      <c r="BM15" s="60">
        <v>237.62</v>
      </c>
      <c r="BN15" s="65">
        <f t="shared" si="81"/>
        <v>60.000000000002274</v>
      </c>
      <c r="BO15" s="60">
        <v>305.27</v>
      </c>
      <c r="BP15" s="65">
        <f t="shared" si="82"/>
        <v>60.000000000002274</v>
      </c>
      <c r="BQ15" s="60">
        <v>56205</v>
      </c>
      <c r="BR15" s="65">
        <f t="shared" si="83"/>
        <v>50</v>
      </c>
      <c r="BS15" s="60">
        <v>215.2</v>
      </c>
      <c r="BT15" s="65">
        <f t="shared" si="84"/>
        <v>60.000000000002274</v>
      </c>
      <c r="BU15" s="60">
        <v>53750</v>
      </c>
      <c r="BV15" s="65">
        <f t="shared" si="85"/>
        <v>57</v>
      </c>
      <c r="BW15" s="60">
        <v>243.49</v>
      </c>
      <c r="BX15" s="65">
        <f t="shared" si="86"/>
        <v>50.000000000011369</v>
      </c>
      <c r="BY15" s="60">
        <v>73399</v>
      </c>
      <c r="BZ15" s="67">
        <f t="shared" si="87"/>
        <v>56</v>
      </c>
      <c r="CA15" s="60">
        <v>47800.2</v>
      </c>
      <c r="CB15" s="67">
        <f t="shared" si="88"/>
        <v>54.399999999994179</v>
      </c>
      <c r="CC15" s="60">
        <v>15595.2</v>
      </c>
      <c r="CD15" s="67">
        <f t="shared" si="89"/>
        <v>13.700000000000728</v>
      </c>
      <c r="CE15" s="60">
        <v>8086.1</v>
      </c>
      <c r="CF15" s="67">
        <f t="shared" si="90"/>
        <v>7.7000000000007276</v>
      </c>
      <c r="CG15" s="60">
        <v>74067.199999999997</v>
      </c>
      <c r="CH15" s="67">
        <f t="shared" si="91"/>
        <v>49.80000000000291</v>
      </c>
      <c r="CI15" s="60">
        <v>1043659</v>
      </c>
      <c r="CJ15" s="67">
        <f t="shared" si="92"/>
        <v>325</v>
      </c>
      <c r="CK15" s="60">
        <v>984</v>
      </c>
      <c r="CL15" s="64">
        <f t="shared" si="93"/>
        <v>940.00000000005457</v>
      </c>
      <c r="CM15" s="65">
        <f t="shared" si="94"/>
        <v>139</v>
      </c>
      <c r="CN15" s="62">
        <v>49</v>
      </c>
      <c r="CO15" s="62">
        <v>94</v>
      </c>
      <c r="CP15" s="68">
        <v>29805</v>
      </c>
      <c r="CQ15" s="67">
        <f t="shared" si="45"/>
        <v>106</v>
      </c>
      <c r="CR15" s="68">
        <v>21344</v>
      </c>
      <c r="CS15" s="67">
        <f t="shared" si="45"/>
        <v>33</v>
      </c>
      <c r="CT15" s="75">
        <v>10026</v>
      </c>
      <c r="CU15" s="67">
        <f t="shared" si="47"/>
        <v>12</v>
      </c>
      <c r="CV15" s="68">
        <v>24139</v>
      </c>
      <c r="CW15" s="67">
        <f t="shared" si="95"/>
        <v>32</v>
      </c>
      <c r="CX15" s="58">
        <v>2902.1</v>
      </c>
      <c r="CY15" s="67">
        <f t="shared" si="96"/>
        <v>13.299999999999727</v>
      </c>
    </row>
    <row r="16" spans="1:103" ht="25.5" customHeight="1" thickBot="1" x14ac:dyDescent="0.45">
      <c r="A16" s="63">
        <v>44694</v>
      </c>
      <c r="B16" s="44"/>
      <c r="C16" s="58">
        <v>3.1949999999999998</v>
      </c>
      <c r="D16" s="64">
        <f t="shared" si="50"/>
        <v>4099.9999999997708</v>
      </c>
      <c r="E16" s="58">
        <v>4.2880000000000003</v>
      </c>
      <c r="F16" s="64">
        <f t="shared" si="51"/>
        <v>5500.0000000005048</v>
      </c>
      <c r="G16" s="58">
        <v>4.2462999999999997</v>
      </c>
      <c r="H16" s="64">
        <f t="shared" si="52"/>
        <v>3599.9999999996035</v>
      </c>
      <c r="I16" s="58">
        <v>2.1335999999999999</v>
      </c>
      <c r="J16" s="64">
        <f>IF((I16-I15&lt;0), "0",(I16-I15)*1000000)</f>
        <v>1900.0000000000127</v>
      </c>
      <c r="K16" s="58">
        <v>3.3344999999999998</v>
      </c>
      <c r="L16" s="64">
        <f t="shared" si="54"/>
        <v>2099.9999999999909</v>
      </c>
      <c r="M16" s="58">
        <v>1.9171</v>
      </c>
      <c r="N16" s="64">
        <f t="shared" si="55"/>
        <v>2299.9999999999686</v>
      </c>
      <c r="O16" s="58">
        <v>20691</v>
      </c>
      <c r="P16" s="67">
        <f t="shared" si="56"/>
        <v>43</v>
      </c>
      <c r="Q16" s="58">
        <v>2527</v>
      </c>
      <c r="R16" s="67">
        <f t="shared" si="57"/>
        <v>6</v>
      </c>
      <c r="S16" s="58">
        <v>1337.1</v>
      </c>
      <c r="T16" s="67">
        <f t="shared" si="58"/>
        <v>1.3999999999998636</v>
      </c>
      <c r="U16" s="58">
        <v>546562.5</v>
      </c>
      <c r="V16" s="67">
        <f t="shared" si="59"/>
        <v>544.40000000002328</v>
      </c>
      <c r="W16" s="58">
        <v>507.92</v>
      </c>
      <c r="X16" s="65">
        <f t="shared" si="60"/>
        <v>370.00000000000455</v>
      </c>
      <c r="Y16" s="58">
        <v>3.7696000000000001</v>
      </c>
      <c r="Z16" s="65">
        <f t="shared" si="61"/>
        <v>3000.0000000001137</v>
      </c>
      <c r="AA16" s="58">
        <v>511.2</v>
      </c>
      <c r="AB16" s="65">
        <f t="shared" si="62"/>
        <v>439.99999999999773</v>
      </c>
      <c r="AC16" s="58">
        <v>502.61</v>
      </c>
      <c r="AD16" s="65">
        <f t="shared" si="63"/>
        <v>560.00000000000227</v>
      </c>
      <c r="AE16" s="58">
        <v>745.59</v>
      </c>
      <c r="AF16" s="65">
        <f t="shared" si="64"/>
        <v>1230.0000000000182</v>
      </c>
      <c r="AG16" s="58">
        <v>17045</v>
      </c>
      <c r="AH16" s="67">
        <f t="shared" si="65"/>
        <v>47</v>
      </c>
      <c r="AI16" s="58">
        <v>849.06</v>
      </c>
      <c r="AJ16" s="65">
        <f t="shared" si="66"/>
        <v>1009.9999999999909</v>
      </c>
      <c r="AK16" s="58">
        <v>283.44</v>
      </c>
      <c r="AL16" s="65">
        <f t="shared" si="67"/>
        <v>290.00000000002046</v>
      </c>
      <c r="AM16" s="58">
        <v>265.23</v>
      </c>
      <c r="AN16" s="65">
        <f t="shared" si="68"/>
        <v>370.00000000000455</v>
      </c>
      <c r="AO16" s="58">
        <v>255.5</v>
      </c>
      <c r="AP16" s="65">
        <f t="shared" si="69"/>
        <v>219.99999999999886</v>
      </c>
      <c r="AQ16" s="58">
        <v>311.2</v>
      </c>
      <c r="AR16" s="65">
        <f t="shared" si="70"/>
        <v>310.00000000000227</v>
      </c>
      <c r="AS16" s="58">
        <v>436.1</v>
      </c>
      <c r="AT16" s="65">
        <f t="shared" si="71"/>
        <v>379.99999999999545</v>
      </c>
      <c r="AU16" s="58">
        <v>345.35</v>
      </c>
      <c r="AV16" s="65">
        <f t="shared" si="72"/>
        <v>350.00000000002274</v>
      </c>
      <c r="AW16" s="58">
        <v>375.81</v>
      </c>
      <c r="AX16" s="65">
        <f t="shared" si="73"/>
        <v>269.99999999998181</v>
      </c>
      <c r="AY16" s="58">
        <v>408.75</v>
      </c>
      <c r="AZ16" s="65">
        <f t="shared" si="74"/>
        <v>269.99999999998181</v>
      </c>
      <c r="BA16" s="58">
        <v>429.79</v>
      </c>
      <c r="BB16" s="65">
        <f t="shared" si="75"/>
        <v>629.99999999999545</v>
      </c>
      <c r="BC16" s="58">
        <v>275.77999999999997</v>
      </c>
      <c r="BD16" s="65">
        <f t="shared" si="76"/>
        <v>159.99999999996817</v>
      </c>
      <c r="BE16" s="59">
        <v>51103</v>
      </c>
      <c r="BF16" s="67">
        <f t="shared" si="77"/>
        <v>40</v>
      </c>
      <c r="BG16" s="60">
        <v>248.07</v>
      </c>
      <c r="BH16" s="65">
        <f t="shared" si="78"/>
        <v>49.999999999982947</v>
      </c>
      <c r="BI16" s="60">
        <v>302.88</v>
      </c>
      <c r="BJ16" s="65">
        <f t="shared" si="79"/>
        <v>50.000000000011369</v>
      </c>
      <c r="BK16" s="60">
        <v>251.33</v>
      </c>
      <c r="BL16" s="65">
        <f t="shared" si="80"/>
        <v>70.0000000000216</v>
      </c>
      <c r="BM16" s="60">
        <v>237.67</v>
      </c>
      <c r="BN16" s="65">
        <f t="shared" si="81"/>
        <v>49.999999999982947</v>
      </c>
      <c r="BO16" s="60">
        <v>305.33999999999997</v>
      </c>
      <c r="BP16" s="65">
        <f t="shared" si="82"/>
        <v>69.999999999993179</v>
      </c>
      <c r="BQ16" s="60">
        <v>56250</v>
      </c>
      <c r="BR16" s="65">
        <f t="shared" si="83"/>
        <v>45</v>
      </c>
      <c r="BS16" s="60">
        <v>215.26</v>
      </c>
      <c r="BT16" s="65">
        <f t="shared" si="84"/>
        <v>60.000000000002274</v>
      </c>
      <c r="BU16" s="60">
        <v>53788</v>
      </c>
      <c r="BV16" s="65">
        <f t="shared" si="85"/>
        <v>38</v>
      </c>
      <c r="BW16" s="60">
        <v>243.55</v>
      </c>
      <c r="BX16" s="65">
        <f t="shared" si="86"/>
        <v>60.000000000002274</v>
      </c>
      <c r="BY16" s="60">
        <v>73454</v>
      </c>
      <c r="BZ16" s="67">
        <f t="shared" si="87"/>
        <v>55</v>
      </c>
      <c r="CA16" s="60">
        <v>47848.6</v>
      </c>
      <c r="CB16" s="67">
        <f t="shared" si="88"/>
        <v>48.400000000001455</v>
      </c>
      <c r="CC16" s="60">
        <v>15607.6</v>
      </c>
      <c r="CD16" s="67">
        <f t="shared" si="89"/>
        <v>12.399999999999636</v>
      </c>
      <c r="CE16" s="60">
        <v>8093.6</v>
      </c>
      <c r="CF16" s="67">
        <f t="shared" si="90"/>
        <v>7.5</v>
      </c>
      <c r="CG16" s="60">
        <v>74147.199999999997</v>
      </c>
      <c r="CH16" s="67">
        <f t="shared" si="91"/>
        <v>80</v>
      </c>
      <c r="CI16" s="60">
        <v>1043993</v>
      </c>
      <c r="CJ16" s="67">
        <f t="shared" si="92"/>
        <v>334</v>
      </c>
      <c r="CK16" s="60">
        <v>985.2</v>
      </c>
      <c r="CL16" s="64">
        <f t="shared" si="93"/>
        <v>1200.0000000000455</v>
      </c>
      <c r="CM16" s="65">
        <f t="shared" si="94"/>
        <v>118</v>
      </c>
      <c r="CN16" s="62">
        <v>45</v>
      </c>
      <c r="CO16" s="62">
        <v>104</v>
      </c>
      <c r="CP16" s="68">
        <v>29896</v>
      </c>
      <c r="CQ16" s="67">
        <f t="shared" si="45"/>
        <v>91</v>
      </c>
      <c r="CR16" s="68">
        <v>21371</v>
      </c>
      <c r="CS16" s="67">
        <f t="shared" si="45"/>
        <v>27</v>
      </c>
      <c r="CT16" s="75">
        <v>10039</v>
      </c>
      <c r="CU16" s="67">
        <f t="shared" si="47"/>
        <v>13</v>
      </c>
      <c r="CV16" s="68">
        <v>24165</v>
      </c>
      <c r="CW16" s="67">
        <f t="shared" si="95"/>
        <v>26</v>
      </c>
      <c r="CX16" s="58">
        <v>2914.9</v>
      </c>
      <c r="CY16" s="67">
        <f t="shared" si="96"/>
        <v>12.800000000000182</v>
      </c>
    </row>
    <row r="17" spans="1:103" ht="25.5" customHeight="1" thickBot="1" x14ac:dyDescent="0.45">
      <c r="A17" s="63">
        <v>44695</v>
      </c>
      <c r="B17" s="44"/>
      <c r="C17" s="58">
        <v>3.1989999999999998</v>
      </c>
      <c r="D17" s="64">
        <f t="shared" si="50"/>
        <v>4000.0000000000036</v>
      </c>
      <c r="E17" s="58">
        <v>4.2910000000000004</v>
      </c>
      <c r="F17" s="64">
        <f t="shared" si="51"/>
        <v>3000.0000000001137</v>
      </c>
      <c r="G17" s="58">
        <v>4.25</v>
      </c>
      <c r="H17" s="64">
        <f t="shared" si="52"/>
        <v>3700.0000000002588</v>
      </c>
      <c r="I17" s="58">
        <v>2.1356000000000002</v>
      </c>
      <c r="J17" s="64">
        <f t="shared" si="53"/>
        <v>2000.0000000002237</v>
      </c>
      <c r="K17" s="58">
        <v>3.3365999999999998</v>
      </c>
      <c r="L17" s="64">
        <f t="shared" si="54"/>
        <v>2099.9999999999909</v>
      </c>
      <c r="M17" s="58">
        <v>1.9194</v>
      </c>
      <c r="N17" s="64">
        <f t="shared" si="55"/>
        <v>2299.9999999999686</v>
      </c>
      <c r="O17" s="58">
        <v>20732</v>
      </c>
      <c r="P17" s="67">
        <f t="shared" si="56"/>
        <v>41</v>
      </c>
      <c r="Q17" s="58">
        <v>2534</v>
      </c>
      <c r="R17" s="67">
        <f t="shared" si="57"/>
        <v>7</v>
      </c>
      <c r="S17" s="58">
        <v>1338.6</v>
      </c>
      <c r="T17" s="67">
        <f t="shared" si="58"/>
        <v>1.5</v>
      </c>
      <c r="U17" s="58">
        <v>547137.4</v>
      </c>
      <c r="V17" s="67">
        <f t="shared" si="59"/>
        <v>574.90000000002328</v>
      </c>
      <c r="W17" s="58">
        <v>508.29</v>
      </c>
      <c r="X17" s="65">
        <f t="shared" si="60"/>
        <v>370.00000000000455</v>
      </c>
      <c r="Y17" s="58">
        <v>3.7726999999999999</v>
      </c>
      <c r="Z17" s="65">
        <f t="shared" si="61"/>
        <v>3099.9999999998809</v>
      </c>
      <c r="AA17" s="58">
        <v>511.63</v>
      </c>
      <c r="AB17" s="65">
        <f t="shared" si="62"/>
        <v>430.00000000000682</v>
      </c>
      <c r="AC17" s="58">
        <v>503.23</v>
      </c>
      <c r="AD17" s="65">
        <f t="shared" si="63"/>
        <v>620.00000000000455</v>
      </c>
      <c r="AE17" s="58">
        <v>746.78</v>
      </c>
      <c r="AF17" s="65">
        <f t="shared" si="64"/>
        <v>1189.9999999999409</v>
      </c>
      <c r="AG17" s="58">
        <v>17087</v>
      </c>
      <c r="AH17" s="67">
        <f t="shared" si="65"/>
        <v>42</v>
      </c>
      <c r="AI17" s="58">
        <v>850.03</v>
      </c>
      <c r="AJ17" s="65">
        <f t="shared" si="66"/>
        <v>970.00000000002728</v>
      </c>
      <c r="AK17" s="58">
        <v>283.76</v>
      </c>
      <c r="AL17" s="65">
        <f t="shared" si="67"/>
        <v>319.99999999999318</v>
      </c>
      <c r="AM17" s="58">
        <v>265.57</v>
      </c>
      <c r="AN17" s="65">
        <f t="shared" si="68"/>
        <v>339.99999999997499</v>
      </c>
      <c r="AO17" s="58">
        <v>255.72</v>
      </c>
      <c r="AP17" s="65">
        <f t="shared" si="69"/>
        <v>219.99999999999886</v>
      </c>
      <c r="AQ17" s="58">
        <v>311.49</v>
      </c>
      <c r="AR17" s="65">
        <v>436.5</v>
      </c>
      <c r="AS17" s="58">
        <v>436.5</v>
      </c>
      <c r="AT17" s="65">
        <f t="shared" si="71"/>
        <v>399.99999999997726</v>
      </c>
      <c r="AU17" s="58">
        <v>345.74</v>
      </c>
      <c r="AV17" s="65">
        <f t="shared" si="72"/>
        <v>389.99999999998636</v>
      </c>
      <c r="AW17" s="58">
        <v>376.11</v>
      </c>
      <c r="AX17" s="65">
        <f t="shared" si="73"/>
        <v>300.00000000001137</v>
      </c>
      <c r="AY17" s="58">
        <v>409.04</v>
      </c>
      <c r="AZ17" s="65">
        <f t="shared" si="74"/>
        <v>290.00000000002046</v>
      </c>
      <c r="BA17" s="58">
        <v>429.83</v>
      </c>
      <c r="BB17" s="65">
        <f t="shared" si="75"/>
        <v>39.99999999996362</v>
      </c>
      <c r="BC17" s="58">
        <v>275.95</v>
      </c>
      <c r="BD17" s="65">
        <f t="shared" si="76"/>
        <v>170.00000000001592</v>
      </c>
      <c r="BE17" s="59">
        <v>51131</v>
      </c>
      <c r="BF17" s="67">
        <f t="shared" si="77"/>
        <v>28</v>
      </c>
      <c r="BG17" s="60">
        <v>248.13</v>
      </c>
      <c r="BH17" s="65">
        <f t="shared" si="78"/>
        <v>60.000000000002274</v>
      </c>
      <c r="BI17" s="60">
        <v>302.93</v>
      </c>
      <c r="BJ17" s="65">
        <f t="shared" si="79"/>
        <v>50.000000000011369</v>
      </c>
      <c r="BK17" s="60">
        <v>251.4</v>
      </c>
      <c r="BL17" s="65">
        <f t="shared" si="80"/>
        <v>69.999999999993179</v>
      </c>
      <c r="BM17" s="60">
        <v>237.72</v>
      </c>
      <c r="BN17" s="65">
        <f t="shared" si="81"/>
        <v>50.000000000011369</v>
      </c>
      <c r="BO17" s="60">
        <v>305.42</v>
      </c>
      <c r="BP17" s="65">
        <f t="shared" si="82"/>
        <v>80.000000000040927</v>
      </c>
      <c r="BQ17" s="60">
        <v>56296</v>
      </c>
      <c r="BR17" s="65">
        <f t="shared" si="83"/>
        <v>46</v>
      </c>
      <c r="BS17" s="60">
        <v>215.33</v>
      </c>
      <c r="BT17" s="65">
        <f t="shared" si="84"/>
        <v>70.0000000000216</v>
      </c>
      <c r="BU17" s="60">
        <v>53847</v>
      </c>
      <c r="BV17" s="65">
        <f t="shared" si="85"/>
        <v>59</v>
      </c>
      <c r="BW17" s="60">
        <v>243.6</v>
      </c>
      <c r="BX17" s="65">
        <f t="shared" si="86"/>
        <v>49.999999999982947</v>
      </c>
      <c r="BY17" s="60">
        <v>73514</v>
      </c>
      <c r="BZ17" s="67">
        <f t="shared" si="87"/>
        <v>60</v>
      </c>
      <c r="CA17" s="60">
        <v>47896.9</v>
      </c>
      <c r="CB17" s="67">
        <f t="shared" si="88"/>
        <v>48.30000000000291</v>
      </c>
      <c r="CC17" s="60">
        <v>15622.6</v>
      </c>
      <c r="CD17" s="67">
        <f t="shared" si="89"/>
        <v>15</v>
      </c>
      <c r="CE17" s="60">
        <v>8098.1</v>
      </c>
      <c r="CF17" s="67">
        <f t="shared" si="90"/>
        <v>4.5</v>
      </c>
      <c r="CG17" s="60">
        <v>74174</v>
      </c>
      <c r="CH17" s="67">
        <f t="shared" si="91"/>
        <v>26.80000000000291</v>
      </c>
      <c r="CI17" s="60">
        <v>1044342</v>
      </c>
      <c r="CJ17" s="67">
        <f t="shared" si="92"/>
        <v>349</v>
      </c>
      <c r="CK17" s="60">
        <v>985.8</v>
      </c>
      <c r="CL17" s="64">
        <f t="shared" si="93"/>
        <v>599.99999999990905</v>
      </c>
      <c r="CM17" s="65">
        <f t="shared" si="94"/>
        <v>120</v>
      </c>
      <c r="CN17" s="62">
        <v>45</v>
      </c>
      <c r="CO17" s="62">
        <v>104</v>
      </c>
      <c r="CP17" s="68">
        <v>29986</v>
      </c>
      <c r="CQ17" s="67">
        <f t="shared" ref="CQ17:CQ34" si="97">IF((CP17-CP16&lt;0), "",CP17-CP16)</f>
        <v>90</v>
      </c>
      <c r="CR17" s="68">
        <v>21401</v>
      </c>
      <c r="CS17" s="67">
        <f t="shared" si="45"/>
        <v>30</v>
      </c>
      <c r="CT17" s="75">
        <v>10051</v>
      </c>
      <c r="CU17" s="67">
        <f t="shared" si="47"/>
        <v>12</v>
      </c>
      <c r="CV17" s="68">
        <v>24184</v>
      </c>
      <c r="CW17" s="67">
        <f t="shared" si="95"/>
        <v>19</v>
      </c>
      <c r="CX17" s="58">
        <v>2928.3</v>
      </c>
      <c r="CY17" s="67">
        <f t="shared" si="96"/>
        <v>13.400000000000091</v>
      </c>
    </row>
    <row r="18" spans="1:103" ht="25.5" customHeight="1" thickBot="1" x14ac:dyDescent="0.45">
      <c r="A18" s="63">
        <v>44696</v>
      </c>
      <c r="B18" s="44"/>
      <c r="C18" s="58">
        <v>3.2029999999999998</v>
      </c>
      <c r="D18" s="64">
        <f t="shared" si="50"/>
        <v>4000.0000000000036</v>
      </c>
      <c r="E18" s="58">
        <v>4.2949999999999999</v>
      </c>
      <c r="F18" s="64">
        <f t="shared" si="51"/>
        <v>3999.9999999995593</v>
      </c>
      <c r="G18" s="58">
        <v>4.2538</v>
      </c>
      <c r="H18" s="64">
        <f t="shared" si="52"/>
        <v>3800.0000000000255</v>
      </c>
      <c r="I18" s="58">
        <v>2.1374</v>
      </c>
      <c r="J18" s="64">
        <f t="shared" si="53"/>
        <v>1799.9999999998017</v>
      </c>
      <c r="K18" s="58">
        <v>3.3386999999999998</v>
      </c>
      <c r="L18" s="64">
        <f t="shared" si="54"/>
        <v>2099.9999999999909</v>
      </c>
      <c r="M18" s="58">
        <v>1.9217</v>
      </c>
      <c r="N18" s="64">
        <f t="shared" si="55"/>
        <v>2299.9999999999686</v>
      </c>
      <c r="O18" s="58">
        <v>20772</v>
      </c>
      <c r="P18" s="67">
        <f t="shared" si="56"/>
        <v>40</v>
      </c>
      <c r="Q18" s="58">
        <v>2540</v>
      </c>
      <c r="R18" s="67">
        <f t="shared" si="57"/>
        <v>6</v>
      </c>
      <c r="S18" s="58">
        <v>1340.4</v>
      </c>
      <c r="T18" s="67">
        <f t="shared" si="58"/>
        <v>1.8000000000001819</v>
      </c>
      <c r="U18" s="58">
        <v>547799.69999999995</v>
      </c>
      <c r="V18" s="67">
        <f t="shared" si="59"/>
        <v>662.29999999993015</v>
      </c>
      <c r="W18" s="58">
        <v>508.71</v>
      </c>
      <c r="X18" s="65">
        <f t="shared" si="60"/>
        <v>419.99999999995907</v>
      </c>
      <c r="Y18" s="58">
        <v>3.7757999999999998</v>
      </c>
      <c r="Z18" s="65">
        <f t="shared" si="61"/>
        <v>3099.9999999998809</v>
      </c>
      <c r="AA18" s="58">
        <v>512.08000000000004</v>
      </c>
      <c r="AB18" s="65">
        <f t="shared" si="62"/>
        <v>450.00000000004547</v>
      </c>
      <c r="AC18" s="58">
        <v>503.86</v>
      </c>
      <c r="AD18" s="65">
        <f t="shared" si="63"/>
        <v>629.99999999999545</v>
      </c>
      <c r="AE18" s="58">
        <v>747.94</v>
      </c>
      <c r="AF18" s="65">
        <f t="shared" si="64"/>
        <v>1160.0000000000819</v>
      </c>
      <c r="AG18" s="58">
        <v>17135</v>
      </c>
      <c r="AH18" s="67">
        <f t="shared" si="65"/>
        <v>48</v>
      </c>
      <c r="AI18" s="58">
        <v>850.88</v>
      </c>
      <c r="AJ18" s="65">
        <f t="shared" si="66"/>
        <v>850.00000000002274</v>
      </c>
      <c r="AK18" s="58">
        <v>284.02</v>
      </c>
      <c r="AL18" s="65">
        <f t="shared" si="67"/>
        <v>259.99999999999091</v>
      </c>
      <c r="AM18" s="58">
        <v>265.8</v>
      </c>
      <c r="AN18" s="65">
        <f t="shared" si="68"/>
        <v>230.00000000001819</v>
      </c>
      <c r="AO18" s="58">
        <v>255.96</v>
      </c>
      <c r="AP18" s="65">
        <f t="shared" si="69"/>
        <v>240.00000000000909</v>
      </c>
      <c r="AQ18" s="58">
        <v>311.79000000000002</v>
      </c>
      <c r="AR18" s="65">
        <f t="shared" si="70"/>
        <v>300.00000000001137</v>
      </c>
      <c r="AS18" s="58">
        <v>436.86</v>
      </c>
      <c r="AT18" s="65">
        <f t="shared" si="71"/>
        <v>360.00000000001364</v>
      </c>
      <c r="AU18" s="58">
        <v>346.12</v>
      </c>
      <c r="AV18" s="65">
        <f t="shared" si="72"/>
        <v>379.99999999999545</v>
      </c>
      <c r="AW18" s="58">
        <v>376.31</v>
      </c>
      <c r="AX18" s="65">
        <f t="shared" si="73"/>
        <v>199.99999999998863</v>
      </c>
      <c r="AY18" s="58">
        <v>409.34</v>
      </c>
      <c r="AZ18" s="65">
        <f t="shared" si="74"/>
        <v>299.99999999995453</v>
      </c>
      <c r="BA18" s="58">
        <v>429.88</v>
      </c>
      <c r="BB18" s="65">
        <f t="shared" si="75"/>
        <v>50.000000000011369</v>
      </c>
      <c r="BC18" s="58">
        <v>276.13</v>
      </c>
      <c r="BD18" s="65">
        <f t="shared" si="76"/>
        <v>180.00000000000682</v>
      </c>
      <c r="BE18" s="59">
        <v>51188</v>
      </c>
      <c r="BF18" s="67">
        <f t="shared" si="77"/>
        <v>57</v>
      </c>
      <c r="BG18" s="60">
        <v>248.18</v>
      </c>
      <c r="BH18" s="65">
        <f t="shared" si="78"/>
        <v>50.000000000011369</v>
      </c>
      <c r="BI18" s="60">
        <v>302.95999999999998</v>
      </c>
      <c r="BJ18" s="65">
        <f t="shared" si="79"/>
        <v>29.999999999972715</v>
      </c>
      <c r="BK18" s="60">
        <v>251.48</v>
      </c>
      <c r="BL18" s="65">
        <f t="shared" si="80"/>
        <v>79.999999999984084</v>
      </c>
      <c r="BM18" s="60">
        <v>237.77</v>
      </c>
      <c r="BN18" s="65">
        <f t="shared" si="81"/>
        <v>50.000000000011369</v>
      </c>
      <c r="BO18" s="60">
        <v>305.49</v>
      </c>
      <c r="BP18" s="65">
        <f t="shared" si="82"/>
        <v>69.999999999993179</v>
      </c>
      <c r="BQ18" s="60">
        <v>56342</v>
      </c>
      <c r="BR18" s="65">
        <f t="shared" si="83"/>
        <v>46</v>
      </c>
      <c r="BS18" s="60">
        <v>215.38</v>
      </c>
      <c r="BT18" s="65">
        <f t="shared" si="84"/>
        <v>49.999999999982947</v>
      </c>
      <c r="BU18" s="60">
        <v>53897</v>
      </c>
      <c r="BV18" s="65">
        <f t="shared" si="85"/>
        <v>50</v>
      </c>
      <c r="BW18" s="60">
        <v>243.66</v>
      </c>
      <c r="BX18" s="65">
        <f t="shared" si="86"/>
        <v>60.000000000002274</v>
      </c>
      <c r="BY18" s="60">
        <v>73570</v>
      </c>
      <c r="BZ18" s="67">
        <f t="shared" si="87"/>
        <v>56</v>
      </c>
      <c r="CA18" s="60">
        <v>47940</v>
      </c>
      <c r="CB18" s="67">
        <f t="shared" si="88"/>
        <v>43.099999999998545</v>
      </c>
      <c r="CC18" s="60">
        <v>15633.9</v>
      </c>
      <c r="CD18" s="67">
        <f t="shared" si="89"/>
        <v>11.299999999999272</v>
      </c>
      <c r="CE18" s="60">
        <v>8099.9</v>
      </c>
      <c r="CF18" s="67">
        <f t="shared" si="90"/>
        <v>1.7999999999992724</v>
      </c>
      <c r="CG18" s="60">
        <v>74221.3</v>
      </c>
      <c r="CH18" s="67">
        <f t="shared" si="91"/>
        <v>47.30000000000291</v>
      </c>
      <c r="CI18" s="60">
        <v>1044674</v>
      </c>
      <c r="CJ18" s="67">
        <f t="shared" si="92"/>
        <v>332</v>
      </c>
      <c r="CK18" s="60">
        <v>986.92</v>
      </c>
      <c r="CL18" s="64">
        <f t="shared" si="93"/>
        <v>1120.0000000000045</v>
      </c>
      <c r="CM18" s="65">
        <f t="shared" si="94"/>
        <v>124</v>
      </c>
      <c r="CN18" s="62">
        <v>40</v>
      </c>
      <c r="CO18" s="62">
        <v>85</v>
      </c>
      <c r="CP18" s="68">
        <v>30083</v>
      </c>
      <c r="CQ18" s="67">
        <f t="shared" si="97"/>
        <v>97</v>
      </c>
      <c r="CR18" s="68">
        <v>21428</v>
      </c>
      <c r="CS18" s="67">
        <f t="shared" si="45"/>
        <v>27</v>
      </c>
      <c r="CT18" s="75">
        <v>10065</v>
      </c>
      <c r="CU18" s="67">
        <f t="shared" si="47"/>
        <v>14</v>
      </c>
      <c r="CV18" s="68">
        <v>24202</v>
      </c>
      <c r="CW18" s="67">
        <f t="shared" si="95"/>
        <v>18</v>
      </c>
      <c r="CX18" s="58">
        <v>2941.1</v>
      </c>
      <c r="CY18" s="67">
        <f t="shared" si="96"/>
        <v>12.799999999999727</v>
      </c>
    </row>
    <row r="19" spans="1:103" ht="25.5" customHeight="1" thickBot="1" x14ac:dyDescent="0.45">
      <c r="A19" s="63">
        <v>44697</v>
      </c>
      <c r="B19" s="44"/>
      <c r="C19" s="58">
        <v>3.2065999999999999</v>
      </c>
      <c r="D19" s="64">
        <f t="shared" si="50"/>
        <v>3600.0000000000477</v>
      </c>
      <c r="E19" s="58">
        <v>4.2990000000000004</v>
      </c>
      <c r="F19" s="64">
        <f t="shared" si="51"/>
        <v>4000.0000000004475</v>
      </c>
      <c r="G19" s="58">
        <v>4.2572999999999999</v>
      </c>
      <c r="H19" s="64">
        <f t="shared" si="52"/>
        <v>3499.9999999998367</v>
      </c>
      <c r="I19" s="58">
        <v>2.1393</v>
      </c>
      <c r="J19" s="64">
        <f t="shared" si="53"/>
        <v>1900.0000000000127</v>
      </c>
      <c r="K19" s="58">
        <v>3.3407</v>
      </c>
      <c r="L19" s="64">
        <f t="shared" si="54"/>
        <v>2000.0000000002237</v>
      </c>
      <c r="M19" s="58">
        <v>1.9238</v>
      </c>
      <c r="N19" s="64">
        <f t="shared" si="55"/>
        <v>2099.9999999999909</v>
      </c>
      <c r="O19" s="58">
        <v>20805</v>
      </c>
      <c r="P19" s="67">
        <f t="shared" si="56"/>
        <v>33</v>
      </c>
      <c r="Q19" s="58">
        <v>2545</v>
      </c>
      <c r="R19" s="67">
        <f t="shared" si="57"/>
        <v>5</v>
      </c>
      <c r="S19" s="58">
        <v>1341.6</v>
      </c>
      <c r="T19" s="67">
        <f t="shared" si="58"/>
        <v>1.1999999999998181</v>
      </c>
      <c r="U19" s="58">
        <v>548239.80000000005</v>
      </c>
      <c r="V19" s="67">
        <f t="shared" si="59"/>
        <v>440.10000000009313</v>
      </c>
      <c r="W19" s="58">
        <v>509.03</v>
      </c>
      <c r="X19" s="65">
        <f t="shared" si="60"/>
        <v>319.99999999999318</v>
      </c>
      <c r="Y19" s="58">
        <v>3.7787999999999999</v>
      </c>
      <c r="Z19" s="65">
        <f t="shared" si="61"/>
        <v>3000.0000000001137</v>
      </c>
      <c r="AA19" s="58">
        <v>512.5</v>
      </c>
      <c r="AB19" s="65">
        <f t="shared" si="62"/>
        <v>419.99999999995907</v>
      </c>
      <c r="AC19" s="58">
        <v>504.38</v>
      </c>
      <c r="AD19" s="65">
        <f t="shared" si="63"/>
        <v>519.99999999998181</v>
      </c>
      <c r="AE19" s="58">
        <v>748.95</v>
      </c>
      <c r="AF19" s="65">
        <f t="shared" si="64"/>
        <v>1009.9999999999909</v>
      </c>
      <c r="AG19" s="58">
        <v>17172</v>
      </c>
      <c r="AH19" s="67">
        <f t="shared" si="65"/>
        <v>37</v>
      </c>
      <c r="AI19" s="58">
        <v>851.66</v>
      </c>
      <c r="AJ19" s="65">
        <f t="shared" si="66"/>
        <v>779.99999999997272</v>
      </c>
      <c r="AK19" s="58">
        <v>284.25</v>
      </c>
      <c r="AL19" s="65">
        <f t="shared" si="67"/>
        <v>230.00000000001819</v>
      </c>
      <c r="AM19" s="58">
        <v>266.02</v>
      </c>
      <c r="AN19" s="65">
        <f t="shared" si="68"/>
        <v>219.99999999997044</v>
      </c>
      <c r="AO19" s="58">
        <v>256.16000000000003</v>
      </c>
      <c r="AP19" s="65">
        <f t="shared" si="69"/>
        <v>200.00000000001705</v>
      </c>
      <c r="AQ19" s="58">
        <v>312.04000000000002</v>
      </c>
      <c r="AR19" s="65">
        <f t="shared" si="70"/>
        <v>250</v>
      </c>
      <c r="AS19" s="58">
        <v>437.22</v>
      </c>
      <c r="AT19" s="65">
        <f t="shared" si="71"/>
        <v>360.00000000001364</v>
      </c>
      <c r="AU19" s="58">
        <v>346.46</v>
      </c>
      <c r="AV19" s="65">
        <f t="shared" si="72"/>
        <v>339.99999999997499</v>
      </c>
      <c r="AW19" s="58">
        <v>376.49</v>
      </c>
      <c r="AX19" s="65">
        <f t="shared" si="73"/>
        <v>180.00000000000682</v>
      </c>
      <c r="AY19" s="58">
        <v>409.57</v>
      </c>
      <c r="AZ19" s="65">
        <f t="shared" si="74"/>
        <v>230.00000000001819</v>
      </c>
      <c r="BA19" s="58">
        <v>430.11</v>
      </c>
      <c r="BB19" s="65">
        <f t="shared" si="75"/>
        <v>230.00000000001819</v>
      </c>
      <c r="BC19" s="58">
        <v>276.23</v>
      </c>
      <c r="BD19" s="65">
        <f t="shared" si="76"/>
        <v>100.00000000002274</v>
      </c>
      <c r="BE19" s="59">
        <v>51209</v>
      </c>
      <c r="BF19" s="67">
        <f t="shared" si="77"/>
        <v>21</v>
      </c>
      <c r="BG19" s="60">
        <v>248.22</v>
      </c>
      <c r="BH19" s="65">
        <f t="shared" si="78"/>
        <v>39.999999999992042</v>
      </c>
      <c r="BI19" s="60">
        <v>302.99</v>
      </c>
      <c r="BJ19" s="65">
        <f t="shared" si="79"/>
        <v>30.000000000029559</v>
      </c>
      <c r="BK19" s="60">
        <v>251.54</v>
      </c>
      <c r="BL19" s="65">
        <f t="shared" si="80"/>
        <v>60.000000000002274</v>
      </c>
      <c r="BM19" s="60">
        <v>237.82</v>
      </c>
      <c r="BN19" s="65">
        <f t="shared" si="81"/>
        <v>49.999999999982947</v>
      </c>
      <c r="BO19" s="60">
        <v>305.56</v>
      </c>
      <c r="BP19" s="65">
        <f t="shared" si="82"/>
        <v>69.999999999993179</v>
      </c>
      <c r="BQ19" s="60">
        <v>56388</v>
      </c>
      <c r="BR19" s="65">
        <f t="shared" si="83"/>
        <v>46</v>
      </c>
      <c r="BS19" s="60">
        <v>215.43</v>
      </c>
      <c r="BT19" s="65">
        <f t="shared" si="84"/>
        <v>50.000000000011369</v>
      </c>
      <c r="BU19" s="60">
        <v>53948</v>
      </c>
      <c r="BV19" s="65">
        <f t="shared" si="85"/>
        <v>51</v>
      </c>
      <c r="BW19" s="60">
        <v>243.71</v>
      </c>
      <c r="BX19" s="65">
        <f t="shared" si="86"/>
        <v>50.000000000011369</v>
      </c>
      <c r="BY19" s="60">
        <v>73619</v>
      </c>
      <c r="BZ19" s="67">
        <f t="shared" si="87"/>
        <v>49</v>
      </c>
      <c r="CA19" s="60">
        <v>47990.400000000001</v>
      </c>
      <c r="CB19" s="67">
        <f t="shared" si="88"/>
        <v>50.400000000001455</v>
      </c>
      <c r="CC19" s="60">
        <v>15643.9</v>
      </c>
      <c r="CD19" s="67">
        <f t="shared" si="89"/>
        <v>10</v>
      </c>
      <c r="CE19" s="60">
        <v>8105</v>
      </c>
      <c r="CF19" s="67">
        <f t="shared" si="90"/>
        <v>5.1000000000003638</v>
      </c>
      <c r="CG19" s="60">
        <v>74260.7</v>
      </c>
      <c r="CH19" s="67">
        <f t="shared" si="91"/>
        <v>39.399999999994179</v>
      </c>
      <c r="CI19" s="60">
        <v>1045006</v>
      </c>
      <c r="CJ19" s="67">
        <f t="shared" si="92"/>
        <v>332</v>
      </c>
      <c r="CK19" s="60">
        <v>987.81</v>
      </c>
      <c r="CL19" s="64">
        <f t="shared" si="93"/>
        <v>889.99999999998636</v>
      </c>
      <c r="CM19" s="65">
        <f t="shared" si="94"/>
        <v>122</v>
      </c>
      <c r="CN19" s="62">
        <v>37</v>
      </c>
      <c r="CO19" s="62">
        <v>79</v>
      </c>
      <c r="CP19" s="68">
        <v>30176</v>
      </c>
      <c r="CQ19" s="67">
        <f t="shared" si="97"/>
        <v>93</v>
      </c>
      <c r="CR19" s="68">
        <v>21457</v>
      </c>
      <c r="CS19" s="67">
        <f t="shared" si="45"/>
        <v>29</v>
      </c>
      <c r="CT19" s="75">
        <v>10078</v>
      </c>
      <c r="CU19" s="67">
        <f t="shared" si="47"/>
        <v>13</v>
      </c>
      <c r="CV19" s="68">
        <v>24227</v>
      </c>
      <c r="CW19" s="67">
        <f t="shared" si="95"/>
        <v>25</v>
      </c>
      <c r="CX19" s="58">
        <v>2953.7</v>
      </c>
      <c r="CY19" s="67">
        <f t="shared" si="96"/>
        <v>12.599999999999909</v>
      </c>
    </row>
    <row r="20" spans="1:103" ht="25.5" customHeight="1" thickBot="1" x14ac:dyDescent="0.45">
      <c r="A20" s="63">
        <v>44698</v>
      </c>
      <c r="B20" s="44"/>
      <c r="C20" s="58">
        <v>3.2092999999999998</v>
      </c>
      <c r="D20" s="64">
        <f t="shared" si="50"/>
        <v>2699.9999999999245</v>
      </c>
      <c r="E20" s="58">
        <v>4.3017000000000003</v>
      </c>
      <c r="F20" s="64">
        <f t="shared" si="51"/>
        <v>2699.9999999999245</v>
      </c>
      <c r="G20" s="58">
        <v>4.2607999999999997</v>
      </c>
      <c r="H20" s="64">
        <f t="shared" si="52"/>
        <v>3499.9999999998367</v>
      </c>
      <c r="I20" s="58">
        <v>2.1408</v>
      </c>
      <c r="J20" s="64">
        <f t="shared" si="53"/>
        <v>1500.0000000000568</v>
      </c>
      <c r="K20" s="58">
        <v>3.3426999999999998</v>
      </c>
      <c r="L20" s="64">
        <f t="shared" si="54"/>
        <v>1999.9999999997797</v>
      </c>
      <c r="M20" s="58">
        <v>1.9254</v>
      </c>
      <c r="N20" s="64">
        <f t="shared" si="55"/>
        <v>1600.0000000000459</v>
      </c>
      <c r="O20" s="58">
        <v>20823</v>
      </c>
      <c r="P20" s="67">
        <f t="shared" si="56"/>
        <v>18</v>
      </c>
      <c r="Q20" s="58">
        <v>2548</v>
      </c>
      <c r="R20" s="67">
        <f t="shared" si="57"/>
        <v>3</v>
      </c>
      <c r="S20" s="58">
        <v>1342.8</v>
      </c>
      <c r="T20" s="67">
        <f t="shared" si="58"/>
        <v>1.2000000000000455</v>
      </c>
      <c r="U20" s="58">
        <v>548661.4</v>
      </c>
      <c r="V20" s="67">
        <f t="shared" si="59"/>
        <v>421.59999999997672</v>
      </c>
      <c r="W20" s="58">
        <v>509.33</v>
      </c>
      <c r="X20" s="65">
        <f t="shared" si="60"/>
        <v>300.00000000001137</v>
      </c>
      <c r="Y20" s="58">
        <v>3.7816999999999998</v>
      </c>
      <c r="Z20" s="65">
        <f t="shared" si="61"/>
        <v>2899.9999999999027</v>
      </c>
      <c r="AA20" s="58">
        <v>512.72</v>
      </c>
      <c r="AB20" s="65">
        <f t="shared" si="62"/>
        <v>220.00000000002728</v>
      </c>
      <c r="AC20" s="58">
        <v>504.82</v>
      </c>
      <c r="AD20" s="65">
        <f t="shared" si="63"/>
        <v>439.99999999999773</v>
      </c>
      <c r="AE20" s="58">
        <v>749.81</v>
      </c>
      <c r="AF20" s="65">
        <f t="shared" si="64"/>
        <v>859.99999999989996</v>
      </c>
      <c r="AG20" s="58">
        <v>17202</v>
      </c>
      <c r="AH20" s="67">
        <f t="shared" si="65"/>
        <v>30</v>
      </c>
      <c r="AI20" s="58">
        <v>852.32</v>
      </c>
      <c r="AJ20" s="65">
        <f t="shared" si="66"/>
        <v>660.00000000008185</v>
      </c>
      <c r="AK20" s="58">
        <v>284.44</v>
      </c>
      <c r="AL20" s="65">
        <f t="shared" si="67"/>
        <v>189.99999999999773</v>
      </c>
      <c r="AM20" s="58">
        <v>266.20999999999998</v>
      </c>
      <c r="AN20" s="65">
        <f t="shared" si="68"/>
        <v>189.99999999999773</v>
      </c>
      <c r="AO20" s="58">
        <v>256.33999999999997</v>
      </c>
      <c r="AP20" s="65">
        <f t="shared" si="69"/>
        <v>179.99999999994998</v>
      </c>
      <c r="AQ20" s="58">
        <v>312.27999999999997</v>
      </c>
      <c r="AR20" s="65">
        <f t="shared" si="70"/>
        <v>239.99999999995225</v>
      </c>
      <c r="AS20" s="58">
        <v>437.52</v>
      </c>
      <c r="AT20" s="65">
        <f t="shared" si="71"/>
        <v>299.99999999995453</v>
      </c>
      <c r="AU20" s="58">
        <v>346.72</v>
      </c>
      <c r="AV20" s="65">
        <f t="shared" si="72"/>
        <v>260.00000000004775</v>
      </c>
      <c r="AW20" s="58">
        <v>376.63</v>
      </c>
      <c r="AX20" s="65">
        <f t="shared" si="73"/>
        <v>139.99999999998636</v>
      </c>
      <c r="AY20" s="58">
        <v>409.73</v>
      </c>
      <c r="AZ20" s="65">
        <f t="shared" si="74"/>
        <v>160.00000000002501</v>
      </c>
      <c r="BA20" s="58">
        <v>430.26</v>
      </c>
      <c r="BB20" s="65">
        <f t="shared" si="75"/>
        <v>149.99999999997726</v>
      </c>
      <c r="BC20" s="58">
        <v>276.27999999999997</v>
      </c>
      <c r="BD20" s="65">
        <f t="shared" si="76"/>
        <v>49.999999999954525</v>
      </c>
      <c r="BE20" s="59">
        <v>51245</v>
      </c>
      <c r="BF20" s="67">
        <f t="shared" si="77"/>
        <v>36</v>
      </c>
      <c r="BG20" s="60">
        <v>248.26</v>
      </c>
      <c r="BH20" s="65">
        <f t="shared" si="78"/>
        <v>39.999999999992042</v>
      </c>
      <c r="BI20" s="60">
        <v>303.02</v>
      </c>
      <c r="BJ20" s="65">
        <f t="shared" si="79"/>
        <v>29.999999999972715</v>
      </c>
      <c r="BK20" s="60">
        <v>251.6</v>
      </c>
      <c r="BL20" s="65">
        <f t="shared" si="80"/>
        <v>60.000000000002274</v>
      </c>
      <c r="BM20" s="60">
        <v>237.87</v>
      </c>
      <c r="BN20" s="65">
        <f t="shared" si="81"/>
        <v>50.000000000011369</v>
      </c>
      <c r="BO20" s="60">
        <v>305.61</v>
      </c>
      <c r="BP20" s="65">
        <f t="shared" si="82"/>
        <v>50.000000000011369</v>
      </c>
      <c r="BQ20" s="60">
        <v>56426</v>
      </c>
      <c r="BR20" s="65">
        <f t="shared" si="83"/>
        <v>38</v>
      </c>
      <c r="BS20" s="60">
        <v>215.47</v>
      </c>
      <c r="BT20" s="65">
        <f t="shared" si="84"/>
        <v>39.999999999992042</v>
      </c>
      <c r="BU20" s="60">
        <v>53991</v>
      </c>
      <c r="BV20" s="65">
        <f t="shared" si="85"/>
        <v>43</v>
      </c>
      <c r="BW20" s="60">
        <v>243.74</v>
      </c>
      <c r="BX20" s="65">
        <f t="shared" si="86"/>
        <v>30.000000000001137</v>
      </c>
      <c r="BY20" s="60">
        <v>73658</v>
      </c>
      <c r="BZ20" s="67">
        <f t="shared" si="87"/>
        <v>39</v>
      </c>
      <c r="CA20" s="60">
        <v>48040.7</v>
      </c>
      <c r="CB20" s="67">
        <f t="shared" si="88"/>
        <v>50.299999999995634</v>
      </c>
      <c r="CC20" s="60">
        <v>15654.5</v>
      </c>
      <c r="CD20" s="67">
        <f t="shared" si="89"/>
        <v>10.600000000000364</v>
      </c>
      <c r="CE20" s="60">
        <v>8107.6</v>
      </c>
      <c r="CF20" s="67">
        <f t="shared" si="90"/>
        <v>2.6000000000003638</v>
      </c>
      <c r="CG20" s="60">
        <v>74309.8</v>
      </c>
      <c r="CH20" s="67">
        <f t="shared" si="91"/>
        <v>49.100000000005821</v>
      </c>
      <c r="CI20" s="60">
        <v>1045286</v>
      </c>
      <c r="CJ20" s="67">
        <f t="shared" si="92"/>
        <v>280</v>
      </c>
      <c r="CK20" s="60">
        <v>988.76</v>
      </c>
      <c r="CL20" s="64">
        <f t="shared" si="93"/>
        <v>950.00000000004547</v>
      </c>
      <c r="CM20" s="65">
        <f t="shared" si="94"/>
        <v>96</v>
      </c>
      <c r="CN20" s="62">
        <v>38</v>
      </c>
      <c r="CO20" s="62">
        <v>80</v>
      </c>
      <c r="CP20" s="68">
        <v>30251</v>
      </c>
      <c r="CQ20" s="67">
        <f t="shared" si="97"/>
        <v>75</v>
      </c>
      <c r="CR20" s="68">
        <v>21478</v>
      </c>
      <c r="CS20" s="67">
        <f t="shared" si="45"/>
        <v>21</v>
      </c>
      <c r="CT20" s="75">
        <v>10093</v>
      </c>
      <c r="CU20" s="67">
        <f t="shared" si="47"/>
        <v>15</v>
      </c>
      <c r="CV20" s="68">
        <v>24247</v>
      </c>
      <c r="CW20" s="67">
        <f t="shared" si="95"/>
        <v>20</v>
      </c>
      <c r="CX20" s="58">
        <v>2960.1</v>
      </c>
      <c r="CY20" s="67">
        <f t="shared" si="96"/>
        <v>6.4000000000000909</v>
      </c>
    </row>
    <row r="21" spans="1:103" ht="25.5" customHeight="1" thickBot="1" x14ac:dyDescent="0.45">
      <c r="A21" s="63">
        <v>44699</v>
      </c>
      <c r="B21" s="44"/>
      <c r="C21" s="58">
        <v>3.2126999999999999</v>
      </c>
      <c r="D21" s="64">
        <f t="shared" si="50"/>
        <v>3400.0000000000696</v>
      </c>
      <c r="E21" s="58">
        <v>4.3049999999999997</v>
      </c>
      <c r="F21" s="64">
        <f t="shared" si="51"/>
        <v>3299.9999999994143</v>
      </c>
      <c r="G21" s="58">
        <v>4.2641</v>
      </c>
      <c r="H21" s="64">
        <f t="shared" si="52"/>
        <v>3300.0000000003029</v>
      </c>
      <c r="I21" s="58">
        <v>2.1425999999999998</v>
      </c>
      <c r="J21" s="64">
        <f t="shared" si="53"/>
        <v>1799.9999999998017</v>
      </c>
      <c r="K21" s="58">
        <v>3.3448000000000002</v>
      </c>
      <c r="L21" s="64">
        <f t="shared" si="54"/>
        <v>2100.0000000004347</v>
      </c>
      <c r="M21" s="58">
        <v>1.9276</v>
      </c>
      <c r="N21" s="64">
        <f t="shared" si="55"/>
        <v>2199.9999999999795</v>
      </c>
      <c r="O21" s="58">
        <v>20852</v>
      </c>
      <c r="P21" s="67">
        <f t="shared" si="56"/>
        <v>29</v>
      </c>
      <c r="Q21" s="58">
        <v>2554</v>
      </c>
      <c r="R21" s="67">
        <f t="shared" si="57"/>
        <v>6</v>
      </c>
      <c r="S21" s="58">
        <v>1344</v>
      </c>
      <c r="T21" s="67">
        <f t="shared" si="58"/>
        <v>1.2000000000000455</v>
      </c>
      <c r="U21" s="58">
        <v>549126</v>
      </c>
      <c r="V21" s="67">
        <f t="shared" si="59"/>
        <v>464.59999999997672</v>
      </c>
      <c r="W21" s="58">
        <v>509.67</v>
      </c>
      <c r="X21" s="65">
        <f t="shared" si="60"/>
        <v>340.00000000003183</v>
      </c>
      <c r="Y21" s="58">
        <v>3.7846000000000002</v>
      </c>
      <c r="Z21" s="65">
        <f t="shared" si="61"/>
        <v>2900.0000000003465</v>
      </c>
      <c r="AA21" s="58">
        <v>513.12</v>
      </c>
      <c r="AB21" s="65">
        <f t="shared" si="62"/>
        <v>399.99999999997726</v>
      </c>
      <c r="AC21" s="58">
        <v>505.36</v>
      </c>
      <c r="AD21" s="65">
        <f t="shared" si="63"/>
        <v>540.00000000002046</v>
      </c>
      <c r="AE21" s="58">
        <v>750.87</v>
      </c>
      <c r="AF21" s="65">
        <f t="shared" si="64"/>
        <v>1060.0000000000591</v>
      </c>
      <c r="AG21" s="58">
        <v>17237</v>
      </c>
      <c r="AH21" s="67">
        <f t="shared" si="65"/>
        <v>35</v>
      </c>
      <c r="AI21" s="58">
        <v>853.09</v>
      </c>
      <c r="AJ21" s="65">
        <f t="shared" si="66"/>
        <v>769.99999999998181</v>
      </c>
      <c r="AK21" s="58">
        <v>284.69</v>
      </c>
      <c r="AL21" s="65">
        <f t="shared" si="67"/>
        <v>250</v>
      </c>
      <c r="AM21" s="58">
        <v>266.55</v>
      </c>
      <c r="AN21" s="65">
        <f t="shared" si="68"/>
        <v>340.00000000003183</v>
      </c>
      <c r="AO21" s="58">
        <v>256.58</v>
      </c>
      <c r="AP21" s="65">
        <f t="shared" si="69"/>
        <v>240.00000000000909</v>
      </c>
      <c r="AQ21" s="58">
        <v>312.61</v>
      </c>
      <c r="AR21" s="65">
        <f t="shared" si="70"/>
        <v>330.00000000004093</v>
      </c>
      <c r="AS21" s="58">
        <v>437.87</v>
      </c>
      <c r="AT21" s="65">
        <f t="shared" si="71"/>
        <v>350.00000000002274</v>
      </c>
      <c r="AU21" s="58">
        <v>347.07</v>
      </c>
      <c r="AV21" s="65">
        <f t="shared" si="72"/>
        <v>349.99999999996589</v>
      </c>
      <c r="AW21" s="58">
        <v>376.82</v>
      </c>
      <c r="AX21" s="65">
        <f t="shared" si="73"/>
        <v>189.99999999999773</v>
      </c>
      <c r="AY21" s="58">
        <v>409.91</v>
      </c>
      <c r="AZ21" s="65">
        <f t="shared" si="74"/>
        <v>180.00000000000682</v>
      </c>
      <c r="BA21" s="58">
        <v>430.46</v>
      </c>
      <c r="BB21" s="65">
        <f t="shared" si="75"/>
        <v>199.99999999998863</v>
      </c>
      <c r="BC21" s="58">
        <v>276.35000000000002</v>
      </c>
      <c r="BD21" s="65">
        <f t="shared" si="76"/>
        <v>70.000000000050022</v>
      </c>
      <c r="BE21" s="59">
        <v>51272</v>
      </c>
      <c r="BF21" s="67">
        <f t="shared" si="77"/>
        <v>27</v>
      </c>
      <c r="BG21" s="60">
        <v>248.31</v>
      </c>
      <c r="BH21" s="65">
        <f t="shared" si="78"/>
        <v>50.000000000011369</v>
      </c>
      <c r="BI21" s="60">
        <v>303.06</v>
      </c>
      <c r="BJ21" s="65">
        <f t="shared" si="79"/>
        <v>40.000000000020464</v>
      </c>
      <c r="BK21" s="60">
        <v>251.67</v>
      </c>
      <c r="BL21" s="65">
        <f t="shared" si="80"/>
        <v>69.999999999993179</v>
      </c>
      <c r="BM21" s="60">
        <v>237.93</v>
      </c>
      <c r="BN21" s="65">
        <f t="shared" si="81"/>
        <v>60.000000000002274</v>
      </c>
      <c r="BO21" s="60">
        <v>305.68</v>
      </c>
      <c r="BP21" s="65">
        <f t="shared" si="82"/>
        <v>69.999999999993179</v>
      </c>
      <c r="BQ21" s="60">
        <v>56469</v>
      </c>
      <c r="BR21" s="65">
        <f t="shared" si="83"/>
        <v>43</v>
      </c>
      <c r="BS21" s="60">
        <v>215.52</v>
      </c>
      <c r="BT21" s="65">
        <f t="shared" si="84"/>
        <v>50.000000000011369</v>
      </c>
      <c r="BU21" s="60">
        <v>54044</v>
      </c>
      <c r="BV21" s="65">
        <f t="shared" si="85"/>
        <v>53</v>
      </c>
      <c r="BW21" s="60">
        <v>243.79</v>
      </c>
      <c r="BX21" s="65">
        <f t="shared" si="86"/>
        <v>49.999999999982947</v>
      </c>
      <c r="BY21" s="60">
        <v>73706</v>
      </c>
      <c r="BZ21" s="67">
        <f t="shared" si="87"/>
        <v>48</v>
      </c>
      <c r="CA21" s="60">
        <v>48087.7</v>
      </c>
      <c r="CB21" s="67">
        <f t="shared" si="88"/>
        <v>47</v>
      </c>
      <c r="CC21" s="60">
        <v>15664.2</v>
      </c>
      <c r="CD21" s="67">
        <f t="shared" si="89"/>
        <v>9.7000000000007276</v>
      </c>
      <c r="CE21" s="60">
        <v>8113.3</v>
      </c>
      <c r="CF21" s="67">
        <f t="shared" si="90"/>
        <v>5.6999999999998181</v>
      </c>
      <c r="CG21" s="60">
        <v>74356.899999999994</v>
      </c>
      <c r="CH21" s="67">
        <f t="shared" si="91"/>
        <v>47.099999999991269</v>
      </c>
      <c r="CI21" s="60">
        <v>1045581</v>
      </c>
      <c r="CJ21" s="67">
        <f t="shared" si="92"/>
        <v>295</v>
      </c>
      <c r="CK21" s="60">
        <v>989.67</v>
      </c>
      <c r="CL21" s="64">
        <f t="shared" si="93"/>
        <v>909.99999999996817</v>
      </c>
      <c r="CM21" s="65">
        <f t="shared" si="94"/>
        <v>92</v>
      </c>
      <c r="CN21" s="62">
        <v>40</v>
      </c>
      <c r="CO21" s="62">
        <v>87</v>
      </c>
      <c r="CP21" s="68">
        <v>30323</v>
      </c>
      <c r="CQ21" s="67">
        <f t="shared" si="97"/>
        <v>72</v>
      </c>
      <c r="CR21" s="68">
        <v>21498</v>
      </c>
      <c r="CS21" s="67">
        <f t="shared" si="45"/>
        <v>20</v>
      </c>
      <c r="CT21" s="75">
        <v>10107</v>
      </c>
      <c r="CU21" s="67">
        <f t="shared" si="47"/>
        <v>14</v>
      </c>
      <c r="CV21" s="68">
        <v>24267</v>
      </c>
      <c r="CW21" s="67">
        <f t="shared" si="95"/>
        <v>20</v>
      </c>
      <c r="CX21" s="58">
        <v>2972.1</v>
      </c>
      <c r="CY21" s="67">
        <f t="shared" si="96"/>
        <v>12</v>
      </c>
    </row>
    <row r="22" spans="1:103" ht="25.5" customHeight="1" thickBot="1" x14ac:dyDescent="0.45">
      <c r="A22" s="63">
        <v>44700</v>
      </c>
      <c r="B22" s="44"/>
      <c r="C22" s="58">
        <v>3.2160000000000002</v>
      </c>
      <c r="D22" s="64">
        <f t="shared" si="50"/>
        <v>3300.0000000003029</v>
      </c>
      <c r="E22" s="58">
        <v>4.3079999999999998</v>
      </c>
      <c r="F22" s="64">
        <f t="shared" si="51"/>
        <v>3000.0000000001137</v>
      </c>
      <c r="G22" s="58">
        <v>4.2678000000000003</v>
      </c>
      <c r="H22" s="64">
        <f t="shared" si="52"/>
        <v>3700.0000000002588</v>
      </c>
      <c r="I22" s="58">
        <v>2.1442999999999999</v>
      </c>
      <c r="J22" s="64">
        <f t="shared" si="53"/>
        <v>1700.0000000000348</v>
      </c>
      <c r="K22" s="58">
        <v>3.3469000000000002</v>
      </c>
      <c r="L22" s="64">
        <f t="shared" si="54"/>
        <v>2099.9999999999909</v>
      </c>
      <c r="M22" s="58">
        <v>1.9296</v>
      </c>
      <c r="N22" s="64">
        <f t="shared" si="55"/>
        <v>2000.0000000000018</v>
      </c>
      <c r="O22" s="58">
        <v>20882</v>
      </c>
      <c r="P22" s="67">
        <f t="shared" si="56"/>
        <v>30</v>
      </c>
      <c r="Q22" s="58">
        <v>2559</v>
      </c>
      <c r="R22" s="67">
        <f t="shared" si="57"/>
        <v>5</v>
      </c>
      <c r="S22" s="58">
        <v>1345.6</v>
      </c>
      <c r="T22" s="67">
        <f t="shared" si="58"/>
        <v>1.5999999999999091</v>
      </c>
      <c r="U22" s="58">
        <v>549762.4</v>
      </c>
      <c r="V22" s="67">
        <f t="shared" si="59"/>
        <v>636.40000000002328</v>
      </c>
      <c r="W22" s="58">
        <v>510.03</v>
      </c>
      <c r="X22" s="65">
        <f t="shared" si="60"/>
        <v>359.9999999999568</v>
      </c>
      <c r="Y22" s="58">
        <v>3.7873999999999999</v>
      </c>
      <c r="Z22" s="65">
        <f t="shared" si="61"/>
        <v>2799.9999999996917</v>
      </c>
      <c r="AA22" s="58">
        <v>513.57000000000005</v>
      </c>
      <c r="AB22" s="65">
        <f t="shared" si="62"/>
        <v>450.00000000004547</v>
      </c>
      <c r="AC22" s="58">
        <v>505.78</v>
      </c>
      <c r="AD22" s="65">
        <f t="shared" si="63"/>
        <v>419.99999999995907</v>
      </c>
      <c r="AE22" s="58">
        <v>751.92</v>
      </c>
      <c r="AF22" s="65">
        <f t="shared" si="64"/>
        <v>1049.9999999999545</v>
      </c>
      <c r="AG22" s="58">
        <v>17269</v>
      </c>
      <c r="AH22" s="67">
        <f t="shared" si="65"/>
        <v>32</v>
      </c>
      <c r="AI22" s="58">
        <v>853.82</v>
      </c>
      <c r="AJ22" s="65">
        <f t="shared" si="66"/>
        <v>730.00000000001819</v>
      </c>
      <c r="AK22" s="58">
        <v>284.98</v>
      </c>
      <c r="AL22" s="65">
        <f t="shared" si="67"/>
        <v>290.00000000002046</v>
      </c>
      <c r="AM22" s="58">
        <v>266.82</v>
      </c>
      <c r="AN22" s="65">
        <f t="shared" si="68"/>
        <v>269.99999999998181</v>
      </c>
      <c r="AO22" s="58">
        <v>256.77</v>
      </c>
      <c r="AP22" s="65">
        <f t="shared" si="69"/>
        <v>189.99999999999773</v>
      </c>
      <c r="AQ22" s="58">
        <v>312.79000000000002</v>
      </c>
      <c r="AR22" s="65">
        <f t="shared" si="70"/>
        <v>180.00000000000682</v>
      </c>
      <c r="AS22" s="58">
        <v>438.25</v>
      </c>
      <c r="AT22" s="65">
        <f t="shared" si="71"/>
        <v>379.99999999999545</v>
      </c>
      <c r="AU22" s="58">
        <v>347.42</v>
      </c>
      <c r="AV22" s="65">
        <f t="shared" si="72"/>
        <v>350.00000000002274</v>
      </c>
      <c r="AW22" s="58">
        <v>377.01</v>
      </c>
      <c r="AX22" s="65">
        <f t="shared" si="73"/>
        <v>189.99999999999773</v>
      </c>
      <c r="AY22" s="58">
        <v>410.06</v>
      </c>
      <c r="AZ22" s="65">
        <f t="shared" si="74"/>
        <v>149.99999999997726</v>
      </c>
      <c r="BA22" s="58">
        <v>430.62</v>
      </c>
      <c r="BB22" s="65">
        <f t="shared" si="75"/>
        <v>160.00000000002501</v>
      </c>
      <c r="BC22" s="58">
        <v>276.41000000000003</v>
      </c>
      <c r="BD22" s="65">
        <f t="shared" si="76"/>
        <v>60.000000000002274</v>
      </c>
      <c r="BE22" s="59">
        <v>51306</v>
      </c>
      <c r="BF22" s="67">
        <f t="shared" si="77"/>
        <v>34</v>
      </c>
      <c r="BG22" s="60">
        <v>248.35</v>
      </c>
      <c r="BH22" s="65">
        <f t="shared" si="78"/>
        <v>39.999999999992042</v>
      </c>
      <c r="BI22" s="60">
        <v>303.08999999999997</v>
      </c>
      <c r="BJ22" s="65">
        <f t="shared" si="79"/>
        <v>29.999999999972715</v>
      </c>
      <c r="BK22" s="60">
        <v>251.73</v>
      </c>
      <c r="BL22" s="65">
        <f t="shared" si="80"/>
        <v>60.000000000002274</v>
      </c>
      <c r="BM22" s="60">
        <v>237.98</v>
      </c>
      <c r="BN22" s="65">
        <f t="shared" si="81"/>
        <v>49.999999999982947</v>
      </c>
      <c r="BO22" s="60">
        <v>305.75</v>
      </c>
      <c r="BP22" s="65">
        <f t="shared" si="82"/>
        <v>69.999999999993179</v>
      </c>
      <c r="BQ22" s="60">
        <v>56509</v>
      </c>
      <c r="BR22" s="65">
        <f t="shared" si="83"/>
        <v>40</v>
      </c>
      <c r="BS22" s="60">
        <v>215.57</v>
      </c>
      <c r="BT22" s="65">
        <f t="shared" si="84"/>
        <v>49.999999999982947</v>
      </c>
      <c r="BU22" s="60">
        <v>54087</v>
      </c>
      <c r="BV22" s="65">
        <f t="shared" si="85"/>
        <v>43</v>
      </c>
      <c r="BW22" s="60">
        <v>243.84</v>
      </c>
      <c r="BX22" s="65">
        <f t="shared" si="86"/>
        <v>50.000000000011369</v>
      </c>
      <c r="BY22" s="60">
        <v>73748</v>
      </c>
      <c r="BZ22" s="67">
        <f t="shared" si="87"/>
        <v>42</v>
      </c>
      <c r="CA22" s="60">
        <v>48124</v>
      </c>
      <c r="CB22" s="67">
        <f t="shared" si="88"/>
        <v>36.30000000000291</v>
      </c>
      <c r="CC22" s="60">
        <v>15672.8</v>
      </c>
      <c r="CD22" s="67">
        <f t="shared" si="89"/>
        <v>8.5999999999985448</v>
      </c>
      <c r="CE22" s="60">
        <v>8118</v>
      </c>
      <c r="CF22" s="67">
        <f t="shared" si="90"/>
        <v>4.6999999999998181</v>
      </c>
      <c r="CG22" s="60">
        <v>74392.399999999994</v>
      </c>
      <c r="CH22" s="67">
        <f t="shared" si="91"/>
        <v>35.5</v>
      </c>
      <c r="CI22" s="60">
        <v>1045850</v>
      </c>
      <c r="CJ22" s="67">
        <f t="shared" si="92"/>
        <v>269</v>
      </c>
      <c r="CK22" s="60">
        <v>990.49</v>
      </c>
      <c r="CL22" s="64">
        <f t="shared" si="93"/>
        <v>820.00000000005002</v>
      </c>
      <c r="CM22" s="65">
        <f t="shared" si="94"/>
        <v>98</v>
      </c>
      <c r="CN22" s="62">
        <v>27</v>
      </c>
      <c r="CO22" s="62">
        <v>57</v>
      </c>
      <c r="CP22" s="68">
        <v>30407</v>
      </c>
      <c r="CQ22" s="67">
        <f t="shared" si="97"/>
        <v>84</v>
      </c>
      <c r="CR22" s="68">
        <v>21512</v>
      </c>
      <c r="CS22" s="67">
        <f t="shared" si="45"/>
        <v>14</v>
      </c>
      <c r="CT22" s="75">
        <v>10120</v>
      </c>
      <c r="CU22" s="67">
        <f t="shared" si="47"/>
        <v>13</v>
      </c>
      <c r="CV22" s="68">
        <v>24289</v>
      </c>
      <c r="CW22" s="67">
        <f t="shared" si="95"/>
        <v>22</v>
      </c>
      <c r="CX22" s="58">
        <v>2983.5</v>
      </c>
      <c r="CY22" s="67">
        <f t="shared" si="96"/>
        <v>11.400000000000091</v>
      </c>
    </row>
    <row r="23" spans="1:103" ht="25.5" customHeight="1" thickBot="1" x14ac:dyDescent="0.45">
      <c r="A23" s="63">
        <v>44701</v>
      </c>
      <c r="B23" s="44"/>
      <c r="C23" s="58">
        <v>3.2191999999999998</v>
      </c>
      <c r="D23" s="64">
        <f t="shared" si="50"/>
        <v>3199.9999999996476</v>
      </c>
      <c r="E23" s="58">
        <v>4.3114999999999997</v>
      </c>
      <c r="F23" s="64">
        <f t="shared" si="51"/>
        <v>3499.9999999998367</v>
      </c>
      <c r="G23" s="58">
        <v>4.2709999999999999</v>
      </c>
      <c r="H23" s="64">
        <f t="shared" si="52"/>
        <v>3199.9999999996476</v>
      </c>
      <c r="I23" s="58">
        <v>2.1459999999999999</v>
      </c>
      <c r="J23" s="64">
        <f t="shared" si="53"/>
        <v>1700.0000000000348</v>
      </c>
      <c r="K23" s="58">
        <v>3.3489</v>
      </c>
      <c r="L23" s="64">
        <f t="shared" si="54"/>
        <v>1999.9999999997797</v>
      </c>
      <c r="M23" s="58">
        <v>1.9315</v>
      </c>
      <c r="N23" s="64">
        <f t="shared" si="55"/>
        <v>1900.0000000000127</v>
      </c>
      <c r="O23" s="58">
        <v>20909</v>
      </c>
      <c r="P23" s="67">
        <f t="shared" si="56"/>
        <v>27</v>
      </c>
      <c r="Q23" s="58">
        <v>2563</v>
      </c>
      <c r="R23" s="67">
        <f t="shared" si="57"/>
        <v>4</v>
      </c>
      <c r="S23" s="58">
        <v>1346.9</v>
      </c>
      <c r="T23" s="67">
        <f t="shared" si="58"/>
        <v>1.3000000000001819</v>
      </c>
      <c r="U23" s="58">
        <v>550323.19999999995</v>
      </c>
      <c r="V23" s="67">
        <f t="shared" si="59"/>
        <v>560.79999999993015</v>
      </c>
      <c r="W23" s="58">
        <v>510.36</v>
      </c>
      <c r="X23" s="65">
        <f t="shared" si="60"/>
        <v>330.00000000004093</v>
      </c>
      <c r="Y23" s="58">
        <v>3.7902</v>
      </c>
      <c r="Z23" s="65">
        <f t="shared" si="61"/>
        <v>2800.0000000001355</v>
      </c>
      <c r="AA23" s="58">
        <v>513.99</v>
      </c>
      <c r="AB23" s="65">
        <f t="shared" si="62"/>
        <v>419.99999999995907</v>
      </c>
      <c r="AC23" s="58">
        <v>506.15</v>
      </c>
      <c r="AD23" s="65">
        <f t="shared" si="63"/>
        <v>370.00000000000455</v>
      </c>
      <c r="AE23" s="58">
        <v>752.87</v>
      </c>
      <c r="AF23" s="65">
        <f t="shared" si="64"/>
        <v>950.00000000004547</v>
      </c>
      <c r="AG23" s="58">
        <v>17305</v>
      </c>
      <c r="AH23" s="67">
        <f t="shared" si="65"/>
        <v>36</v>
      </c>
      <c r="AI23" s="58">
        <v>854.7</v>
      </c>
      <c r="AJ23" s="65">
        <f t="shared" si="66"/>
        <v>879.99999999999545</v>
      </c>
      <c r="AK23" s="58">
        <v>285.26</v>
      </c>
      <c r="AL23" s="65">
        <f t="shared" si="67"/>
        <v>279.99999999997272</v>
      </c>
      <c r="AM23" s="58">
        <v>267.07</v>
      </c>
      <c r="AN23" s="65">
        <f t="shared" si="68"/>
        <v>250</v>
      </c>
      <c r="AO23" s="58">
        <v>256.97000000000003</v>
      </c>
      <c r="AP23" s="65">
        <f t="shared" si="69"/>
        <v>200.00000000004547</v>
      </c>
      <c r="AQ23" s="58">
        <v>312.95999999999998</v>
      </c>
      <c r="AR23" s="65">
        <f t="shared" si="70"/>
        <v>169.99999999995907</v>
      </c>
      <c r="AS23" s="58">
        <v>438.53</v>
      </c>
      <c r="AT23" s="65">
        <f t="shared" si="71"/>
        <v>279.99999999997272</v>
      </c>
      <c r="AU23" s="58">
        <v>347.76</v>
      </c>
      <c r="AV23" s="65">
        <f t="shared" si="72"/>
        <v>339.99999999997499</v>
      </c>
      <c r="AW23" s="58">
        <v>377.18</v>
      </c>
      <c r="AX23" s="65">
        <f t="shared" si="73"/>
        <v>170.00000000001592</v>
      </c>
      <c r="AY23" s="58">
        <v>410.22</v>
      </c>
      <c r="AZ23" s="65">
        <f t="shared" si="74"/>
        <v>160.00000000002501</v>
      </c>
      <c r="BA23" s="58">
        <v>430.77</v>
      </c>
      <c r="BB23" s="65">
        <f t="shared" si="75"/>
        <v>149.99999999997726</v>
      </c>
      <c r="BC23" s="58">
        <v>276.52999999999997</v>
      </c>
      <c r="BD23" s="65">
        <f t="shared" si="76"/>
        <v>119.9999999999477</v>
      </c>
      <c r="BE23" s="59">
        <v>51338</v>
      </c>
      <c r="BF23" s="67">
        <f t="shared" si="77"/>
        <v>32</v>
      </c>
      <c r="BG23" s="60">
        <v>248.39</v>
      </c>
      <c r="BH23" s="65">
        <f t="shared" si="78"/>
        <v>39.999999999992042</v>
      </c>
      <c r="BI23" s="60">
        <v>303.13</v>
      </c>
      <c r="BJ23" s="65">
        <f t="shared" si="79"/>
        <v>40.000000000020464</v>
      </c>
      <c r="BK23" s="60">
        <v>251.8</v>
      </c>
      <c r="BL23" s="65">
        <f t="shared" si="80"/>
        <v>70.0000000000216</v>
      </c>
      <c r="BM23" s="60">
        <v>238.02</v>
      </c>
      <c r="BN23" s="65">
        <f t="shared" si="81"/>
        <v>40.000000000020464</v>
      </c>
      <c r="BO23" s="60">
        <v>305.82</v>
      </c>
      <c r="BP23" s="65">
        <f t="shared" si="82"/>
        <v>69.999999999993179</v>
      </c>
      <c r="BQ23" s="60">
        <v>56553</v>
      </c>
      <c r="BR23" s="65">
        <f t="shared" si="83"/>
        <v>44</v>
      </c>
      <c r="BS23" s="60">
        <v>215.63</v>
      </c>
      <c r="BT23" s="65">
        <f t="shared" si="84"/>
        <v>60.000000000002274</v>
      </c>
      <c r="BU23" s="60">
        <v>54134</v>
      </c>
      <c r="BV23" s="65">
        <f t="shared" si="85"/>
        <v>47</v>
      </c>
      <c r="BW23" s="60">
        <v>243.89</v>
      </c>
      <c r="BX23" s="65">
        <f t="shared" si="86"/>
        <v>49.999999999982947</v>
      </c>
      <c r="BY23" s="60">
        <v>73793</v>
      </c>
      <c r="BZ23" s="67">
        <f t="shared" si="87"/>
        <v>45</v>
      </c>
      <c r="CA23" s="60">
        <v>48165.7</v>
      </c>
      <c r="CB23" s="67">
        <f t="shared" si="88"/>
        <v>41.69999999999709</v>
      </c>
      <c r="CC23" s="60">
        <v>15684.2</v>
      </c>
      <c r="CD23" s="67">
        <f t="shared" si="89"/>
        <v>11.400000000001455</v>
      </c>
      <c r="CE23" s="60">
        <v>8120</v>
      </c>
      <c r="CF23" s="67">
        <f t="shared" si="90"/>
        <v>2</v>
      </c>
      <c r="CG23" s="60">
        <v>74448.100000000006</v>
      </c>
      <c r="CH23" s="67">
        <f t="shared" si="91"/>
        <v>55.700000000011642</v>
      </c>
      <c r="CI23" s="60">
        <v>1046168</v>
      </c>
      <c r="CJ23" s="67">
        <f t="shared" si="92"/>
        <v>318</v>
      </c>
      <c r="CK23" s="60">
        <v>991.25</v>
      </c>
      <c r="CL23" s="64">
        <f t="shared" si="93"/>
        <v>759.99999999999091</v>
      </c>
      <c r="CM23" s="65">
        <f>CQ23+CS23</f>
        <v>99</v>
      </c>
      <c r="CN23" s="62">
        <v>27</v>
      </c>
      <c r="CO23" s="62">
        <v>57</v>
      </c>
      <c r="CP23" s="68">
        <v>30491</v>
      </c>
      <c r="CQ23" s="67">
        <f t="shared" si="97"/>
        <v>84</v>
      </c>
      <c r="CR23" s="68">
        <v>21527</v>
      </c>
      <c r="CS23" s="67">
        <f t="shared" si="45"/>
        <v>15</v>
      </c>
      <c r="CT23" s="75">
        <v>10141</v>
      </c>
      <c r="CU23" s="67">
        <f t="shared" si="47"/>
        <v>21</v>
      </c>
      <c r="CV23" s="68">
        <v>24327</v>
      </c>
      <c r="CW23" s="67">
        <f t="shared" si="95"/>
        <v>38</v>
      </c>
      <c r="CX23" s="58">
        <v>2994.7</v>
      </c>
      <c r="CY23" s="67">
        <f t="shared" si="96"/>
        <v>11.199999999999818</v>
      </c>
    </row>
    <row r="24" spans="1:103" ht="25.5" customHeight="1" thickBot="1" x14ac:dyDescent="0.45">
      <c r="A24" s="63">
        <v>44702</v>
      </c>
      <c r="B24" s="44"/>
      <c r="C24" s="58">
        <v>3.2221000000000002</v>
      </c>
      <c r="D24" s="64">
        <f t="shared" si="50"/>
        <v>2900.0000000003465</v>
      </c>
      <c r="E24" s="58">
        <v>4.3146000000000004</v>
      </c>
      <c r="F24" s="64">
        <f t="shared" si="51"/>
        <v>3100.000000000769</v>
      </c>
      <c r="G24" s="58">
        <v>4.2742000000000004</v>
      </c>
      <c r="H24" s="64">
        <f t="shared" si="52"/>
        <v>3200.0000000005357</v>
      </c>
      <c r="I24" s="58">
        <v>2.1476999999999999</v>
      </c>
      <c r="J24" s="64">
        <f t="shared" si="53"/>
        <v>1700.0000000000348</v>
      </c>
      <c r="K24" s="58">
        <v>3.3511000000000002</v>
      </c>
      <c r="L24" s="64">
        <f t="shared" si="54"/>
        <v>2200.0000000002019</v>
      </c>
      <c r="M24" s="58">
        <v>1.9332</v>
      </c>
      <c r="N24" s="64">
        <f t="shared" si="55"/>
        <v>1700.0000000000348</v>
      </c>
      <c r="O24" s="58">
        <v>20934</v>
      </c>
      <c r="P24" s="67">
        <f t="shared" si="56"/>
        <v>25</v>
      </c>
      <c r="Q24" s="58">
        <v>2568</v>
      </c>
      <c r="R24" s="67">
        <f t="shared" si="57"/>
        <v>5</v>
      </c>
      <c r="S24" s="58">
        <v>1348</v>
      </c>
      <c r="T24" s="67">
        <f t="shared" si="58"/>
        <v>1.0999999999999091</v>
      </c>
      <c r="U24" s="58">
        <v>550788.69999999995</v>
      </c>
      <c r="V24" s="67">
        <f t="shared" si="59"/>
        <v>465.5</v>
      </c>
      <c r="W24" s="58">
        <v>510.71</v>
      </c>
      <c r="X24" s="65">
        <f t="shared" si="60"/>
        <v>349.99999999996589</v>
      </c>
      <c r="Y24" s="58">
        <v>3.7932000000000001</v>
      </c>
      <c r="Z24" s="65">
        <f t="shared" si="61"/>
        <v>3000.0000000001137</v>
      </c>
      <c r="AA24" s="58">
        <v>514.26</v>
      </c>
      <c r="AB24" s="65">
        <f t="shared" si="62"/>
        <v>269.99999999998181</v>
      </c>
      <c r="AC24" s="58">
        <v>506.59</v>
      </c>
      <c r="AD24" s="65">
        <f t="shared" si="63"/>
        <v>439.99999999999773</v>
      </c>
      <c r="AE24" s="58">
        <v>753.86</v>
      </c>
      <c r="AF24" s="65">
        <f t="shared" si="64"/>
        <v>990.00000000000909</v>
      </c>
      <c r="AG24" s="58">
        <v>17335</v>
      </c>
      <c r="AH24" s="67">
        <f t="shared" si="65"/>
        <v>30</v>
      </c>
      <c r="AI24" s="58">
        <v>855.58</v>
      </c>
      <c r="AJ24" s="65">
        <f t="shared" si="66"/>
        <v>879.99999999999545</v>
      </c>
      <c r="AK24" s="58">
        <v>285.57</v>
      </c>
      <c r="AL24" s="65">
        <f t="shared" si="67"/>
        <v>310.00000000000227</v>
      </c>
      <c r="AM24" s="58">
        <v>267.33</v>
      </c>
      <c r="AN24" s="65">
        <f t="shared" si="68"/>
        <v>259.99999999999091</v>
      </c>
      <c r="AO24" s="58">
        <v>257.16000000000003</v>
      </c>
      <c r="AP24" s="65">
        <f t="shared" si="69"/>
        <v>189.99999999999773</v>
      </c>
      <c r="AQ24" s="58">
        <v>313.14</v>
      </c>
      <c r="AR24" s="65">
        <f t="shared" si="70"/>
        <v>180.00000000000682</v>
      </c>
      <c r="AS24" s="58">
        <v>438.67</v>
      </c>
      <c r="AT24" s="65">
        <f t="shared" si="71"/>
        <v>140.0000000000432</v>
      </c>
      <c r="AU24" s="58">
        <v>347.9</v>
      </c>
      <c r="AV24" s="65">
        <f t="shared" si="72"/>
        <v>139.99999999998636</v>
      </c>
      <c r="AW24" s="58">
        <v>377.35</v>
      </c>
      <c r="AX24" s="65">
        <f t="shared" si="73"/>
        <v>170.00000000001592</v>
      </c>
      <c r="AY24" s="58">
        <v>410.37</v>
      </c>
      <c r="AZ24" s="65">
        <f t="shared" si="74"/>
        <v>149.99999999997726</v>
      </c>
      <c r="BA24" s="58">
        <v>430.91</v>
      </c>
      <c r="BB24" s="65">
        <f t="shared" si="75"/>
        <v>140.0000000000432</v>
      </c>
      <c r="BC24" s="58">
        <v>276.64999999999998</v>
      </c>
      <c r="BD24" s="65">
        <f t="shared" si="76"/>
        <v>120.00000000000455</v>
      </c>
      <c r="BE24" s="59">
        <v>51380</v>
      </c>
      <c r="BF24" s="67">
        <f t="shared" si="77"/>
        <v>42</v>
      </c>
      <c r="BG24" s="60">
        <v>248.44</v>
      </c>
      <c r="BH24" s="65">
        <f t="shared" si="78"/>
        <v>50.000000000011369</v>
      </c>
      <c r="BI24" s="60">
        <v>303.17</v>
      </c>
      <c r="BJ24" s="65">
        <f t="shared" si="79"/>
        <v>40.000000000020464</v>
      </c>
      <c r="BK24" s="60">
        <v>251.86</v>
      </c>
      <c r="BL24" s="65">
        <f t="shared" si="80"/>
        <v>60.000000000002274</v>
      </c>
      <c r="BM24" s="60">
        <v>238.07</v>
      </c>
      <c r="BN24" s="65">
        <f t="shared" si="81"/>
        <v>49.999999999982947</v>
      </c>
      <c r="BO24" s="60">
        <v>305.89</v>
      </c>
      <c r="BP24" s="65">
        <f t="shared" si="82"/>
        <v>69.999999999993179</v>
      </c>
      <c r="BQ24" s="60">
        <v>56592</v>
      </c>
      <c r="BR24" s="65">
        <f t="shared" si="83"/>
        <v>39</v>
      </c>
      <c r="BS24" s="60">
        <v>215.68</v>
      </c>
      <c r="BT24" s="65">
        <f t="shared" si="84"/>
        <v>50.000000000011369</v>
      </c>
      <c r="BU24" s="60">
        <v>54177</v>
      </c>
      <c r="BV24" s="65">
        <f t="shared" si="85"/>
        <v>43</v>
      </c>
      <c r="BW24" s="60">
        <v>243.93</v>
      </c>
      <c r="BX24" s="65">
        <f t="shared" si="86"/>
        <v>40.000000000020464</v>
      </c>
      <c r="BY24" s="60">
        <v>73841</v>
      </c>
      <c r="BZ24" s="67">
        <f t="shared" si="87"/>
        <v>48</v>
      </c>
      <c r="CA24" s="60">
        <v>48212.2</v>
      </c>
      <c r="CB24" s="67">
        <f t="shared" si="88"/>
        <v>46.5</v>
      </c>
      <c r="CC24" s="60">
        <v>15695.8</v>
      </c>
      <c r="CD24" s="67">
        <f t="shared" si="89"/>
        <v>11.599999999998545</v>
      </c>
      <c r="CE24" s="60">
        <v>8124</v>
      </c>
      <c r="CF24" s="67">
        <f t="shared" si="90"/>
        <v>4</v>
      </c>
      <c r="CG24" s="60">
        <v>74493.600000000006</v>
      </c>
      <c r="CH24" s="67">
        <f t="shared" si="91"/>
        <v>45.5</v>
      </c>
      <c r="CI24" s="60">
        <v>1046457</v>
      </c>
      <c r="CJ24" s="67">
        <f t="shared" si="92"/>
        <v>289</v>
      </c>
      <c r="CK24" s="60">
        <v>992.1</v>
      </c>
      <c r="CL24" s="64">
        <f t="shared" si="93"/>
        <v>850.00000000002274</v>
      </c>
      <c r="CM24" s="65">
        <f t="shared" si="94"/>
        <v>96.299999999999272</v>
      </c>
      <c r="CN24" s="62">
        <v>27</v>
      </c>
      <c r="CO24" s="62">
        <v>57</v>
      </c>
      <c r="CP24" s="68">
        <v>30567</v>
      </c>
      <c r="CQ24" s="67">
        <f t="shared" si="97"/>
        <v>76</v>
      </c>
      <c r="CR24" s="68">
        <v>21547.3</v>
      </c>
      <c r="CS24" s="67">
        <f t="shared" si="45"/>
        <v>20.299999999999272</v>
      </c>
      <c r="CT24" s="75">
        <v>10160</v>
      </c>
      <c r="CU24" s="67">
        <f t="shared" si="47"/>
        <v>19</v>
      </c>
      <c r="CV24" s="68">
        <v>24349</v>
      </c>
      <c r="CW24" s="67">
        <f t="shared" si="95"/>
        <v>22</v>
      </c>
      <c r="CX24" s="58">
        <v>3005.6</v>
      </c>
      <c r="CY24" s="67">
        <f t="shared" si="96"/>
        <v>10.900000000000091</v>
      </c>
    </row>
    <row r="25" spans="1:103" ht="25.5" customHeight="1" thickBot="1" x14ac:dyDescent="0.45">
      <c r="A25" s="63">
        <v>44703</v>
      </c>
      <c r="B25" s="44"/>
      <c r="C25" s="58">
        <v>3.2244000000000002</v>
      </c>
      <c r="D25" s="64">
        <f t="shared" si="50"/>
        <v>2299.9999999999686</v>
      </c>
      <c r="E25" s="58">
        <v>4.3175999999999997</v>
      </c>
      <c r="F25" s="64">
        <f t="shared" si="51"/>
        <v>2999.9999999992256</v>
      </c>
      <c r="G25" s="58">
        <v>4.2771999999999997</v>
      </c>
      <c r="H25" s="64">
        <f t="shared" si="52"/>
        <v>2999.9999999992256</v>
      </c>
      <c r="I25" s="58">
        <v>2.1493000000000002</v>
      </c>
      <c r="J25" s="64">
        <f t="shared" si="53"/>
        <v>1600.0000000002678</v>
      </c>
      <c r="K25" s="58">
        <v>3.3531</v>
      </c>
      <c r="L25" s="64">
        <f t="shared" si="54"/>
        <v>1999.9999999997797</v>
      </c>
      <c r="M25" s="58">
        <v>1.9351</v>
      </c>
      <c r="N25" s="64">
        <f t="shared" si="55"/>
        <v>1900.0000000000127</v>
      </c>
      <c r="O25" s="58">
        <v>20978</v>
      </c>
      <c r="P25" s="67">
        <f t="shared" si="56"/>
        <v>44</v>
      </c>
      <c r="Q25" s="58">
        <v>2572</v>
      </c>
      <c r="R25" s="67">
        <f t="shared" si="57"/>
        <v>4</v>
      </c>
      <c r="S25" s="58">
        <v>1349.2</v>
      </c>
      <c r="T25" s="67">
        <f t="shared" si="58"/>
        <v>1.2000000000000455</v>
      </c>
      <c r="U25" s="58">
        <v>551207.6</v>
      </c>
      <c r="V25" s="67">
        <f t="shared" si="59"/>
        <v>418.90000000002328</v>
      </c>
      <c r="W25" s="58">
        <v>511.02</v>
      </c>
      <c r="X25" s="65">
        <f t="shared" si="60"/>
        <v>310.00000000000227</v>
      </c>
      <c r="Y25" s="58">
        <v>3.7959999999999998</v>
      </c>
      <c r="Z25" s="65">
        <f t="shared" si="61"/>
        <v>2799.9999999996917</v>
      </c>
      <c r="AA25" s="58">
        <v>514.67999999999995</v>
      </c>
      <c r="AB25" s="65">
        <f t="shared" si="62"/>
        <v>419.99999999995907</v>
      </c>
      <c r="AC25" s="58">
        <v>507.03</v>
      </c>
      <c r="AD25" s="65">
        <f t="shared" si="63"/>
        <v>439.99999999999773</v>
      </c>
      <c r="AE25" s="58">
        <v>754.92</v>
      </c>
      <c r="AF25" s="65">
        <f t="shared" si="64"/>
        <v>1059.9999999999454</v>
      </c>
      <c r="AG25" s="58">
        <v>17362</v>
      </c>
      <c r="AH25" s="67">
        <f t="shared" si="65"/>
        <v>27</v>
      </c>
      <c r="AI25" s="58">
        <v>856.38</v>
      </c>
      <c r="AJ25" s="65">
        <f t="shared" si="66"/>
        <v>799.99999999995453</v>
      </c>
      <c r="AK25" s="58">
        <v>285.85000000000002</v>
      </c>
      <c r="AL25" s="65">
        <f t="shared" si="67"/>
        <v>280.00000000002956</v>
      </c>
      <c r="AM25" s="58">
        <v>267.56</v>
      </c>
      <c r="AN25" s="65">
        <f t="shared" si="68"/>
        <v>230.00000000001819</v>
      </c>
      <c r="AO25" s="58">
        <v>257.32</v>
      </c>
      <c r="AP25" s="65">
        <f t="shared" si="69"/>
        <v>159.99999999996817</v>
      </c>
      <c r="AQ25" s="58">
        <v>313.27999999999997</v>
      </c>
      <c r="AR25" s="65">
        <f t="shared" si="70"/>
        <v>139.99999999998636</v>
      </c>
      <c r="AS25" s="58">
        <v>438.76</v>
      </c>
      <c r="AT25" s="65">
        <f t="shared" si="71"/>
        <v>89.999999999974989</v>
      </c>
      <c r="AU25" s="58">
        <v>347.95</v>
      </c>
      <c r="AV25" s="65">
        <f t="shared" si="72"/>
        <v>50.000000000011369</v>
      </c>
      <c r="AW25" s="58">
        <v>377.49</v>
      </c>
      <c r="AX25" s="65">
        <f t="shared" si="73"/>
        <v>139.99999999998636</v>
      </c>
      <c r="AY25" s="58">
        <v>410.51</v>
      </c>
      <c r="AZ25" s="65">
        <f t="shared" si="74"/>
        <v>139.99999999998636</v>
      </c>
      <c r="BA25" s="58">
        <v>431.03</v>
      </c>
      <c r="BB25" s="65">
        <f t="shared" si="75"/>
        <v>119.9999999999477</v>
      </c>
      <c r="BC25" s="58">
        <v>276.76</v>
      </c>
      <c r="BD25" s="65">
        <f t="shared" si="76"/>
        <v>110.00000000001364</v>
      </c>
      <c r="BE25" s="59">
        <v>51397</v>
      </c>
      <c r="BF25" s="67">
        <f t="shared" si="77"/>
        <v>17</v>
      </c>
      <c r="BG25" s="60">
        <v>248.48</v>
      </c>
      <c r="BH25" s="65">
        <f t="shared" si="78"/>
        <v>39.999999999992042</v>
      </c>
      <c r="BI25" s="60">
        <v>303.20999999999998</v>
      </c>
      <c r="BJ25" s="65">
        <f t="shared" si="79"/>
        <v>39.99999999996362</v>
      </c>
      <c r="BK25" s="60">
        <v>251.91</v>
      </c>
      <c r="BL25" s="65">
        <f t="shared" si="80"/>
        <v>49.999999999982947</v>
      </c>
      <c r="BM25" s="60">
        <v>238.11</v>
      </c>
      <c r="BN25" s="65">
        <f t="shared" si="81"/>
        <v>40.000000000020464</v>
      </c>
      <c r="BO25" s="60">
        <v>305.95</v>
      </c>
      <c r="BP25" s="65">
        <f t="shared" si="82"/>
        <v>60.000000000002274</v>
      </c>
      <c r="BQ25" s="60">
        <v>56629</v>
      </c>
      <c r="BR25" s="65">
        <f t="shared" si="83"/>
        <v>37</v>
      </c>
      <c r="BS25" s="60">
        <v>215.73</v>
      </c>
      <c r="BT25" s="65">
        <f t="shared" si="84"/>
        <v>49.999999999982947</v>
      </c>
      <c r="BU25" s="60">
        <v>54219</v>
      </c>
      <c r="BV25" s="65">
        <f t="shared" si="85"/>
        <v>42</v>
      </c>
      <c r="BW25" s="60">
        <v>243.97</v>
      </c>
      <c r="BX25" s="65">
        <f t="shared" si="86"/>
        <v>39.999999999992042</v>
      </c>
      <c r="BY25" s="60">
        <v>73887</v>
      </c>
      <c r="BZ25" s="67">
        <f t="shared" si="87"/>
        <v>46</v>
      </c>
      <c r="CA25" s="60">
        <v>48258.7</v>
      </c>
      <c r="CB25" s="67">
        <f t="shared" si="88"/>
        <v>46.5</v>
      </c>
      <c r="CC25" s="60">
        <v>15704.3</v>
      </c>
      <c r="CD25" s="67">
        <f t="shared" si="89"/>
        <v>8.5</v>
      </c>
      <c r="CE25" s="60">
        <v>8133.2</v>
      </c>
      <c r="CF25" s="67">
        <f t="shared" si="90"/>
        <v>9.1999999999998181</v>
      </c>
      <c r="CG25" s="60">
        <v>74541</v>
      </c>
      <c r="CH25" s="67">
        <f t="shared" si="91"/>
        <v>47.399999999994179</v>
      </c>
      <c r="CI25" s="60">
        <v>1046737</v>
      </c>
      <c r="CJ25" s="67">
        <f t="shared" si="92"/>
        <v>280</v>
      </c>
      <c r="CK25" s="60">
        <v>992.91</v>
      </c>
      <c r="CL25" s="64">
        <f t="shared" si="93"/>
        <v>809.99999999994543</v>
      </c>
      <c r="CM25" s="65">
        <f t="shared" si="94"/>
        <v>94.700000000000728</v>
      </c>
      <c r="CN25" s="62"/>
      <c r="CO25" s="62"/>
      <c r="CP25" s="68">
        <v>30640</v>
      </c>
      <c r="CQ25" s="67">
        <f t="shared" si="97"/>
        <v>73</v>
      </c>
      <c r="CR25" s="68">
        <v>21569</v>
      </c>
      <c r="CS25" s="67">
        <f t="shared" si="45"/>
        <v>21.700000000000728</v>
      </c>
      <c r="CT25" s="75">
        <v>10179</v>
      </c>
      <c r="CU25" s="67">
        <f t="shared" si="47"/>
        <v>19</v>
      </c>
      <c r="CV25" s="68">
        <v>24372</v>
      </c>
      <c r="CW25" s="67">
        <f t="shared" si="95"/>
        <v>23</v>
      </c>
      <c r="CX25" s="58">
        <v>3013.6</v>
      </c>
      <c r="CY25" s="67">
        <f t="shared" si="96"/>
        <v>8</v>
      </c>
    </row>
    <row r="26" spans="1:103" ht="25.5" customHeight="1" thickBot="1" x14ac:dyDescent="0.45">
      <c r="A26" s="63">
        <v>44704</v>
      </c>
      <c r="B26" s="44"/>
      <c r="C26" s="58">
        <v>3.2269999999999999</v>
      </c>
      <c r="D26" s="64">
        <f t="shared" si="50"/>
        <v>2599.9999999997135</v>
      </c>
      <c r="E26" s="58">
        <v>4.3209</v>
      </c>
      <c r="F26" s="64">
        <f t="shared" si="51"/>
        <v>3300.0000000003029</v>
      </c>
      <c r="G26" s="58">
        <v>4.2804000000000002</v>
      </c>
      <c r="H26" s="64">
        <f t="shared" si="52"/>
        <v>3200.0000000005357</v>
      </c>
      <c r="I26" s="58">
        <v>2.1509</v>
      </c>
      <c r="J26" s="64">
        <f t="shared" si="53"/>
        <v>1599.9999999998238</v>
      </c>
      <c r="K26" s="58">
        <v>3.3553000000000002</v>
      </c>
      <c r="L26" s="64">
        <f t="shared" si="54"/>
        <v>2200.0000000002019</v>
      </c>
      <c r="M26" s="58">
        <v>1.9372</v>
      </c>
      <c r="N26" s="64">
        <f t="shared" si="55"/>
        <v>2099.9999999999909</v>
      </c>
      <c r="O26" s="58">
        <v>20986</v>
      </c>
      <c r="P26" s="67">
        <f t="shared" si="56"/>
        <v>8</v>
      </c>
      <c r="Q26" s="58">
        <v>2577</v>
      </c>
      <c r="R26" s="67">
        <f t="shared" si="57"/>
        <v>5</v>
      </c>
      <c r="S26" s="58">
        <v>1350.3</v>
      </c>
      <c r="T26" s="67">
        <f t="shared" si="58"/>
        <v>1.0999999999999091</v>
      </c>
      <c r="U26" s="58">
        <v>551618.6</v>
      </c>
      <c r="V26" s="67">
        <f t="shared" si="59"/>
        <v>411</v>
      </c>
      <c r="W26" s="58">
        <v>511.3</v>
      </c>
      <c r="X26" s="65">
        <f t="shared" si="60"/>
        <v>280.00000000002956</v>
      </c>
      <c r="Y26" s="58">
        <v>3.7987000000000002</v>
      </c>
      <c r="Z26" s="65">
        <f t="shared" si="61"/>
        <v>2700.0000000003688</v>
      </c>
      <c r="AA26" s="58">
        <v>515.07000000000005</v>
      </c>
      <c r="AB26" s="65">
        <f t="shared" si="62"/>
        <v>390.00000000010004</v>
      </c>
      <c r="AC26" s="58">
        <v>507.53</v>
      </c>
      <c r="AD26" s="65">
        <f t="shared" si="63"/>
        <v>500</v>
      </c>
      <c r="AE26" s="58">
        <v>755.84</v>
      </c>
      <c r="AF26" s="65">
        <f t="shared" si="64"/>
        <v>920.00000000007276</v>
      </c>
      <c r="AG26" s="58">
        <v>17388</v>
      </c>
      <c r="AH26" s="67">
        <f t="shared" si="65"/>
        <v>26</v>
      </c>
      <c r="AI26" s="58">
        <v>857.09</v>
      </c>
      <c r="AJ26" s="65">
        <f t="shared" si="66"/>
        <v>710.00000000003638</v>
      </c>
      <c r="AK26" s="58">
        <v>286.10000000000002</v>
      </c>
      <c r="AL26" s="65">
        <f t="shared" si="67"/>
        <v>250</v>
      </c>
      <c r="AM26" s="58">
        <v>267.75</v>
      </c>
      <c r="AN26" s="65">
        <f t="shared" si="68"/>
        <v>189.99999999999773</v>
      </c>
      <c r="AO26" s="58">
        <v>257.45</v>
      </c>
      <c r="AP26" s="65">
        <f t="shared" si="69"/>
        <v>129.99999999999545</v>
      </c>
      <c r="AQ26" s="58">
        <v>313.42</v>
      </c>
      <c r="AR26" s="65">
        <f t="shared" si="70"/>
        <v>140.0000000000432</v>
      </c>
      <c r="AS26" s="58">
        <v>438.89</v>
      </c>
      <c r="AT26" s="65">
        <f t="shared" si="71"/>
        <v>129.99999999999545</v>
      </c>
      <c r="AU26" s="58">
        <v>348.05</v>
      </c>
      <c r="AV26" s="65">
        <f t="shared" si="72"/>
        <v>100.00000000002274</v>
      </c>
      <c r="AW26" s="58">
        <v>377.59</v>
      </c>
      <c r="AX26" s="65">
        <f t="shared" si="73"/>
        <v>99.999999999965894</v>
      </c>
      <c r="AY26" s="58">
        <v>410.61</v>
      </c>
      <c r="AZ26" s="65">
        <f t="shared" si="74"/>
        <v>100.00000000002274</v>
      </c>
      <c r="BA26" s="58">
        <v>431.14</v>
      </c>
      <c r="BB26" s="65">
        <f t="shared" si="75"/>
        <v>110.00000000001364</v>
      </c>
      <c r="BC26" s="58">
        <v>276.83</v>
      </c>
      <c r="BD26" s="65">
        <f t="shared" si="76"/>
        <v>69.999999999993179</v>
      </c>
      <c r="BE26" s="59">
        <v>51436</v>
      </c>
      <c r="BF26" s="67">
        <f t="shared" si="77"/>
        <v>39</v>
      </c>
      <c r="BG26" s="60">
        <v>248.52</v>
      </c>
      <c r="BH26" s="65">
        <f t="shared" si="78"/>
        <v>40.000000000020464</v>
      </c>
      <c r="BI26" s="60">
        <v>303.24</v>
      </c>
      <c r="BJ26" s="65">
        <f t="shared" si="79"/>
        <v>30.000000000029559</v>
      </c>
      <c r="BK26" s="60">
        <v>251.97</v>
      </c>
      <c r="BL26" s="65">
        <f t="shared" si="80"/>
        <v>60.000000000002274</v>
      </c>
      <c r="BM26" s="60">
        <v>238.16</v>
      </c>
      <c r="BN26" s="65">
        <f t="shared" si="81"/>
        <v>49.999999999982947</v>
      </c>
      <c r="BO26" s="60">
        <v>306.01</v>
      </c>
      <c r="BP26" s="65">
        <f t="shared" si="82"/>
        <v>60.000000000002274</v>
      </c>
      <c r="BQ26" s="60">
        <v>56664</v>
      </c>
      <c r="BR26" s="65">
        <f t="shared" si="83"/>
        <v>35</v>
      </c>
      <c r="BS26" s="60">
        <v>215.79</v>
      </c>
      <c r="BT26" s="65">
        <f t="shared" si="84"/>
        <v>60.000000000002274</v>
      </c>
      <c r="BU26" s="60">
        <v>54266</v>
      </c>
      <c r="BV26" s="65">
        <f t="shared" si="85"/>
        <v>47</v>
      </c>
      <c r="BW26" s="60">
        <v>244.02</v>
      </c>
      <c r="BX26" s="65">
        <f t="shared" si="86"/>
        <v>50.000000000011369</v>
      </c>
      <c r="BY26" s="60">
        <v>73931</v>
      </c>
      <c r="BZ26" s="67">
        <f t="shared" si="87"/>
        <v>44</v>
      </c>
      <c r="CA26" s="60">
        <v>48304.7</v>
      </c>
      <c r="CB26" s="67">
        <f t="shared" si="88"/>
        <v>46</v>
      </c>
      <c r="CC26" s="60">
        <v>15713.2</v>
      </c>
      <c r="CD26" s="67">
        <f t="shared" si="89"/>
        <v>8.9000000000014552</v>
      </c>
      <c r="CE26" s="60">
        <v>8138.1</v>
      </c>
      <c r="CF26" s="67">
        <f t="shared" si="90"/>
        <v>4.9000000000005457</v>
      </c>
      <c r="CG26" s="60">
        <v>74581.8</v>
      </c>
      <c r="CH26" s="67">
        <f t="shared" si="91"/>
        <v>40.80000000000291</v>
      </c>
      <c r="CI26" s="60">
        <v>1047037</v>
      </c>
      <c r="CJ26" s="67">
        <f t="shared" si="92"/>
        <v>300</v>
      </c>
      <c r="CK26" s="60">
        <v>993.73</v>
      </c>
      <c r="CL26" s="64">
        <f t="shared" si="93"/>
        <v>820.00000000005002</v>
      </c>
      <c r="CM26" s="65">
        <f t="shared" si="94"/>
        <v>101</v>
      </c>
      <c r="CN26" s="62">
        <v>35</v>
      </c>
      <c r="CO26" s="62">
        <v>69</v>
      </c>
      <c r="CP26" s="68">
        <v>30714</v>
      </c>
      <c r="CQ26" s="67">
        <f t="shared" si="97"/>
        <v>74</v>
      </c>
      <c r="CR26" s="68">
        <v>21596</v>
      </c>
      <c r="CS26" s="67">
        <f t="shared" si="45"/>
        <v>27</v>
      </c>
      <c r="CT26" s="75">
        <v>10195</v>
      </c>
      <c r="CU26" s="67">
        <f t="shared" si="47"/>
        <v>16</v>
      </c>
      <c r="CV26" s="68">
        <v>24387</v>
      </c>
      <c r="CW26" s="67">
        <f t="shared" si="95"/>
        <v>15</v>
      </c>
      <c r="CX26" s="58">
        <v>3025.5</v>
      </c>
      <c r="CY26" s="67">
        <f t="shared" si="96"/>
        <v>11.900000000000091</v>
      </c>
    </row>
    <row r="27" spans="1:103" ht="25.5" customHeight="1" thickBot="1" x14ac:dyDescent="0.45">
      <c r="A27" s="63">
        <v>44705</v>
      </c>
      <c r="B27" s="44"/>
      <c r="C27" s="58">
        <v>3.23</v>
      </c>
      <c r="D27" s="64">
        <f t="shared" si="50"/>
        <v>3000.0000000001137</v>
      </c>
      <c r="E27" s="58">
        <v>4.3239999999999998</v>
      </c>
      <c r="F27" s="64">
        <f t="shared" si="51"/>
        <v>3099.9999999998809</v>
      </c>
      <c r="G27" s="58">
        <v>4.2839999999999998</v>
      </c>
      <c r="H27" s="64">
        <f t="shared" si="52"/>
        <v>3599.9999999996035</v>
      </c>
      <c r="I27" s="58">
        <v>2.1524999999999999</v>
      </c>
      <c r="J27" s="64">
        <f t="shared" si="53"/>
        <v>1599.9999999998238</v>
      </c>
      <c r="K27" s="58">
        <v>3.3570000000000002</v>
      </c>
      <c r="L27" s="64">
        <f t="shared" si="54"/>
        <v>1700.0000000000348</v>
      </c>
      <c r="M27" s="58">
        <v>1.9390000000000001</v>
      </c>
      <c r="N27" s="64">
        <f t="shared" si="55"/>
        <v>1800.0000000000239</v>
      </c>
      <c r="O27" s="58">
        <v>21008</v>
      </c>
      <c r="P27" s="67">
        <f t="shared" si="56"/>
        <v>22</v>
      </c>
      <c r="Q27" s="58">
        <v>2581</v>
      </c>
      <c r="R27" s="67">
        <f t="shared" si="57"/>
        <v>4</v>
      </c>
      <c r="S27" s="58">
        <v>1351.3</v>
      </c>
      <c r="T27" s="67">
        <f t="shared" si="58"/>
        <v>1</v>
      </c>
      <c r="U27" s="58">
        <v>552028.1</v>
      </c>
      <c r="V27" s="67">
        <f t="shared" si="59"/>
        <v>409.5</v>
      </c>
      <c r="W27" s="58">
        <v>511.63</v>
      </c>
      <c r="X27" s="65">
        <f t="shared" si="60"/>
        <v>329.99999999998408</v>
      </c>
      <c r="Y27" s="58">
        <v>3.8016000000000001</v>
      </c>
      <c r="Z27" s="65">
        <f t="shared" si="61"/>
        <v>2899.9999999999027</v>
      </c>
      <c r="AA27" s="58">
        <v>515.36</v>
      </c>
      <c r="AB27" s="65">
        <f t="shared" si="62"/>
        <v>289.99999999996362</v>
      </c>
      <c r="AC27" s="58">
        <v>508</v>
      </c>
      <c r="AD27" s="65">
        <f t="shared" si="63"/>
        <v>470.00000000002728</v>
      </c>
      <c r="AE27" s="58">
        <v>756.77</v>
      </c>
      <c r="AF27" s="65">
        <f t="shared" si="64"/>
        <v>929.99999999994998</v>
      </c>
      <c r="AG27" s="58">
        <v>17419</v>
      </c>
      <c r="AH27" s="67">
        <f t="shared" si="65"/>
        <v>31</v>
      </c>
      <c r="AI27" s="58">
        <v>857.86</v>
      </c>
      <c r="AJ27" s="65">
        <f t="shared" si="66"/>
        <v>769.99999999998181</v>
      </c>
      <c r="AK27" s="58">
        <v>286.41000000000003</v>
      </c>
      <c r="AL27" s="65">
        <f t="shared" si="67"/>
        <v>310.00000000000227</v>
      </c>
      <c r="AM27" s="58">
        <v>267.99</v>
      </c>
      <c r="AN27" s="65">
        <f t="shared" si="68"/>
        <v>240.00000000000909</v>
      </c>
      <c r="AO27" s="58">
        <v>257.68</v>
      </c>
      <c r="AP27" s="65">
        <f t="shared" si="69"/>
        <v>230.00000000001819</v>
      </c>
      <c r="AQ27" s="58">
        <v>313.58</v>
      </c>
      <c r="AR27" s="65">
        <f t="shared" si="70"/>
        <v>159.99999999996817</v>
      </c>
      <c r="AS27" s="58">
        <v>439.08</v>
      </c>
      <c r="AT27" s="65">
        <f t="shared" si="71"/>
        <v>189.99999999999773</v>
      </c>
      <c r="AU27" s="58">
        <v>348.21</v>
      </c>
      <c r="AV27" s="65">
        <f t="shared" si="72"/>
        <v>159.99999999996817</v>
      </c>
      <c r="AW27" s="58">
        <v>377.75</v>
      </c>
      <c r="AX27" s="65">
        <f t="shared" si="73"/>
        <v>160.00000000002501</v>
      </c>
      <c r="AY27" s="58">
        <v>410.74</v>
      </c>
      <c r="AZ27" s="65">
        <f t="shared" si="74"/>
        <v>129.99999999999545</v>
      </c>
      <c r="BA27" s="58">
        <v>431.26</v>
      </c>
      <c r="BB27" s="65">
        <f t="shared" si="75"/>
        <v>120.00000000000455</v>
      </c>
      <c r="BC27" s="58">
        <v>276.89999999999998</v>
      </c>
      <c r="BD27" s="65">
        <f t="shared" si="76"/>
        <v>69.999999999993179</v>
      </c>
      <c r="BE27" s="59">
        <v>51462</v>
      </c>
      <c r="BF27" s="67">
        <f t="shared" si="77"/>
        <v>26</v>
      </c>
      <c r="BG27" s="60">
        <v>248.55</v>
      </c>
      <c r="BH27" s="65">
        <f t="shared" si="78"/>
        <v>30.000000000001137</v>
      </c>
      <c r="BI27" s="60">
        <v>303.27</v>
      </c>
      <c r="BJ27" s="65">
        <f t="shared" si="79"/>
        <v>29.999999999972715</v>
      </c>
      <c r="BK27" s="60">
        <v>252.03</v>
      </c>
      <c r="BL27" s="65">
        <f t="shared" si="80"/>
        <v>60.000000000002274</v>
      </c>
      <c r="BM27" s="60">
        <v>238.2</v>
      </c>
      <c r="BN27" s="65">
        <f t="shared" si="81"/>
        <v>39.999999999992042</v>
      </c>
      <c r="BO27" s="60">
        <v>306.07</v>
      </c>
      <c r="BP27" s="65">
        <f t="shared" si="82"/>
        <v>60.000000000002274</v>
      </c>
      <c r="BQ27" s="60">
        <v>56700</v>
      </c>
      <c r="BR27" s="65">
        <f t="shared" si="83"/>
        <v>36</v>
      </c>
      <c r="BS27" s="60">
        <v>215.83</v>
      </c>
      <c r="BT27" s="65">
        <f t="shared" si="84"/>
        <v>40.000000000020464</v>
      </c>
      <c r="BU27" s="60">
        <v>54310</v>
      </c>
      <c r="BV27" s="65">
        <f t="shared" si="85"/>
        <v>44</v>
      </c>
      <c r="BW27" s="60">
        <v>244.06</v>
      </c>
      <c r="BX27" s="65">
        <f t="shared" si="86"/>
        <v>39.999999999992042</v>
      </c>
      <c r="BY27" s="60">
        <v>73975</v>
      </c>
      <c r="BZ27" s="67">
        <f t="shared" si="87"/>
        <v>44</v>
      </c>
      <c r="CA27" s="60">
        <v>48343.5</v>
      </c>
      <c r="CB27" s="67">
        <f t="shared" si="88"/>
        <v>38.80000000000291</v>
      </c>
      <c r="CC27" s="60">
        <v>15724.1</v>
      </c>
      <c r="CD27" s="67">
        <f t="shared" si="89"/>
        <v>10.899999999999636</v>
      </c>
      <c r="CE27" s="60">
        <v>8140.2</v>
      </c>
      <c r="CF27" s="67">
        <f t="shared" si="90"/>
        <v>2.0999999999994543</v>
      </c>
      <c r="CG27" s="60">
        <v>74629.8</v>
      </c>
      <c r="CH27" s="67">
        <f t="shared" si="91"/>
        <v>48</v>
      </c>
      <c r="CI27" s="60">
        <v>1047339</v>
      </c>
      <c r="CJ27" s="67">
        <f t="shared" si="92"/>
        <v>302</v>
      </c>
      <c r="CK27" s="60">
        <v>994.59</v>
      </c>
      <c r="CL27" s="64">
        <f t="shared" si="93"/>
        <v>860.00000000001364</v>
      </c>
      <c r="CM27" s="65">
        <f t="shared" si="94"/>
        <v>94</v>
      </c>
      <c r="CN27" s="62">
        <v>25</v>
      </c>
      <c r="CO27" s="62">
        <v>50</v>
      </c>
      <c r="CP27" s="68">
        <v>30790</v>
      </c>
      <c r="CQ27" s="67">
        <f t="shared" si="97"/>
        <v>76</v>
      </c>
      <c r="CR27" s="68">
        <v>21614</v>
      </c>
      <c r="CS27" s="67">
        <f t="shared" si="45"/>
        <v>18</v>
      </c>
      <c r="CT27" s="75">
        <v>10215</v>
      </c>
      <c r="CU27" s="67">
        <f t="shared" si="47"/>
        <v>20</v>
      </c>
      <c r="CV27" s="68">
        <v>24412</v>
      </c>
      <c r="CW27" s="67">
        <f t="shared" si="95"/>
        <v>25</v>
      </c>
      <c r="CX27" s="58">
        <v>3037.4</v>
      </c>
      <c r="CY27" s="67">
        <f t="shared" si="96"/>
        <v>11.900000000000091</v>
      </c>
    </row>
    <row r="28" spans="1:103" ht="25.5" customHeight="1" thickBot="1" x14ac:dyDescent="0.45">
      <c r="A28" s="63">
        <v>44706</v>
      </c>
      <c r="B28" s="44"/>
      <c r="C28" s="58">
        <v>3.2320000000000002</v>
      </c>
      <c r="D28" s="64">
        <f t="shared" si="50"/>
        <v>2000.0000000002237</v>
      </c>
      <c r="E28" s="58">
        <v>4.327</v>
      </c>
      <c r="F28" s="64">
        <f t="shared" si="51"/>
        <v>3000.0000000001137</v>
      </c>
      <c r="G28" s="58">
        <v>4.2869999999999999</v>
      </c>
      <c r="H28" s="64">
        <f t="shared" si="52"/>
        <v>3000.0000000001137</v>
      </c>
      <c r="I28" s="58">
        <v>2.1541999999999999</v>
      </c>
      <c r="J28" s="64">
        <f t="shared" si="53"/>
        <v>1700.0000000000348</v>
      </c>
      <c r="K28" s="58">
        <v>3.36</v>
      </c>
      <c r="L28" s="64">
        <f t="shared" si="54"/>
        <v>2999.9999999996694</v>
      </c>
      <c r="M28" s="58">
        <v>1.9410000000000001</v>
      </c>
      <c r="N28" s="64">
        <f t="shared" si="55"/>
        <v>2000.0000000000018</v>
      </c>
      <c r="O28" s="58">
        <v>21031</v>
      </c>
      <c r="P28" s="67">
        <f t="shared" si="56"/>
        <v>23</v>
      </c>
      <c r="Q28" s="58">
        <v>2585</v>
      </c>
      <c r="R28" s="67">
        <f t="shared" si="57"/>
        <v>4</v>
      </c>
      <c r="S28" s="58">
        <v>1352.4</v>
      </c>
      <c r="T28" s="67">
        <f t="shared" si="58"/>
        <v>1.1000000000001364</v>
      </c>
      <c r="U28" s="58">
        <v>552408.4</v>
      </c>
      <c r="V28" s="67">
        <f t="shared" si="59"/>
        <v>380.30000000004657</v>
      </c>
      <c r="W28" s="58">
        <v>511.93</v>
      </c>
      <c r="X28" s="65">
        <f t="shared" si="60"/>
        <v>300.00000000001137</v>
      </c>
      <c r="Y28" s="58">
        <v>3.8043</v>
      </c>
      <c r="Z28" s="65">
        <f t="shared" si="61"/>
        <v>2699.9999999999245</v>
      </c>
      <c r="AA28" s="58">
        <v>515.78</v>
      </c>
      <c r="AB28" s="65">
        <f t="shared" si="62"/>
        <v>419.99999999995907</v>
      </c>
      <c r="AC28" s="58">
        <v>508.5</v>
      </c>
      <c r="AD28" s="65">
        <f t="shared" si="63"/>
        <v>500</v>
      </c>
      <c r="AE28" s="58">
        <v>757.68</v>
      </c>
      <c r="AF28" s="65">
        <f t="shared" si="64"/>
        <v>909.99999999996817</v>
      </c>
      <c r="AG28" s="58">
        <v>17453</v>
      </c>
      <c r="AH28" s="67">
        <f t="shared" si="65"/>
        <v>34</v>
      </c>
      <c r="AI28" s="58">
        <v>858.6</v>
      </c>
      <c r="AJ28" s="65">
        <f t="shared" si="66"/>
        <v>740.00000000000909</v>
      </c>
      <c r="AK28" s="58">
        <v>286.72000000000003</v>
      </c>
      <c r="AL28" s="65">
        <f t="shared" si="67"/>
        <v>310.00000000000227</v>
      </c>
      <c r="AM28" s="58">
        <v>268.22000000000003</v>
      </c>
      <c r="AN28" s="65">
        <f t="shared" si="68"/>
        <v>230.00000000001819</v>
      </c>
      <c r="AO28" s="58">
        <v>257.88</v>
      </c>
      <c r="AP28" s="65">
        <f t="shared" si="69"/>
        <v>199.99999999998863</v>
      </c>
      <c r="AQ28" s="58">
        <v>313.73</v>
      </c>
      <c r="AR28" s="65">
        <f t="shared" si="70"/>
        <v>150.00000000003411</v>
      </c>
      <c r="AS28" s="58">
        <v>439.24</v>
      </c>
      <c r="AT28" s="65">
        <f t="shared" si="71"/>
        <v>160.00000000002501</v>
      </c>
      <c r="AU28" s="58">
        <v>348.34</v>
      </c>
      <c r="AV28" s="65">
        <f t="shared" si="72"/>
        <v>129.99999999999545</v>
      </c>
      <c r="AW28" s="58">
        <v>377.89</v>
      </c>
      <c r="AX28" s="65">
        <f t="shared" si="73"/>
        <v>139.99999999998636</v>
      </c>
      <c r="AY28" s="58">
        <v>410.88</v>
      </c>
      <c r="AZ28" s="65">
        <f t="shared" si="74"/>
        <v>139.99999999998636</v>
      </c>
      <c r="BA28" s="58">
        <v>431.39</v>
      </c>
      <c r="BB28" s="65">
        <f t="shared" si="75"/>
        <v>129.99999999999545</v>
      </c>
      <c r="BC28" s="58">
        <v>276.95999999999998</v>
      </c>
      <c r="BD28" s="65">
        <f t="shared" si="76"/>
        <v>60.000000000002274</v>
      </c>
      <c r="BE28" s="59">
        <v>51494</v>
      </c>
      <c r="BF28" s="67">
        <f t="shared" si="77"/>
        <v>32</v>
      </c>
      <c r="BG28" s="60">
        <v>248.59</v>
      </c>
      <c r="BH28" s="65">
        <f t="shared" si="78"/>
        <v>39.999999999992042</v>
      </c>
      <c r="BI28" s="60">
        <v>303.3</v>
      </c>
      <c r="BJ28" s="65">
        <f t="shared" si="79"/>
        <v>30.000000000029559</v>
      </c>
      <c r="BK28" s="60">
        <v>252.08</v>
      </c>
      <c r="BL28" s="65">
        <f t="shared" si="80"/>
        <v>50.000000000011369</v>
      </c>
      <c r="BM28" s="60">
        <v>238.25</v>
      </c>
      <c r="BN28" s="65">
        <f t="shared" si="81"/>
        <v>50.000000000011369</v>
      </c>
      <c r="BO28" s="60">
        <v>306.13</v>
      </c>
      <c r="BP28" s="65">
        <f t="shared" si="82"/>
        <v>60.000000000002274</v>
      </c>
      <c r="BQ28" s="60">
        <v>56733</v>
      </c>
      <c r="BR28" s="65">
        <f t="shared" si="83"/>
        <v>33</v>
      </c>
      <c r="BS28" s="60">
        <v>215.88</v>
      </c>
      <c r="BT28" s="65">
        <f t="shared" si="84"/>
        <v>49.999999999982947</v>
      </c>
      <c r="BU28" s="60">
        <v>54349</v>
      </c>
      <c r="BV28" s="65">
        <f t="shared" si="85"/>
        <v>39</v>
      </c>
      <c r="BW28" s="60">
        <v>244.11</v>
      </c>
      <c r="BX28" s="65">
        <f t="shared" si="86"/>
        <v>50.000000000011369</v>
      </c>
      <c r="BY28" s="60">
        <v>74016</v>
      </c>
      <c r="BZ28" s="67">
        <f t="shared" si="87"/>
        <v>41</v>
      </c>
      <c r="CA28" s="60">
        <v>48391.199999999997</v>
      </c>
      <c r="CB28" s="67">
        <f t="shared" si="88"/>
        <v>47.69999999999709</v>
      </c>
      <c r="CC28" s="60">
        <v>15733.9</v>
      </c>
      <c r="CD28" s="67">
        <f t="shared" si="89"/>
        <v>9.7999999999992724</v>
      </c>
      <c r="CE28" s="60">
        <v>8141.3</v>
      </c>
      <c r="CF28" s="67">
        <f t="shared" si="90"/>
        <v>1.1000000000003638</v>
      </c>
      <c r="CG28" s="60">
        <v>74673</v>
      </c>
      <c r="CH28" s="67">
        <f t="shared" si="91"/>
        <v>43.19999999999709</v>
      </c>
      <c r="CI28" s="60">
        <v>1047644</v>
      </c>
      <c r="CJ28" s="67">
        <f t="shared" si="92"/>
        <v>305</v>
      </c>
      <c r="CK28" s="60">
        <v>995.61</v>
      </c>
      <c r="CL28" s="64">
        <f t="shared" si="93"/>
        <v>1019.9999999999818</v>
      </c>
      <c r="CM28" s="65">
        <f t="shared" si="94"/>
        <v>86</v>
      </c>
      <c r="CN28" s="62">
        <v>25</v>
      </c>
      <c r="CO28" s="62">
        <v>50</v>
      </c>
      <c r="CP28" s="68">
        <v>30866</v>
      </c>
      <c r="CQ28" s="67">
        <f t="shared" si="97"/>
        <v>76</v>
      </c>
      <c r="CR28" s="68">
        <v>21624</v>
      </c>
      <c r="CS28" s="67">
        <f t="shared" si="45"/>
        <v>10</v>
      </c>
      <c r="CT28" s="75">
        <v>10235</v>
      </c>
      <c r="CU28" s="67">
        <f t="shared" si="47"/>
        <v>20</v>
      </c>
      <c r="CV28" s="68">
        <v>24428</v>
      </c>
      <c r="CW28" s="67">
        <f t="shared" si="95"/>
        <v>16</v>
      </c>
      <c r="CX28" s="58">
        <v>3048.5</v>
      </c>
      <c r="CY28" s="67">
        <f t="shared" si="96"/>
        <v>11.099999999999909</v>
      </c>
    </row>
    <row r="29" spans="1:103" ht="25.5" customHeight="1" thickBot="1" x14ac:dyDescent="0.45">
      <c r="A29" s="63">
        <v>44707</v>
      </c>
      <c r="B29" s="44"/>
      <c r="C29" s="58">
        <v>3.2353999999999998</v>
      </c>
      <c r="D29" s="64">
        <f t="shared" si="50"/>
        <v>3399.9999999996257</v>
      </c>
      <c r="E29" s="58">
        <v>4.33</v>
      </c>
      <c r="F29" s="64">
        <f t="shared" si="51"/>
        <v>3000.0000000001137</v>
      </c>
      <c r="G29" s="58">
        <v>4.29</v>
      </c>
      <c r="H29" s="64">
        <f t="shared" si="52"/>
        <v>3000.0000000001137</v>
      </c>
      <c r="I29" s="58">
        <v>2.1560000000000001</v>
      </c>
      <c r="J29" s="64">
        <f t="shared" si="53"/>
        <v>1800.0000000002458</v>
      </c>
      <c r="K29" s="58">
        <v>3.36</v>
      </c>
      <c r="L29" s="64">
        <f t="shared" si="54"/>
        <v>0</v>
      </c>
      <c r="M29" s="58">
        <v>1.9430000000000001</v>
      </c>
      <c r="N29" s="64">
        <f t="shared" si="55"/>
        <v>2000.0000000000018</v>
      </c>
      <c r="O29" s="58">
        <v>21061</v>
      </c>
      <c r="P29" s="67">
        <f t="shared" si="56"/>
        <v>30</v>
      </c>
      <c r="Q29" s="58">
        <v>2590</v>
      </c>
      <c r="R29" s="67">
        <f t="shared" si="57"/>
        <v>5</v>
      </c>
      <c r="S29" s="58">
        <v>1353.7</v>
      </c>
      <c r="T29" s="67">
        <f t="shared" si="58"/>
        <v>1.2999999999999545</v>
      </c>
      <c r="U29" s="58">
        <v>552894.5</v>
      </c>
      <c r="V29" s="67">
        <f t="shared" si="59"/>
        <v>486.09999999997672</v>
      </c>
      <c r="W29" s="58">
        <v>512.28</v>
      </c>
      <c r="X29" s="65">
        <f t="shared" si="60"/>
        <v>349.99999999996589</v>
      </c>
      <c r="Y29" s="58">
        <v>3.8073000000000001</v>
      </c>
      <c r="Z29" s="65">
        <f t="shared" si="61"/>
        <v>3000.0000000001137</v>
      </c>
      <c r="AA29" s="58">
        <v>516.22</v>
      </c>
      <c r="AB29" s="65">
        <f t="shared" si="62"/>
        <v>440.00000000005457</v>
      </c>
      <c r="AC29" s="58">
        <v>509.05</v>
      </c>
      <c r="AD29" s="65">
        <f t="shared" si="63"/>
        <v>550.00000000001137</v>
      </c>
      <c r="AE29" s="58">
        <v>758.79</v>
      </c>
      <c r="AF29" s="65">
        <f t="shared" si="64"/>
        <v>1110.0000000000136</v>
      </c>
      <c r="AG29" s="58">
        <v>17490</v>
      </c>
      <c r="AH29" s="67">
        <f t="shared" si="65"/>
        <v>37</v>
      </c>
      <c r="AI29" s="58">
        <v>859.49</v>
      </c>
      <c r="AJ29" s="65">
        <f t="shared" si="66"/>
        <v>889.99999999998636</v>
      </c>
      <c r="AK29" s="58">
        <v>287.06</v>
      </c>
      <c r="AL29" s="65">
        <f t="shared" si="67"/>
        <v>339.99999999997499</v>
      </c>
      <c r="AM29" s="58">
        <v>268.51</v>
      </c>
      <c r="AN29" s="65">
        <f t="shared" si="68"/>
        <v>289.99999999996362</v>
      </c>
      <c r="AO29" s="58">
        <v>258.13</v>
      </c>
      <c r="AP29" s="65">
        <f t="shared" si="69"/>
        <v>250</v>
      </c>
      <c r="AQ29" s="58">
        <v>313.93</v>
      </c>
      <c r="AR29" s="65">
        <f t="shared" si="70"/>
        <v>199.99999999998863</v>
      </c>
      <c r="AS29" s="58">
        <v>439.42</v>
      </c>
      <c r="AT29" s="65">
        <f t="shared" si="71"/>
        <v>180.00000000000682</v>
      </c>
      <c r="AU29" s="58">
        <v>348.5</v>
      </c>
      <c r="AV29" s="65">
        <f t="shared" si="72"/>
        <v>160.00000000002501</v>
      </c>
      <c r="AW29" s="58">
        <v>378.06</v>
      </c>
      <c r="AX29" s="65">
        <f t="shared" si="73"/>
        <v>170.00000000001592</v>
      </c>
      <c r="AY29" s="58">
        <v>411.12</v>
      </c>
      <c r="AZ29" s="65">
        <f t="shared" si="74"/>
        <v>240.00000000000909</v>
      </c>
      <c r="BA29" s="58">
        <v>431.55</v>
      </c>
      <c r="BB29" s="65">
        <f t="shared" si="75"/>
        <v>160.00000000002501</v>
      </c>
      <c r="BC29" s="58">
        <v>277.02999999999997</v>
      </c>
      <c r="BD29" s="65">
        <f t="shared" si="76"/>
        <v>69.999999999993179</v>
      </c>
      <c r="BE29" s="59">
        <v>51533</v>
      </c>
      <c r="BF29" s="67">
        <f t="shared" si="77"/>
        <v>39</v>
      </c>
      <c r="BG29" s="60">
        <v>248.63</v>
      </c>
      <c r="BH29" s="65">
        <f t="shared" si="78"/>
        <v>39.999999999992042</v>
      </c>
      <c r="BI29" s="60">
        <v>303.33</v>
      </c>
      <c r="BJ29" s="65">
        <f t="shared" si="79"/>
        <v>29.999999999972715</v>
      </c>
      <c r="BK29" s="60">
        <v>252.12</v>
      </c>
      <c r="BL29" s="65">
        <f t="shared" si="80"/>
        <v>39.999999999992042</v>
      </c>
      <c r="BM29" s="60">
        <v>238.29</v>
      </c>
      <c r="BN29" s="65">
        <f t="shared" si="81"/>
        <v>39.999999999992042</v>
      </c>
      <c r="BO29" s="60">
        <v>306.18</v>
      </c>
      <c r="BP29" s="65">
        <f t="shared" si="82"/>
        <v>50.000000000011369</v>
      </c>
      <c r="BQ29" s="60">
        <v>56769</v>
      </c>
      <c r="BR29" s="65">
        <f t="shared" si="83"/>
        <v>36</v>
      </c>
      <c r="BS29" s="60">
        <v>215.94</v>
      </c>
      <c r="BT29" s="65">
        <f t="shared" si="84"/>
        <v>60.000000000002274</v>
      </c>
      <c r="BU29" s="60">
        <v>54396</v>
      </c>
      <c r="BV29" s="65">
        <f t="shared" si="85"/>
        <v>47</v>
      </c>
      <c r="BW29" s="60">
        <v>244.15</v>
      </c>
      <c r="BX29" s="65">
        <f t="shared" si="86"/>
        <v>39.999999999992042</v>
      </c>
      <c r="BY29" s="60">
        <v>74059</v>
      </c>
      <c r="BZ29" s="67">
        <f t="shared" si="87"/>
        <v>43</v>
      </c>
      <c r="CA29" s="60">
        <v>48439.3</v>
      </c>
      <c r="CB29" s="67">
        <f t="shared" si="88"/>
        <v>48.100000000005821</v>
      </c>
      <c r="CC29" s="60">
        <v>15744.2</v>
      </c>
      <c r="CD29" s="67">
        <f t="shared" si="89"/>
        <v>10.300000000001091</v>
      </c>
      <c r="CE29" s="60">
        <v>8153.3</v>
      </c>
      <c r="CF29" s="67">
        <f t="shared" si="90"/>
        <v>12</v>
      </c>
      <c r="CG29" s="60">
        <v>74717.3</v>
      </c>
      <c r="CH29" s="67">
        <f t="shared" si="91"/>
        <v>44.30000000000291</v>
      </c>
      <c r="CI29" s="60">
        <v>1047959</v>
      </c>
      <c r="CJ29" s="67">
        <f t="shared" si="92"/>
        <v>315</v>
      </c>
      <c r="CK29" s="60">
        <v>996.5</v>
      </c>
      <c r="CL29" s="64">
        <f t="shared" si="93"/>
        <v>889.99999999998636</v>
      </c>
      <c r="CM29" s="65">
        <f t="shared" si="94"/>
        <v>84</v>
      </c>
      <c r="CN29" s="62">
        <v>33</v>
      </c>
      <c r="CO29" s="62">
        <v>64</v>
      </c>
      <c r="CP29" s="68">
        <v>30945</v>
      </c>
      <c r="CQ29" s="67">
        <f t="shared" si="97"/>
        <v>79</v>
      </c>
      <c r="CR29" s="68">
        <v>21629</v>
      </c>
      <c r="CS29" s="67">
        <f t="shared" si="45"/>
        <v>5</v>
      </c>
      <c r="CT29" s="75">
        <v>10260</v>
      </c>
      <c r="CU29" s="67">
        <f t="shared" si="47"/>
        <v>25</v>
      </c>
      <c r="CV29" s="68">
        <v>24450</v>
      </c>
      <c r="CW29" s="67">
        <f t="shared" si="95"/>
        <v>22</v>
      </c>
      <c r="CX29" s="58">
        <v>3060.8</v>
      </c>
      <c r="CY29" s="67">
        <f t="shared" si="96"/>
        <v>12.300000000000182</v>
      </c>
    </row>
    <row r="30" spans="1:103" ht="25.5" customHeight="1" thickBot="1" x14ac:dyDescent="0.45">
      <c r="A30" s="63">
        <v>44708</v>
      </c>
      <c r="B30" s="44"/>
      <c r="C30" s="58">
        <v>3.238</v>
      </c>
      <c r="D30" s="64">
        <f t="shared" si="50"/>
        <v>2600.0000000001578</v>
      </c>
      <c r="E30" s="58">
        <v>4.3339999999999996</v>
      </c>
      <c r="F30" s="64">
        <f t="shared" si="51"/>
        <v>3999.9999999995593</v>
      </c>
      <c r="G30" s="58">
        <v>4.2930000000000001</v>
      </c>
      <c r="H30" s="64">
        <f t="shared" si="52"/>
        <v>3000.0000000001137</v>
      </c>
      <c r="I30" s="58">
        <v>2.1573000000000002</v>
      </c>
      <c r="J30" s="64">
        <f t="shared" si="53"/>
        <v>1300.0000000000789</v>
      </c>
      <c r="K30" s="58">
        <v>3.3639999999999999</v>
      </c>
      <c r="L30" s="64">
        <f t="shared" si="54"/>
        <v>4000.0000000000036</v>
      </c>
      <c r="M30" s="58">
        <v>1.9450000000000001</v>
      </c>
      <c r="N30" s="64">
        <f t="shared" si="55"/>
        <v>2000.0000000000018</v>
      </c>
      <c r="O30" s="58">
        <v>21080</v>
      </c>
      <c r="P30" s="67">
        <f t="shared" si="56"/>
        <v>19</v>
      </c>
      <c r="Q30" s="58">
        <v>2594</v>
      </c>
      <c r="R30" s="67">
        <f t="shared" si="57"/>
        <v>4</v>
      </c>
      <c r="S30" s="58">
        <v>1354.8</v>
      </c>
      <c r="T30" s="67">
        <f t="shared" si="58"/>
        <v>1.0999999999999091</v>
      </c>
      <c r="U30" s="58">
        <v>553264.69999999995</v>
      </c>
      <c r="V30" s="67">
        <f t="shared" si="59"/>
        <v>370.19999999995343</v>
      </c>
      <c r="W30" s="58">
        <v>512.65</v>
      </c>
      <c r="X30" s="65">
        <f t="shared" si="60"/>
        <v>370.00000000000455</v>
      </c>
      <c r="Y30" s="58">
        <v>3.8098999999999998</v>
      </c>
      <c r="Z30" s="65">
        <f t="shared" si="61"/>
        <v>2599.9999999997135</v>
      </c>
      <c r="AA30" s="58">
        <v>516.61</v>
      </c>
      <c r="AB30" s="65">
        <f t="shared" si="62"/>
        <v>389.99999999998636</v>
      </c>
      <c r="AC30" s="58">
        <v>509.54</v>
      </c>
      <c r="AD30" s="65">
        <f t="shared" si="63"/>
        <v>490.00000000000909</v>
      </c>
      <c r="AE30" s="58">
        <v>759.69</v>
      </c>
      <c r="AF30" s="65">
        <f t="shared" si="64"/>
        <v>900.00000000009095</v>
      </c>
      <c r="AG30" s="58">
        <v>17520</v>
      </c>
      <c r="AH30" s="67">
        <f t="shared" si="65"/>
        <v>30</v>
      </c>
      <c r="AI30" s="58">
        <v>860.22</v>
      </c>
      <c r="AJ30" s="65">
        <f t="shared" si="66"/>
        <v>730.00000000001819</v>
      </c>
      <c r="AK30" s="58">
        <v>287.33999999999997</v>
      </c>
      <c r="AL30" s="65">
        <f t="shared" si="67"/>
        <v>279.99999999997272</v>
      </c>
      <c r="AM30" s="58">
        <v>268.67</v>
      </c>
      <c r="AN30" s="65">
        <f t="shared" si="68"/>
        <v>160.00000000002501</v>
      </c>
      <c r="AO30" s="58">
        <v>258.32</v>
      </c>
      <c r="AP30" s="65">
        <f t="shared" si="69"/>
        <v>189.99999999999773</v>
      </c>
      <c r="AQ30" s="58">
        <v>314.08999999999997</v>
      </c>
      <c r="AR30" s="65">
        <f t="shared" si="70"/>
        <v>159.99999999996817</v>
      </c>
      <c r="AS30" s="58">
        <v>439.6</v>
      </c>
      <c r="AT30" s="65">
        <f t="shared" si="71"/>
        <v>180.00000000000682</v>
      </c>
      <c r="AU30" s="58">
        <v>348.62</v>
      </c>
      <c r="AV30" s="65">
        <f t="shared" si="72"/>
        <v>120.00000000000455</v>
      </c>
      <c r="AW30" s="58">
        <v>378.13</v>
      </c>
      <c r="AX30" s="65">
        <f t="shared" si="73"/>
        <v>69.999999999993179</v>
      </c>
      <c r="AY30" s="58">
        <v>411.31</v>
      </c>
      <c r="AZ30" s="65">
        <f t="shared" si="74"/>
        <v>189.99999999999773</v>
      </c>
      <c r="BA30" s="58">
        <v>431.68</v>
      </c>
      <c r="BB30" s="65">
        <f t="shared" si="75"/>
        <v>129.99999999999545</v>
      </c>
      <c r="BC30" s="58">
        <v>277.11</v>
      </c>
      <c r="BD30" s="65">
        <f t="shared" si="76"/>
        <v>80.000000000040927</v>
      </c>
      <c r="BE30" s="59">
        <v>51558</v>
      </c>
      <c r="BF30" s="67">
        <f t="shared" si="77"/>
        <v>25</v>
      </c>
      <c r="BG30" s="60">
        <v>248.66</v>
      </c>
      <c r="BH30" s="65">
        <f t="shared" si="78"/>
        <v>30.000000000001137</v>
      </c>
      <c r="BI30" s="60">
        <v>303.36</v>
      </c>
      <c r="BJ30" s="65">
        <f t="shared" si="79"/>
        <v>30.000000000029559</v>
      </c>
      <c r="BK30" s="60">
        <v>252.15</v>
      </c>
      <c r="BL30" s="65">
        <f t="shared" si="80"/>
        <v>30.000000000001137</v>
      </c>
      <c r="BM30" s="60">
        <v>238.33</v>
      </c>
      <c r="BN30" s="65">
        <f t="shared" si="81"/>
        <v>40.000000000020464</v>
      </c>
      <c r="BO30" s="60">
        <v>306.26</v>
      </c>
      <c r="BP30" s="65">
        <f t="shared" si="82"/>
        <v>79.999999999984084</v>
      </c>
      <c r="BQ30" s="60">
        <v>56797</v>
      </c>
      <c r="BR30" s="65">
        <f t="shared" si="83"/>
        <v>28</v>
      </c>
      <c r="BS30" s="60">
        <v>215.98</v>
      </c>
      <c r="BT30" s="65">
        <f t="shared" si="84"/>
        <v>39.999999999992042</v>
      </c>
      <c r="BU30" s="60">
        <v>54434</v>
      </c>
      <c r="BV30" s="65">
        <f t="shared" si="85"/>
        <v>38</v>
      </c>
      <c r="BW30" s="60">
        <v>244.18</v>
      </c>
      <c r="BX30" s="65">
        <f t="shared" si="86"/>
        <v>30.000000000001137</v>
      </c>
      <c r="BY30" s="60">
        <v>74098</v>
      </c>
      <c r="BZ30" s="67">
        <f t="shared" si="87"/>
        <v>39</v>
      </c>
      <c r="CA30" s="60">
        <v>48485.7</v>
      </c>
      <c r="CB30" s="67">
        <f t="shared" si="88"/>
        <v>46.399999999994179</v>
      </c>
      <c r="CC30" s="60">
        <v>15754.5</v>
      </c>
      <c r="CD30" s="67">
        <f t="shared" si="89"/>
        <v>10.299999999999272</v>
      </c>
      <c r="CE30" s="60">
        <v>8155.1</v>
      </c>
      <c r="CF30" s="67">
        <f t="shared" si="90"/>
        <v>1.8000000000001819</v>
      </c>
      <c r="CG30" s="60">
        <v>74764.800000000003</v>
      </c>
      <c r="CH30" s="67">
        <f t="shared" si="91"/>
        <v>47.5</v>
      </c>
      <c r="CI30" s="60">
        <v>1048271</v>
      </c>
      <c r="CJ30" s="67">
        <f t="shared" si="92"/>
        <v>312</v>
      </c>
      <c r="CK30" s="60">
        <v>997.41</v>
      </c>
      <c r="CL30" s="64">
        <f t="shared" si="93"/>
        <v>909.99999999996817</v>
      </c>
      <c r="CM30" s="65">
        <f t="shared" si="94"/>
        <v>88</v>
      </c>
      <c r="CN30" s="62"/>
      <c r="CO30" s="62"/>
      <c r="CP30" s="68">
        <v>31024</v>
      </c>
      <c r="CQ30" s="67">
        <f t="shared" si="97"/>
        <v>79</v>
      </c>
      <c r="CR30" s="68">
        <v>21638</v>
      </c>
      <c r="CS30" s="67">
        <f t="shared" si="45"/>
        <v>9</v>
      </c>
      <c r="CT30" s="75">
        <v>10280</v>
      </c>
      <c r="CU30" s="67">
        <f t="shared" si="47"/>
        <v>20</v>
      </c>
      <c r="CV30" s="68">
        <v>24467</v>
      </c>
      <c r="CW30" s="67">
        <f t="shared" si="95"/>
        <v>17</v>
      </c>
      <c r="CX30" s="58">
        <v>3071.7</v>
      </c>
      <c r="CY30" s="67">
        <f t="shared" si="96"/>
        <v>10.899999999999636</v>
      </c>
    </row>
    <row r="31" spans="1:103" ht="25.5" customHeight="1" thickBot="1" x14ac:dyDescent="0.45">
      <c r="A31" s="63">
        <v>44709</v>
      </c>
      <c r="B31" s="66"/>
      <c r="C31" s="58">
        <v>3.2410000000000001</v>
      </c>
      <c r="D31" s="64">
        <f t="shared" si="50"/>
        <v>3000.0000000001137</v>
      </c>
      <c r="E31" s="58">
        <v>4.3369999999999997</v>
      </c>
      <c r="F31" s="64">
        <f t="shared" si="51"/>
        <v>3000.0000000001137</v>
      </c>
      <c r="G31" s="58">
        <v>4.2969999999999997</v>
      </c>
      <c r="H31" s="64">
        <f t="shared" si="52"/>
        <v>3999.9999999995593</v>
      </c>
      <c r="I31" s="58">
        <v>2.1589999999999998</v>
      </c>
      <c r="J31" s="64">
        <f t="shared" si="53"/>
        <v>1699.9999999995907</v>
      </c>
      <c r="K31" s="58">
        <v>3.367</v>
      </c>
      <c r="L31" s="64">
        <f t="shared" si="54"/>
        <v>3000.0000000001137</v>
      </c>
      <c r="M31" s="58">
        <v>1.9470000000000001</v>
      </c>
      <c r="N31" s="64">
        <f t="shared" si="55"/>
        <v>2000.0000000000018</v>
      </c>
      <c r="O31" s="58">
        <v>21104</v>
      </c>
      <c r="P31" s="67">
        <f t="shared" si="56"/>
        <v>24</v>
      </c>
      <c r="Q31" s="58">
        <v>2599</v>
      </c>
      <c r="R31" s="67">
        <f t="shared" si="57"/>
        <v>5</v>
      </c>
      <c r="S31" s="58">
        <v>1356.1</v>
      </c>
      <c r="T31" s="67">
        <f t="shared" si="58"/>
        <v>1.2999999999999545</v>
      </c>
      <c r="U31" s="58">
        <v>553706.69999999995</v>
      </c>
      <c r="V31" s="67">
        <f t="shared" si="59"/>
        <v>442</v>
      </c>
      <c r="W31" s="58">
        <v>513.01</v>
      </c>
      <c r="X31" s="65">
        <f t="shared" si="60"/>
        <v>360.00000000001364</v>
      </c>
      <c r="Y31" s="58">
        <v>3.8128000000000002</v>
      </c>
      <c r="Z31" s="65">
        <f t="shared" si="61"/>
        <v>2900.0000000003465</v>
      </c>
      <c r="AA31" s="58">
        <v>516.88</v>
      </c>
      <c r="AB31" s="65">
        <f t="shared" si="62"/>
        <v>269.99999999998181</v>
      </c>
      <c r="AC31" s="58">
        <v>510.06</v>
      </c>
      <c r="AD31" s="65">
        <f t="shared" si="63"/>
        <v>519.99999999998181</v>
      </c>
      <c r="AE31" s="58">
        <v>760.69</v>
      </c>
      <c r="AF31" s="65">
        <f t="shared" si="64"/>
        <v>1000</v>
      </c>
      <c r="AG31" s="58">
        <v>17558</v>
      </c>
      <c r="AH31" s="67">
        <f t="shared" si="65"/>
        <v>38</v>
      </c>
      <c r="AI31" s="58">
        <v>860.91</v>
      </c>
      <c r="AJ31" s="65">
        <f t="shared" si="66"/>
        <v>689.99999999994088</v>
      </c>
      <c r="AK31" s="58">
        <v>287.64999999999998</v>
      </c>
      <c r="AL31" s="65">
        <f t="shared" si="67"/>
        <v>310.00000000000227</v>
      </c>
      <c r="AM31" s="58">
        <v>268.97000000000003</v>
      </c>
      <c r="AN31" s="65">
        <f t="shared" si="68"/>
        <v>300.00000000001137</v>
      </c>
      <c r="AO31" s="58">
        <v>258.52999999999997</v>
      </c>
      <c r="AP31" s="65">
        <f t="shared" si="69"/>
        <v>209.99999999997954</v>
      </c>
      <c r="AQ31" s="58">
        <v>314.23</v>
      </c>
      <c r="AR31" s="65">
        <f t="shared" si="70"/>
        <v>140.0000000000432</v>
      </c>
      <c r="AS31" s="58">
        <v>439.89</v>
      </c>
      <c r="AT31" s="65">
        <f t="shared" si="71"/>
        <v>289.99999999996362</v>
      </c>
      <c r="AU31" s="58">
        <v>348.76</v>
      </c>
      <c r="AV31" s="65">
        <f t="shared" si="72"/>
        <v>139.99999999998636</v>
      </c>
      <c r="AW31" s="58">
        <v>378.44</v>
      </c>
      <c r="AX31" s="65">
        <f t="shared" si="73"/>
        <v>310.00000000000227</v>
      </c>
      <c r="AY31" s="58">
        <v>411.53</v>
      </c>
      <c r="AZ31" s="65">
        <f t="shared" si="74"/>
        <v>219.99999999997044</v>
      </c>
      <c r="BA31" s="58">
        <v>431.83</v>
      </c>
      <c r="BB31" s="65">
        <f t="shared" si="75"/>
        <v>149.99999999997726</v>
      </c>
      <c r="BC31" s="58">
        <v>277.20999999999998</v>
      </c>
      <c r="BD31" s="65">
        <f t="shared" si="76"/>
        <v>99.999999999965894</v>
      </c>
      <c r="BE31" s="59">
        <v>51598</v>
      </c>
      <c r="BF31" s="67">
        <f t="shared" si="77"/>
        <v>40</v>
      </c>
      <c r="BG31" s="60">
        <v>248.71</v>
      </c>
      <c r="BH31" s="65">
        <f t="shared" si="78"/>
        <v>50.000000000011369</v>
      </c>
      <c r="BI31" s="60">
        <v>303.39999999999998</v>
      </c>
      <c r="BJ31" s="65">
        <f t="shared" si="79"/>
        <v>39.99999999996362</v>
      </c>
      <c r="BK31" s="60">
        <v>252.19</v>
      </c>
      <c r="BL31" s="65">
        <f t="shared" si="80"/>
        <v>39.999999999992042</v>
      </c>
      <c r="BM31" s="60">
        <v>238.37</v>
      </c>
      <c r="BN31" s="65">
        <f t="shared" si="81"/>
        <v>39.999999999992042</v>
      </c>
      <c r="BO31" s="60">
        <v>306.27999999999997</v>
      </c>
      <c r="BP31" s="65">
        <f t="shared" si="82"/>
        <v>19.99999999998181</v>
      </c>
      <c r="BQ31" s="60">
        <v>56832</v>
      </c>
      <c r="BR31" s="65">
        <f t="shared" si="83"/>
        <v>35</v>
      </c>
      <c r="BS31" s="60">
        <v>216.02</v>
      </c>
      <c r="BT31" s="65">
        <f t="shared" si="84"/>
        <v>40.000000000020464</v>
      </c>
      <c r="BU31" s="60">
        <v>54468</v>
      </c>
      <c r="BV31" s="65">
        <f t="shared" si="85"/>
        <v>34</v>
      </c>
      <c r="BW31" s="60">
        <v>244.23</v>
      </c>
      <c r="BX31" s="65">
        <f t="shared" si="86"/>
        <v>49.999999999982947</v>
      </c>
      <c r="BY31" s="60">
        <v>74151</v>
      </c>
      <c r="BZ31" s="67">
        <f t="shared" si="87"/>
        <v>53</v>
      </c>
      <c r="CA31" s="60">
        <v>48549.9</v>
      </c>
      <c r="CB31" s="67">
        <f t="shared" si="88"/>
        <v>64.200000000004366</v>
      </c>
      <c r="CC31" s="60">
        <v>15765.2</v>
      </c>
      <c r="CD31" s="67">
        <f t="shared" si="89"/>
        <v>10.700000000000728</v>
      </c>
      <c r="CE31" s="60">
        <v>8157.8</v>
      </c>
      <c r="CF31" s="67">
        <f t="shared" si="90"/>
        <v>2.6999999999998181</v>
      </c>
      <c r="CG31" s="60">
        <v>74810.899999999994</v>
      </c>
      <c r="CH31" s="67">
        <f t="shared" si="91"/>
        <v>46.099999999991269</v>
      </c>
      <c r="CI31" s="60">
        <v>1048570</v>
      </c>
      <c r="CJ31" s="67">
        <f t="shared" si="92"/>
        <v>299</v>
      </c>
      <c r="CK31" s="60">
        <v>998.41</v>
      </c>
      <c r="CL31" s="64">
        <f t="shared" si="93"/>
        <v>1000</v>
      </c>
      <c r="CM31" s="65">
        <f t="shared" si="94"/>
        <v>102</v>
      </c>
      <c r="CN31" s="62">
        <v>29</v>
      </c>
      <c r="CO31" s="62">
        <v>56</v>
      </c>
      <c r="CP31" s="68">
        <v>31107</v>
      </c>
      <c r="CQ31" s="67">
        <f t="shared" si="97"/>
        <v>83</v>
      </c>
      <c r="CR31" s="68">
        <v>21657</v>
      </c>
      <c r="CS31" s="67">
        <f t="shared" si="45"/>
        <v>19</v>
      </c>
      <c r="CT31" s="75">
        <v>10302</v>
      </c>
      <c r="CU31" s="67">
        <f t="shared" si="47"/>
        <v>22</v>
      </c>
      <c r="CV31" s="68">
        <v>24482</v>
      </c>
      <c r="CW31" s="67">
        <f t="shared" si="95"/>
        <v>15</v>
      </c>
      <c r="CX31" s="58">
        <v>3083.9</v>
      </c>
      <c r="CY31" s="67">
        <f t="shared" si="96"/>
        <v>12.200000000000273</v>
      </c>
    </row>
    <row r="32" spans="1:103" ht="25.5" customHeight="1" thickBot="1" x14ac:dyDescent="0.45">
      <c r="A32" s="63">
        <v>44710</v>
      </c>
      <c r="B32" s="68"/>
      <c r="C32" s="58">
        <v>3.2440000000000002</v>
      </c>
      <c r="D32" s="64">
        <f t="shared" si="50"/>
        <v>3000.0000000001137</v>
      </c>
      <c r="E32" s="58">
        <v>4.34</v>
      </c>
      <c r="F32" s="64">
        <f t="shared" si="51"/>
        <v>3000.0000000001137</v>
      </c>
      <c r="G32" s="58">
        <v>4.3</v>
      </c>
      <c r="H32" s="64">
        <f t="shared" si="52"/>
        <v>3000.0000000001137</v>
      </c>
      <c r="I32" s="58">
        <v>2.1606000000000001</v>
      </c>
      <c r="J32" s="64">
        <f t="shared" si="53"/>
        <v>1600.0000000002678</v>
      </c>
      <c r="K32" s="58">
        <v>3.3690000000000002</v>
      </c>
      <c r="L32" s="64">
        <f t="shared" si="54"/>
        <v>2000.0000000002237</v>
      </c>
      <c r="M32" s="58">
        <v>1.9488000000000001</v>
      </c>
      <c r="N32" s="64">
        <f t="shared" si="55"/>
        <v>1800.0000000000239</v>
      </c>
      <c r="O32" s="58">
        <v>21134</v>
      </c>
      <c r="P32" s="67">
        <f t="shared" si="56"/>
        <v>30</v>
      </c>
      <c r="Q32" s="58">
        <v>2603</v>
      </c>
      <c r="R32" s="67">
        <f t="shared" si="57"/>
        <v>4</v>
      </c>
      <c r="S32" s="58">
        <v>1357</v>
      </c>
      <c r="T32" s="67">
        <f t="shared" si="58"/>
        <v>0.90000000000009095</v>
      </c>
      <c r="U32" s="58">
        <v>554142.30000000005</v>
      </c>
      <c r="V32" s="67">
        <f t="shared" si="59"/>
        <v>435.60000000009313</v>
      </c>
      <c r="W32" s="58">
        <v>513.38</v>
      </c>
      <c r="X32" s="65">
        <f t="shared" si="60"/>
        <v>370.00000000000455</v>
      </c>
      <c r="Y32" s="58">
        <v>3.8159000000000001</v>
      </c>
      <c r="Z32" s="65">
        <f t="shared" si="61"/>
        <v>3099.9999999998809</v>
      </c>
      <c r="AA32" s="58">
        <v>517.27</v>
      </c>
      <c r="AB32" s="65">
        <f t="shared" si="62"/>
        <v>389.99999999998636</v>
      </c>
      <c r="AC32" s="58">
        <v>510.57</v>
      </c>
      <c r="AD32" s="65">
        <f t="shared" si="63"/>
        <v>509.99999999999091</v>
      </c>
      <c r="AE32" s="58">
        <v>761.57</v>
      </c>
      <c r="AF32" s="65">
        <f t="shared" si="64"/>
        <v>879.99999999999545</v>
      </c>
      <c r="AG32" s="58">
        <v>17599</v>
      </c>
      <c r="AH32" s="67">
        <f t="shared" si="65"/>
        <v>41</v>
      </c>
      <c r="AI32" s="58">
        <v>861.65</v>
      </c>
      <c r="AJ32" s="65">
        <f t="shared" si="66"/>
        <v>740.00000000000909</v>
      </c>
      <c r="AK32" s="58">
        <v>287.98</v>
      </c>
      <c r="AL32" s="65">
        <f t="shared" si="67"/>
        <v>330.00000000004093</v>
      </c>
      <c r="AM32" s="58">
        <v>269.14</v>
      </c>
      <c r="AN32" s="65">
        <f t="shared" si="68"/>
        <v>169.99999999995907</v>
      </c>
      <c r="AO32" s="58">
        <v>258.74</v>
      </c>
      <c r="AP32" s="65">
        <f t="shared" si="69"/>
        <v>210.00000000003638</v>
      </c>
      <c r="AQ32" s="58">
        <v>314.39999999999998</v>
      </c>
      <c r="AR32" s="65">
        <f t="shared" si="70"/>
        <v>169.99999999995907</v>
      </c>
      <c r="AS32" s="58">
        <v>440.17</v>
      </c>
      <c r="AT32" s="65">
        <f t="shared" si="71"/>
        <v>280.00000000002956</v>
      </c>
      <c r="AU32" s="58">
        <v>348.9</v>
      </c>
      <c r="AV32" s="65">
        <f t="shared" si="72"/>
        <v>139.99999999998636</v>
      </c>
      <c r="AW32" s="58">
        <v>378.62</v>
      </c>
      <c r="AX32" s="65">
        <f t="shared" si="73"/>
        <v>180.00000000000682</v>
      </c>
      <c r="AY32" s="58">
        <v>411.67</v>
      </c>
      <c r="AZ32" s="65">
        <f t="shared" si="74"/>
        <v>140.0000000000432</v>
      </c>
      <c r="BA32" s="58">
        <v>431.85</v>
      </c>
      <c r="BB32" s="65">
        <f t="shared" si="75"/>
        <v>20.000000000038654</v>
      </c>
      <c r="BC32" s="58">
        <v>277.31</v>
      </c>
      <c r="BD32" s="65">
        <f t="shared" si="76"/>
        <v>100.00000000002274</v>
      </c>
      <c r="BE32" s="59">
        <v>51630</v>
      </c>
      <c r="BF32" s="67">
        <f t="shared" si="77"/>
        <v>32</v>
      </c>
      <c r="BG32" s="60">
        <v>248.74</v>
      </c>
      <c r="BH32" s="65">
        <f t="shared" si="78"/>
        <v>30.000000000001137</v>
      </c>
      <c r="BI32" s="60">
        <v>303.43</v>
      </c>
      <c r="BJ32" s="65">
        <f t="shared" si="79"/>
        <v>30.000000000029559</v>
      </c>
      <c r="BK32" s="60">
        <v>252.23</v>
      </c>
      <c r="BL32" s="65">
        <f t="shared" si="80"/>
        <v>39.999999999992042</v>
      </c>
      <c r="BM32" s="60">
        <v>238.43</v>
      </c>
      <c r="BN32" s="65">
        <f t="shared" si="81"/>
        <v>60.000000000002274</v>
      </c>
      <c r="BO32" s="60">
        <v>306.33</v>
      </c>
      <c r="BP32" s="65">
        <f t="shared" si="82"/>
        <v>50.000000000011369</v>
      </c>
      <c r="BQ32" s="60">
        <v>56869</v>
      </c>
      <c r="BR32" s="65">
        <f t="shared" si="83"/>
        <v>37</v>
      </c>
      <c r="BS32" s="60">
        <v>216.07</v>
      </c>
      <c r="BT32" s="65">
        <f t="shared" si="84"/>
        <v>49.999999999982947</v>
      </c>
      <c r="BU32" s="60">
        <v>54506</v>
      </c>
      <c r="BV32" s="65">
        <f t="shared" si="85"/>
        <v>38</v>
      </c>
      <c r="BW32" s="60">
        <v>244.26</v>
      </c>
      <c r="BX32" s="65">
        <f t="shared" si="86"/>
        <v>30.000000000001137</v>
      </c>
      <c r="BY32" s="60">
        <v>74197</v>
      </c>
      <c r="BZ32" s="67">
        <f t="shared" si="87"/>
        <v>46</v>
      </c>
      <c r="CA32" s="60">
        <v>48607.7</v>
      </c>
      <c r="CB32" s="67">
        <f t="shared" si="88"/>
        <v>57.799999999995634</v>
      </c>
      <c r="CC32" s="60">
        <v>15775.4</v>
      </c>
      <c r="CD32" s="67">
        <f t="shared" si="89"/>
        <v>10.199999999998909</v>
      </c>
      <c r="CE32" s="60">
        <v>8165.1</v>
      </c>
      <c r="CF32" s="67">
        <f t="shared" si="90"/>
        <v>7.3000000000001819</v>
      </c>
      <c r="CG32" s="60">
        <v>74856.100000000006</v>
      </c>
      <c r="CH32" s="67">
        <f t="shared" si="91"/>
        <v>45.200000000011642</v>
      </c>
      <c r="CI32" s="60">
        <v>1048867</v>
      </c>
      <c r="CJ32" s="67">
        <f t="shared" si="92"/>
        <v>297</v>
      </c>
      <c r="CK32" s="60">
        <v>999.37</v>
      </c>
      <c r="CL32" s="64">
        <f t="shared" si="93"/>
        <v>960.00000000003638</v>
      </c>
      <c r="CM32" s="65">
        <f t="shared" si="94"/>
        <v>120</v>
      </c>
      <c r="CN32" s="62">
        <v>29</v>
      </c>
      <c r="CO32" s="62">
        <v>56</v>
      </c>
      <c r="CP32" s="68">
        <v>31183</v>
      </c>
      <c r="CQ32" s="67">
        <f t="shared" si="97"/>
        <v>76</v>
      </c>
      <c r="CR32" s="68">
        <v>21701</v>
      </c>
      <c r="CS32" s="67">
        <f t="shared" si="45"/>
        <v>44</v>
      </c>
      <c r="CT32" s="75">
        <v>10325</v>
      </c>
      <c r="CU32" s="67">
        <f t="shared" si="47"/>
        <v>23</v>
      </c>
      <c r="CV32" s="68">
        <v>24510</v>
      </c>
      <c r="CW32" s="67">
        <f t="shared" si="95"/>
        <v>28</v>
      </c>
      <c r="CX32" s="58">
        <v>3096.1</v>
      </c>
      <c r="CY32" s="67">
        <f t="shared" si="96"/>
        <v>12.199999999999818</v>
      </c>
    </row>
    <row r="33" spans="1:103" ht="25.5" customHeight="1" thickBot="1" x14ac:dyDescent="0.45">
      <c r="A33" s="63">
        <v>44711</v>
      </c>
      <c r="B33" s="68"/>
      <c r="C33" s="58">
        <v>3.2469999999999999</v>
      </c>
      <c r="D33" s="64">
        <f t="shared" si="50"/>
        <v>2999.9999999996694</v>
      </c>
      <c r="E33" s="58">
        <v>4.3440000000000003</v>
      </c>
      <c r="F33" s="64">
        <f t="shared" si="51"/>
        <v>4000.0000000004475</v>
      </c>
      <c r="G33" s="58">
        <v>4.3040000000000003</v>
      </c>
      <c r="H33" s="64">
        <f t="shared" si="52"/>
        <v>4000.0000000004475</v>
      </c>
      <c r="I33" s="58">
        <v>2.1621999999999999</v>
      </c>
      <c r="J33" s="64">
        <f t="shared" si="53"/>
        <v>1599.9999999998238</v>
      </c>
      <c r="K33" s="58">
        <v>3.371</v>
      </c>
      <c r="L33" s="64">
        <f t="shared" si="54"/>
        <v>1999.9999999997797</v>
      </c>
      <c r="M33" s="58">
        <v>1.9505999999999999</v>
      </c>
      <c r="N33" s="64">
        <f t="shared" si="55"/>
        <v>1799.9999999998017</v>
      </c>
      <c r="O33" s="58">
        <v>21163</v>
      </c>
      <c r="P33" s="67">
        <f t="shared" si="56"/>
        <v>29</v>
      </c>
      <c r="Q33" s="58">
        <v>2608</v>
      </c>
      <c r="R33" s="67">
        <f t="shared" si="57"/>
        <v>5</v>
      </c>
      <c r="S33" s="58">
        <v>1358.4</v>
      </c>
      <c r="T33" s="67">
        <f t="shared" si="58"/>
        <v>1.4000000000000909</v>
      </c>
      <c r="U33" s="58">
        <v>554636.1</v>
      </c>
      <c r="V33" s="67">
        <f t="shared" si="59"/>
        <v>493.79999999993015</v>
      </c>
      <c r="W33" s="58">
        <v>513.80999999999995</v>
      </c>
      <c r="X33" s="65">
        <f t="shared" si="60"/>
        <v>429.99999999994998</v>
      </c>
      <c r="Y33" s="58">
        <v>3.8189000000000002</v>
      </c>
      <c r="Z33" s="65">
        <f t="shared" si="61"/>
        <v>3000.0000000001137</v>
      </c>
      <c r="AA33" s="58">
        <v>517.65</v>
      </c>
      <c r="AB33" s="65">
        <f t="shared" si="62"/>
        <v>379.99999999999545</v>
      </c>
      <c r="AC33" s="58">
        <v>511.05</v>
      </c>
      <c r="AD33" s="65">
        <f t="shared" si="63"/>
        <v>480.00000000001819</v>
      </c>
      <c r="AE33" s="58">
        <v>762.38</v>
      </c>
      <c r="AF33" s="65">
        <f t="shared" si="64"/>
        <v>809.99999999994543</v>
      </c>
      <c r="AG33" s="58">
        <v>17634</v>
      </c>
      <c r="AH33" s="67">
        <f t="shared" si="65"/>
        <v>35</v>
      </c>
      <c r="AI33" s="58">
        <v>862.36</v>
      </c>
      <c r="AJ33" s="65">
        <f t="shared" si="66"/>
        <v>710.00000000003638</v>
      </c>
      <c r="AK33" s="58">
        <v>288.29000000000002</v>
      </c>
      <c r="AL33" s="65">
        <f t="shared" si="67"/>
        <v>310.00000000000227</v>
      </c>
      <c r="AM33" s="58">
        <v>269.27</v>
      </c>
      <c r="AN33" s="65">
        <f t="shared" si="68"/>
        <v>129.99999999999545</v>
      </c>
      <c r="AO33" s="58">
        <v>258.92</v>
      </c>
      <c r="AP33" s="65">
        <f t="shared" si="69"/>
        <v>180.00000000000682</v>
      </c>
      <c r="AQ33" s="58">
        <v>314.54000000000002</v>
      </c>
      <c r="AR33" s="65">
        <f t="shared" si="70"/>
        <v>140.0000000000432</v>
      </c>
      <c r="AS33" s="58">
        <v>440.43</v>
      </c>
      <c r="AT33" s="65">
        <f t="shared" si="71"/>
        <v>259.99999999999091</v>
      </c>
      <c r="AU33" s="58">
        <v>349.04</v>
      </c>
      <c r="AV33" s="65">
        <f t="shared" si="72"/>
        <v>140.0000000000432</v>
      </c>
      <c r="AW33" s="58">
        <v>378.79</v>
      </c>
      <c r="AX33" s="65">
        <f t="shared" si="73"/>
        <v>170.00000000001592</v>
      </c>
      <c r="AY33" s="58">
        <v>411.8</v>
      </c>
      <c r="AZ33" s="65">
        <f t="shared" si="74"/>
        <v>129.99999999999545</v>
      </c>
      <c r="BA33" s="58">
        <v>432.08</v>
      </c>
      <c r="BB33" s="65">
        <f t="shared" si="75"/>
        <v>229.99999999996135</v>
      </c>
      <c r="BC33" s="58">
        <v>277.39999999999998</v>
      </c>
      <c r="BD33" s="65">
        <f t="shared" si="76"/>
        <v>89.999999999974989</v>
      </c>
      <c r="BE33" s="59">
        <v>51660</v>
      </c>
      <c r="BF33" s="67">
        <f t="shared" si="77"/>
        <v>30</v>
      </c>
      <c r="BG33" s="60">
        <v>248.78</v>
      </c>
      <c r="BH33" s="65">
        <f t="shared" si="78"/>
        <v>39.999999999992042</v>
      </c>
      <c r="BI33" s="60">
        <v>303.47000000000003</v>
      </c>
      <c r="BJ33" s="65">
        <f t="shared" si="79"/>
        <v>40.000000000020464</v>
      </c>
      <c r="BK33" s="60">
        <v>252.26</v>
      </c>
      <c r="BL33" s="65">
        <f t="shared" si="80"/>
        <v>30.000000000001137</v>
      </c>
      <c r="BM33" s="60">
        <v>238.47</v>
      </c>
      <c r="BN33" s="65">
        <f t="shared" si="81"/>
        <v>39.999999999992042</v>
      </c>
      <c r="BO33" s="60">
        <v>306.38</v>
      </c>
      <c r="BP33" s="65">
        <f t="shared" si="82"/>
        <v>50.000000000011369</v>
      </c>
      <c r="BQ33" s="60">
        <v>56907</v>
      </c>
      <c r="BR33" s="65">
        <f t="shared" si="83"/>
        <v>38</v>
      </c>
      <c r="BS33" s="60">
        <v>216.12</v>
      </c>
      <c r="BT33" s="65">
        <f t="shared" si="84"/>
        <v>50.000000000011369</v>
      </c>
      <c r="BU33" s="60">
        <v>54555</v>
      </c>
      <c r="BV33" s="65">
        <f t="shared" si="85"/>
        <v>49</v>
      </c>
      <c r="BW33" s="60">
        <v>244.3</v>
      </c>
      <c r="BX33" s="65">
        <f t="shared" si="86"/>
        <v>40.000000000020464</v>
      </c>
      <c r="BY33" s="60">
        <v>74248</v>
      </c>
      <c r="BZ33" s="67">
        <f t="shared" si="87"/>
        <v>51</v>
      </c>
      <c r="CA33" s="60">
        <v>48647.9</v>
      </c>
      <c r="CB33" s="67">
        <f t="shared" si="88"/>
        <v>40.200000000004366</v>
      </c>
      <c r="CC33" s="60">
        <v>15786.6</v>
      </c>
      <c r="CD33" s="67">
        <f t="shared" si="89"/>
        <v>11.200000000000728</v>
      </c>
      <c r="CE33" s="60">
        <v>8169</v>
      </c>
      <c r="CF33" s="67">
        <f t="shared" si="90"/>
        <v>3.8999999999996362</v>
      </c>
      <c r="CG33" s="60">
        <v>74902.600000000006</v>
      </c>
      <c r="CH33" s="67">
        <f t="shared" si="91"/>
        <v>46.5</v>
      </c>
      <c r="CI33" s="60">
        <v>1049170</v>
      </c>
      <c r="CJ33" s="67">
        <f t="shared" si="92"/>
        <v>303</v>
      </c>
      <c r="CK33" s="60">
        <v>1000.3</v>
      </c>
      <c r="CL33" s="64">
        <f t="shared" si="93"/>
        <v>929.99999999994998</v>
      </c>
      <c r="CM33" s="65">
        <f t="shared" si="94"/>
        <v>110</v>
      </c>
      <c r="CN33" s="62">
        <v>37</v>
      </c>
      <c r="CO33" s="62">
        <v>59</v>
      </c>
      <c r="CP33" s="68">
        <v>31269</v>
      </c>
      <c r="CQ33" s="67">
        <f t="shared" si="97"/>
        <v>86</v>
      </c>
      <c r="CR33" s="68">
        <v>21725</v>
      </c>
      <c r="CS33" s="67">
        <f t="shared" si="45"/>
        <v>24</v>
      </c>
      <c r="CT33" s="75">
        <v>10346</v>
      </c>
      <c r="CU33" s="67">
        <f t="shared" si="47"/>
        <v>21</v>
      </c>
      <c r="CV33" s="68">
        <v>24527</v>
      </c>
      <c r="CW33" s="67">
        <f t="shared" si="95"/>
        <v>17</v>
      </c>
      <c r="CX33" s="58">
        <v>3108</v>
      </c>
      <c r="CY33" s="67">
        <f t="shared" si="96"/>
        <v>11.900000000000091</v>
      </c>
    </row>
    <row r="34" spans="1:103" ht="25.5" customHeight="1" thickBot="1" x14ac:dyDescent="0.45">
      <c r="A34" s="63">
        <v>44712</v>
      </c>
      <c r="B34" s="68"/>
      <c r="C34" s="58">
        <v>3.2492000000000001</v>
      </c>
      <c r="D34" s="64">
        <f t="shared" si="50"/>
        <v>2200.0000000002019</v>
      </c>
      <c r="E34" s="58">
        <v>4.3467000000000002</v>
      </c>
      <c r="F34" s="64">
        <f t="shared" si="51"/>
        <v>2699.9999999999245</v>
      </c>
      <c r="G34" s="58">
        <v>4.3068999999999997</v>
      </c>
      <c r="H34" s="64">
        <f t="shared" si="52"/>
        <v>2899.9999999994584</v>
      </c>
      <c r="I34" s="58">
        <v>2.1637</v>
      </c>
      <c r="J34" s="64">
        <f t="shared" si="53"/>
        <v>1500.0000000000568</v>
      </c>
      <c r="K34" s="58">
        <v>3.3734000000000002</v>
      </c>
      <c r="L34" s="64">
        <f t="shared" si="54"/>
        <v>2400.0000000001796</v>
      </c>
      <c r="M34" s="58">
        <v>1.9520999999999999</v>
      </c>
      <c r="N34" s="64">
        <f t="shared" si="55"/>
        <v>1500.0000000000568</v>
      </c>
      <c r="O34" s="58">
        <v>21184</v>
      </c>
      <c r="P34" s="67">
        <f t="shared" si="56"/>
        <v>21</v>
      </c>
      <c r="Q34" s="58">
        <v>2612</v>
      </c>
      <c r="R34" s="67">
        <f t="shared" si="57"/>
        <v>4</v>
      </c>
      <c r="S34" s="58">
        <v>1359.5</v>
      </c>
      <c r="T34" s="67">
        <f t="shared" si="58"/>
        <v>1.0999999999999091</v>
      </c>
      <c r="U34" s="58">
        <v>555044.6</v>
      </c>
      <c r="V34" s="67">
        <f t="shared" si="59"/>
        <v>408.5</v>
      </c>
      <c r="W34" s="58">
        <v>514.21</v>
      </c>
      <c r="X34" s="65">
        <f t="shared" si="60"/>
        <v>400.00000000009095</v>
      </c>
      <c r="Y34" s="58">
        <v>3.8216000000000001</v>
      </c>
      <c r="Z34" s="65">
        <f t="shared" si="61"/>
        <v>2699.9999999999245</v>
      </c>
      <c r="AA34" s="58">
        <v>517.89</v>
      </c>
      <c r="AB34" s="65">
        <f t="shared" si="62"/>
        <v>240.00000000000909</v>
      </c>
      <c r="AC34" s="58">
        <v>511.47</v>
      </c>
      <c r="AD34" s="65">
        <f t="shared" si="63"/>
        <v>420.00000000001592</v>
      </c>
      <c r="AE34" s="58">
        <v>763.16</v>
      </c>
      <c r="AF34" s="65">
        <f t="shared" si="64"/>
        <v>779.99999999997272</v>
      </c>
      <c r="AG34" s="58">
        <v>17669</v>
      </c>
      <c r="AH34" s="67">
        <f t="shared" si="65"/>
        <v>35</v>
      </c>
      <c r="AI34" s="58">
        <v>863.04</v>
      </c>
      <c r="AJ34" s="65">
        <f t="shared" si="66"/>
        <v>679.99999999994998</v>
      </c>
      <c r="AK34" s="58">
        <v>288.58</v>
      </c>
      <c r="AL34" s="65">
        <f t="shared" si="67"/>
        <v>289.99999999996362</v>
      </c>
      <c r="AM34" s="58">
        <v>269.58</v>
      </c>
      <c r="AN34" s="65">
        <f t="shared" si="68"/>
        <v>310.00000000000227</v>
      </c>
      <c r="AO34" s="58">
        <v>259.08999999999997</v>
      </c>
      <c r="AP34" s="65">
        <f t="shared" si="69"/>
        <v>169.99999999995907</v>
      </c>
      <c r="AQ34" s="58">
        <v>314.67</v>
      </c>
      <c r="AR34" s="65">
        <f t="shared" si="70"/>
        <v>129.99999999999545</v>
      </c>
      <c r="AS34" s="58">
        <v>440.68</v>
      </c>
      <c r="AT34" s="65">
        <f t="shared" si="71"/>
        <v>250</v>
      </c>
      <c r="AU34" s="58">
        <v>349.19</v>
      </c>
      <c r="AV34" s="65">
        <f t="shared" si="72"/>
        <v>149.99999999997726</v>
      </c>
      <c r="AW34" s="58">
        <v>378.93</v>
      </c>
      <c r="AX34" s="65">
        <f t="shared" si="73"/>
        <v>139.99999999998636</v>
      </c>
      <c r="AY34" s="58">
        <v>411.93</v>
      </c>
      <c r="AZ34" s="65">
        <f t="shared" si="74"/>
        <v>129.99999999999545</v>
      </c>
      <c r="BA34" s="58">
        <v>432.21</v>
      </c>
      <c r="BB34" s="65">
        <f t="shared" si="75"/>
        <v>129.99999999999545</v>
      </c>
      <c r="BC34" s="58">
        <v>277.52999999999997</v>
      </c>
      <c r="BD34" s="65">
        <f t="shared" si="76"/>
        <v>129.99999999999545</v>
      </c>
      <c r="BE34" s="59">
        <v>51694</v>
      </c>
      <c r="BF34" s="67">
        <f t="shared" si="77"/>
        <v>34</v>
      </c>
      <c r="BG34" s="60">
        <v>248.82</v>
      </c>
      <c r="BH34" s="65">
        <f t="shared" si="78"/>
        <v>39.999999999992042</v>
      </c>
      <c r="BI34" s="60">
        <v>303.5</v>
      </c>
      <c r="BJ34" s="65">
        <f t="shared" si="79"/>
        <v>29.999999999972715</v>
      </c>
      <c r="BK34" s="60">
        <v>252.3</v>
      </c>
      <c r="BL34" s="65">
        <f t="shared" si="80"/>
        <v>40.000000000020464</v>
      </c>
      <c r="BM34" s="60">
        <v>238.53</v>
      </c>
      <c r="BN34" s="65">
        <f t="shared" si="81"/>
        <v>60.000000000002274</v>
      </c>
      <c r="BO34" s="60">
        <v>306.42</v>
      </c>
      <c r="BP34" s="65">
        <f t="shared" si="82"/>
        <v>40.000000000020464</v>
      </c>
      <c r="BQ34" s="60">
        <v>56941</v>
      </c>
      <c r="BR34" s="65">
        <f t="shared" si="83"/>
        <v>34</v>
      </c>
      <c r="BS34" s="60">
        <v>216.16</v>
      </c>
      <c r="BT34" s="65">
        <f t="shared" si="84"/>
        <v>39.999999999992042</v>
      </c>
      <c r="BU34" s="60">
        <v>54584</v>
      </c>
      <c r="BV34" s="65">
        <f t="shared" si="85"/>
        <v>29</v>
      </c>
      <c r="BW34" s="60">
        <v>244.34</v>
      </c>
      <c r="BX34" s="65">
        <f t="shared" si="86"/>
        <v>39.999999999992042</v>
      </c>
      <c r="BY34" s="60">
        <v>74291</v>
      </c>
      <c r="BZ34" s="67">
        <f t="shared" si="87"/>
        <v>43</v>
      </c>
      <c r="CA34" s="60">
        <v>48700</v>
      </c>
      <c r="CB34" s="67">
        <f t="shared" si="88"/>
        <v>52.099999999998545</v>
      </c>
      <c r="CC34" s="60">
        <v>15796</v>
      </c>
      <c r="CD34" s="67">
        <f t="shared" si="89"/>
        <v>9.3999999999996362</v>
      </c>
      <c r="CE34" s="60">
        <v>8170.4</v>
      </c>
      <c r="CF34" s="67">
        <f t="shared" si="90"/>
        <v>1.3999999999996362</v>
      </c>
      <c r="CG34" s="60">
        <v>74949.600000000006</v>
      </c>
      <c r="CH34" s="67">
        <f t="shared" si="91"/>
        <v>47</v>
      </c>
      <c r="CI34" s="60">
        <v>1049451</v>
      </c>
      <c r="CJ34" s="67">
        <f t="shared" si="92"/>
        <v>281</v>
      </c>
      <c r="CK34" s="60">
        <v>1001.3</v>
      </c>
      <c r="CL34" s="64">
        <f t="shared" si="93"/>
        <v>1000</v>
      </c>
      <c r="CM34" s="65">
        <f t="shared" si="94"/>
        <v>99</v>
      </c>
      <c r="CN34" s="62">
        <v>22</v>
      </c>
      <c r="CO34" s="62">
        <v>43</v>
      </c>
      <c r="CP34" s="68">
        <v>31350</v>
      </c>
      <c r="CQ34" s="67">
        <f t="shared" si="97"/>
        <v>81</v>
      </c>
      <c r="CR34" s="68">
        <v>21743</v>
      </c>
      <c r="CS34" s="67">
        <f t="shared" si="45"/>
        <v>18</v>
      </c>
      <c r="CT34" s="75">
        <v>10358</v>
      </c>
      <c r="CU34" s="67">
        <f t="shared" si="47"/>
        <v>12</v>
      </c>
      <c r="CV34" s="68">
        <v>24545</v>
      </c>
      <c r="CW34" s="67">
        <f t="shared" si="95"/>
        <v>18</v>
      </c>
      <c r="CX34" s="58">
        <v>3119.4</v>
      </c>
      <c r="CY34" s="67">
        <f t="shared" si="96"/>
        <v>11.400000000000091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B39" sqref="B3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578</v>
      </c>
      <c r="I7" s="41">
        <v>85</v>
      </c>
      <c r="J7" s="41">
        <v>2212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>
        <v>0</v>
      </c>
      <c r="C8" s="40"/>
      <c r="D8" s="40"/>
      <c r="E8" s="41">
        <v>85</v>
      </c>
      <c r="F8" s="41">
        <v>6834</v>
      </c>
      <c r="G8" s="41">
        <v>0</v>
      </c>
      <c r="H8" s="41">
        <v>581</v>
      </c>
      <c r="I8" s="41">
        <v>85</v>
      </c>
      <c r="J8" s="41">
        <v>2212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>
        <v>0</v>
      </c>
      <c r="C9" s="40"/>
      <c r="D9" s="40"/>
      <c r="E9" s="41">
        <v>75</v>
      </c>
      <c r="F9" s="41">
        <v>6834</v>
      </c>
      <c r="G9" s="41">
        <v>0</v>
      </c>
      <c r="H9" s="41">
        <v>584</v>
      </c>
      <c r="I9" s="41">
        <v>85</v>
      </c>
      <c r="J9" s="41">
        <v>2212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>
        <v>0</v>
      </c>
      <c r="C10" s="40"/>
      <c r="D10" s="40"/>
      <c r="E10" s="41">
        <v>60</v>
      </c>
      <c r="F10" s="41">
        <v>6834</v>
      </c>
      <c r="G10" s="41">
        <v>0</v>
      </c>
      <c r="H10" s="41">
        <v>589</v>
      </c>
      <c r="I10" s="41">
        <v>85</v>
      </c>
      <c r="J10" s="41">
        <v>2212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592</v>
      </c>
      <c r="I11" s="41">
        <v>85</v>
      </c>
      <c r="J11" s="41">
        <v>2212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>
        <v>0</v>
      </c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595</v>
      </c>
      <c r="I12" s="41">
        <v>85</v>
      </c>
      <c r="J12" s="41">
        <v>2212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>
        <v>0</v>
      </c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599</v>
      </c>
      <c r="I13" s="41">
        <v>85</v>
      </c>
      <c r="J13" s="41">
        <v>2212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601</v>
      </c>
      <c r="I14" s="41">
        <v>85</v>
      </c>
      <c r="J14" s="41">
        <v>2212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>
        <v>0</v>
      </c>
      <c r="C15" s="40">
        <v>43</v>
      </c>
      <c r="D15" s="40">
        <v>106</v>
      </c>
      <c r="E15" s="41">
        <v>0</v>
      </c>
      <c r="F15" s="41">
        <v>6834</v>
      </c>
      <c r="G15" s="41">
        <v>0</v>
      </c>
      <c r="H15" s="41">
        <v>604</v>
      </c>
      <c r="I15" s="41">
        <v>85</v>
      </c>
      <c r="J15" s="41">
        <v>2212</v>
      </c>
      <c r="K15" s="42">
        <v>85</v>
      </c>
      <c r="L15" s="42">
        <v>42</v>
      </c>
      <c r="M15" s="42">
        <v>1741</v>
      </c>
      <c r="N15" s="39">
        <v>85</v>
      </c>
      <c r="O15" s="39">
        <v>50</v>
      </c>
      <c r="P15" s="39">
        <v>0</v>
      </c>
      <c r="Q15" s="39">
        <v>4970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44690</v>
      </c>
      <c r="B16" s="40">
        <v>0</v>
      </c>
      <c r="C16" s="40">
        <v>43</v>
      </c>
      <c r="D16" s="40">
        <v>106</v>
      </c>
      <c r="E16" s="41">
        <v>0</v>
      </c>
      <c r="F16" s="41">
        <v>6834</v>
      </c>
      <c r="G16" s="41">
        <v>0</v>
      </c>
      <c r="H16" s="41">
        <v>608</v>
      </c>
      <c r="I16" s="41">
        <v>83</v>
      </c>
      <c r="J16" s="41">
        <v>2212</v>
      </c>
      <c r="K16" s="42">
        <v>85</v>
      </c>
      <c r="L16" s="42">
        <v>33</v>
      </c>
      <c r="M16" s="42">
        <v>1745</v>
      </c>
      <c r="N16" s="39">
        <v>85</v>
      </c>
      <c r="O16" s="39">
        <v>44</v>
      </c>
      <c r="P16" s="39">
        <v>0</v>
      </c>
      <c r="Q16" s="39">
        <v>4974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44691</v>
      </c>
      <c r="B17" s="40">
        <v>0</v>
      </c>
      <c r="C17" s="40">
        <v>40</v>
      </c>
      <c r="D17" s="40">
        <v>96</v>
      </c>
      <c r="E17" s="41">
        <v>0</v>
      </c>
      <c r="F17" s="41">
        <v>6834</v>
      </c>
      <c r="G17" s="41">
        <v>0</v>
      </c>
      <c r="H17" s="41">
        <v>610</v>
      </c>
      <c r="I17" s="41">
        <v>71</v>
      </c>
      <c r="J17" s="41">
        <v>2212</v>
      </c>
      <c r="K17" s="42">
        <v>85</v>
      </c>
      <c r="L17" s="42">
        <v>33</v>
      </c>
      <c r="M17" s="42">
        <v>1745</v>
      </c>
      <c r="N17" s="39">
        <v>85</v>
      </c>
      <c r="O17" s="39">
        <v>39</v>
      </c>
      <c r="P17" s="39">
        <v>0</v>
      </c>
      <c r="Q17" s="39">
        <v>4978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44692</v>
      </c>
      <c r="B18" s="40">
        <v>0</v>
      </c>
      <c r="C18" s="40">
        <v>41</v>
      </c>
      <c r="D18" s="40">
        <v>96</v>
      </c>
      <c r="E18" s="41">
        <v>0</v>
      </c>
      <c r="F18" s="41">
        <v>6834</v>
      </c>
      <c r="G18" s="41">
        <v>0</v>
      </c>
      <c r="H18" s="41">
        <v>613</v>
      </c>
      <c r="I18" s="41">
        <v>55</v>
      </c>
      <c r="J18" s="41">
        <v>2212</v>
      </c>
      <c r="K18" s="42">
        <v>85</v>
      </c>
      <c r="L18" s="42">
        <v>30</v>
      </c>
      <c r="M18" s="42">
        <v>1748</v>
      </c>
      <c r="N18" s="39">
        <v>85</v>
      </c>
      <c r="O18" s="39">
        <v>35</v>
      </c>
      <c r="P18" s="39">
        <v>0</v>
      </c>
      <c r="Q18" s="39">
        <v>4982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44693</v>
      </c>
      <c r="B19" s="40">
        <v>0</v>
      </c>
      <c r="C19" s="40">
        <v>49</v>
      </c>
      <c r="D19" s="40">
        <v>94</v>
      </c>
      <c r="E19" s="41">
        <v>0</v>
      </c>
      <c r="F19" s="41">
        <v>6834</v>
      </c>
      <c r="G19" s="41">
        <v>0</v>
      </c>
      <c r="H19" s="41">
        <v>617</v>
      </c>
      <c r="I19" s="41">
        <v>40</v>
      </c>
      <c r="J19" s="41">
        <v>2212</v>
      </c>
      <c r="K19" s="42">
        <v>85</v>
      </c>
      <c r="L19" s="42">
        <v>30</v>
      </c>
      <c r="M19" s="42">
        <v>1750</v>
      </c>
      <c r="N19" s="39">
        <v>85</v>
      </c>
      <c r="O19" s="39">
        <v>30</v>
      </c>
      <c r="P19" s="39">
        <v>0</v>
      </c>
      <c r="Q19" s="39">
        <v>4989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44694</v>
      </c>
      <c r="B20" s="40">
        <v>0</v>
      </c>
      <c r="C20" s="40">
        <v>45</v>
      </c>
      <c r="D20" s="40">
        <v>104</v>
      </c>
      <c r="E20" s="41">
        <v>85</v>
      </c>
      <c r="F20" s="41">
        <v>6834</v>
      </c>
      <c r="G20" s="41">
        <v>75</v>
      </c>
      <c r="H20" s="41">
        <v>620</v>
      </c>
      <c r="I20" s="41">
        <v>85</v>
      </c>
      <c r="J20" s="41">
        <v>2212</v>
      </c>
      <c r="K20" s="42">
        <v>85</v>
      </c>
      <c r="L20" s="42">
        <v>25</v>
      </c>
      <c r="M20" s="42">
        <v>1753</v>
      </c>
      <c r="N20" s="39">
        <v>85</v>
      </c>
      <c r="O20" s="39">
        <v>85</v>
      </c>
      <c r="P20" s="39">
        <v>85</v>
      </c>
      <c r="Q20" s="39">
        <v>4990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44695</v>
      </c>
      <c r="B21" s="40">
        <v>0</v>
      </c>
      <c r="C21" s="40">
        <v>45</v>
      </c>
      <c r="D21" s="40">
        <v>104</v>
      </c>
      <c r="E21" s="41">
        <v>85</v>
      </c>
      <c r="F21" s="41">
        <v>6834</v>
      </c>
      <c r="G21" s="41">
        <v>60</v>
      </c>
      <c r="H21" s="41">
        <v>620</v>
      </c>
      <c r="I21" s="41">
        <v>85</v>
      </c>
      <c r="J21" s="41">
        <v>2212</v>
      </c>
      <c r="K21" s="42">
        <v>85</v>
      </c>
      <c r="L21" s="42">
        <v>20</v>
      </c>
      <c r="M21" s="42">
        <v>1755</v>
      </c>
      <c r="N21" s="39">
        <v>85</v>
      </c>
      <c r="O21" s="39">
        <v>84</v>
      </c>
      <c r="P21" s="39">
        <v>85</v>
      </c>
      <c r="Q21" s="39">
        <v>4991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44696</v>
      </c>
      <c r="B22" s="40">
        <v>0</v>
      </c>
      <c r="C22" s="40">
        <v>40</v>
      </c>
      <c r="D22" s="40">
        <v>85</v>
      </c>
      <c r="E22" s="41">
        <v>85</v>
      </c>
      <c r="F22" s="41">
        <v>6834</v>
      </c>
      <c r="G22" s="41">
        <v>41</v>
      </c>
      <c r="H22" s="41">
        <v>628</v>
      </c>
      <c r="I22" s="41">
        <v>85</v>
      </c>
      <c r="J22" s="41">
        <v>2212</v>
      </c>
      <c r="K22" s="42">
        <v>85</v>
      </c>
      <c r="L22" s="42">
        <v>19</v>
      </c>
      <c r="M22" s="42">
        <v>1758</v>
      </c>
      <c r="N22" s="39">
        <v>85</v>
      </c>
      <c r="O22" s="39">
        <v>80</v>
      </c>
      <c r="P22" s="39">
        <v>85</v>
      </c>
      <c r="Q22" s="39">
        <v>4995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44697</v>
      </c>
      <c r="B23" s="40">
        <v>0</v>
      </c>
      <c r="C23" s="40">
        <v>37</v>
      </c>
      <c r="D23" s="40">
        <v>79</v>
      </c>
      <c r="E23" s="41">
        <v>85</v>
      </c>
      <c r="F23" s="41">
        <v>6834</v>
      </c>
      <c r="G23" s="41">
        <v>30</v>
      </c>
      <c r="H23" s="41">
        <v>631</v>
      </c>
      <c r="I23" s="41">
        <v>85</v>
      </c>
      <c r="J23" s="41">
        <v>2212</v>
      </c>
      <c r="K23" s="42">
        <v>85</v>
      </c>
      <c r="L23" s="42">
        <v>18</v>
      </c>
      <c r="M23" s="42">
        <v>1760</v>
      </c>
      <c r="N23" s="39">
        <v>85</v>
      </c>
      <c r="O23" s="39">
        <v>79</v>
      </c>
      <c r="P23" s="39">
        <v>85</v>
      </c>
      <c r="Q23" s="39">
        <v>4999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44698</v>
      </c>
      <c r="B24" s="40">
        <v>0</v>
      </c>
      <c r="C24" s="40">
        <v>38</v>
      </c>
      <c r="D24" s="40">
        <v>80</v>
      </c>
      <c r="E24" s="41">
        <v>85</v>
      </c>
      <c r="F24" s="41">
        <v>6834</v>
      </c>
      <c r="G24" s="41">
        <v>19</v>
      </c>
      <c r="H24" s="41">
        <v>634</v>
      </c>
      <c r="I24" s="41">
        <v>85</v>
      </c>
      <c r="J24" s="41">
        <v>2212</v>
      </c>
      <c r="K24" s="42">
        <v>85</v>
      </c>
      <c r="L24" s="42">
        <v>18</v>
      </c>
      <c r="M24" s="42">
        <v>1760</v>
      </c>
      <c r="N24" s="39">
        <v>85</v>
      </c>
      <c r="O24" s="39">
        <v>74</v>
      </c>
      <c r="P24" s="39">
        <v>85</v>
      </c>
      <c r="Q24" s="39">
        <v>5002</v>
      </c>
      <c r="R24" s="77">
        <v>70</v>
      </c>
      <c r="S24" s="77">
        <v>227</v>
      </c>
      <c r="T24">
        <f t="shared" si="1"/>
        <v>0</v>
      </c>
    </row>
    <row r="25" spans="1:20" x14ac:dyDescent="0.25">
      <c r="A25" s="73">
        <v>44699</v>
      </c>
      <c r="B25" s="40">
        <v>0</v>
      </c>
      <c r="C25" s="40">
        <v>40</v>
      </c>
      <c r="D25" s="40">
        <v>87</v>
      </c>
      <c r="E25" s="41">
        <v>85</v>
      </c>
      <c r="F25" s="41">
        <v>6834</v>
      </c>
      <c r="G25" s="41">
        <v>8</v>
      </c>
      <c r="H25" s="41">
        <v>637</v>
      </c>
      <c r="I25" s="41">
        <v>85</v>
      </c>
      <c r="J25" s="41">
        <v>2212</v>
      </c>
      <c r="K25" s="42">
        <v>85</v>
      </c>
      <c r="L25" s="42">
        <v>15</v>
      </c>
      <c r="M25" s="42">
        <v>1761</v>
      </c>
      <c r="N25" s="39">
        <v>85</v>
      </c>
      <c r="O25" s="39">
        <v>69</v>
      </c>
      <c r="P25" s="39">
        <v>85</v>
      </c>
      <c r="Q25" s="39">
        <v>5006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44700</v>
      </c>
      <c r="B26" s="40">
        <v>0</v>
      </c>
      <c r="C26" s="40">
        <v>40</v>
      </c>
      <c r="D26" s="40">
        <v>87</v>
      </c>
      <c r="E26" s="41">
        <v>76</v>
      </c>
      <c r="F26" s="41">
        <v>6834</v>
      </c>
      <c r="G26" s="41">
        <v>8</v>
      </c>
      <c r="H26" s="41">
        <v>639</v>
      </c>
      <c r="I26" s="41">
        <v>85</v>
      </c>
      <c r="J26" s="41">
        <v>2212</v>
      </c>
      <c r="K26" s="42">
        <v>85</v>
      </c>
      <c r="L26" s="42">
        <v>15</v>
      </c>
      <c r="M26" s="42">
        <v>1763</v>
      </c>
      <c r="N26" s="39">
        <v>85</v>
      </c>
      <c r="O26" s="39">
        <v>65</v>
      </c>
      <c r="P26" s="39">
        <v>85</v>
      </c>
      <c r="Q26" s="39">
        <v>5008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44701</v>
      </c>
      <c r="B27" s="40">
        <v>0</v>
      </c>
      <c r="C27" s="40">
        <v>27</v>
      </c>
      <c r="D27" s="40">
        <v>57</v>
      </c>
      <c r="E27" s="41">
        <v>62</v>
      </c>
      <c r="F27" s="41">
        <v>6834</v>
      </c>
      <c r="G27" s="41">
        <v>8</v>
      </c>
      <c r="H27" s="41">
        <v>642</v>
      </c>
      <c r="I27" s="41">
        <v>85</v>
      </c>
      <c r="J27" s="41">
        <v>2212</v>
      </c>
      <c r="K27" s="42">
        <v>85</v>
      </c>
      <c r="L27" s="42">
        <v>12</v>
      </c>
      <c r="M27" s="42">
        <v>1765</v>
      </c>
      <c r="N27" s="39">
        <v>85</v>
      </c>
      <c r="O27" s="39">
        <v>60</v>
      </c>
      <c r="P27" s="39">
        <v>85</v>
      </c>
      <c r="Q27" s="39">
        <v>5017</v>
      </c>
      <c r="R27" s="77">
        <v>70</v>
      </c>
      <c r="S27" s="77">
        <v>227</v>
      </c>
      <c r="T27">
        <f t="shared" si="1"/>
        <v>0</v>
      </c>
    </row>
    <row r="28" spans="1:20" x14ac:dyDescent="0.25">
      <c r="A28" s="73">
        <v>44702</v>
      </c>
      <c r="B28" s="40">
        <v>0</v>
      </c>
      <c r="C28" s="40">
        <v>27</v>
      </c>
      <c r="D28" s="40">
        <v>57</v>
      </c>
      <c r="E28" s="41">
        <v>45</v>
      </c>
      <c r="F28" s="41">
        <v>6834</v>
      </c>
      <c r="G28" s="41">
        <v>7</v>
      </c>
      <c r="H28" s="41">
        <v>646</v>
      </c>
      <c r="I28" s="41">
        <v>85</v>
      </c>
      <c r="J28" s="41">
        <v>2212</v>
      </c>
      <c r="K28" s="42">
        <v>85</v>
      </c>
      <c r="L28" s="42">
        <v>10</v>
      </c>
      <c r="M28" s="42">
        <v>1765</v>
      </c>
      <c r="N28" s="39">
        <v>85</v>
      </c>
      <c r="O28" s="39">
        <v>60</v>
      </c>
      <c r="P28" s="39">
        <v>85</v>
      </c>
      <c r="Q28" s="39">
        <v>5017</v>
      </c>
      <c r="R28" s="77">
        <v>70</v>
      </c>
      <c r="S28" s="77">
        <v>227</v>
      </c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>
        <v>30</v>
      </c>
      <c r="F29" s="41">
        <v>6834</v>
      </c>
      <c r="G29" s="41">
        <v>7</v>
      </c>
      <c r="H29" s="41">
        <v>649</v>
      </c>
      <c r="I29" s="41">
        <v>85</v>
      </c>
      <c r="J29" s="41">
        <v>2212</v>
      </c>
      <c r="K29" s="42">
        <v>85</v>
      </c>
      <c r="L29" s="42">
        <v>10</v>
      </c>
      <c r="M29" s="42">
        <v>1768</v>
      </c>
      <c r="N29" s="39">
        <v>85</v>
      </c>
      <c r="O29" s="39">
        <v>45</v>
      </c>
      <c r="P29" s="39">
        <v>85</v>
      </c>
      <c r="Q29" s="39">
        <v>5022</v>
      </c>
      <c r="R29" s="77">
        <v>70</v>
      </c>
      <c r="S29" s="77">
        <v>227</v>
      </c>
      <c r="T29">
        <f t="shared" si="1"/>
        <v>0</v>
      </c>
    </row>
    <row r="30" spans="1:20" x14ac:dyDescent="0.25">
      <c r="A30" s="73">
        <v>44704</v>
      </c>
      <c r="B30" s="40"/>
      <c r="C30" s="40">
        <v>35</v>
      </c>
      <c r="D30" s="40">
        <v>69</v>
      </c>
      <c r="E30" s="41">
        <v>20</v>
      </c>
      <c r="F30" s="41">
        <v>6834</v>
      </c>
      <c r="G30" s="41">
        <v>7</v>
      </c>
      <c r="H30" s="41">
        <v>650</v>
      </c>
      <c r="I30" s="41">
        <v>85</v>
      </c>
      <c r="J30" s="41">
        <v>2212</v>
      </c>
      <c r="K30" s="42">
        <v>85</v>
      </c>
      <c r="L30" s="42">
        <v>7</v>
      </c>
      <c r="M30" s="42">
        <v>1770</v>
      </c>
      <c r="N30" s="39">
        <v>85</v>
      </c>
      <c r="O30" s="39">
        <v>45</v>
      </c>
      <c r="P30" s="39">
        <v>85</v>
      </c>
      <c r="Q30" s="39">
        <v>5024</v>
      </c>
      <c r="R30" s="77">
        <v>70</v>
      </c>
      <c r="S30" s="77">
        <v>227</v>
      </c>
      <c r="T30">
        <f t="shared" si="1"/>
        <v>0</v>
      </c>
    </row>
    <row r="31" spans="1:20" x14ac:dyDescent="0.25">
      <c r="A31" s="73">
        <v>44705</v>
      </c>
      <c r="B31" s="40"/>
      <c r="C31" s="40">
        <v>25</v>
      </c>
      <c r="D31" s="40">
        <v>50</v>
      </c>
      <c r="E31" s="41">
        <v>10</v>
      </c>
      <c r="F31" s="41">
        <v>6834</v>
      </c>
      <c r="G31" s="41">
        <v>7</v>
      </c>
      <c r="H31" s="41">
        <v>654</v>
      </c>
      <c r="I31" s="41">
        <v>85</v>
      </c>
      <c r="J31" s="41">
        <v>2212</v>
      </c>
      <c r="K31" s="42">
        <v>85</v>
      </c>
      <c r="L31" s="42">
        <v>7</v>
      </c>
      <c r="M31" s="42">
        <v>1770</v>
      </c>
      <c r="N31" s="39">
        <v>85</v>
      </c>
      <c r="O31" s="39">
        <v>42</v>
      </c>
      <c r="P31" s="39">
        <v>85</v>
      </c>
      <c r="Q31" s="39">
        <v>5027</v>
      </c>
      <c r="R31" s="77">
        <v>70</v>
      </c>
      <c r="S31" s="77">
        <v>227</v>
      </c>
      <c r="T31">
        <f t="shared" si="1"/>
        <v>0</v>
      </c>
    </row>
    <row r="32" spans="1:20" x14ac:dyDescent="0.25">
      <c r="A32" s="73">
        <v>44706</v>
      </c>
      <c r="B32" s="40"/>
      <c r="C32" s="40">
        <v>25</v>
      </c>
      <c r="D32" s="40">
        <v>50</v>
      </c>
      <c r="E32" s="41">
        <v>0</v>
      </c>
      <c r="F32" s="41">
        <v>6834</v>
      </c>
      <c r="G32" s="41">
        <v>7</v>
      </c>
      <c r="H32" s="41">
        <v>656</v>
      </c>
      <c r="I32" s="41">
        <v>85</v>
      </c>
      <c r="J32" s="41">
        <v>2212</v>
      </c>
      <c r="K32" s="42">
        <v>85</v>
      </c>
      <c r="L32" s="42">
        <v>5</v>
      </c>
      <c r="M32" s="42">
        <v>1773</v>
      </c>
      <c r="N32" s="39">
        <v>85</v>
      </c>
      <c r="O32" s="39">
        <v>35</v>
      </c>
      <c r="P32" s="39">
        <v>85</v>
      </c>
      <c r="Q32" s="39">
        <v>5032</v>
      </c>
      <c r="R32" s="77">
        <v>70</v>
      </c>
      <c r="S32" s="77">
        <v>227</v>
      </c>
      <c r="T32">
        <f t="shared" si="1"/>
        <v>0</v>
      </c>
    </row>
    <row r="33" spans="1:20" x14ac:dyDescent="0.25">
      <c r="A33" s="73">
        <v>44707</v>
      </c>
      <c r="B33" s="40"/>
      <c r="C33" s="40">
        <v>33</v>
      </c>
      <c r="D33" s="40">
        <v>64</v>
      </c>
      <c r="E33" s="41">
        <v>0</v>
      </c>
      <c r="F33" s="41">
        <v>6834</v>
      </c>
      <c r="G33" s="41">
        <v>7</v>
      </c>
      <c r="H33" s="41">
        <v>659</v>
      </c>
      <c r="I33" s="41">
        <v>75</v>
      </c>
      <c r="J33" s="41">
        <v>2212</v>
      </c>
      <c r="K33" s="42">
        <v>85</v>
      </c>
      <c r="L33" s="42">
        <v>0</v>
      </c>
      <c r="M33" s="42">
        <v>1776</v>
      </c>
      <c r="N33" s="39">
        <v>85</v>
      </c>
      <c r="O33" s="39">
        <v>32</v>
      </c>
      <c r="P33" s="39">
        <v>85</v>
      </c>
      <c r="Q33" s="39">
        <v>5035</v>
      </c>
      <c r="R33" s="77">
        <v>70</v>
      </c>
      <c r="S33" s="77">
        <v>227</v>
      </c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>
        <v>0</v>
      </c>
      <c r="F34" s="41">
        <v>6834</v>
      </c>
      <c r="G34" s="41">
        <v>7</v>
      </c>
      <c r="H34" s="41">
        <v>661</v>
      </c>
      <c r="I34" s="41">
        <v>62</v>
      </c>
      <c r="J34" s="41">
        <v>2212</v>
      </c>
      <c r="K34" s="42">
        <v>84</v>
      </c>
      <c r="L34" s="42">
        <v>0</v>
      </c>
      <c r="M34" s="42">
        <v>1779</v>
      </c>
      <c r="N34" s="39">
        <v>85</v>
      </c>
      <c r="O34" s="39">
        <v>30</v>
      </c>
      <c r="P34" s="39">
        <v>85</v>
      </c>
      <c r="Q34" s="39">
        <v>5039</v>
      </c>
      <c r="R34" s="77">
        <v>70</v>
      </c>
      <c r="S34" s="77">
        <v>227</v>
      </c>
      <c r="T34">
        <f t="shared" si="1"/>
        <v>0</v>
      </c>
    </row>
    <row r="35" spans="1:20" x14ac:dyDescent="0.25">
      <c r="A35" s="73">
        <v>44709</v>
      </c>
      <c r="B35" s="40">
        <v>0</v>
      </c>
      <c r="C35" s="40">
        <v>29</v>
      </c>
      <c r="D35" s="40">
        <v>56</v>
      </c>
      <c r="E35" s="41">
        <v>0</v>
      </c>
      <c r="F35" s="41">
        <v>6834</v>
      </c>
      <c r="G35" s="41">
        <v>0</v>
      </c>
      <c r="H35" s="41">
        <v>664</v>
      </c>
      <c r="I35" s="41">
        <v>50</v>
      </c>
      <c r="J35" s="41">
        <v>2212</v>
      </c>
      <c r="K35" s="42">
        <v>83</v>
      </c>
      <c r="L35" s="42">
        <v>0</v>
      </c>
      <c r="M35" s="42">
        <v>1779</v>
      </c>
      <c r="N35" s="39">
        <v>85</v>
      </c>
      <c r="O35" s="39">
        <v>25</v>
      </c>
      <c r="P35" s="39">
        <v>85</v>
      </c>
      <c r="Q35" s="39">
        <v>5042</v>
      </c>
      <c r="R35" s="77">
        <v>70</v>
      </c>
      <c r="S35" s="77">
        <v>227</v>
      </c>
      <c r="T35">
        <f t="shared" si="1"/>
        <v>0</v>
      </c>
    </row>
    <row r="36" spans="1:20" x14ac:dyDescent="0.25">
      <c r="A36" s="73">
        <v>44710</v>
      </c>
      <c r="B36" s="40">
        <v>0</v>
      </c>
      <c r="C36" s="40">
        <v>29</v>
      </c>
      <c r="D36" s="40">
        <v>56</v>
      </c>
      <c r="E36" s="41">
        <v>0</v>
      </c>
      <c r="F36" s="41">
        <v>6834</v>
      </c>
      <c r="G36" s="41">
        <v>0</v>
      </c>
      <c r="H36" s="41">
        <v>667</v>
      </c>
      <c r="I36" s="41">
        <v>35</v>
      </c>
      <c r="J36" s="41">
        <v>2212</v>
      </c>
      <c r="K36" s="42">
        <v>82</v>
      </c>
      <c r="L36" s="42">
        <v>0</v>
      </c>
      <c r="M36" s="42">
        <v>1782</v>
      </c>
      <c r="N36" s="39">
        <v>85</v>
      </c>
      <c r="O36" s="39">
        <v>20</v>
      </c>
      <c r="P36" s="39">
        <v>85</v>
      </c>
      <c r="Q36" s="39">
        <v>5044</v>
      </c>
      <c r="R36" s="77">
        <v>70</v>
      </c>
      <c r="S36" s="77">
        <v>227</v>
      </c>
      <c r="T36">
        <f t="shared" si="1"/>
        <v>0</v>
      </c>
    </row>
    <row r="37" spans="1:20" x14ac:dyDescent="0.25">
      <c r="A37" s="73">
        <v>44711</v>
      </c>
      <c r="B37" s="40">
        <v>0</v>
      </c>
      <c r="C37" s="40">
        <v>37</v>
      </c>
      <c r="D37" s="40">
        <v>59</v>
      </c>
      <c r="E37" s="41">
        <v>85</v>
      </c>
      <c r="F37" s="41">
        <v>6834</v>
      </c>
      <c r="G37" s="41">
        <v>79</v>
      </c>
      <c r="H37" s="41">
        <v>670</v>
      </c>
      <c r="I37" s="41">
        <v>85</v>
      </c>
      <c r="J37" s="41">
        <v>2212</v>
      </c>
      <c r="K37" s="42">
        <v>84</v>
      </c>
      <c r="L37" s="42">
        <v>85</v>
      </c>
      <c r="M37" s="42">
        <v>1785</v>
      </c>
      <c r="N37" s="39">
        <v>85</v>
      </c>
      <c r="O37" s="39">
        <v>85</v>
      </c>
      <c r="P37" s="39">
        <v>85</v>
      </c>
      <c r="Q37" s="39">
        <v>5048</v>
      </c>
      <c r="R37" s="77">
        <v>70</v>
      </c>
      <c r="S37" s="77">
        <v>227</v>
      </c>
      <c r="T37">
        <f t="shared" si="1"/>
        <v>0</v>
      </c>
    </row>
    <row r="38" spans="1:20" x14ac:dyDescent="0.25">
      <c r="A38" s="73">
        <v>44712</v>
      </c>
      <c r="B38" s="40">
        <v>0</v>
      </c>
      <c r="C38" s="40">
        <v>22</v>
      </c>
      <c r="D38" s="40">
        <v>43</v>
      </c>
      <c r="E38" s="41">
        <v>85</v>
      </c>
      <c r="F38" s="41">
        <v>6834</v>
      </c>
      <c r="G38" s="41">
        <v>65</v>
      </c>
      <c r="H38" s="41">
        <v>672</v>
      </c>
      <c r="I38" s="41">
        <v>85</v>
      </c>
      <c r="J38" s="41">
        <v>2212</v>
      </c>
      <c r="K38" s="42">
        <v>84</v>
      </c>
      <c r="L38" s="42">
        <v>85</v>
      </c>
      <c r="M38" s="42">
        <v>1785</v>
      </c>
      <c r="N38" s="39">
        <v>85</v>
      </c>
      <c r="O38" s="39">
        <v>83</v>
      </c>
      <c r="P38" s="39">
        <v>85</v>
      </c>
      <c r="Q38" s="39">
        <v>5053</v>
      </c>
      <c r="R38" s="77">
        <v>70</v>
      </c>
      <c r="S38" s="77">
        <v>227</v>
      </c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-227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2022-06-01T17:44:34Z</dcterms:modified>
</cp:coreProperties>
</file>