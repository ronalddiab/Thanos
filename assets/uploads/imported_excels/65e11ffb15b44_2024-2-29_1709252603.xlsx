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437" documentId="8_{4576CBA6-0C5D-4466-9834-56B81915752E}" xr6:coauthVersionLast="36" xr6:coauthVersionMax="36" xr10:uidLastSave="{6618DBB8-AB6D-49F2-854C-62C2C6F1CBF8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<sst xmlns="http://schemas.openxmlformats.org/spreadsheetml/2006/main" count="215" uniqueCount="51">
  <si>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</si>
  <si>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</si>
  <si>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</si>
  <si>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</si>
  <si>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</si>
  <si>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</si>
  <si>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</si>
  <si>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</si>
  <si>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</si>
  <si>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</si>
  <si>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</si>
  <si>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</si>
  <si>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</si>
  <si>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</si>
  <si>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</si>
  <si>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</si>
  <si>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</si>
  <si>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</si>
  <si>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</si>
  <si>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</si>
  <si>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</si>
  <si>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</si>
  <si>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</si>
  <si>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</si>
  <si>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</si>
  <si>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</si>
  <si>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</si>
  <si>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</si>
  <si>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</si>
  <si>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</si>
  <si>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</si>
  <si>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</si>
  <si>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</si>
  <si>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</si>
  <si>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</si>
  <si>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</si>
  <si>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</si>
  <si>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</si>
  <si>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</si>
  <si>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</si>
  <si>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</si>
  <si>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</si>
  <si>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</si>
  <si>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</si>
  <si>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</si>
  <si>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</si>
  <si>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</si>
  <si>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</si>
  <si>
    <t>Veera/Sathis</t>
  </si>
  <si>
    <t>Veera/Dipak</t>
  </si>
  <si>
    <t>Ramu/Aung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</si>
</sst>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13" workbookViewId="0">
      <selection activeCell="L30" sqref="L3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13140</v>
      </c>
      <c r="F22" s="10">
        <v>0.2989</v>
      </c>
      <c r="G22" s="13">
        <f>-'Submetering '!J22+'Submetering '!K22</f>
        <v>699</v>
      </c>
      <c r="H22" s="10">
        <v>0.23150000000000001</v>
      </c>
      <c r="I22" s="13">
        <f>'Submetering '!L22+'Submetering '!M22</f>
        <v>144</v>
      </c>
      <c r="J22" s="10">
        <v>2.74</v>
      </c>
      <c r="K22" s="9">
        <v>258</v>
      </c>
      <c r="L22" s="9">
        <v>258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12495</v>
      </c>
      <c r="F23" s="10">
        <v>0.2989</v>
      </c>
      <c r="G23" s="13">
        <f>-'Submetering '!J23+'Submetering '!K23</f>
        <v>744</v>
      </c>
      <c r="H23" s="10">
        <v>0.23150000000000001</v>
      </c>
      <c r="I23" s="13">
        <f>'Submetering '!L23+'Submetering '!M23</f>
        <v>172</v>
      </c>
      <c r="J23" s="10">
        <v>2.74</v>
      </c>
      <c r="K23" s="9">
        <v>253</v>
      </c>
      <c r="L23" s="9">
        <v>253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12435</v>
      </c>
      <c r="F24" s="10">
        <v>0.2989</v>
      </c>
      <c r="G24" s="13">
        <f>-'Submetering '!J24+'Submetering '!K24</f>
        <v>769</v>
      </c>
      <c r="H24" s="10">
        <v>0.23150000000000001</v>
      </c>
      <c r="I24" s="13">
        <f>'Submetering '!L24+'Submetering '!M24</f>
        <v>144</v>
      </c>
      <c r="J24" s="10">
        <v>2.74</v>
      </c>
      <c r="K24" s="9">
        <v>224</v>
      </c>
      <c r="L24" s="9">
        <v>224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12690</v>
      </c>
      <c r="F25" s="10">
        <v>0.2989</v>
      </c>
      <c r="G25" s="13">
        <f>-'Submetering '!J25+'Submetering '!K25</f>
        <v>728</v>
      </c>
      <c r="H25" s="10">
        <v>0.23150000000000001</v>
      </c>
      <c r="I25" s="13">
        <f>'Submetering '!L25+'Submetering '!M25</f>
        <v>164</v>
      </c>
      <c r="J25" s="10">
        <v>2.74</v>
      </c>
      <c r="K25" s="9">
        <v>219</v>
      </c>
      <c r="L25" s="9">
        <v>219</v>
      </c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11910</v>
      </c>
      <c r="F26" s="10">
        <v>0.2989</v>
      </c>
      <c r="G26" s="13">
        <f>-'Submetering '!J26+'Submetering '!K26</f>
        <v>660</v>
      </c>
      <c r="H26" s="10">
        <v>0.23150000000000001</v>
      </c>
      <c r="I26" s="13">
        <f>'Submetering '!L26+'Submetering '!M26</f>
        <v>144</v>
      </c>
      <c r="J26" s="10">
        <v>2.74</v>
      </c>
      <c r="K26" s="9">
        <v>226</v>
      </c>
      <c r="L26" s="9">
        <v>226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11535</v>
      </c>
      <c r="F27" s="10">
        <v>0.2989</v>
      </c>
      <c r="G27" s="13">
        <f>-'Submetering '!J27+'Submetering '!K27</f>
        <v>729</v>
      </c>
      <c r="H27" s="10">
        <v>0.23150000000000001</v>
      </c>
      <c r="I27" s="13">
        <f>'Submetering '!L27+'Submetering '!M27</f>
        <v>138</v>
      </c>
      <c r="J27" s="10">
        <v>2.74</v>
      </c>
      <c r="K27" s="9">
        <v>256</v>
      </c>
      <c r="L27" s="9">
        <v>256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12150</v>
      </c>
      <c r="F28" s="10">
        <v>0.2989</v>
      </c>
      <c r="G28" s="13">
        <f>-'Submetering '!J28+'Submetering '!K28</f>
        <v>677</v>
      </c>
      <c r="H28" s="10">
        <v>0.23150000000000001</v>
      </c>
      <c r="I28" s="13">
        <f>'Submetering '!L28+'Submetering '!M28</f>
        <v>138</v>
      </c>
      <c r="J28" s="10">
        <v>2.74</v>
      </c>
      <c r="K28" s="9">
        <v>256</v>
      </c>
      <c r="L28" s="9">
        <v>256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12240</v>
      </c>
      <c r="F29" s="10">
        <v>0.2989</v>
      </c>
      <c r="G29" s="13">
        <f>-'Submetering '!J29+'Submetering '!K29</f>
        <v>676</v>
      </c>
      <c r="H29" s="10">
        <v>0.23150000000000001</v>
      </c>
      <c r="I29" s="13">
        <f>'Submetering '!L29+'Submetering '!M29</f>
        <v>142</v>
      </c>
      <c r="J29" s="10">
        <v>2.74</v>
      </c>
      <c r="K29" s="9">
        <v>260</v>
      </c>
      <c r="L29" s="9">
        <v>260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12405</v>
      </c>
      <c r="F30" s="10">
        <v>0.2989</v>
      </c>
      <c r="G30" s="13">
        <f>-'Submetering '!J30+'Submetering '!K30</f>
        <v>715</v>
      </c>
      <c r="H30" s="10">
        <v>0.23150000000000001</v>
      </c>
      <c r="I30" s="13">
        <f>'Submetering '!L30+'Submetering '!M30</f>
        <v>196</v>
      </c>
      <c r="J30" s="10">
        <v>2.74</v>
      </c>
      <c r="K30" s="9">
        <v>267</v>
      </c>
      <c r="L30" s="9">
        <v>267</v>
      </c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abSelected="1" topLeftCell="L13" zoomScale="80" zoomScaleNormal="80" workbookViewId="0">
      <selection activeCell="AB30" sqref="AB30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5775</v>
      </c>
      <c r="F22" s="33">
        <f>(IF((Electrical!C23-Electrical!C22)&lt;0,"0",(Electrical!C23-Electrical!C22)))*15</f>
        <v>3720</v>
      </c>
      <c r="G22" s="33">
        <f>(IF((Electrical!D23-Electrical!D22)&lt;0,"0",(Electrical!D23-Electrical!D22)))*15</f>
        <v>3645</v>
      </c>
      <c r="H22" s="33">
        <f>IF((Electrical!E23-Electrical!E22)&lt;0,"0",(Electrical!E23-Electrical!E22))</f>
        <v>4043</v>
      </c>
      <c r="I22" s="33">
        <f>IF((Electrical!F23-Electrical!F22)&lt;0,"0",(Electrical!F23-Electrical!F22))</f>
        <v>428</v>
      </c>
      <c r="J22" s="33">
        <f>IF((Gas!B23-Gas!B22)&lt;0,"0",(Gas!B23-Gas!B22))</f>
        <v>0</v>
      </c>
      <c r="K22" s="33">
        <f>IF((Gas!C23-Gas!C22)&lt;0,"0",(Gas!C23-Gas!C22))</f>
        <v>699</v>
      </c>
      <c r="L22" s="33">
        <f>(IF((Water!B23-Water!B22)&lt;0,"0",(Water!B23-Water!B22)))*10</f>
        <v>120</v>
      </c>
      <c r="M22" s="33">
        <f>IF((Water!C23-Water!C22)&lt;0,"0",(Water!C23-Water!C22))</f>
        <v>24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1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27</v>
      </c>
      <c r="Y22" s="9">
        <v>258</v>
      </c>
      <c r="Z22" s="9">
        <v>258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5280</v>
      </c>
      <c r="F23" s="33">
        <f>(IF((Electrical!C24-Electrical!C23)&lt;0,"0",(Electrical!C24-Electrical!C23)))*15</f>
        <v>3705</v>
      </c>
      <c r="G23" s="33">
        <f>(IF((Electrical!D24-Electrical!D23)&lt;0,"0",(Electrical!D24-Electrical!D23)))*15</f>
        <v>3510</v>
      </c>
      <c r="H23" s="33">
        <f>IF((Electrical!E24-Electrical!E23)&lt;0,"0",(Electrical!E24-Electrical!E23))</f>
        <v>3829</v>
      </c>
      <c r="I23" s="33">
        <f>IF((Electrical!F24-Electrical!F23)&lt;0,"0",(Electrical!F24-Electrical!F23))</f>
        <v>417</v>
      </c>
      <c r="J23" s="33">
        <f>IF((Gas!B24-Gas!B23)&lt;0,"0",(Gas!B24-Gas!B23))</f>
        <v>0</v>
      </c>
      <c r="K23" s="33">
        <f>IF((Gas!C24-Gas!C23)&lt;0,"0",(Gas!C24-Gas!C23))</f>
        <v>744</v>
      </c>
      <c r="L23" s="33">
        <f>(IF((Water!B24-Water!B23)&lt;0,"0",(Water!B24-Water!B23)))*10</f>
        <v>140</v>
      </c>
      <c r="M23" s="33">
        <f>IF((Water!C24-Water!C23)&lt;0,"0",(Water!C24-Water!C23))</f>
        <v>32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8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53</v>
      </c>
      <c r="Y23" s="9">
        <v>253</v>
      </c>
      <c r="Z23" s="9">
        <v>253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5325</v>
      </c>
      <c r="F24" s="33">
        <f>(IF((Electrical!C25-Electrical!C24)&lt;0,"0",(Electrical!C25-Electrical!C24)))*15</f>
        <v>3585</v>
      </c>
      <c r="G24" s="33">
        <f>(IF((Electrical!D25-Electrical!D24)&lt;0,"0",(Electrical!D25-Electrical!D24)))*15</f>
        <v>3525</v>
      </c>
      <c r="H24" s="33">
        <f>IF((Electrical!E25-Electrical!E24)&lt;0,"0",(Electrical!E25-Electrical!E24))</f>
        <v>3640</v>
      </c>
      <c r="I24" s="33">
        <f>IF((Electrical!F25-Electrical!F24)&lt;0,"0",(Electrical!F25-Electrical!F24))</f>
        <v>461</v>
      </c>
      <c r="J24" s="33">
        <f>IF((Gas!B25-Gas!B24)&lt;0,"0",(Gas!B25-Gas!B24))</f>
        <v>0</v>
      </c>
      <c r="K24" s="33">
        <f>IF((Gas!C25-Gas!C24)&lt;0,"0",(Gas!C25-Gas!C24))</f>
        <v>769</v>
      </c>
      <c r="L24" s="33">
        <f>(IF((Water!B25-Water!B24)&lt;0,"0",(Water!B25-Water!B24)))*10</f>
        <v>120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224</v>
      </c>
      <c r="Z24" s="9">
        <v>224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5385</v>
      </c>
      <c r="F25" s="33">
        <f>(IF((Electrical!C26-Electrical!C25)&lt;0,"0",(Electrical!C26-Electrical!C25)))*15</f>
        <v>3630</v>
      </c>
      <c r="G25" s="33">
        <f>(IF((Electrical!D26-Electrical!D25)&lt;0,"0",(Electrical!D26-Electrical!D25)))*15</f>
        <v>3675</v>
      </c>
      <c r="H25" s="33">
        <f>IF((Electrical!E26-Electrical!E25)&lt;0,"0",(Electrical!E26-Electrical!E25))</f>
        <v>3610</v>
      </c>
      <c r="I25" s="33">
        <f>IF((Electrical!F26-Electrical!F25)&lt;0,"0",(Electrical!F26-Electrical!F25))</f>
        <v>416</v>
      </c>
      <c r="J25" s="33">
        <f>IF((Gas!B26-Gas!B25)&lt;0,"0",(Gas!B26-Gas!B25))</f>
        <v>0</v>
      </c>
      <c r="K25" s="33">
        <f>IF((Gas!C26-Gas!C25)&lt;0,"0",(Gas!C26-Gas!C25))</f>
        <v>728</v>
      </c>
      <c r="L25" s="33">
        <f>(IF((Water!B26-Water!B25)&lt;0,"0",(Water!B26-Water!B25)))*10</f>
        <v>140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219</v>
      </c>
      <c r="Z25" s="9">
        <v>219</v>
      </c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4680</v>
      </c>
      <c r="F26" s="33">
        <f>(IF((Electrical!C27-Electrical!C26)&lt;0,"0",(Electrical!C27-Electrical!C26)))*15</f>
        <v>3615</v>
      </c>
      <c r="G26" s="33">
        <f>(IF((Electrical!D27-Electrical!D26)&lt;0,"0",(Electrical!D27-Electrical!D26)))*15</f>
        <v>3615</v>
      </c>
      <c r="H26" s="33">
        <f>IF((Electrical!E27-Electrical!E26)&lt;0,"0",(Electrical!E27-Electrical!E26))</f>
        <v>3277</v>
      </c>
      <c r="I26" s="33">
        <f>IF((Electrical!F27-Electrical!F26)&lt;0,"0",(Electrical!F27-Electrical!F26))</f>
        <v>440</v>
      </c>
      <c r="J26" s="33">
        <f>IF((Gas!B27-Gas!B26)&lt;0,"0",(Gas!B27-Gas!B26))</f>
        <v>0</v>
      </c>
      <c r="K26" s="33">
        <f>IF((Gas!C27-Gas!C26)&lt;0,"0",(Gas!C27-Gas!C26))</f>
        <v>660</v>
      </c>
      <c r="L26" s="33">
        <f>(IF((Water!B27-Water!B26)&lt;0,"0",(Water!B27-Water!B26)))*10</f>
        <v>120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226</v>
      </c>
      <c r="Z26" s="9">
        <v>226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4785</v>
      </c>
      <c r="F27" s="33">
        <f>(IF((Electrical!C28-Electrical!C27)&lt;0,"0",(Electrical!C28-Electrical!C27)))*15</f>
        <v>3375</v>
      </c>
      <c r="G27" s="33">
        <f>(IF((Electrical!D28-Electrical!D27)&lt;0,"0",(Electrical!D28-Electrical!D27)))*15</f>
        <v>3375</v>
      </c>
      <c r="H27" s="33">
        <f>IF((Electrical!E28-Electrical!E27)&lt;0,"0",(Electrical!E28-Electrical!E27))</f>
        <v>3423</v>
      </c>
      <c r="I27" s="33">
        <f>IF((Electrical!F28-Electrical!F27)&lt;0,"0",(Electrical!F28-Electrical!F27))</f>
        <v>417</v>
      </c>
      <c r="J27" s="33">
        <f>IF((Gas!B28-Gas!B27)&lt;0,"0",(Gas!B28-Gas!B27))</f>
        <v>0</v>
      </c>
      <c r="K27" s="33">
        <f>IF((Gas!C28-Gas!C27)&lt;0,"0",(Gas!C28-Gas!C27))</f>
        <v>729</v>
      </c>
      <c r="L27" s="33">
        <f>(IF((Water!B28-Water!B27)&lt;0,"0",(Water!B28-Water!B27)))*10</f>
        <v>110</v>
      </c>
      <c r="M27" s="33">
        <f>IF((Water!C28-Water!C27)&lt;0,"0",(Water!C28-Water!C27))</f>
        <v>28</v>
      </c>
      <c r="N27" s="33">
        <f>IF((Water!D28-Water!D27)&lt;0,"0",(Water!D28-Water!D27))</f>
        <v>0</v>
      </c>
      <c r="O27" s="33">
        <f>IF((Water!E28-Water!E27)&lt;0,"0",(Water!E28-Water!E27))</f>
        <v>16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32</v>
      </c>
      <c r="Y27" s="9">
        <v>256</v>
      </c>
      <c r="Z27" s="9">
        <v>256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5235</v>
      </c>
      <c r="F28" s="33">
        <f>(IF((Electrical!C29-Electrical!C28)&lt;0,"0",(Electrical!C29-Electrical!C28)))*15</f>
        <v>3435</v>
      </c>
      <c r="G28" s="33">
        <f>(IF((Electrical!D29-Electrical!D28)&lt;0,"0",(Electrical!D29-Electrical!D28)))*15</f>
        <v>3480</v>
      </c>
      <c r="H28" s="33">
        <f>IF((Electrical!E29-Electrical!E28)&lt;0,"0",(Electrical!E29-Electrical!E28))</f>
        <v>3516</v>
      </c>
      <c r="I28" s="33">
        <f>IF((Electrical!F29-Electrical!F28)&lt;0,"0",(Electrical!F29-Electrical!F28))</f>
        <v>397</v>
      </c>
      <c r="J28" s="33">
        <f>IF((Gas!B29-Gas!B28)&lt;0,"0",(Gas!B29-Gas!B28))</f>
        <v>0</v>
      </c>
      <c r="K28" s="33">
        <f>IF((Gas!C29-Gas!C28)&lt;0,"0",(Gas!C29-Gas!C28))</f>
        <v>677</v>
      </c>
      <c r="L28" s="33">
        <f>(IF((Water!B29-Water!B28)&lt;0,"0",(Water!B29-Water!B28)))*10</f>
        <v>120</v>
      </c>
      <c r="M28" s="33">
        <f>IF((Water!C29-Water!C28)&lt;0,"0",(Water!C29-Water!C28))</f>
        <v>18</v>
      </c>
      <c r="N28" s="33">
        <f>IF((Water!D29-Water!D28)&lt;0,"0",(Water!D29-Water!D28))</f>
        <v>0</v>
      </c>
      <c r="O28" s="33">
        <f>IF((Water!E29-Water!E28)&lt;0,"0",(Water!E29-Water!E28))</f>
        <v>13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256</v>
      </c>
      <c r="Z28" s="9">
        <v>256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5145</v>
      </c>
      <c r="F29" s="33">
        <f>(IF((Electrical!C30-Electrical!C29)&lt;0,"0",(Electrical!C30-Electrical!C29)))*15</f>
        <v>3555</v>
      </c>
      <c r="G29" s="33">
        <f>(IF((Electrical!D30-Electrical!D29)&lt;0,"0",(Electrical!D30-Electrical!D29)))*15</f>
        <v>3540</v>
      </c>
      <c r="H29" s="33">
        <f>IF((Electrical!E30-Electrical!E29)&lt;0,"0",(Electrical!E30-Electrical!E29))</f>
        <v>3477</v>
      </c>
      <c r="I29" s="33">
        <f>IF((Electrical!F30-Electrical!F29)&lt;0,"0",(Electrical!F30-Electrical!F29))</f>
        <v>428</v>
      </c>
      <c r="J29" s="33">
        <f>IF((Gas!B30-Gas!B29)&lt;0,"0",(Gas!B30-Gas!B29))</f>
        <v>0</v>
      </c>
      <c r="K29" s="33">
        <f>IF((Gas!C30-Gas!C29)&lt;0,"0",(Gas!C30-Gas!C29))</f>
        <v>676</v>
      </c>
      <c r="L29" s="33">
        <f>(IF((Water!B30-Water!B29)&lt;0,"0",(Water!B30-Water!B29)))*10</f>
        <v>120</v>
      </c>
      <c r="M29" s="33">
        <f>IF((Water!C30-Water!C29)&lt;0,"0",(Water!C30-Water!C29))</f>
        <v>22</v>
      </c>
      <c r="N29" s="33">
        <f>IF((Water!D30-Water!D29)&lt;0,"0",(Water!D30-Water!D29))</f>
        <v>0</v>
      </c>
      <c r="O29" s="33">
        <f>IF((Water!E30-Water!E29)&lt;0,"0",(Water!E30-Water!E29))</f>
        <v>14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31</v>
      </c>
      <c r="Y29" s="9">
        <v>260</v>
      </c>
      <c r="Z29" s="9">
        <v>260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5160</v>
      </c>
      <c r="F30" s="33">
        <f>(IF((Electrical!C31-Electrical!C30)&lt;0,"0",(Electrical!C31-Electrical!C30)))*15</f>
        <v>3675</v>
      </c>
      <c r="G30" s="33">
        <f>(IF((Electrical!D31-Electrical!D30)&lt;0,"0",(Electrical!D31-Electrical!D30)))*15</f>
        <v>3570</v>
      </c>
      <c r="H30" s="33">
        <f>IF((Electrical!E31-Electrical!E30)&lt;0,"0",(Electrical!E31-Electrical!E30))</f>
        <v>3564</v>
      </c>
      <c r="I30" s="33">
        <f>IF((Electrical!F31-Electrical!F30)&lt;0,"0",(Electrical!F31-Electrical!F30))</f>
        <v>417</v>
      </c>
      <c r="J30" s="33">
        <f>IF((Gas!B31-Gas!B30)&lt;0,"0",(Gas!B31-Gas!B30))</f>
        <v>0</v>
      </c>
      <c r="K30" s="33">
        <f>IF((Gas!C31-Gas!C30)&lt;0,"0",(Gas!C31-Gas!C30))</f>
        <v>715</v>
      </c>
      <c r="L30" s="33">
        <f>(IF((Water!B31-Water!B30)&lt;0,"0",(Water!B31-Water!B30)))*10</f>
        <v>170</v>
      </c>
      <c r="M30" s="33">
        <f>IF((Water!C31-Water!C30)&lt;0,"0",(Water!C31-Water!C30))</f>
        <v>26</v>
      </c>
      <c r="N30" s="33">
        <f>IF((Water!D31-Water!D30)&lt;0,"0",(Water!D31-Water!D30))</f>
        <v>0</v>
      </c>
      <c r="O30" s="33">
        <f>IF((Water!E31-Water!E30)&lt;0,"0",(Water!E31-Water!E30))</f>
        <v>17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13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48</v>
      </c>
      <c r="Y30" s="9">
        <v>267</v>
      </c>
      <c r="Z30" s="9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opLeftCell="A7" zoomScale="70" zoomScaleNormal="70" workbookViewId="0">
      <selection activeCell="K22" sqref="K2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>
        <v>115249</v>
      </c>
      <c r="C23" s="28">
        <v>85264</v>
      </c>
      <c r="D23" s="45">
        <v>86734</v>
      </c>
      <c r="E23" s="45">
        <v>1193340</v>
      </c>
      <c r="F23" s="45">
        <v>135556</v>
      </c>
      <c r="G23" s="27" t="s">
        <v>41</v>
      </c>
    </row>
    <row r="24" spans="1:7" x14ac:dyDescent="0.35">
      <c r="A24" s="7">
        <v>22</v>
      </c>
      <c r="B24" s="28">
        <v>115601</v>
      </c>
      <c r="C24" s="28">
        <v>85511</v>
      </c>
      <c r="D24" s="45">
        <v>86968</v>
      </c>
      <c r="E24" s="45">
        <v>1197169</v>
      </c>
      <c r="F24" s="45">
        <v>135973</v>
      </c>
      <c r="G24" s="5" t="s">
        <v>48</v>
      </c>
    </row>
    <row r="25" spans="1:7" x14ac:dyDescent="0.35">
      <c r="A25" s="7">
        <v>23</v>
      </c>
      <c r="B25" s="28">
        <v>115956</v>
      </c>
      <c r="C25" s="28">
        <v>85750</v>
      </c>
      <c r="D25" s="45">
        <v>87203</v>
      </c>
      <c r="E25" s="45">
        <v>1200809</v>
      </c>
      <c r="F25" s="45">
        <v>136434</v>
      </c>
      <c r="G25" s="5" t="s">
        <v>49</v>
      </c>
    </row>
    <row r="26" spans="1:7" x14ac:dyDescent="0.35">
      <c r="A26" s="7">
        <v>24</v>
      </c>
      <c r="B26" s="28">
        <v>116315</v>
      </c>
      <c r="C26" s="28">
        <v>85992</v>
      </c>
      <c r="D26" s="45">
        <v>87448</v>
      </c>
      <c r="E26" s="45">
        <v>1204419</v>
      </c>
      <c r="F26" s="45">
        <v>136850</v>
      </c>
      <c r="G26" s="27" t="s">
        <v>50</v>
      </c>
    </row>
    <row r="27" spans="1:7" x14ac:dyDescent="0.35">
      <c r="A27" s="7">
        <v>25</v>
      </c>
      <c r="B27" s="28">
        <v>116627</v>
      </c>
      <c r="C27" s="28">
        <v>86233</v>
      </c>
      <c r="D27" s="45">
        <v>87689</v>
      </c>
      <c r="E27" s="45">
        <v>1207696</v>
      </c>
      <c r="F27" s="45">
        <v>137290</v>
      </c>
      <c r="G27" s="27" t="s">
        <v>44</v>
      </c>
    </row>
    <row r="28" spans="1:7" x14ac:dyDescent="0.35">
      <c r="A28" s="7">
        <v>26</v>
      </c>
      <c r="B28" s="28">
        <v>116946</v>
      </c>
      <c r="C28" s="28">
        <v>86458</v>
      </c>
      <c r="D28" s="45">
        <v>87914</v>
      </c>
      <c r="E28" s="45">
        <v>1211119</v>
      </c>
      <c r="F28" s="45">
        <v>137707</v>
      </c>
      <c r="G28" s="27" t="s">
        <v>44</v>
      </c>
    </row>
    <row r="29" spans="1:7" x14ac:dyDescent="0.35">
      <c r="A29" s="7">
        <v>27</v>
      </c>
      <c r="B29" s="28">
        <v>117295</v>
      </c>
      <c r="C29" s="28">
        <v>86687</v>
      </c>
      <c r="D29" s="45">
        <v>88146</v>
      </c>
      <c r="E29" s="45">
        <v>1214635</v>
      </c>
      <c r="F29" s="45">
        <v>138104</v>
      </c>
      <c r="G29" s="5" t="s">
        <v>45</v>
      </c>
    </row>
    <row r="30" spans="1:7" x14ac:dyDescent="0.35">
      <c r="A30" s="7">
        <v>28</v>
      </c>
      <c r="B30" s="28">
        <v>117638</v>
      </c>
      <c r="C30" s="28">
        <v>86924</v>
      </c>
      <c r="D30" s="45">
        <v>88382</v>
      </c>
      <c r="E30" s="45">
        <v>1218112</v>
      </c>
      <c r="F30" s="45">
        <v>138532</v>
      </c>
      <c r="G30" s="5" t="s">
        <v>45</v>
      </c>
    </row>
    <row r="31" spans="1:7" x14ac:dyDescent="0.35">
      <c r="A31" s="7">
        <v>29</v>
      </c>
      <c r="B31" s="28">
        <v>117982</v>
      </c>
      <c r="C31" s="28">
        <v>87169</v>
      </c>
      <c r="D31" s="45">
        <v>88620</v>
      </c>
      <c r="E31" s="45">
        <v>1221676</v>
      </c>
      <c r="F31" s="45">
        <v>138949</v>
      </c>
      <c r="G31" s="5" t="s">
        <v>45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13" zoomScale="85" zoomScaleNormal="85" workbookViewId="0">
      <selection activeCell="H27" sqref="H2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>
        <v>197441</v>
      </c>
      <c r="D23" s="5" t="s">
        <v>41</v>
      </c>
    </row>
    <row r="24" spans="1:4" x14ac:dyDescent="0.35">
      <c r="A24" s="4">
        <v>22</v>
      </c>
      <c r="B24" s="5">
        <v>0</v>
      </c>
      <c r="C24" s="5">
        <v>198185</v>
      </c>
      <c r="D24" s="5" t="s">
        <v>48</v>
      </c>
    </row>
    <row r="25" spans="1:4" x14ac:dyDescent="0.35">
      <c r="A25" s="4">
        <v>23</v>
      </c>
      <c r="B25" s="5">
        <v>0</v>
      </c>
      <c r="C25" s="5">
        <v>198954</v>
      </c>
      <c r="D25" s="5" t="s">
        <v>49</v>
      </c>
    </row>
    <row r="26" spans="1:4" ht="15.5" x14ac:dyDescent="0.35">
      <c r="A26" s="4">
        <v>24</v>
      </c>
      <c r="B26" s="5">
        <v>0</v>
      </c>
      <c r="C26" s="5">
        <v>199682</v>
      </c>
      <c r="D26" s="27" t="s">
        <v>50</v>
      </c>
    </row>
    <row r="27" spans="1:4" ht="15.5" x14ac:dyDescent="0.35">
      <c r="A27" s="4">
        <v>25</v>
      </c>
      <c r="B27" s="5">
        <v>0</v>
      </c>
      <c r="C27" s="5">
        <v>200342</v>
      </c>
      <c r="D27" s="27" t="s">
        <v>44</v>
      </c>
    </row>
    <row r="28" spans="1:4" ht="15.5" x14ac:dyDescent="0.35">
      <c r="A28" s="4">
        <v>26</v>
      </c>
      <c r="B28" s="5">
        <v>0</v>
      </c>
      <c r="C28" s="5">
        <v>201071</v>
      </c>
      <c r="D28" s="27" t="s">
        <v>44</v>
      </c>
    </row>
    <row r="29" spans="1:4" x14ac:dyDescent="0.35">
      <c r="A29" s="4">
        <v>27</v>
      </c>
      <c r="B29" s="5">
        <v>0</v>
      </c>
      <c r="C29" s="5">
        <v>201748</v>
      </c>
      <c r="D29" s="5" t="s">
        <v>45</v>
      </c>
    </row>
    <row r="30" spans="1:4" x14ac:dyDescent="0.35">
      <c r="A30" s="4">
        <v>28</v>
      </c>
      <c r="B30" s="5">
        <v>0</v>
      </c>
      <c r="C30" s="5">
        <v>202424</v>
      </c>
      <c r="D30" s="5" t="s">
        <v>45</v>
      </c>
    </row>
    <row r="31" spans="1:4" x14ac:dyDescent="0.35">
      <c r="A31" s="4">
        <v>29</v>
      </c>
      <c r="B31" s="5">
        <v>0</v>
      </c>
      <c r="C31" s="5">
        <v>203139</v>
      </c>
      <c r="D31" s="5" t="s">
        <v>45</v>
      </c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E10" zoomScale="85" zoomScaleNormal="85" workbookViewId="0">
      <selection activeCell="O31" sqref="O31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>
        <v>3164</v>
      </c>
      <c r="C23" s="5">
        <v>10122</v>
      </c>
      <c r="D23" s="5">
        <v>0</v>
      </c>
      <c r="E23" s="5">
        <v>2773</v>
      </c>
      <c r="F23" s="5">
        <v>0</v>
      </c>
      <c r="G23" s="5">
        <v>0</v>
      </c>
      <c r="H23" s="5">
        <v>0</v>
      </c>
      <c r="I23" s="5">
        <v>0</v>
      </c>
      <c r="J23" s="5">
        <v>337</v>
      </c>
      <c r="K23" s="5">
        <v>0</v>
      </c>
      <c r="L23" s="5">
        <v>0</v>
      </c>
      <c r="M23" s="5">
        <v>0</v>
      </c>
      <c r="N23" s="5">
        <v>11933</v>
      </c>
      <c r="O23" s="5" t="s">
        <v>41</v>
      </c>
    </row>
    <row r="24" spans="1:15" x14ac:dyDescent="0.35">
      <c r="A24" s="4">
        <v>22</v>
      </c>
      <c r="B24" s="5">
        <v>3178</v>
      </c>
      <c r="C24" s="5">
        <v>10154</v>
      </c>
      <c r="D24" s="5">
        <v>0</v>
      </c>
      <c r="E24" s="5">
        <v>2789</v>
      </c>
      <c r="F24" s="5">
        <v>0</v>
      </c>
      <c r="G24" s="5">
        <v>0</v>
      </c>
      <c r="H24" s="5">
        <v>0</v>
      </c>
      <c r="I24" s="5">
        <v>0</v>
      </c>
      <c r="J24" s="5">
        <v>345</v>
      </c>
      <c r="K24" s="5">
        <v>0</v>
      </c>
      <c r="L24" s="5">
        <v>0</v>
      </c>
      <c r="M24" s="5">
        <v>0</v>
      </c>
      <c r="N24" s="5">
        <v>11986</v>
      </c>
      <c r="O24" s="5" t="s">
        <v>48</v>
      </c>
    </row>
    <row r="25" spans="1:15" x14ac:dyDescent="0.35">
      <c r="A25" s="4">
        <v>23</v>
      </c>
      <c r="B25" s="5">
        <v>3190</v>
      </c>
      <c r="C25" s="5">
        <v>10178</v>
      </c>
      <c r="D25" s="5">
        <v>0</v>
      </c>
      <c r="E25" s="5">
        <v>2805</v>
      </c>
      <c r="F25" s="5">
        <v>0</v>
      </c>
      <c r="G25" s="5">
        <v>0</v>
      </c>
      <c r="H25" s="5">
        <v>0</v>
      </c>
      <c r="I25" s="5">
        <v>0</v>
      </c>
      <c r="J25" s="5">
        <v>346</v>
      </c>
      <c r="K25" s="5">
        <v>0</v>
      </c>
      <c r="L25" s="5">
        <v>0</v>
      </c>
      <c r="M25" s="5">
        <v>0</v>
      </c>
      <c r="N25" s="5">
        <v>12018</v>
      </c>
      <c r="O25" s="5" t="s">
        <v>49</v>
      </c>
    </row>
    <row r="26" spans="1:15" ht="15.5" x14ac:dyDescent="0.35">
      <c r="A26" s="4">
        <v>24</v>
      </c>
      <c r="B26" s="5">
        <v>3204</v>
      </c>
      <c r="C26" s="5">
        <v>10202</v>
      </c>
      <c r="D26" s="5">
        <v>0</v>
      </c>
      <c r="E26" s="5">
        <v>2820</v>
      </c>
      <c r="F26" s="5">
        <v>0</v>
      </c>
      <c r="G26" s="5">
        <v>0</v>
      </c>
      <c r="H26" s="5">
        <v>0</v>
      </c>
      <c r="I26" s="5">
        <v>0</v>
      </c>
      <c r="J26" s="5">
        <v>346</v>
      </c>
      <c r="K26" s="5">
        <v>0</v>
      </c>
      <c r="L26" s="5">
        <v>0</v>
      </c>
      <c r="M26" s="5">
        <v>0</v>
      </c>
      <c r="N26" s="5">
        <v>12050</v>
      </c>
      <c r="O26" s="27" t="s">
        <v>50</v>
      </c>
    </row>
    <row r="27" spans="1:15" ht="15.5" x14ac:dyDescent="0.35">
      <c r="A27" s="4">
        <v>25</v>
      </c>
      <c r="B27" s="5">
        <v>3216</v>
      </c>
      <c r="C27" s="5">
        <v>10226</v>
      </c>
      <c r="D27" s="5">
        <v>0</v>
      </c>
      <c r="E27" s="5">
        <v>2836</v>
      </c>
      <c r="F27" s="5">
        <v>0</v>
      </c>
      <c r="G27" s="5">
        <v>0</v>
      </c>
      <c r="H27" s="5">
        <v>0</v>
      </c>
      <c r="I27" s="5">
        <v>0</v>
      </c>
      <c r="J27" s="5">
        <v>347</v>
      </c>
      <c r="K27" s="5">
        <v>0</v>
      </c>
      <c r="L27" s="5">
        <v>0</v>
      </c>
      <c r="M27" s="5">
        <v>0</v>
      </c>
      <c r="N27" s="5">
        <v>12082</v>
      </c>
      <c r="O27" s="27" t="s">
        <v>44</v>
      </c>
    </row>
    <row r="28" spans="1:15" ht="15.5" x14ac:dyDescent="0.35">
      <c r="A28" s="4">
        <v>26</v>
      </c>
      <c r="B28" s="5">
        <v>3227</v>
      </c>
      <c r="C28" s="5">
        <v>10254</v>
      </c>
      <c r="D28" s="5">
        <v>0</v>
      </c>
      <c r="E28" s="5">
        <v>2852</v>
      </c>
      <c r="F28" s="5">
        <v>0</v>
      </c>
      <c r="G28" s="5">
        <v>0</v>
      </c>
      <c r="H28" s="5">
        <v>0</v>
      </c>
      <c r="I28" s="5">
        <v>0</v>
      </c>
      <c r="J28" s="5">
        <v>358</v>
      </c>
      <c r="K28" s="5">
        <v>0</v>
      </c>
      <c r="L28" s="5">
        <v>0</v>
      </c>
      <c r="M28" s="5">
        <v>0</v>
      </c>
      <c r="N28" s="5">
        <v>12114</v>
      </c>
      <c r="O28" s="27" t="s">
        <v>44</v>
      </c>
    </row>
    <row r="29" spans="1:15" x14ac:dyDescent="0.35">
      <c r="A29" s="4">
        <v>27</v>
      </c>
      <c r="B29" s="5">
        <v>3239</v>
      </c>
      <c r="C29" s="5">
        <v>10272</v>
      </c>
      <c r="D29" s="5">
        <v>0</v>
      </c>
      <c r="E29" s="5">
        <v>2865</v>
      </c>
      <c r="F29" s="5">
        <v>0</v>
      </c>
      <c r="G29" s="5">
        <v>0</v>
      </c>
      <c r="H29" s="5">
        <v>0</v>
      </c>
      <c r="I29" s="5">
        <v>0</v>
      </c>
      <c r="J29" s="5">
        <v>359</v>
      </c>
      <c r="K29" s="5">
        <v>0</v>
      </c>
      <c r="L29" s="5">
        <v>0</v>
      </c>
      <c r="M29" s="5">
        <v>0</v>
      </c>
      <c r="N29" s="5">
        <v>12146</v>
      </c>
      <c r="O29" s="5" t="s">
        <v>45</v>
      </c>
    </row>
    <row r="30" spans="1:15" x14ac:dyDescent="0.35">
      <c r="A30" s="4">
        <v>28</v>
      </c>
      <c r="B30" s="5">
        <v>3251</v>
      </c>
      <c r="C30" s="5">
        <v>10294</v>
      </c>
      <c r="D30" s="5">
        <v>0</v>
      </c>
      <c r="E30" s="5">
        <v>2879</v>
      </c>
      <c r="F30" s="5">
        <v>0</v>
      </c>
      <c r="G30" s="5">
        <v>0</v>
      </c>
      <c r="H30" s="5">
        <v>0</v>
      </c>
      <c r="I30" s="5">
        <v>0</v>
      </c>
      <c r="J30" s="5">
        <v>359</v>
      </c>
      <c r="K30" s="5">
        <v>0</v>
      </c>
      <c r="L30" s="5">
        <v>0</v>
      </c>
      <c r="M30" s="5">
        <v>0</v>
      </c>
      <c r="N30" s="5">
        <v>12177</v>
      </c>
      <c r="O30" s="5" t="s">
        <v>45</v>
      </c>
    </row>
    <row r="31" spans="1:15" x14ac:dyDescent="0.35">
      <c r="A31" s="4">
        <v>29</v>
      </c>
      <c r="B31" s="5">
        <v>3268</v>
      </c>
      <c r="C31" s="5">
        <v>10320</v>
      </c>
      <c r="D31" s="5">
        <v>0</v>
      </c>
      <c r="E31" s="5">
        <v>2896</v>
      </c>
      <c r="F31" s="5">
        <v>0</v>
      </c>
      <c r="G31" s="5">
        <v>0</v>
      </c>
      <c r="H31" s="5">
        <v>0</v>
      </c>
      <c r="I31" s="5">
        <v>0</v>
      </c>
      <c r="J31" s="5">
        <v>372</v>
      </c>
      <c r="K31" s="5">
        <v>0</v>
      </c>
      <c r="L31" s="5">
        <v>0</v>
      </c>
      <c r="M31" s="5">
        <v>0</v>
      </c>
      <c r="N31" s="5">
        <v>12225</v>
      </c>
      <c r="O31" s="5" t="s">
        <v>45</v>
      </c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0c63084-832f-4b13-a501-c844d9f3bfed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2024-03-01T00:21:09Z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