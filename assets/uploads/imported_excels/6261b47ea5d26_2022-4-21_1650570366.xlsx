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V18" i="7" l="1"/>
  <c r="AV19" i="7"/>
  <c r="AV20" i="7"/>
  <c r="L17" i="7" l="1"/>
  <c r="L18" i="7"/>
  <c r="CY7" i="7" l="1"/>
  <c r="CY8" i="7"/>
  <c r="AN6" i="7"/>
  <c r="AN7" i="7"/>
  <c r="AN5" i="7" l="1"/>
  <c r="P6" i="7"/>
  <c r="P7" i="7"/>
  <c r="CY3" i="7" l="1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P30" i="7" l="1"/>
  <c r="P31" i="7"/>
  <c r="P32" i="7"/>
  <c r="CY30" i="7" l="1"/>
  <c r="CY31" i="7"/>
  <c r="CY32" i="7"/>
  <c r="CS9" i="7" l="1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Q10" i="7"/>
  <c r="CQ11" i="7"/>
  <c r="CQ12" i="7"/>
  <c r="CQ13" i="7"/>
  <c r="CQ14" i="7"/>
  <c r="CQ20" i="7"/>
  <c r="CQ21" i="7"/>
  <c r="CQ22" i="7"/>
  <c r="CQ23" i="7"/>
  <c r="CQ24" i="7"/>
  <c r="CQ25" i="7"/>
  <c r="CQ26" i="7"/>
  <c r="CQ27" i="7"/>
  <c r="CQ28" i="7"/>
  <c r="CQ29" i="7"/>
  <c r="CQ30" i="7"/>
  <c r="BB27" i="7" l="1"/>
  <c r="CQ15" i="7" l="1"/>
  <c r="T11" i="7" l="1"/>
  <c r="T12" i="7"/>
  <c r="T13" i="7"/>
  <c r="T14" i="7"/>
  <c r="T15" i="7"/>
  <c r="T16" i="7"/>
  <c r="T17" i="7"/>
  <c r="T18" i="7"/>
  <c r="T19" i="7"/>
  <c r="T20" i="7"/>
  <c r="T21" i="7"/>
  <c r="T22" i="7"/>
  <c r="T2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6" i="7"/>
  <c r="CQ17" i="7"/>
  <c r="CQ18" i="7"/>
  <c r="CQ19" i="7"/>
  <c r="CQ31" i="7"/>
  <c r="CQ32" i="7"/>
  <c r="CQ33" i="7"/>
  <c r="CS4" i="7"/>
  <c r="CS5" i="7"/>
  <c r="CS6" i="7"/>
  <c r="CS7" i="7"/>
  <c r="CS8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<sst xmlns="http://schemas.openxmlformats.org/spreadsheetml/2006/main" count="315" uniqueCount="148">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</sst>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2022</v>
      </c>
      <c r="E2" s="12">
        <f>Submetering!E2+Submetering!F2+Submetering!G2+Submetering!H2+Submetering!J2-Submetering!AV2</f>
        <v>13820.000000000302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86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4</v>
      </c>
      <c r="D3" s="1">
        <v>2022</v>
      </c>
      <c r="E3" s="12">
        <f>Submetering!E3+Submetering!F3+Submetering!G3+Submetering!H3+Submetering!J3-Submetering!AV3</f>
        <v>13920.000000000371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108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0">
        <v>3</v>
      </c>
      <c r="C4" s="11">
        <v>4</v>
      </c>
      <c r="D4" s="1">
        <v>2022</v>
      </c>
      <c r="E4" s="12">
        <f>Submetering!E4+Submetering!F4+Submetering!G4+Submetering!H4+Submetering!J4-Submetering!AV4</f>
        <v>14709.999999999407</v>
      </c>
      <c r="F4" s="11">
        <f t="shared" ref="F4:F32" si="0">F3</f>
        <v>0.58765030286592534</v>
      </c>
      <c r="G4" s="12">
        <f>(Submetering!AX4+Submetering!AY4+Submetering!AZ4+Submetering!BA4+Submetering!BB4)</f>
        <v>34.79849999999999</v>
      </c>
      <c r="H4" s="11">
        <f t="shared" ref="H4:H32" si="1">H3</f>
        <v>0.99</v>
      </c>
      <c r="I4" s="12">
        <f>'FS Desroches Daily'!CM6</f>
        <v>100.5</v>
      </c>
      <c r="J4" s="11">
        <f t="shared" ref="J4:J32" si="2">J3</f>
        <v>10.487297712684205</v>
      </c>
      <c r="K4" s="13">
        <f>'FS Desroches Daily'!CN6</f>
        <v>34</v>
      </c>
    </row>
    <row r="5" spans="1:13" s="16" customFormat="1" x14ac:dyDescent="0.25">
      <c r="A5" s="1" t="s">
        <v>11</v>
      </c>
      <c r="B5" s="10">
        <v>4</v>
      </c>
      <c r="C5" s="11">
        <v>4</v>
      </c>
      <c r="D5" s="1">
        <v>2022</v>
      </c>
      <c r="E5" s="12">
        <f>Submetering!E5+Submetering!F5+Submetering!G5+Submetering!H5+Submetering!J5-Submetering!AV5</f>
        <v>13799.99999999996</v>
      </c>
      <c r="F5" s="11">
        <f t="shared" si="0"/>
        <v>0.58765030286592534</v>
      </c>
      <c r="G5" s="12">
        <f>(Submetering!AX5+Submetering!AY5+Submetering!AZ5+Submetering!BA5+Submetering!BB5)</f>
        <v>27.4725</v>
      </c>
      <c r="H5" s="11">
        <f t="shared" si="1"/>
        <v>0.99</v>
      </c>
      <c r="I5" s="12">
        <f>'FS Desroches Daily'!CM7</f>
        <v>116.5</v>
      </c>
      <c r="J5" s="11">
        <f t="shared" si="2"/>
        <v>10.487297712684205</v>
      </c>
      <c r="K5" s="13">
        <f>'FS Desroches Daily'!CN7</f>
        <v>34</v>
      </c>
    </row>
    <row r="6" spans="1:13" s="16" customFormat="1" x14ac:dyDescent="0.25">
      <c r="A6" s="1" t="s">
        <v>11</v>
      </c>
      <c r="B6" s="10">
        <v>5</v>
      </c>
      <c r="C6" s="11">
        <v>4</v>
      </c>
      <c r="D6" s="1">
        <v>2022</v>
      </c>
      <c r="E6" s="12">
        <f>Submetering!E6+Submetering!F6+Submetering!G6+Submetering!H6+Submetering!J6-Submetering!AV6</f>
        <v>14190.000000000178</v>
      </c>
      <c r="F6" s="11">
        <f t="shared" si="0"/>
        <v>0.58765030286592534</v>
      </c>
      <c r="G6" s="12">
        <f>(Submetering!AX6+Submetering!AY6+Submetering!AZ6+Submetering!BA6+Submetering!BB6)</f>
        <v>34.798499999999997</v>
      </c>
      <c r="H6" s="11">
        <f t="shared" si="1"/>
        <v>0.99</v>
      </c>
      <c r="I6" s="12">
        <f>'FS Desroches Daily'!CM8</f>
        <v>111.20000000000073</v>
      </c>
      <c r="J6" s="11">
        <f t="shared" si="2"/>
        <v>10.487297712684205</v>
      </c>
      <c r="K6" s="13">
        <f>'FS Desroches Daily'!CN8</f>
        <v>34</v>
      </c>
    </row>
    <row r="7" spans="1:13" s="16" customFormat="1" x14ac:dyDescent="0.25">
      <c r="A7" s="1" t="s">
        <v>11</v>
      </c>
      <c r="B7" s="10">
        <v>6</v>
      </c>
      <c r="C7" s="11">
        <v>4</v>
      </c>
      <c r="D7" s="1">
        <v>2022</v>
      </c>
      <c r="E7" s="12">
        <f>Submetering!E7+Submetering!F7+Submetering!G7+Submetering!H7+Submetering!J7-Submetering!AV7</f>
        <v>14339.999999999865</v>
      </c>
      <c r="F7" s="11">
        <f t="shared" si="0"/>
        <v>0.58765030286592534</v>
      </c>
      <c r="G7" s="12">
        <f>(Submetering!AX7+Submetering!AY7+Submetering!AZ7+Submetering!BA7+Submetering!BB7)</f>
        <v>23.8095</v>
      </c>
      <c r="H7" s="11">
        <f t="shared" si="1"/>
        <v>0.99</v>
      </c>
      <c r="I7" s="12">
        <f>'FS Desroches Daily'!CM9</f>
        <v>115.09999999999854</v>
      </c>
      <c r="J7" s="11">
        <f t="shared" si="2"/>
        <v>10.487297712684205</v>
      </c>
      <c r="K7" s="13">
        <f>'FS Desroches Daily'!CN9</f>
        <v>33</v>
      </c>
    </row>
    <row r="8" spans="1:13" s="16" customFormat="1" x14ac:dyDescent="0.25">
      <c r="A8" s="1" t="s">
        <v>11</v>
      </c>
      <c r="B8" s="10">
        <v>7</v>
      </c>
      <c r="C8" s="11">
        <v>4</v>
      </c>
      <c r="D8" s="1">
        <v>2022</v>
      </c>
      <c r="E8" s="12">
        <f>Submetering!E8+Submetering!F8+Submetering!G8+Submetering!H8+Submetering!J8-Submetering!AV8</f>
        <v>11940.000000000387</v>
      </c>
      <c r="F8" s="11">
        <f t="shared" si="0"/>
        <v>0.58765030286592534</v>
      </c>
      <c r="G8" s="12">
        <f>(Submetering!AX8+Submetering!AY8+Submetering!AZ8+Submetering!BA8+Submetering!BB8)</f>
        <v>53.113499999999995</v>
      </c>
      <c r="H8" s="11">
        <f t="shared" si="1"/>
        <v>0.99</v>
      </c>
      <c r="I8" s="12">
        <f>'FS Desroches Daily'!CM10</f>
        <v>135.70000000000073</v>
      </c>
      <c r="J8" s="11">
        <f t="shared" si="2"/>
        <v>10.487297712684205</v>
      </c>
      <c r="K8" s="13">
        <f>'FS Desroches Daily'!CN10</f>
        <v>28</v>
      </c>
    </row>
    <row r="9" spans="1:13" s="16" customFormat="1" x14ac:dyDescent="0.25">
      <c r="A9" s="1" t="s">
        <v>11</v>
      </c>
      <c r="B9" s="10">
        <v>8</v>
      </c>
      <c r="C9" s="11">
        <v>4</v>
      </c>
      <c r="D9" s="1">
        <v>2022</v>
      </c>
      <c r="E9" s="12">
        <f>Submetering!E9+Submetering!F9+Submetering!G9+Submetering!H9+Submetering!J9-Submetering!AV9</f>
        <v>14239.999999999245</v>
      </c>
      <c r="F9" s="11">
        <f t="shared" si="0"/>
        <v>0.58765030286592534</v>
      </c>
      <c r="G9" s="12">
        <f>(Submetering!AX9+Submetering!AY9+Submetering!AZ9+Submetering!BA9+Submetering!BB9)</f>
        <v>54.944999999999993</v>
      </c>
      <c r="H9" s="11">
        <f t="shared" si="1"/>
        <v>0.99</v>
      </c>
      <c r="I9" s="12">
        <f>'FS Desroches Daily'!CM11</f>
        <v>105.40000000000146</v>
      </c>
      <c r="J9" s="11">
        <f t="shared" si="2"/>
        <v>10.487297712684205</v>
      </c>
      <c r="K9" s="13">
        <f>'FS Desroches Daily'!CN11</f>
        <v>28</v>
      </c>
    </row>
    <row r="10" spans="1:13" s="16" customFormat="1" x14ac:dyDescent="0.25">
      <c r="A10" s="1" t="s">
        <v>11</v>
      </c>
      <c r="B10" s="10">
        <v>9</v>
      </c>
      <c r="C10" s="11">
        <v>4</v>
      </c>
      <c r="D10" s="1">
        <v>2022</v>
      </c>
      <c r="E10" s="12">
        <f>Submetering!E10+Submetering!F10+Submetering!G10+Submetering!H10+Submetering!J10-Submetering!AV10</f>
        <v>14260.000000000115</v>
      </c>
      <c r="F10" s="11">
        <f t="shared" si="0"/>
        <v>0.58765030286592534</v>
      </c>
      <c r="G10" s="12">
        <f>(Submetering!AX10+Submetering!AY10+Submetering!AZ10+Submetering!BA10+Submetering!BB10)</f>
        <v>40.292999999999999</v>
      </c>
      <c r="H10" s="11">
        <f t="shared" si="1"/>
        <v>0.99</v>
      </c>
      <c r="I10" s="12">
        <f>'FS Desroches Daily'!CM12</f>
        <v>106.59999999999854</v>
      </c>
      <c r="J10" s="11">
        <f t="shared" si="2"/>
        <v>10.487297712684205</v>
      </c>
      <c r="K10" s="13">
        <f>'FS Desroches Daily'!CN12</f>
        <v>28</v>
      </c>
    </row>
    <row r="11" spans="1:13" s="16" customFormat="1" x14ac:dyDescent="0.25">
      <c r="A11" s="1" t="s">
        <v>11</v>
      </c>
      <c r="B11" s="10">
        <v>10</v>
      </c>
      <c r="C11" s="11">
        <v>4</v>
      </c>
      <c r="D11" s="1">
        <v>2022</v>
      </c>
      <c r="E11" s="12">
        <f>Submetering!E11+Submetering!F11+Submetering!G11+Submetering!H11+Submetering!J11-Submetering!AV11</f>
        <v>14050.000000000367</v>
      </c>
      <c r="F11" s="11">
        <f t="shared" si="0"/>
        <v>0.58765030286592534</v>
      </c>
      <c r="G11" s="12">
        <f>(Submetering!AX11+Submetering!AY11+Submetering!AZ11+Submetering!BA11+Submetering!BB11)</f>
        <v>23.8095</v>
      </c>
      <c r="H11" s="11">
        <f t="shared" si="1"/>
        <v>0.99</v>
      </c>
      <c r="I11" s="12">
        <f>'FS Desroches Daily'!CM13</f>
        <v>108</v>
      </c>
      <c r="J11" s="11">
        <f t="shared" si="2"/>
        <v>10.487297712684205</v>
      </c>
      <c r="K11" s="13">
        <f>'FS Desroches Daily'!CN13</f>
        <v>33</v>
      </c>
    </row>
    <row r="12" spans="1:13" s="16" customFormat="1" x14ac:dyDescent="0.25">
      <c r="A12" s="1" t="s">
        <v>11</v>
      </c>
      <c r="B12" s="10">
        <v>11</v>
      </c>
      <c r="C12" s="11">
        <v>4</v>
      </c>
      <c r="D12" s="1">
        <v>2022</v>
      </c>
      <c r="E12" s="12">
        <f>Submetering!E12+Submetering!F12+Submetering!G12+Submetering!H12+Submetering!J12-Submetering!AV12</f>
        <v>14540.0000000001</v>
      </c>
      <c r="F12" s="11">
        <f t="shared" si="0"/>
        <v>0.58765030286592534</v>
      </c>
      <c r="G12" s="12">
        <f>(Submetering!AX12+Submetering!AY12+Submetering!AZ12+Submetering!BA12+Submetering!BB12)</f>
        <v>31.135499999999997</v>
      </c>
      <c r="H12" s="11">
        <f t="shared" si="1"/>
        <v>0.99</v>
      </c>
      <c r="I12" s="12">
        <f>'FS Desroches Daily'!CM14</f>
        <v>131</v>
      </c>
      <c r="J12" s="11">
        <f t="shared" si="2"/>
        <v>10.487297712684205</v>
      </c>
      <c r="K12" s="13">
        <f>'FS Desroches Daily'!CN14</f>
        <v>35</v>
      </c>
    </row>
    <row r="13" spans="1:13" s="16" customFormat="1" x14ac:dyDescent="0.25">
      <c r="A13" s="1" t="s">
        <v>11</v>
      </c>
      <c r="B13" s="10">
        <v>12</v>
      </c>
      <c r="C13" s="11">
        <v>4</v>
      </c>
      <c r="D13" s="1">
        <v>2022</v>
      </c>
      <c r="E13" s="12">
        <f>Submetering!E13+Submetering!F13+Submetering!G13+Submetering!H13+Submetering!J13-Submetering!AV13</f>
        <v>12620.000000000658</v>
      </c>
      <c r="F13" s="11">
        <f t="shared" si="0"/>
        <v>0.58765030286592534</v>
      </c>
      <c r="G13" s="12">
        <f>(Submetering!AX13+Submetering!AY13+Submetering!AZ13+Submetering!BA13+Submetering!BB13)</f>
        <v>20.1465</v>
      </c>
      <c r="H13" s="11">
        <f t="shared" si="1"/>
        <v>0.99</v>
      </c>
      <c r="I13" s="12">
        <f>'FS Desroches Daily'!CM15</f>
        <v>111</v>
      </c>
      <c r="J13" s="11">
        <f t="shared" si="2"/>
        <v>10.487297712684205</v>
      </c>
      <c r="K13" s="13">
        <f>'FS Desroches Daily'!CN15</f>
        <v>37</v>
      </c>
    </row>
    <row r="14" spans="1:13" s="16" customFormat="1" x14ac:dyDescent="0.25">
      <c r="A14" s="1" t="s">
        <v>11</v>
      </c>
      <c r="B14" s="10">
        <v>13</v>
      </c>
      <c r="C14" s="11">
        <v>4</v>
      </c>
      <c r="D14" s="1">
        <v>2022</v>
      </c>
      <c r="E14" s="12">
        <f>Submetering!E14+Submetering!F14+Submetering!G14+Submetering!H14+Submetering!J14-Submetering!AV14</f>
        <v>13559.999999999525</v>
      </c>
      <c r="F14" s="11">
        <f t="shared" si="0"/>
        <v>0.58765030286592534</v>
      </c>
      <c r="G14" s="12">
        <f>(Submetering!AX14+Submetering!AY14+Submetering!AZ14+Submetering!BA14+Submetering!BB14)</f>
        <v>21.977999999999998</v>
      </c>
      <c r="H14" s="11">
        <f t="shared" si="1"/>
        <v>0.99</v>
      </c>
      <c r="I14" s="12">
        <f>'FS Desroches Daily'!CM16</f>
        <v>113</v>
      </c>
      <c r="J14" s="11">
        <f t="shared" si="2"/>
        <v>10.487297712684205</v>
      </c>
      <c r="K14" s="13">
        <f>'FS Desroches Daily'!CN16</f>
        <v>37</v>
      </c>
    </row>
    <row r="15" spans="1:13" s="16" customFormat="1" x14ac:dyDescent="0.25">
      <c r="A15" s="1" t="s">
        <v>11</v>
      </c>
      <c r="B15" s="10">
        <v>14</v>
      </c>
      <c r="C15" s="11">
        <v>4</v>
      </c>
      <c r="D15" s="1">
        <v>2022</v>
      </c>
      <c r="E15" s="12">
        <f>Submetering!E15+Submetering!F15+Submetering!G15+Submetering!H15+Submetering!J15-Submetering!AV15</f>
        <v>14590.000000000357</v>
      </c>
      <c r="F15" s="11">
        <f t="shared" si="0"/>
        <v>0.58765030286592534</v>
      </c>
      <c r="G15" s="12">
        <f>(Submetering!AX15+Submetering!AY15+Submetering!AZ15+Submetering!BA15+Submetering!BB15)</f>
        <v>18.314999999999998</v>
      </c>
      <c r="H15" s="11">
        <f t="shared" si="1"/>
        <v>0.99</v>
      </c>
      <c r="I15" s="12">
        <f>'FS Desroches Daily'!CM17</f>
        <v>123</v>
      </c>
      <c r="J15" s="11">
        <f t="shared" si="2"/>
        <v>10.487297712684205</v>
      </c>
      <c r="K15" s="13">
        <f>'FS Desroches Daily'!CN17</f>
        <v>40</v>
      </c>
    </row>
    <row r="16" spans="1:13" s="16" customFormat="1" x14ac:dyDescent="0.25">
      <c r="A16" s="1" t="s">
        <v>11</v>
      </c>
      <c r="B16" s="10">
        <v>15</v>
      </c>
      <c r="C16" s="11">
        <v>4</v>
      </c>
      <c r="D16" s="1">
        <v>2022</v>
      </c>
      <c r="E16" s="12">
        <f>Submetering!E16+Submetering!F16+Submetering!G16+Submetering!H16+Submetering!J16-Submetering!AV16</f>
        <v>15109.999999999396</v>
      </c>
      <c r="F16" s="11">
        <f t="shared" si="0"/>
        <v>0.58765030286592534</v>
      </c>
      <c r="G16" s="12">
        <f>(Submetering!AX16+Submetering!AY16+Submetering!AZ16+Submetering!BA16+Submetering!BB16)</f>
        <v>16.483499999999999</v>
      </c>
      <c r="H16" s="11">
        <f t="shared" si="1"/>
        <v>0.99</v>
      </c>
      <c r="I16" s="12">
        <f>'FS Desroches Daily'!CM18</f>
        <v>135</v>
      </c>
      <c r="J16" s="11">
        <f t="shared" si="2"/>
        <v>10.487297712684205</v>
      </c>
      <c r="K16" s="13">
        <f>'FS Desroches Daily'!CN18</f>
        <v>40</v>
      </c>
    </row>
    <row r="17" spans="1:11" s="16" customFormat="1" x14ac:dyDescent="0.25">
      <c r="A17" s="1" t="s">
        <v>11</v>
      </c>
      <c r="B17" s="10">
        <v>16</v>
      </c>
      <c r="C17" s="11">
        <v>4</v>
      </c>
      <c r="D17" s="1">
        <v>2022</v>
      </c>
      <c r="E17" s="12">
        <f>Submetering!E17+Submetering!F17+Submetering!G17+Submetering!H17+Submetering!J17-Submetering!AV17</f>
        <v>14710.000000000624</v>
      </c>
      <c r="F17" s="11">
        <f t="shared" si="0"/>
        <v>0.58765030286592534</v>
      </c>
      <c r="G17" s="12">
        <f>(Submetering!AX17+Submetering!AY17+Submetering!AZ17+Submetering!BA17+Submetering!BB17)</f>
        <v>23.8095</v>
      </c>
      <c r="H17" s="11">
        <f t="shared" si="1"/>
        <v>0.99</v>
      </c>
      <c r="I17" s="12">
        <f>'FS Desroches Daily'!CM19</f>
        <v>123</v>
      </c>
      <c r="J17" s="11">
        <f t="shared" si="2"/>
        <v>10.487297712684205</v>
      </c>
      <c r="K17" s="13">
        <f>'FS Desroches Daily'!CN19</f>
        <v>39</v>
      </c>
    </row>
    <row r="18" spans="1:11" s="16" customFormat="1" x14ac:dyDescent="0.25">
      <c r="A18" s="1" t="s">
        <v>11</v>
      </c>
      <c r="B18" s="10">
        <v>17</v>
      </c>
      <c r="C18" s="11">
        <v>4</v>
      </c>
      <c r="D18" s="1">
        <v>2022</v>
      </c>
      <c r="E18" s="12">
        <f>Submetering!E18+Submetering!F18+Submetering!G18+Submetering!H18+Submetering!J18-Submetering!AV18</f>
        <v>12269.999999999927</v>
      </c>
      <c r="F18" s="11">
        <f t="shared" si="0"/>
        <v>0.58765030286592534</v>
      </c>
      <c r="G18" s="12">
        <f>(Submetering!AX18+Submetering!AY18+Submetering!AZ18+Submetering!BA18+Submetering!BB18)</f>
        <v>20.146499999999996</v>
      </c>
      <c r="H18" s="11">
        <f t="shared" si="1"/>
        <v>0.99</v>
      </c>
      <c r="I18" s="12">
        <f>'FS Desroches Daily'!CM20</f>
        <v>93</v>
      </c>
      <c r="J18" s="11">
        <f t="shared" si="2"/>
        <v>10.487297712684205</v>
      </c>
      <c r="K18" s="13">
        <f>'FS Desroches Daily'!CN20</f>
        <v>41</v>
      </c>
    </row>
    <row r="19" spans="1:11" s="16" customFormat="1" x14ac:dyDescent="0.25">
      <c r="A19" s="1" t="s">
        <v>11</v>
      </c>
      <c r="B19" s="10">
        <v>18</v>
      </c>
      <c r="C19" s="11">
        <v>4</v>
      </c>
      <c r="D19" s="1">
        <v>2022</v>
      </c>
      <c r="E19" s="12">
        <f>Submetering!E19+Submetering!F19+Submetering!G19+Submetering!H19+Submetering!J19-Submetering!AV19</f>
        <v>13279.999999999141</v>
      </c>
      <c r="F19" s="11">
        <f t="shared" si="0"/>
        <v>0.58765030286592534</v>
      </c>
      <c r="G19" s="12">
        <f>(Submetering!AX19+Submetering!AY19+Submetering!AZ19+Submetering!BA19+Submetering!BB19)</f>
        <v>12.820499999999999</v>
      </c>
      <c r="H19" s="11">
        <f t="shared" si="1"/>
        <v>0.99</v>
      </c>
      <c r="I19" s="12">
        <f>'FS Desroches Daily'!CM21</f>
        <v>120</v>
      </c>
      <c r="J19" s="11">
        <f t="shared" si="2"/>
        <v>10.487297712684205</v>
      </c>
      <c r="K19" s="13">
        <f>'FS Desroches Daily'!CN21</f>
        <v>41</v>
      </c>
    </row>
    <row r="20" spans="1:11" s="16" customFormat="1" x14ac:dyDescent="0.25">
      <c r="A20" s="1" t="s">
        <v>11</v>
      </c>
      <c r="B20" s="10">
        <v>19</v>
      </c>
      <c r="C20" s="11">
        <v>4</v>
      </c>
      <c r="D20" s="1">
        <v>2022</v>
      </c>
      <c r="E20" s="12">
        <f>Submetering!E20+Submetering!F20+Submetering!G20+Submetering!H20+Submetering!J20-Submetering!AV20</f>
        <v>14150.000000000067</v>
      </c>
      <c r="F20" s="11">
        <f t="shared" si="0"/>
        <v>0.58765030286592534</v>
      </c>
      <c r="G20" s="12">
        <f>(Submetering!AX20+Submetering!AY20+Submetering!AZ20+Submetering!BA20+Submetering!BB20)</f>
        <v>18.314999999999998</v>
      </c>
      <c r="H20" s="11">
        <f t="shared" si="1"/>
        <v>0.99</v>
      </c>
      <c r="I20" s="12">
        <f>'FS Desroches Daily'!CM22</f>
        <v>129.20000000000073</v>
      </c>
      <c r="J20" s="11">
        <f t="shared" si="2"/>
        <v>10.487297712684205</v>
      </c>
      <c r="K20" s="13">
        <f>'FS Desroches Daily'!CN22</f>
        <v>29</v>
      </c>
    </row>
    <row r="21" spans="1:11" s="16" customFormat="1" x14ac:dyDescent="0.25">
      <c r="A21" s="1" t="s">
        <v>11</v>
      </c>
      <c r="B21" s="10">
        <v>20</v>
      </c>
      <c r="C21" s="11">
        <v>4</v>
      </c>
      <c r="D21" s="1">
        <v>2022</v>
      </c>
      <c r="E21" s="12">
        <f>Submetering!E21+Submetering!F21+Submetering!G21+Submetering!H21+Submetering!J21-Submetering!AV21</f>
        <v>14090.000000000789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107.79999999999927</v>
      </c>
      <c r="J21" s="11">
        <f t="shared" si="2"/>
        <v>10.487297712684205</v>
      </c>
      <c r="K21" s="13">
        <f>'FS Desroches Daily'!CN23</f>
        <v>28</v>
      </c>
    </row>
    <row r="22" spans="1:11" s="16" customFormat="1" x14ac:dyDescent="0.25">
      <c r="A22" s="1" t="s">
        <v>11</v>
      </c>
      <c r="B22" s="10">
        <v>21</v>
      </c>
      <c r="C22" s="11">
        <v>4</v>
      </c>
      <c r="D22" s="1">
        <v>2022</v>
      </c>
      <c r="E22" s="12" t="e">
        <f>Submetering!E22+Submetering!F22+Submetering!G22+Submetering!H22+Submetering!J22-Submetering!AV22</f>
        <v>#VALUE!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 t="e">
        <f>'FS Desroches Daily'!CM24</f>
        <v>#VALUE!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4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4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4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4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4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4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4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4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4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4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35" sqref="B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2022</v>
      </c>
      <c r="E2" s="31">
        <f>'FS Desroches Daily'!D4</f>
        <v>3699.9999999998145</v>
      </c>
      <c r="F2" s="32">
        <f>'FS Desroches Daily'!F4</f>
        <v>3900.0000000006808</v>
      </c>
      <c r="G2" s="31">
        <f>'FS Desroches Daily'!H4</f>
        <v>3099.9999999998809</v>
      </c>
      <c r="H2" s="32">
        <f>'FS Desroches Daily'!J4</f>
        <v>1900.0000000000127</v>
      </c>
      <c r="I2" s="31">
        <f>'FS Desroches Daily'!L4</f>
        <v>2599.9999999997135</v>
      </c>
      <c r="J2" s="32">
        <f>'FS Desroches Daily'!N4</f>
        <v>2000.0000000000018</v>
      </c>
      <c r="K2" s="13">
        <f>'FS Desroches Daily'!P4</f>
        <v>38</v>
      </c>
      <c r="L2" s="31">
        <f>'FS Desroches Daily'!R4</f>
        <v>8</v>
      </c>
      <c r="M2" s="31">
        <f>'FS Desroches Daily'!T4</f>
        <v>1</v>
      </c>
      <c r="N2" s="31">
        <f>'FS Desroches Daily'!V4</f>
        <v>484.79999999993015</v>
      </c>
      <c r="O2" s="31">
        <f>'FS Desroches Daily'!X4</f>
        <v>480.00000000001819</v>
      </c>
      <c r="P2" s="31">
        <f>'FS Desroches Daily'!Z4</f>
        <v>3500.0000000002806</v>
      </c>
      <c r="Q2" s="31">
        <f>'FS Desroches Daily'!AB4</f>
        <v>310.00000000000227</v>
      </c>
      <c r="R2" s="31">
        <f>'FS Desroches Daily'!AD4</f>
        <v>529.99999999997272</v>
      </c>
      <c r="S2" s="31">
        <f>'FS Desroches Daily'!AF4</f>
        <v>1090.0000000000318</v>
      </c>
      <c r="T2" s="31">
        <f>'FS Desroches Daily'!AH4</f>
        <v>41</v>
      </c>
      <c r="U2" s="35">
        <f>'FS Desroches Daily'!AJ4</f>
        <v>750</v>
      </c>
      <c r="V2" s="35">
        <f>'FS Desroches Daily'!AL4</f>
        <v>370.00000000000455</v>
      </c>
      <c r="W2" s="35">
        <f>'FS Desroches Daily'!AN4</f>
        <v>280.00000000000114</v>
      </c>
      <c r="X2" s="35">
        <f>'FS Desroches Daily'!AP4</f>
        <v>250</v>
      </c>
      <c r="Y2" s="35">
        <f>'FS Desroches Daily'!AR4</f>
        <v>199.99999999998863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240.00000000000909</v>
      </c>
      <c r="AC2" s="35">
        <f>'FS Desroches Daily'!AZ4</f>
        <v>290.00000000002046</v>
      </c>
      <c r="AD2" s="35">
        <f>'FS Desroches Daily'!BB4</f>
        <v>299.99999999995453</v>
      </c>
      <c r="AE2" s="35">
        <f>'FS Desroches Daily'!BD4</f>
        <v>160.00000000002501</v>
      </c>
      <c r="AF2" s="31">
        <f>'FS Desroches Daily'!BF4</f>
        <v>51</v>
      </c>
      <c r="AG2" s="32">
        <f>'FS Desroches Daily'!BH4</f>
        <v>49.999999999982947</v>
      </c>
      <c r="AH2" s="32">
        <f>'FS Desroches Daily'!BJ4</f>
        <v>29.999999999972715</v>
      </c>
      <c r="AI2" s="32">
        <f>'FS Desroches Daily'!BL4</f>
        <v>50.000000000011369</v>
      </c>
      <c r="AJ2" s="32">
        <f>'FS Desroches Daily'!BN4</f>
        <v>49.999999999982947</v>
      </c>
      <c r="AK2" s="32">
        <f>'FS Desroches Daily'!BP4</f>
        <v>60.000000000002274</v>
      </c>
      <c r="AL2" s="32">
        <f>'FS Desroches Daily'!BR4</f>
        <v>55</v>
      </c>
      <c r="AM2" s="32">
        <f>'FS Desroches Daily'!BT4</f>
        <v>50.000000000011369</v>
      </c>
      <c r="AN2" s="32">
        <f>'FS Desroches Daily'!BV4</f>
        <v>52</v>
      </c>
      <c r="AO2" s="32">
        <f>'FS Desroches Daily'!BX4</f>
        <v>70.0000000000216</v>
      </c>
      <c r="AP2" s="32">
        <f>'FS Desroches Daily'!BZ4</f>
        <v>53</v>
      </c>
      <c r="AQ2" s="31">
        <f>'FS Desroches Daily'!CB4</f>
        <v>11.5</v>
      </c>
      <c r="AR2" s="31">
        <f>'FS Desroches Daily'!CD4</f>
        <v>21.599999999998545</v>
      </c>
      <c r="AS2" s="31">
        <f>'FS Desroches Daily'!CF4</f>
        <v>1</v>
      </c>
      <c r="AT2" s="31">
        <f>'FS Desroches Daily'!CH4</f>
        <v>42.69999999999709</v>
      </c>
      <c r="AU2" s="31">
        <f>'FS Desroches Daily'!CJ4</f>
        <v>331</v>
      </c>
      <c r="AV2" s="31">
        <f>'FS Desroches Daily'!CL4</f>
        <v>780.0000000000864</v>
      </c>
      <c r="AW2" s="31">
        <f>'FS Desroches Daily'!CM4</f>
        <v>86</v>
      </c>
      <c r="AX2" s="31">
        <f>IF(LPG!F9-LPG!F8&lt;0,"0",(LPG!F9-LPG!F8)*1.8315)</f>
        <v>12.820499999999999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4</v>
      </c>
      <c r="D3" s="27">
        <v>2022</v>
      </c>
      <c r="E3" s="31">
        <f>'FS Desroches Daily'!D5</f>
        <v>3600.0000000000477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2000.0000000002237</v>
      </c>
      <c r="I3" s="31">
        <f>'FS Desroches Daily'!L5</f>
        <v>2600.0000000001578</v>
      </c>
      <c r="J3" s="32">
        <f>'FS Desroches Daily'!N5</f>
        <v>2000.0000000000018</v>
      </c>
      <c r="K3" s="13">
        <f>'FS Desroches Daily'!P5</f>
        <v>8</v>
      </c>
      <c r="L3" s="31">
        <f>'FS Desroches Daily'!R5</f>
        <v>8</v>
      </c>
      <c r="M3" s="31">
        <f>'FS Desroches Daily'!T5</f>
        <v>1.6000000000001364</v>
      </c>
      <c r="N3" s="31">
        <f>'FS Desroches Daily'!V5</f>
        <v>665.40000000002328</v>
      </c>
      <c r="O3" s="31">
        <f>'FS Desroches Daily'!X6</f>
        <v>379.99999999999545</v>
      </c>
      <c r="P3" s="31">
        <f>'FS Desroches Daily'!Z5</f>
        <v>3699.9999999998145</v>
      </c>
      <c r="Q3" s="31">
        <f>'FS Desroches Daily'!AB5</f>
        <v>370.00000000000455</v>
      </c>
      <c r="R3" s="31">
        <f>'FS Desroches Daily'!AD5</f>
        <v>689.99999999999773</v>
      </c>
      <c r="S3" s="31">
        <f>'FS Desroches Daily'!AF5</f>
        <v>1189.9999999999409</v>
      </c>
      <c r="T3" s="31">
        <f>'FS Desroches Daily'!AH5</f>
        <v>55</v>
      </c>
      <c r="U3" s="35">
        <f>'FS Desroches Daily'!AJ5</f>
        <v>909.99999999996817</v>
      </c>
      <c r="V3" s="35">
        <f>'FS Desroches Daily'!AL5</f>
        <v>370.00000000000455</v>
      </c>
      <c r="W3" s="35">
        <f>'FS Desroches Daily'!AN5</f>
        <v>189.99999999999773</v>
      </c>
      <c r="X3" s="35">
        <f>'FS Desroches Daily'!AP5</f>
        <v>301.98</v>
      </c>
      <c r="Y3" s="35">
        <f>'FS Desroches Daily'!AR5</f>
        <v>240.00000000000909</v>
      </c>
      <c r="Z3" s="35">
        <f>'FS Desroches Daily'!AT5</f>
        <v>290.00000000002046</v>
      </c>
      <c r="AA3" s="35">
        <f>'FS Desroches Daily'!AT5</f>
        <v>290.00000000002046</v>
      </c>
      <c r="AB3" s="35">
        <f>'FS Desroches Daily'!AV5</f>
        <v>349.99999999996589</v>
      </c>
      <c r="AC3" s="35">
        <f>'FS Desroches Daily'!AZ5</f>
        <v>319.99999999999318</v>
      </c>
      <c r="AD3" s="35">
        <f>'FS Desroches Daily'!BB5</f>
        <v>350.00000000002274</v>
      </c>
      <c r="AE3" s="35">
        <f>'FS Desroches Daily'!BD5</f>
        <v>129.99999999999545</v>
      </c>
      <c r="AF3" s="31">
        <f>'FS Desroches Daily'!BF5</f>
        <v>41</v>
      </c>
      <c r="AG3" s="32">
        <f>'FS Desroches Daily'!BH5</f>
        <v>60.000000000002274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50.000000000011369</v>
      </c>
      <c r="AK3" s="32">
        <f>'FS Desroches Daily'!BP5</f>
        <v>89.999999999974989</v>
      </c>
      <c r="AL3" s="32">
        <f>'FS Desroches Daily'!BR5</f>
        <v>55</v>
      </c>
      <c r="AM3" s="32">
        <f>'FS Desroches Daily'!BT5</f>
        <v>60.000000000002274</v>
      </c>
      <c r="AN3" s="32">
        <f>'FS Desroches Daily'!BV5</f>
        <v>59</v>
      </c>
      <c r="AO3" s="32">
        <f>'FS Desroches Daily'!BX5</f>
        <v>79.999999999984084</v>
      </c>
      <c r="AP3" s="32">
        <f>'FS Desroches Daily'!BZ5</f>
        <v>62</v>
      </c>
      <c r="AQ3" s="31">
        <f>'FS Desroches Daily'!CB5</f>
        <v>40.19999999999709</v>
      </c>
      <c r="AR3" s="31">
        <f>'FS Desroches Daily'!CD5</f>
        <v>19.200000000000728</v>
      </c>
      <c r="AS3" s="31">
        <f>'FS Desroches Daily'!CF5</f>
        <v>1.1999999999998181</v>
      </c>
      <c r="AT3" s="31">
        <f>'FS Desroches Daily'!CH5</f>
        <v>76.399999999994179</v>
      </c>
      <c r="AU3" s="31">
        <f>'FS Desroches Daily'!CJ5</f>
        <v>465</v>
      </c>
      <c r="AV3" s="31">
        <f>'FS Desroches Daily'!CL5</f>
        <v>879.99999999999545</v>
      </c>
      <c r="AW3" s="31">
        <f>'FS Desroches Daily'!CM5</f>
        <v>108</v>
      </c>
      <c r="AX3" s="31">
        <f>IF(LPG!F10-LPG!F9&lt;0,"0",(LPG!F10-LPG!F9)*1.8315)</f>
        <v>10.988999999999999</v>
      </c>
      <c r="AY3" s="31">
        <f>IF(LPG!H10-LPG!H9&lt;0,"0",(LPG!H10-LPG!H9)*1.8315)</f>
        <v>1.8314999999999999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v>3</v>
      </c>
      <c r="C4" s="18">
        <v>4</v>
      </c>
      <c r="D4" s="27">
        <v>2022</v>
      </c>
      <c r="E4" s="31">
        <f>'FS Desroches Daily'!D6</f>
        <v>3800.0000000000255</v>
      </c>
      <c r="F4" s="32">
        <f>'FS Desroches Daily'!F6</f>
        <v>4099.9999999993261</v>
      </c>
      <c r="G4" s="31">
        <f>'FS Desroches Daily'!H6</f>
        <v>3300.0000000003029</v>
      </c>
      <c r="H4" s="32">
        <f>'FS Desroches Daily'!J6</f>
        <v>1999.9999999997797</v>
      </c>
      <c r="I4" s="31">
        <f>'FS Desroches Daily'!L6</f>
        <v>2599.9999999997135</v>
      </c>
      <c r="J4" s="32">
        <f>'FS Desroches Daily'!N6</f>
        <v>2399.9999999999577</v>
      </c>
      <c r="K4" s="13">
        <f>'FS Desroches Daily'!P6</f>
        <v>100</v>
      </c>
      <c r="L4" s="31">
        <f>'FS Desroches Daily'!R6</f>
        <v>6</v>
      </c>
      <c r="M4" s="31">
        <f>'FS Desroches Daily'!T6</f>
        <v>1</v>
      </c>
      <c r="N4" s="31">
        <f>'FS Desroches Daily'!V6</f>
        <v>345.80000000004657</v>
      </c>
      <c r="O4" s="31">
        <f>'FS Desroches Daily'!X7</f>
        <v>479.99999999996135</v>
      </c>
      <c r="P4" s="31">
        <f>'FS Desroches Daily'!Z6</f>
        <v>3100.0000000003247</v>
      </c>
      <c r="Q4" s="31">
        <f>'FS Desroches Daily'!AB6</f>
        <v>329.99999999998408</v>
      </c>
      <c r="R4" s="31">
        <f>'FS Desroches Daily'!AD6</f>
        <v>639.99999999998636</v>
      </c>
      <c r="S4" s="31">
        <f>'FS Desroches Daily'!AF6</f>
        <v>990.00000000000909</v>
      </c>
      <c r="T4" s="31">
        <f>'FS Desroches Daily'!AH6</f>
        <v>34</v>
      </c>
      <c r="U4" s="35">
        <f>'FS Desroches Daily'!AJ6</f>
        <v>650.00000000009095</v>
      </c>
      <c r="V4" s="35">
        <f>'FS Desroches Daily'!AL6</f>
        <v>259.99999999999091</v>
      </c>
      <c r="W4" s="35">
        <f>'FS Desroches Daily'!AN6</f>
        <v>410.00000000002501</v>
      </c>
      <c r="X4" s="35">
        <f>'FS Desroches Daily'!AP6</f>
        <v>250</v>
      </c>
      <c r="Y4" s="35">
        <f>'FS Desroches Daily'!AR6</f>
        <v>180.00000000000682</v>
      </c>
      <c r="Z4" s="35">
        <f>'FS Desroches Daily'!AT6</f>
        <v>159.99999999996817</v>
      </c>
      <c r="AA4" s="35">
        <f>'FS Desroches Daily'!AT6</f>
        <v>159.99999999996817</v>
      </c>
      <c r="AB4" s="35">
        <f>'FS Desroches Daily'!AV6</f>
        <v>259.99999999999091</v>
      </c>
      <c r="AC4" s="35">
        <f>'FS Desroches Daily'!AZ6</f>
        <v>220.00000000002728</v>
      </c>
      <c r="AD4" s="35">
        <f>'FS Desroches Daily'!BB6</f>
        <v>199.99999999998863</v>
      </c>
      <c r="AE4" s="35">
        <f>'FS Desroches Daily'!BD6</f>
        <v>60.000000000002274</v>
      </c>
      <c r="AF4" s="31">
        <f>'FS Desroches Daily'!BF6</f>
        <v>28</v>
      </c>
      <c r="AG4" s="32">
        <f>'FS Desroches Daily'!BH6</f>
        <v>39.999999999992042</v>
      </c>
      <c r="AH4" s="32">
        <f>'FS Desroches Daily'!BJ6</f>
        <v>39.99999999996362</v>
      </c>
      <c r="AI4" s="32">
        <f>'FS Desroches Daily'!BL6</f>
        <v>49.999999999982947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49</v>
      </c>
      <c r="AM4" s="32">
        <f>'FS Desroches Daily'!BT6</f>
        <v>60.000000000002274</v>
      </c>
      <c r="AN4" s="32">
        <f>'FS Desroches Daily'!BV6</f>
        <v>51</v>
      </c>
      <c r="AO4" s="32">
        <f>'FS Desroches Daily'!BX6</f>
        <v>69.999999999993179</v>
      </c>
      <c r="AP4" s="32">
        <f>'FS Desroches Daily'!BZ6</f>
        <v>50</v>
      </c>
      <c r="AQ4" s="31">
        <f>'FS Desroches Daily'!CB6</f>
        <v>47.700000000004366</v>
      </c>
      <c r="AR4" s="31">
        <f>'FS Desroches Daily'!CD6</f>
        <v>10.100000000000364</v>
      </c>
      <c r="AS4" s="31">
        <f>'FS Desroches Daily'!CF6</f>
        <v>2.3000000000001819</v>
      </c>
      <c r="AT4" s="31">
        <f>'FS Desroches Daily'!CH6</f>
        <v>18.900000000008731</v>
      </c>
      <c r="AU4" s="31">
        <f>'FS Desroches Daily'!CJ6</f>
        <v>384</v>
      </c>
      <c r="AV4" s="31">
        <f>'FS Desroches Daily'!CL6</f>
        <v>889.99999999998636</v>
      </c>
      <c r="AW4" s="31">
        <f>'FS Desroches Daily'!CM6</f>
        <v>100.5</v>
      </c>
      <c r="AX4" s="31">
        <f>IF(LPG!F11-LPG!F10&lt;0,"0",(LPG!F11-LPG!F10)*1.8315)</f>
        <v>12.820499999999999</v>
      </c>
      <c r="AY4" s="31">
        <f>IF(LPG!H11-LPG!H10&lt;0,"0",(LPG!H11-LPG!H10)*1.8315)</f>
        <v>5.4944999999999995</v>
      </c>
      <c r="AZ4" s="31">
        <f>IF(LPG!J13-LPG!J10&lt;0,"0",(LPG!J13-LPG!J10)*1.8315)</f>
        <v>1.8314999999999999</v>
      </c>
      <c r="BA4" s="31">
        <f>IF(LPG!M11-LPG!M10&lt;0,"0",(LPG!M11-LPG!M10)*1.8315)</f>
        <v>5.4944999999999995</v>
      </c>
      <c r="BB4" s="31">
        <f>IF(LPG!Q11-LPG!Q10&lt;0,"0",(LPG!Q11-LPG!Q10)*1.8315)</f>
        <v>9.1574999999999989</v>
      </c>
      <c r="BC4" s="13">
        <f>'FS Desroches Daily'!CN6</f>
        <v>34</v>
      </c>
      <c r="BD4" s="9"/>
    </row>
    <row r="5" spans="1:56" s="16" customFormat="1" x14ac:dyDescent="0.25">
      <c r="A5" s="27" t="s">
        <v>11</v>
      </c>
      <c r="B5" s="15">
        <v>4</v>
      </c>
      <c r="C5" s="18">
        <v>4</v>
      </c>
      <c r="D5" s="27">
        <v>2022</v>
      </c>
      <c r="E5" s="31">
        <f>'FS Desroches Daily'!D7</f>
        <v>3299.9999999998586</v>
      </c>
      <c r="F5" s="32">
        <f>'FS Desroches Daily'!F7</f>
        <v>3700.0000000002588</v>
      </c>
      <c r="G5" s="31">
        <f>'FS Desroches Daily'!H7</f>
        <v>3499.9999999998367</v>
      </c>
      <c r="H5" s="32">
        <f>'FS Desroches Daily'!J7</f>
        <v>1900.0000000000127</v>
      </c>
      <c r="I5" s="31">
        <f>'FS Desroches Daily'!L7</f>
        <v>2400.0000000001796</v>
      </c>
      <c r="J5" s="32">
        <f>'FS Desroches Daily'!N7</f>
        <v>2299.9999999999686</v>
      </c>
      <c r="K5" s="13">
        <f>'FS Desroches Daily'!P7</f>
        <v>48</v>
      </c>
      <c r="L5" s="31">
        <f>'FS Desroches Daily'!R7</f>
        <v>7</v>
      </c>
      <c r="M5" s="31">
        <f>'FS Desroches Daily'!T7</f>
        <v>1.2000000000000455</v>
      </c>
      <c r="N5" s="31">
        <f>'FS Desroches Daily'!V7</f>
        <v>477.5</v>
      </c>
      <c r="O5" s="31">
        <f>'FS Desroches Daily'!X8</f>
        <v>480.00000000001819</v>
      </c>
      <c r="P5" s="31">
        <f>'FS Desroches Daily'!Z7</f>
        <v>3299.9999999998586</v>
      </c>
      <c r="Q5" s="31">
        <f>'FS Desroches Daily'!AB7</f>
        <v>479.99999999996135</v>
      </c>
      <c r="R5" s="31">
        <f>'FS Desroches Daily'!AD7</f>
        <v>620.00000000000455</v>
      </c>
      <c r="S5" s="31">
        <f>'FS Desroches Daily'!AF7</f>
        <v>1009.9999999999909</v>
      </c>
      <c r="T5" s="31">
        <f>'FS Desroches Daily'!AH7</f>
        <v>53</v>
      </c>
      <c r="U5" s="35">
        <f>'FS Desroches Daily'!AJ7</f>
        <v>740.00000000000909</v>
      </c>
      <c r="V5" s="35">
        <f>'FS Desroches Daily'!AL7</f>
        <v>300.00000000001137</v>
      </c>
      <c r="W5" s="35">
        <f>'FS Desroches Daily'!AN7</f>
        <v>189.99999999999773</v>
      </c>
      <c r="X5" s="35">
        <f>'FS Desroches Daily'!AP7</f>
        <v>250</v>
      </c>
      <c r="Y5" s="35">
        <f>'FS Desroches Daily'!AR7</f>
        <v>199.99999999998863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280.00000000002956</v>
      </c>
      <c r="AC5" s="35">
        <f>'FS Desroches Daily'!AZ7</f>
        <v>240.00000000000909</v>
      </c>
      <c r="AD5" s="35">
        <f>'FS Desroches Daily'!BB7</f>
        <v>240.00000000000909</v>
      </c>
      <c r="AE5" s="35">
        <f>'FS Desroches Daily'!BD7</f>
        <v>120.00000000000455</v>
      </c>
      <c r="AF5" s="31">
        <f>'FS Desroches Daily'!BF7</f>
        <v>30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40.000000000020464</v>
      </c>
      <c r="AJ5" s="32">
        <f>'FS Desroches Daily'!BN7</f>
        <v>39.999999999992042</v>
      </c>
      <c r="AK5" s="32">
        <f>'FS Desroches Daily'!BP7</f>
        <v>60.000000000002274</v>
      </c>
      <c r="AL5" s="32">
        <f>'FS Desroches Daily'!BR7</f>
        <v>51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70.0000000000216</v>
      </c>
      <c r="AP5" s="32">
        <f>'FS Desroches Daily'!BZ7</f>
        <v>45</v>
      </c>
      <c r="AQ5" s="31">
        <f>'FS Desroches Daily'!CB7</f>
        <v>47.099999999998545</v>
      </c>
      <c r="AR5" s="31">
        <f>'FS Desroches Daily'!CD7</f>
        <v>15.100000000000364</v>
      </c>
      <c r="AS5" s="31">
        <f>'FS Desroches Daily'!CF7</f>
        <v>5.1000000000003638</v>
      </c>
      <c r="AT5" s="31">
        <f>'FS Desroches Daily'!CH7</f>
        <v>67.399999999994179</v>
      </c>
      <c r="AU5" s="31">
        <f>'FS Desroches Daily'!CJ7</f>
        <v>402</v>
      </c>
      <c r="AV5" s="31">
        <f>'FS Desroches Daily'!CL7</f>
        <v>899.99999999997726</v>
      </c>
      <c r="AW5" s="31">
        <f>'FS Desroches Daily'!CM7</f>
        <v>116.5</v>
      </c>
      <c r="AX5" s="31">
        <f>IF(LPG!F12-LPG!F11&lt;0,"0",(LPG!F12-LPG!F11)*1.8315)</f>
        <v>10.988999999999999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7.3259999999999996</v>
      </c>
      <c r="BC5" s="13">
        <f>'FS Desroches Daily'!CN7</f>
        <v>34</v>
      </c>
      <c r="BD5" s="9"/>
    </row>
    <row r="6" spans="1:56" s="16" customFormat="1" x14ac:dyDescent="0.25">
      <c r="A6" s="27" t="s">
        <v>11</v>
      </c>
      <c r="B6" s="15">
        <v>5</v>
      </c>
      <c r="C6" s="18">
        <v>4</v>
      </c>
      <c r="D6" s="27">
        <v>2022</v>
      </c>
      <c r="E6" s="31">
        <f>'FS Desroches Daily'!D8</f>
        <v>3500.0000000002806</v>
      </c>
      <c r="F6" s="32">
        <f>'FS Desroches Daily'!F8</f>
        <v>3800.0000000000255</v>
      </c>
      <c r="G6" s="31">
        <f>'FS Desroches Daily'!H8</f>
        <v>3400.0000000000696</v>
      </c>
      <c r="H6" s="32">
        <f>'FS Desroches Daily'!J8</f>
        <v>1999.9999999997797</v>
      </c>
      <c r="I6" s="31">
        <f>'FS Desroches Daily'!L8</f>
        <v>2499.9999999999468</v>
      </c>
      <c r="J6" s="32">
        <f>'FS Desroches Daily'!N8</f>
        <v>2299.9999999999686</v>
      </c>
      <c r="K6" s="13">
        <f>'FS Desroches Daily'!P8</f>
        <v>52</v>
      </c>
      <c r="L6" s="31">
        <f>'FS Desroches Daily'!R8</f>
        <v>7</v>
      </c>
      <c r="M6" s="31">
        <f>'FS Desroches Daily'!T8</f>
        <v>1.3999999999998636</v>
      </c>
      <c r="N6" s="31">
        <f>'FS Desroches Daily'!V8</f>
        <v>581.90000000002328</v>
      </c>
      <c r="O6" s="31">
        <f>'FS Desroches Daily'!X8</f>
        <v>480.00000000001819</v>
      </c>
      <c r="P6" s="31">
        <f>'FS Desroches Daily'!Z8</f>
        <v>3299.9999999998586</v>
      </c>
      <c r="Q6" s="31">
        <f>'FS Desroches Daily'!AB8</f>
        <v>470.00000000002728</v>
      </c>
      <c r="R6" s="31">
        <f>'FS Desroches Daily'!AD8</f>
        <v>580.00000000004093</v>
      </c>
      <c r="S6" s="31">
        <f>'FS Desroches Daily'!AF8</f>
        <v>1139.9999999999864</v>
      </c>
      <c r="T6" s="31">
        <f>'FS Desroches Daily'!AH8</f>
        <v>55</v>
      </c>
      <c r="U6" s="35">
        <f>'FS Desroches Daily'!AJ8</f>
        <v>809.99999999994543</v>
      </c>
      <c r="V6" s="35">
        <f>'FS Desroches Daily'!AL8</f>
        <v>310.00000000000227</v>
      </c>
      <c r="W6" s="35">
        <f>'FS Desroches Daily'!AN8</f>
        <v>179.9999999999784</v>
      </c>
      <c r="X6" s="35">
        <f>'FS Desroches Daily'!AP8</f>
        <v>270.00000000001023</v>
      </c>
      <c r="Y6" s="35">
        <f>'FS Desroches Daily'!AR8</f>
        <v>250</v>
      </c>
      <c r="Z6" s="35">
        <f>'FS Desroches Daily'!AT8</f>
        <v>200.00000000004547</v>
      </c>
      <c r="AA6" s="35">
        <f>'FS Desroches Daily'!AT8</f>
        <v>200.00000000004547</v>
      </c>
      <c r="AB6" s="35">
        <f>'FS Desroches Daily'!AV8</f>
        <v>300.00000000001137</v>
      </c>
      <c r="AC6" s="35">
        <f>'FS Desroches Daily'!AZ8</f>
        <v>259.99999999999091</v>
      </c>
      <c r="AD6" s="35">
        <f>'FS Desroches Daily'!BB8</f>
        <v>180.00000000000682</v>
      </c>
      <c r="AE6" s="35">
        <f>'FS Desroches Daily'!BD8</f>
        <v>199.99999999998863</v>
      </c>
      <c r="AF6" s="31">
        <f>'FS Desroches Daily'!BF8</f>
        <v>42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60.000000000002274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50</v>
      </c>
      <c r="AM6" s="32">
        <f>'FS Desroches Daily'!BT8</f>
        <v>49.999999999982947</v>
      </c>
      <c r="AN6" s="32">
        <f>'FS Desroches Daily'!BV8</f>
        <v>55</v>
      </c>
      <c r="AO6" s="32">
        <f>'FS Desroches Daily'!BX8</f>
        <v>79.999999999984084</v>
      </c>
      <c r="AP6" s="32">
        <f>'FS Desroches Daily'!BZ8</f>
        <v>54</v>
      </c>
      <c r="AQ6" s="31">
        <f>'FS Desroches Daily'!CB8</f>
        <v>54.30000000000291</v>
      </c>
      <c r="AR6" s="31">
        <f>'FS Desroches Daily'!CD8</f>
        <v>18.199999999998909</v>
      </c>
      <c r="AS6" s="31">
        <f>'FS Desroches Daily'!CF8</f>
        <v>2.5</v>
      </c>
      <c r="AT6" s="31">
        <f>'FS Desroches Daily'!CH8</f>
        <v>47.19999999999709</v>
      </c>
      <c r="AU6" s="31">
        <f>'FS Desroches Daily'!CJ8</f>
        <v>401</v>
      </c>
      <c r="AV6" s="31">
        <f>'FS Desroches Daily'!CL8</f>
        <v>809.99999999994543</v>
      </c>
      <c r="AW6" s="31">
        <f>'FS Desroches Daily'!CM8</f>
        <v>111.20000000000073</v>
      </c>
      <c r="AX6" s="31">
        <f>IF(LPG!F13-LPG!F12&lt;0,"0",(LPG!F13-LPG!F12)*1.8315)</f>
        <v>10.988999999999999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10.988999999999999</v>
      </c>
      <c r="BC6" s="13">
        <f>'FS Desroches Daily'!CN8</f>
        <v>34</v>
      </c>
      <c r="BD6" s="9"/>
    </row>
    <row r="7" spans="1:56" s="16" customFormat="1" x14ac:dyDescent="0.25">
      <c r="A7" s="27" t="s">
        <v>11</v>
      </c>
      <c r="B7" s="15">
        <v>6</v>
      </c>
      <c r="C7" s="18">
        <v>4</v>
      </c>
      <c r="D7" s="27">
        <v>2022</v>
      </c>
      <c r="E7" s="31">
        <f>'FS Desroches Daily'!D9</f>
        <v>3699.9999999998145</v>
      </c>
      <c r="F7" s="32">
        <f>'FS Desroches Daily'!F9</f>
        <v>3899.9999999997926</v>
      </c>
      <c r="G7" s="31">
        <f>'FS Desroches Daily'!H9</f>
        <v>3400.0000000000696</v>
      </c>
      <c r="H7" s="32">
        <f>'FS Desroches Daily'!J9</f>
        <v>2000.0000000002237</v>
      </c>
      <c r="I7" s="31">
        <f>'FS Desroches Daily'!L9</f>
        <v>2499.9999999999468</v>
      </c>
      <c r="J7" s="32">
        <f>'FS Desroches Daily'!N9</f>
        <v>2199.9999999999795</v>
      </c>
      <c r="K7" s="13">
        <f>'FS Desroches Daily'!P9</f>
        <v>44</v>
      </c>
      <c r="L7" s="31">
        <f>'FS Desroches Daily'!R9</f>
        <v>7</v>
      </c>
      <c r="M7" s="31">
        <f>'FS Desroches Daily'!T9</f>
        <v>1.4000000000000909</v>
      </c>
      <c r="N7" s="31">
        <f>'FS Desroches Daily'!V9</f>
        <v>563.29999999993015</v>
      </c>
      <c r="O7" s="31">
        <f>'FS Desroches Daily'!X9</f>
        <v>490.00000000000909</v>
      </c>
      <c r="P7" s="31">
        <f>'FS Desroches Daily'!Z9</f>
        <v>3500.0000000002806</v>
      </c>
      <c r="Q7" s="31">
        <f>'FS Desroches Daily'!AB9</f>
        <v>500</v>
      </c>
      <c r="R7" s="31">
        <f>'FS Desroches Daily'!AD9</f>
        <v>560.00000000000227</v>
      </c>
      <c r="S7" s="31">
        <f>'FS Desroches Daily'!AF9</f>
        <v>1060.0000000000591</v>
      </c>
      <c r="T7" s="31">
        <f>'FS Desroches Daily'!AH9</f>
        <v>55</v>
      </c>
      <c r="U7" s="35">
        <f>'FS Desroches Daily'!AJ9</f>
        <v>929.99999999994998</v>
      </c>
      <c r="V7" s="35">
        <f>'FS Desroches Daily'!AL9</f>
        <v>350.00000000002274</v>
      </c>
      <c r="W7" s="35">
        <f>'FS Desroches Daily'!AN9</f>
        <v>180.00000000000682</v>
      </c>
      <c r="X7" s="35">
        <f>'FS Desroches Daily'!AP9</f>
        <v>289.99999999999204</v>
      </c>
      <c r="Y7" s="35">
        <f>'FS Desroches Daily'!AR9</f>
        <v>269.99999999998181</v>
      </c>
      <c r="Z7" s="35">
        <f>'FS Desroches Daily'!AT9</f>
        <v>209.99999999997954</v>
      </c>
      <c r="AA7" s="35">
        <f>'FS Desroches Daily'!AT9</f>
        <v>209.99999999997954</v>
      </c>
      <c r="AB7" s="35">
        <f>'FS Desroches Daily'!AV9</f>
        <v>310.00000000000227</v>
      </c>
      <c r="AC7" s="35">
        <f>'FS Desroches Daily'!AZ9</f>
        <v>269.99999999998181</v>
      </c>
      <c r="AD7" s="35">
        <f>'FS Desroches Daily'!BB9</f>
        <v>180.00000000000682</v>
      </c>
      <c r="AE7" s="35">
        <f>'FS Desroches Daily'!BD9</f>
        <v>220.00000000002728</v>
      </c>
      <c r="AF7" s="31">
        <f>'FS Desroches Daily'!BF9</f>
        <v>38</v>
      </c>
      <c r="AG7" s="32">
        <f>'FS Desroches Daily'!BH9</f>
        <v>49.999999999982947</v>
      </c>
      <c r="AH7" s="32">
        <f>'FS Desroches Daily'!BJ9</f>
        <v>39.99999999996362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69.999999999993179</v>
      </c>
      <c r="AL7" s="32">
        <f>'FS Desroches Daily'!BR9</f>
        <v>50</v>
      </c>
      <c r="AM7" s="32">
        <f>'FS Desroches Daily'!BT9</f>
        <v>50.000000000011369</v>
      </c>
      <c r="AN7" s="32">
        <f>'FS Desroches Daily'!BV9</f>
        <v>61</v>
      </c>
      <c r="AO7" s="32">
        <f>'FS Desroches Daily'!BX9</f>
        <v>69.999999999993179</v>
      </c>
      <c r="AP7" s="32">
        <f>'FS Desroches Daily'!BZ9</f>
        <v>56</v>
      </c>
      <c r="AQ7" s="31">
        <f>'FS Desroches Daily'!CB9</f>
        <v>63.299999999995634</v>
      </c>
      <c r="AR7" s="31">
        <f>'FS Desroches Daily'!CD9</f>
        <v>16</v>
      </c>
      <c r="AS7" s="31">
        <f>'FS Desroches Daily'!CF9</f>
        <v>5.1999999999998181</v>
      </c>
      <c r="AT7" s="31">
        <f>'FS Desroches Daily'!CH9</f>
        <v>55.400000000008731</v>
      </c>
      <c r="AU7" s="31">
        <f>'FS Desroches Daily'!CJ9</f>
        <v>397</v>
      </c>
      <c r="AV7" s="31">
        <f>'FS Desroches Daily'!CL9</f>
        <v>860.00000000001364</v>
      </c>
      <c r="AW7" s="31">
        <f>'FS Desroches Daily'!CM9</f>
        <v>115.09999999999854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7.3259999999999996</v>
      </c>
      <c r="BC7" s="13">
        <f>'FS Desroches Daily'!CN9</f>
        <v>33</v>
      </c>
      <c r="BD7" s="9"/>
    </row>
    <row r="8" spans="1:56" s="16" customFormat="1" x14ac:dyDescent="0.25">
      <c r="A8" s="27" t="s">
        <v>11</v>
      </c>
      <c r="B8" s="15">
        <v>7</v>
      </c>
      <c r="C8" s="18">
        <v>4</v>
      </c>
      <c r="D8" s="27">
        <v>2022</v>
      </c>
      <c r="E8" s="31">
        <f>'FS Desroches Daily'!D10</f>
        <v>3000.0000000001137</v>
      </c>
      <c r="F8" s="32">
        <f>'FS Desroches Daily'!F10</f>
        <v>3600.0000000004916</v>
      </c>
      <c r="G8" s="31">
        <f>'FS Desroches Daily'!H10</f>
        <v>2699.9999999999245</v>
      </c>
      <c r="H8" s="32">
        <f>'FS Desroches Daily'!J10</f>
        <v>1599.9999999998238</v>
      </c>
      <c r="I8" s="31">
        <f>'FS Desroches Daily'!L10</f>
        <v>2299.9999999999686</v>
      </c>
      <c r="J8" s="32">
        <f>'FS Desroches Daily'!N10</f>
        <v>1800.0000000000239</v>
      </c>
      <c r="K8" s="13">
        <f>'FS Desroches Daily'!P10</f>
        <v>25</v>
      </c>
      <c r="L8" s="31">
        <f>'FS Desroches Daily'!R10</f>
        <v>4</v>
      </c>
      <c r="M8" s="31">
        <f>'FS Desroches Daily'!T10</f>
        <v>1.2000000000000455</v>
      </c>
      <c r="N8" s="31">
        <f>'FS Desroches Daily'!V10</f>
        <v>389.20000000006985</v>
      </c>
      <c r="O8" s="31">
        <f>'FS Desroches Daily'!X10</f>
        <v>389.99999999998636</v>
      </c>
      <c r="P8" s="31">
        <f>'FS Desroches Daily'!Z10</f>
        <v>3299.9999999998586</v>
      </c>
      <c r="Q8" s="31">
        <f>'FS Desroches Daily'!AB10</f>
        <v>439.99999999999773</v>
      </c>
      <c r="R8" s="31">
        <f>'FS Desroches Daily'!AD10</f>
        <v>449.99999999998863</v>
      </c>
      <c r="S8" s="31">
        <f>'FS Desroches Daily'!AF10</f>
        <v>819.99999999993634</v>
      </c>
      <c r="T8" s="31">
        <f>'FS Desroches Daily'!AH10</f>
        <v>66</v>
      </c>
      <c r="U8" s="35">
        <f>'FS Desroches Daily'!AJ10</f>
        <v>750</v>
      </c>
      <c r="V8" s="35">
        <f>'FS Desroches Daily'!AL10</f>
        <v>279.99999999997272</v>
      </c>
      <c r="W8" s="35">
        <f>'FS Desroches Daily'!AN10</f>
        <v>159.99999999999659</v>
      </c>
      <c r="X8" s="35">
        <f>'FS Desroches Daily'!AP10</f>
        <v>260.00000000001933</v>
      </c>
      <c r="Y8" s="35">
        <f>'FS Desroches Daily'!AR10</f>
        <v>189.99999999999773</v>
      </c>
      <c r="Z8" s="35">
        <f>'FS Desroches Daily'!AT10</f>
        <v>159.99999999996817</v>
      </c>
      <c r="AA8" s="35">
        <f>'FS Desroches Daily'!AT10</f>
        <v>159.99999999996817</v>
      </c>
      <c r="AB8" s="35">
        <f>'FS Desroches Daily'!AV10</f>
        <v>250</v>
      </c>
      <c r="AC8" s="35">
        <f>'FS Desroches Daily'!AZ10</f>
        <v>230.00000000001819</v>
      </c>
      <c r="AD8" s="35">
        <f>'FS Desroches Daily'!BB10</f>
        <v>129.99999999999545</v>
      </c>
      <c r="AE8" s="35">
        <f>'FS Desroches Daily'!BD10</f>
        <v>149.99999999997726</v>
      </c>
      <c r="AF8" s="31">
        <f>'FS Desroches Daily'!BF10</f>
        <v>44</v>
      </c>
      <c r="AG8" s="32">
        <f>'FS Desroches Daily'!BH10</f>
        <v>40.000000000020464</v>
      </c>
      <c r="AH8" s="32">
        <f>'FS Desroches Daily'!BJ10</f>
        <v>30.000000000029559</v>
      </c>
      <c r="AI8" s="32">
        <f>'FS Desroches Daily'!BL10</f>
        <v>49.999999999982947</v>
      </c>
      <c r="AJ8" s="32">
        <f>'FS Desroches Daily'!BN10</f>
        <v>40.000000000020464</v>
      </c>
      <c r="AK8" s="32">
        <f>'FS Desroches Daily'!BP10</f>
        <v>50.000000000011369</v>
      </c>
      <c r="AL8" s="32">
        <f>'FS Desroches Daily'!BR10</f>
        <v>36</v>
      </c>
      <c r="AM8" s="32">
        <f>'FS Desroches Daily'!BT10</f>
        <v>39.999999999992042</v>
      </c>
      <c r="AN8" s="32">
        <f>'FS Desroches Daily'!BV10</f>
        <v>38</v>
      </c>
      <c r="AO8" s="32">
        <f>'FS Desroches Daily'!BX10</f>
        <v>50.000000000011369</v>
      </c>
      <c r="AP8" s="32">
        <f>'FS Desroches Daily'!BZ10</f>
        <v>41</v>
      </c>
      <c r="AQ8" s="31">
        <f>'FS Desroches Daily'!CB10</f>
        <v>77.30000000000291</v>
      </c>
      <c r="AR8" s="31">
        <f>'FS Desroches Daily'!CD10</f>
        <v>16.600000000000364</v>
      </c>
      <c r="AS8" s="31">
        <f>'FS Desroches Daily'!CF10</f>
        <v>13.800000000000182</v>
      </c>
      <c r="AT8" s="31">
        <f>'FS Desroches Daily'!CH10</f>
        <v>51.5</v>
      </c>
      <c r="AU8" s="31">
        <f>'FS Desroches Daily'!CJ10</f>
        <v>329</v>
      </c>
      <c r="AV8" s="31">
        <f>'FS Desroches Daily'!CL10</f>
        <v>759.99999999999091</v>
      </c>
      <c r="AW8" s="31">
        <f>'FS Desroches Daily'!CM10</f>
        <v>135.70000000000073</v>
      </c>
      <c r="AX8" s="31">
        <f>IF(LPG!F16-LPG!F14&lt;0,"0",(LPG!F16-LPG!F14)*1.8315)</f>
        <v>23.8095</v>
      </c>
      <c r="AY8" s="31">
        <f>IF(LPG!H16-LPG!H14&lt;0,"0",(LPG!H16-LPG!H14)*1.8315)</f>
        <v>10.988999999999999</v>
      </c>
      <c r="AZ8" s="31">
        <f>IF(LPG!J16-LPG!J14&lt;0,"0",(LPG!J16-LPG!J14)*1.8315)</f>
        <v>1.8314999999999999</v>
      </c>
      <c r="BA8" s="31">
        <f>IF(LPG!M16-LPG!M14&lt;0,"0",(LPG!M16-LPG!M14)*1.8315)</f>
        <v>9.1574999999999989</v>
      </c>
      <c r="BB8" s="31">
        <f>IF(LPG!Q15-LPG!Q14&lt;0,"0",(LPG!Q15-LPG!Q14)*1.8315)</f>
        <v>7.3259999999999996</v>
      </c>
      <c r="BC8" s="13">
        <f>'FS Desroches Daily'!CN10</f>
        <v>28</v>
      </c>
      <c r="BD8" s="9"/>
    </row>
    <row r="9" spans="1:56" s="16" customFormat="1" x14ac:dyDescent="0.25">
      <c r="A9" s="27" t="s">
        <v>11</v>
      </c>
      <c r="B9" s="15">
        <v>8</v>
      </c>
      <c r="C9" s="18">
        <v>4</v>
      </c>
      <c r="D9" s="27">
        <v>2022</v>
      </c>
      <c r="E9" s="31">
        <f>'FS Desroches Daily'!D11</f>
        <v>3499.9999999998367</v>
      </c>
      <c r="F9" s="32">
        <f>'FS Desroches Daily'!F11</f>
        <v>3699.9999999993706</v>
      </c>
      <c r="G9" s="31">
        <f>'FS Desroches Daily'!H11</f>
        <v>3899.9999999997926</v>
      </c>
      <c r="H9" s="32">
        <f>'FS Desroches Daily'!J11</f>
        <v>1800.0000000002458</v>
      </c>
      <c r="I9" s="31">
        <f>'FS Desroches Daily'!L11</f>
        <v>2700.0000000003688</v>
      </c>
      <c r="J9" s="32">
        <f>'FS Desroches Daily'!N11</f>
        <v>2099.9999999999909</v>
      </c>
      <c r="K9" s="13">
        <f>'FS Desroches Daily'!P11</f>
        <v>38</v>
      </c>
      <c r="L9" s="31">
        <f>'FS Desroches Daily'!R11</f>
        <v>7</v>
      </c>
      <c r="M9" s="31">
        <f>'FS Desroches Daily'!T11</f>
        <v>1.2999999999999545</v>
      </c>
      <c r="N9" s="31">
        <f>'FS Desroches Daily'!V11</f>
        <v>455.69999999995343</v>
      </c>
      <c r="O9" s="31">
        <f>'FS Desroches Daily'!X11</f>
        <v>379.99999999999545</v>
      </c>
      <c r="P9" s="31">
        <f>'FS Desroches Daily'!Z11</f>
        <v>3299.9999999998586</v>
      </c>
      <c r="Q9" s="31">
        <f>'FS Desroches Daily'!AB11</f>
        <v>490.00000000000909</v>
      </c>
      <c r="R9" s="31">
        <f>'FS Desroches Daily'!AD11</f>
        <v>569.99999999999318</v>
      </c>
      <c r="S9" s="31">
        <f>'FS Desroches Daily'!AF11</f>
        <v>960.00000000003638</v>
      </c>
      <c r="T9" s="31">
        <f>'FS Desroches Daily'!AH11</f>
        <v>37</v>
      </c>
      <c r="U9" s="35">
        <f>'FS Desroches Daily'!AJ11</f>
        <v>860.00000000001364</v>
      </c>
      <c r="V9" s="35">
        <f>'FS Desroches Daily'!AL11</f>
        <v>280.00000000002956</v>
      </c>
      <c r="W9" s="35">
        <f>'FS Desroches Daily'!AN11</f>
        <v>189.99999999999773</v>
      </c>
      <c r="X9" s="35">
        <f>'FS Desroches Daily'!AP11</f>
        <v>309.99999999997385</v>
      </c>
      <c r="Y9" s="35">
        <f>'FS Desroches Daily'!AR11</f>
        <v>209.99999999997954</v>
      </c>
      <c r="Z9" s="35">
        <f>'FS Desroches Daily'!AT11</f>
        <v>270.00000000003865</v>
      </c>
      <c r="AA9" s="35">
        <f>'FS Desroches Daily'!AT11</f>
        <v>270.00000000003865</v>
      </c>
      <c r="AB9" s="35">
        <f>'FS Desroches Daily'!AV11</f>
        <v>279.99999999997272</v>
      </c>
      <c r="AC9" s="35">
        <f>'FS Desroches Daily'!AZ11</f>
        <v>339.99999999997499</v>
      </c>
      <c r="AD9" s="35">
        <f>'FS Desroches Daily'!BB11</f>
        <v>170.00000000001592</v>
      </c>
      <c r="AE9" s="35">
        <f>'FS Desroches Daily'!BD11</f>
        <v>209.99999999997954</v>
      </c>
      <c r="AF9" s="31">
        <f>'FS Desroches Daily'!BF11</f>
        <v>43</v>
      </c>
      <c r="AG9" s="32">
        <f>'FS Desroches Daily'!BH11</f>
        <v>59.999999999973852</v>
      </c>
      <c r="AH9" s="32">
        <f>'FS Desroches Daily'!BJ11</f>
        <v>29.999999999972715</v>
      </c>
      <c r="AI9" s="32">
        <f>'FS Desroches Daily'!BL11</f>
        <v>80.000000000012506</v>
      </c>
      <c r="AJ9" s="32">
        <f>'FS Desroches Daily'!BN11</f>
        <v>39.999999999992042</v>
      </c>
      <c r="AK9" s="32">
        <f>'FS Desroches Daily'!BP11</f>
        <v>60.000000000002274</v>
      </c>
      <c r="AL9" s="32">
        <f>'FS Desroches Daily'!BR11</f>
        <v>53</v>
      </c>
      <c r="AM9" s="32">
        <f>'FS Desroches Daily'!BT11</f>
        <v>50.000000000011369</v>
      </c>
      <c r="AN9" s="32">
        <f>'FS Desroches Daily'!BV11</f>
        <v>51</v>
      </c>
      <c r="AO9" s="32">
        <f>'FS Desroches Daily'!BX11</f>
        <v>60.000000000002274</v>
      </c>
      <c r="AP9" s="32">
        <f>'FS Desroches Daily'!BZ11</f>
        <v>48</v>
      </c>
      <c r="AQ9" s="31">
        <f>'FS Desroches Daily'!CB11</f>
        <v>76.799999999995634</v>
      </c>
      <c r="AR9" s="31">
        <f>'FS Desroches Daily'!CD11</f>
        <v>16.200000000000728</v>
      </c>
      <c r="AS9" s="31">
        <f>'FS Desroches Daily'!CF11</f>
        <v>6.0999999999994543</v>
      </c>
      <c r="AT9" s="31">
        <f>'FS Desroches Daily'!CH11</f>
        <v>58.69999999999709</v>
      </c>
      <c r="AU9" s="31">
        <f>'FS Desroches Daily'!CJ11</f>
        <v>385</v>
      </c>
      <c r="AV9" s="31">
        <f>'FS Desroches Daily'!CL11</f>
        <v>759.99999999999091</v>
      </c>
      <c r="AW9" s="31">
        <f>'FS Desroches Daily'!CM11</f>
        <v>105.40000000000146</v>
      </c>
      <c r="AX9" s="31">
        <f>IF(LPG!F17-LPG!F15&lt;0,"0",(LPG!F17-LPG!F15)*1.8315)</f>
        <v>21.977999999999998</v>
      </c>
      <c r="AY9" s="31">
        <f>IF(LPG!H17-LPG!H15&lt;0,"0",(LPG!H17-LPG!H15)*1.8315)</f>
        <v>10.988999999999999</v>
      </c>
      <c r="AZ9" s="31">
        <f>IF(LPG!J17-LPG!J15&lt;0,"0",(LPG!J17-LPG!J15)*1.8315)</f>
        <v>3.6629999999999998</v>
      </c>
      <c r="BA9" s="31">
        <f>IF(LPG!M17-LPG!M15&lt;0,"0",(LPG!M17-LPG!M15)*1.8315)</f>
        <v>10.988999999999999</v>
      </c>
      <c r="BB9" s="31">
        <f>IF(LPG!Q16-LPG!Q15&lt;0,"0",(LPG!Q16-LPG!Q15)*1.8315)</f>
        <v>7.3259999999999996</v>
      </c>
      <c r="BC9" s="13">
        <f>'FS Desroches Daily'!CN11</f>
        <v>28</v>
      </c>
      <c r="BD9" s="9"/>
    </row>
    <row r="10" spans="1:56" s="16" customFormat="1" x14ac:dyDescent="0.25">
      <c r="A10" s="27" t="s">
        <v>11</v>
      </c>
      <c r="B10" s="15">
        <v>9</v>
      </c>
      <c r="C10" s="18">
        <v>4</v>
      </c>
      <c r="D10" s="27">
        <v>2022</v>
      </c>
      <c r="E10" s="31">
        <f>'FS Desroches Daily'!D12</f>
        <v>3800.0000000000255</v>
      </c>
      <c r="F10" s="32">
        <f>'FS Desroches Daily'!F12</f>
        <v>3700.0000000002588</v>
      </c>
      <c r="G10" s="31">
        <f>'FS Desroches Daily'!H12</f>
        <v>3400.0000000000696</v>
      </c>
      <c r="H10" s="32">
        <f>'FS Desroches Daily'!J12</f>
        <v>1999.9999999997797</v>
      </c>
      <c r="I10" s="31">
        <f>'FS Desroches Daily'!L12</f>
        <v>2699.9999999999245</v>
      </c>
      <c r="J10" s="32">
        <f>'FS Desroches Daily'!N12</f>
        <v>2099.9999999999909</v>
      </c>
      <c r="K10" s="13">
        <f>'FS Desroches Daily'!P12</f>
        <v>1</v>
      </c>
      <c r="L10" s="31">
        <f>'FS Desroches Daily'!R12</f>
        <v>7</v>
      </c>
      <c r="M10" s="31">
        <f>'FS Desroches Daily'!T12</f>
        <v>1.3999999999998636</v>
      </c>
      <c r="N10" s="31">
        <f>'FS Desroches Daily'!V12</f>
        <v>520.30000000004657</v>
      </c>
      <c r="O10" s="31">
        <f>'FS Desroches Daily'!X12</f>
        <v>350.00000000002274</v>
      </c>
      <c r="P10" s="31">
        <f>'FS Desroches Daily'!Z12</f>
        <v>3300.0000000003029</v>
      </c>
      <c r="Q10" s="31">
        <f>'FS Desroches Daily'!AB12</f>
        <v>459.99999999997954</v>
      </c>
      <c r="R10" s="31">
        <f>'FS Desroches Daily'!AD12</f>
        <v>550.00000000001137</v>
      </c>
      <c r="S10" s="31">
        <f>'FS Desroches Daily'!AF12</f>
        <v>960.00000000003638</v>
      </c>
      <c r="T10" s="31">
        <f>'FS Desroches Daily'!AH12</f>
        <v>62</v>
      </c>
      <c r="U10" s="35">
        <f>'FS Desroches Daily'!AJ12</f>
        <v>800.00000000006821</v>
      </c>
      <c r="V10" s="35">
        <f>'FS Desroches Daily'!AL12</f>
        <v>309.99999999994543</v>
      </c>
      <c r="W10" s="35">
        <f>'FS Desroches Daily'!AN12</f>
        <v>250</v>
      </c>
      <c r="X10" s="35">
        <f>'FS Desroches Daily'!AP12</f>
        <v>300.00000000001137</v>
      </c>
      <c r="Y10" s="35">
        <f>'FS Desroches Daily'!AR12</f>
        <v>230.00000000001819</v>
      </c>
      <c r="Z10" s="35">
        <f>'FS Desroches Daily'!AT12</f>
        <v>240.00000000000909</v>
      </c>
      <c r="AA10" s="35">
        <f>'FS Desroches Daily'!AT12</f>
        <v>240.00000000000909</v>
      </c>
      <c r="AB10" s="35">
        <f>'FS Desroches Daily'!AV12</f>
        <v>270.00000000003865</v>
      </c>
      <c r="AC10" s="35">
        <f>'FS Desroches Daily'!AZ12</f>
        <v>129.99999999999545</v>
      </c>
      <c r="AD10" s="35">
        <f>'FS Desroches Daily'!BB12</f>
        <v>250</v>
      </c>
      <c r="AE10" s="35">
        <f>'FS Desroches Daily'!BD12</f>
        <v>220.00000000002728</v>
      </c>
      <c r="AF10" s="31">
        <f>'FS Desroches Daily'!BF12</f>
        <v>24</v>
      </c>
      <c r="AG10" s="32">
        <f>'FS Desroches Daily'!BH12</f>
        <v>40.000000000020464</v>
      </c>
      <c r="AH10" s="32">
        <f>'FS Desroches Daily'!BJ12</f>
        <v>40.000000000020464</v>
      </c>
      <c r="AI10" s="32">
        <f>'FS Desroches Daily'!BL12</f>
        <v>39.999999999992042</v>
      </c>
      <c r="AJ10" s="32">
        <f>'FS Desroches Daily'!BN12</f>
        <v>50.000000000011369</v>
      </c>
      <c r="AK10" s="32">
        <f>'FS Desroches Daily'!BP12</f>
        <v>69.999999999993179</v>
      </c>
      <c r="AL10" s="32">
        <f>'FS Desroches Daily'!BR12</f>
        <v>51</v>
      </c>
      <c r="AM10" s="32">
        <f>'FS Desroches Daily'!BT12</f>
        <v>39.999999999992042</v>
      </c>
      <c r="AN10" s="32">
        <f>'FS Desroches Daily'!BV12</f>
        <v>54</v>
      </c>
      <c r="AO10" s="32">
        <f>'FS Desroches Daily'!BX12</f>
        <v>60.000000000002274</v>
      </c>
      <c r="AP10" s="32">
        <f>'FS Desroches Daily'!BZ12</f>
        <v>48</v>
      </c>
      <c r="AQ10" s="31">
        <f>'FS Desroches Daily'!CB12</f>
        <v>40.400000000001455</v>
      </c>
      <c r="AR10" s="31">
        <f>'FS Desroches Daily'!CD12</f>
        <v>34</v>
      </c>
      <c r="AS10" s="31">
        <f>'FS Desroches Daily'!CF12</f>
        <v>1.9000000000005457</v>
      </c>
      <c r="AT10" s="31">
        <f>'FS Desroches Daily'!CH12</f>
        <v>59.100000000005821</v>
      </c>
      <c r="AU10" s="31">
        <f>'FS Desroches Daily'!CJ12</f>
        <v>374</v>
      </c>
      <c r="AV10" s="31">
        <f>'FS Desroches Daily'!CL12</f>
        <v>740.00000000000909</v>
      </c>
      <c r="AW10" s="31">
        <f>'FS Desroches Daily'!CM12</f>
        <v>106.59999999999854</v>
      </c>
      <c r="AX10" s="31">
        <f>IF(LPG!F18-LPG!F16&lt;0,"0",(LPG!F18-LPG!F16)*1.8315)</f>
        <v>9.1574999999999989</v>
      </c>
      <c r="AY10" s="31">
        <f>IF(LPG!H18-LPG!H16&lt;0,"0",(LPG!H18-LPG!H16)*1.8315)</f>
        <v>9.1574999999999989</v>
      </c>
      <c r="AZ10" s="31">
        <f>IF(LPG!J18-LPG!J16&lt;0,"0",(LPG!J18-LPG!J16)*1.8315)</f>
        <v>5.4944999999999995</v>
      </c>
      <c r="BA10" s="31">
        <f>IF(LPG!M18-LPG!M16&lt;0,"0",(LPG!M18-LPG!M16)*1.8315)</f>
        <v>10.988999999999999</v>
      </c>
      <c r="BB10" s="31">
        <f>IF(LPG!Q17-LPG!Q16&lt;0,"0",(LPG!Q17-LPG!Q16)*1.8315)</f>
        <v>5.4944999999999995</v>
      </c>
      <c r="BC10" s="13">
        <f>'FS Desroches Daily'!CN12</f>
        <v>28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4</v>
      </c>
      <c r="D11" s="27">
        <v>2022</v>
      </c>
      <c r="E11" s="31">
        <f>'FS Desroches Daily'!D13</f>
        <v>3600.0000000000477</v>
      </c>
      <c r="F11" s="32">
        <f>'FS Desroches Daily'!F13</f>
        <v>3800.0000000000255</v>
      </c>
      <c r="G11" s="31">
        <f>'FS Desroches Daily'!H13</f>
        <v>3300.0000000003029</v>
      </c>
      <c r="H11" s="32">
        <f>'FS Desroches Daily'!J13</f>
        <v>1900.0000000000127</v>
      </c>
      <c r="I11" s="31">
        <f>'FS Desroches Daily'!L13</f>
        <v>2599.9999999997135</v>
      </c>
      <c r="J11" s="32">
        <f>'FS Desroches Daily'!N13</f>
        <v>2199.9999999999795</v>
      </c>
      <c r="K11" s="13">
        <f>'FS Desroches Daily'!P13</f>
        <v>58</v>
      </c>
      <c r="L11" s="31">
        <f>'FS Desroches Daily'!R13</f>
        <v>7</v>
      </c>
      <c r="M11" s="31">
        <f>'FS Desroches Daily'!T13</f>
        <v>1.4000000000000909</v>
      </c>
      <c r="N11" s="31">
        <f>'FS Desroches Daily'!V13</f>
        <v>508.39999999990687</v>
      </c>
      <c r="O11" s="31">
        <f>'FS Desroches Daily'!X13</f>
        <v>439.99999999999773</v>
      </c>
      <c r="P11" s="31">
        <f>'FS Desroches Daily'!Z13</f>
        <v>3499.9999999998367</v>
      </c>
      <c r="Q11" s="31">
        <f>'FS Desroches Daily'!AB13</f>
        <v>520.00000000003865</v>
      </c>
      <c r="R11" s="31">
        <f>'FS Desroches Daily'!AD13</f>
        <v>579.99999999998408</v>
      </c>
      <c r="S11" s="31">
        <f>'FS Desroches Daily'!AF13</f>
        <v>1009.9999999999909</v>
      </c>
      <c r="T11" s="31">
        <f>'FS Desroches Daily'!AH13</f>
        <v>67</v>
      </c>
      <c r="U11" s="35">
        <f>'FS Desroches Daily'!AJ13</f>
        <v>870.00000000000455</v>
      </c>
      <c r="V11" s="35">
        <f>'FS Desroches Daily'!AL13</f>
        <v>290.00000000002046</v>
      </c>
      <c r="W11" s="35">
        <f>'FS Desroches Daily'!AN13</f>
        <v>270.00000000001023</v>
      </c>
      <c r="X11" s="35">
        <f>'FS Desroches Daily'!AP13</f>
        <v>319.99999999999318</v>
      </c>
      <c r="Y11" s="35">
        <f>'FS Desroches Daily'!AR13</f>
        <v>259.99999999999091</v>
      </c>
      <c r="Z11" s="35">
        <f>'FS Desroches Daily'!AT13</f>
        <v>279.99999999997272</v>
      </c>
      <c r="AA11" s="35">
        <f>'FS Desroches Daily'!AT13</f>
        <v>279.99999999997272</v>
      </c>
      <c r="AB11" s="35">
        <f>'FS Desroches Daily'!AV13</f>
        <v>229.99999999996135</v>
      </c>
      <c r="AC11" s="35">
        <f>'FS Desroches Daily'!AZ13</f>
        <v>230.00000000001819</v>
      </c>
      <c r="AD11" s="35">
        <f>'FS Desroches Daily'!BB13</f>
        <v>219.99999999997044</v>
      </c>
      <c r="AE11" s="35">
        <f>'FS Desroches Daily'!BD13</f>
        <v>209.99999999997954</v>
      </c>
      <c r="AF11" s="31">
        <f>'FS Desroches Daily'!BF13</f>
        <v>47</v>
      </c>
      <c r="AG11" s="32">
        <f>'FS Desroches Daily'!BH13</f>
        <v>60.000000000002274</v>
      </c>
      <c r="AH11" s="32">
        <f>'FS Desroches Daily'!BJ13</f>
        <v>40.000000000020464</v>
      </c>
      <c r="AI11" s="32">
        <f>'FS Desroches Daily'!BL13</f>
        <v>60.000000000002274</v>
      </c>
      <c r="AJ11" s="32">
        <f>'FS Desroches Daily'!BN13</f>
        <v>49.999999999982947</v>
      </c>
      <c r="AK11" s="32">
        <f>'FS Desroches Daily'!BP13</f>
        <v>79.999999999984084</v>
      </c>
      <c r="AL11" s="32">
        <f>'FS Desroches Daily'!BR13</f>
        <v>53</v>
      </c>
      <c r="AM11" s="32">
        <f>'FS Desroches Daily'!BT13</f>
        <v>39.999999999992042</v>
      </c>
      <c r="AN11" s="32">
        <f>'FS Desroches Daily'!BV13</f>
        <v>59</v>
      </c>
      <c r="AO11" s="32">
        <f>'FS Desroches Daily'!BX13</f>
        <v>69.999999999993179</v>
      </c>
      <c r="AP11" s="32">
        <f>'FS Desroches Daily'!BZ13</f>
        <v>50</v>
      </c>
      <c r="AQ11" s="31">
        <f>'FS Desroches Daily'!CB13</f>
        <v>65.200000000004366</v>
      </c>
      <c r="AR11" s="31">
        <f>'FS Desroches Daily'!CD13</f>
        <v>15.399999999999636</v>
      </c>
      <c r="AS11" s="31">
        <f>'FS Desroches Daily'!CF13</f>
        <v>1.3999999999996362</v>
      </c>
      <c r="AT11" s="31">
        <f>'FS Desroches Daily'!CH13</f>
        <v>38.19999999999709</v>
      </c>
      <c r="AU11" s="31">
        <f>'FS Desroches Daily'!CJ13</f>
        <v>365</v>
      </c>
      <c r="AV11" s="31">
        <f>'FS Desroches Daily'!CL13</f>
        <v>750</v>
      </c>
      <c r="AW11" s="31">
        <f>'FS Desroches Daily'!CM13</f>
        <v>108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10.988999999999999</v>
      </c>
      <c r="BB11" s="31">
        <f>IF(LPG!Q18-LPG!Q17&lt;0,"0",(LPG!Q18-LPG!Q17)*1.8315)</f>
        <v>7.3259999999999996</v>
      </c>
      <c r="BC11" s="13">
        <f>'FS Desroches Daily'!CN13</f>
        <v>33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4</v>
      </c>
      <c r="D12" s="27">
        <v>2022</v>
      </c>
      <c r="E12" s="31">
        <f>'FS Desroches Daily'!D14</f>
        <v>3899.9999999997926</v>
      </c>
      <c r="F12" s="32">
        <f>'FS Desroches Daily'!F14</f>
        <v>4100.0000000002146</v>
      </c>
      <c r="G12" s="31">
        <f>'FS Desroches Daily'!H14</f>
        <v>3400.0000000000696</v>
      </c>
      <c r="H12" s="32">
        <f>'FS Desroches Daily'!J14</f>
        <v>1900.0000000000127</v>
      </c>
      <c r="I12" s="31">
        <f>'FS Desroches Daily'!L14</f>
        <v>2500.0000000003906</v>
      </c>
      <c r="J12" s="32">
        <f>'FS Desroches Daily'!N14</f>
        <v>2000.0000000000018</v>
      </c>
      <c r="K12" s="13">
        <f>'FS Desroches Daily'!P14</f>
        <v>45</v>
      </c>
      <c r="L12" s="31">
        <f>'FS Desroches Daily'!R14</f>
        <v>7</v>
      </c>
      <c r="M12" s="31">
        <f>'FS Desroches Daily'!T14</f>
        <v>1.5999999999999091</v>
      </c>
      <c r="N12" s="31">
        <f>'FS Desroches Daily'!V14</f>
        <v>551</v>
      </c>
      <c r="O12" s="31">
        <f>'FS Desroches Daily'!X14</f>
        <v>449.99999999998863</v>
      </c>
      <c r="P12" s="31">
        <f>'FS Desroches Daily'!Z14</f>
        <v>3800.0000000000255</v>
      </c>
      <c r="Q12" s="31">
        <f>'FS Desroches Daily'!AB14</f>
        <v>509.99999999999091</v>
      </c>
      <c r="R12" s="31">
        <f>'FS Desroches Daily'!AD14</f>
        <v>480.00000000001819</v>
      </c>
      <c r="S12" s="31">
        <f>'FS Desroches Daily'!AF14</f>
        <v>990.00000000000909</v>
      </c>
      <c r="T12" s="31">
        <f>'FS Desroches Daily'!AH14</f>
        <v>48</v>
      </c>
      <c r="U12" s="35">
        <f>'FS Desroches Daily'!AJ14</f>
        <v>850.00000000002274</v>
      </c>
      <c r="V12" s="35">
        <f>'FS Desroches Daily'!AL14</f>
        <v>310.00000000000227</v>
      </c>
      <c r="W12" s="35">
        <f>'FS Desroches Daily'!AN14</f>
        <v>360.00000000001364</v>
      </c>
      <c r="X12" s="35">
        <f>'FS Desroches Daily'!AP14</f>
        <v>260.00000000001933</v>
      </c>
      <c r="Y12" s="35">
        <f>'FS Desroches Daily'!AR14</f>
        <v>259.99999999999091</v>
      </c>
      <c r="Z12" s="35">
        <f>'FS Desroches Daily'!AT14</f>
        <v>290.00000000002046</v>
      </c>
      <c r="AA12" s="35">
        <f>'FS Desroches Daily'!AT14</f>
        <v>290.00000000002046</v>
      </c>
      <c r="AB12" s="35">
        <f>'FS Desroches Daily'!AV14</f>
        <v>280.00000000002956</v>
      </c>
      <c r="AC12" s="35">
        <f>'FS Desroches Daily'!AZ14</f>
        <v>319.99999999999318</v>
      </c>
      <c r="AD12" s="35">
        <f>'FS Desroches Daily'!BB14</f>
        <v>269.99999999998181</v>
      </c>
      <c r="AE12" s="35">
        <f>'FS Desroches Daily'!BD14</f>
        <v>210.00000000003638</v>
      </c>
      <c r="AF12" s="31">
        <f>'FS Desroches Daily'!BF14</f>
        <v>27</v>
      </c>
      <c r="AG12" s="32">
        <f>'FS Desroches Daily'!BH14</f>
        <v>49.999999999982947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50.000000000011369</v>
      </c>
      <c r="AK12" s="32">
        <f>'FS Desroches Daily'!BP14</f>
        <v>60.000000000002274</v>
      </c>
      <c r="AL12" s="32">
        <f>'FS Desroches Daily'!BR14</f>
        <v>51</v>
      </c>
      <c r="AM12" s="32">
        <f>'FS Desroches Daily'!BT14</f>
        <v>50.000000000011369</v>
      </c>
      <c r="AN12" s="32">
        <f>'FS Desroches Daily'!BV14</f>
        <v>64</v>
      </c>
      <c r="AO12" s="32">
        <f>'FS Desroches Daily'!BX14</f>
        <v>69.999999999993179</v>
      </c>
      <c r="AP12" s="32">
        <f>'FS Desroches Daily'!BZ14</f>
        <v>50</v>
      </c>
      <c r="AQ12" s="31">
        <f>'FS Desroches Daily'!CB14</f>
        <v>67.099999999998545</v>
      </c>
      <c r="AR12" s="31">
        <f>'FS Desroches Daily'!CD14</f>
        <v>16.5</v>
      </c>
      <c r="AS12" s="31">
        <f>'FS Desroches Daily'!CF14</f>
        <v>2.1000000000003638</v>
      </c>
      <c r="AT12" s="31">
        <f>'FS Desroches Daily'!CH14</f>
        <v>78.19999999999709</v>
      </c>
      <c r="AU12" s="31">
        <f>'FS Desroches Daily'!CJ14</f>
        <v>403</v>
      </c>
      <c r="AV12" s="31">
        <f>'FS Desroches Daily'!CL14</f>
        <v>759.99999999999091</v>
      </c>
      <c r="AW12" s="31">
        <f>'FS Desroches Daily'!CM14</f>
        <v>131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3.6629999999999998</v>
      </c>
      <c r="BA12" s="31">
        <f>IF(LPG!M19-LPG!M18&lt;0,"0",(LPG!M19-LPG!M18)*1.8315)</f>
        <v>5.4944999999999995</v>
      </c>
      <c r="BB12" s="31">
        <f>IF(LPG!Q20-LPG!Q18&lt;0,"0",(LPG!Q20-LPG!Q18)*1.8315)</f>
        <v>16.483499999999999</v>
      </c>
      <c r="BC12" s="13">
        <f>'FS Desroches Daily'!CN14</f>
        <v>35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4</v>
      </c>
      <c r="D13" s="27">
        <v>2022</v>
      </c>
      <c r="E13" s="31">
        <f>'FS Desroches Daily'!D15</f>
        <v>2900.0000000003465</v>
      </c>
      <c r="F13" s="32">
        <f>'FS Desroches Daily'!F15</f>
        <v>3700.0000000002588</v>
      </c>
      <c r="G13" s="31">
        <f>'FS Desroches Daily'!H15</f>
        <v>3499.9999999998367</v>
      </c>
      <c r="H13" s="32">
        <f>'FS Desroches Daily'!J15</f>
        <v>1600.0000000002678</v>
      </c>
      <c r="I13" s="31">
        <f>'FS Desroches Daily'!L15</f>
        <v>2499.9999999999468</v>
      </c>
      <c r="J13" s="32">
        <f>'FS Desroches Daily'!N15</f>
        <v>1700.0000000000348</v>
      </c>
      <c r="K13" s="13">
        <f>'FS Desroches Daily'!P15</f>
        <v>34</v>
      </c>
      <c r="L13" s="31">
        <f>'FS Desroches Daily'!R15</f>
        <v>4</v>
      </c>
      <c r="M13" s="31">
        <f>'FS Desroches Daily'!T15</f>
        <v>1.4000000000000909</v>
      </c>
      <c r="N13" s="31">
        <f>'FS Desroches Daily'!V15</f>
        <v>358.80000000004657</v>
      </c>
      <c r="O13" s="31">
        <f>'FS Desroches Daily'!X15</f>
        <v>360.00000000001364</v>
      </c>
      <c r="P13" s="31">
        <f>'FS Desroches Daily'!Z15</f>
        <v>3299.9999999998586</v>
      </c>
      <c r="Q13" s="31">
        <f>'FS Desroches Daily'!AB15</f>
        <v>459.99999999997954</v>
      </c>
      <c r="R13" s="31">
        <f>'FS Desroches Daily'!AD15</f>
        <v>379.99999999999545</v>
      </c>
      <c r="S13" s="31">
        <f>'FS Desroches Daily'!AF15</f>
        <v>789.99999999996362</v>
      </c>
      <c r="T13" s="31">
        <f>'FS Desroches Daily'!AH15</f>
        <v>54</v>
      </c>
      <c r="U13" s="35">
        <f>'FS Desroches Daily'!AJ15</f>
        <v>699.99999999993179</v>
      </c>
      <c r="V13" s="35">
        <f>'FS Desroches Daily'!AL15</f>
        <v>199.99999999998863</v>
      </c>
      <c r="W13" s="35">
        <f>'FS Desroches Daily'!AN15</f>
        <v>229.99999999998977</v>
      </c>
      <c r="X13" s="35">
        <f>'FS Desroches Daily'!AP15</f>
        <v>169.99999999998749</v>
      </c>
      <c r="Y13" s="35">
        <f>'FS Desroches Daily'!AR15</f>
        <v>170.00000000001592</v>
      </c>
      <c r="Z13" s="35">
        <f>'FS Desroches Daily'!AT15</f>
        <v>209.99999999997954</v>
      </c>
      <c r="AA13" s="35">
        <f>'FS Desroches Daily'!AT15</f>
        <v>209.99999999997954</v>
      </c>
      <c r="AB13" s="35">
        <f>'FS Desroches Daily'!AV15</f>
        <v>259.99999999999091</v>
      </c>
      <c r="AC13" s="35">
        <f>'FS Desroches Daily'!AZ15</f>
        <v>240.00000000000909</v>
      </c>
      <c r="AD13" s="35">
        <f>'FS Desroches Daily'!BB15</f>
        <v>190.00000000005457</v>
      </c>
      <c r="AE13" s="35">
        <f>'FS Desroches Daily'!BD15</f>
        <v>179.99999999994998</v>
      </c>
      <c r="AF13" s="31">
        <f>'FS Desroches Daily'!BF15</f>
        <v>36</v>
      </c>
      <c r="AG13" s="32">
        <f>'FS Desroches Daily'!BH15</f>
        <v>40.000000000020464</v>
      </c>
      <c r="AH13" s="32">
        <f>'FS Desroches Daily'!BJ15</f>
        <v>30.000000000029559</v>
      </c>
      <c r="AI13" s="32">
        <f>'FS Desroches Daily'!BL15</f>
        <v>50.000000000011369</v>
      </c>
      <c r="AJ13" s="32">
        <f>'FS Desroches Daily'!BN15</f>
        <v>39.999999999992042</v>
      </c>
      <c r="AK13" s="32">
        <f>'FS Desroches Daily'!BP15</f>
        <v>60.000000000002274</v>
      </c>
      <c r="AL13" s="32">
        <f>'FS Desroches Daily'!BR15</f>
        <v>37</v>
      </c>
      <c r="AM13" s="32">
        <f>'FS Desroches Daily'!BT15</f>
        <v>39.999999999992042</v>
      </c>
      <c r="AN13" s="32">
        <f>'FS Desroches Daily'!BV15</f>
        <v>45</v>
      </c>
      <c r="AO13" s="32">
        <f>'FS Desroches Daily'!BX15</f>
        <v>50.000000000011369</v>
      </c>
      <c r="AP13" s="32">
        <f>'FS Desroches Daily'!BZ15</f>
        <v>40</v>
      </c>
      <c r="AQ13" s="31">
        <f>'FS Desroches Daily'!CB15</f>
        <v>36.400000000001455</v>
      </c>
      <c r="AR13" s="31">
        <f>'FS Desroches Daily'!CD15</f>
        <v>18.399999999999636</v>
      </c>
      <c r="AS13" s="31">
        <f>'FS Desroches Daily'!CF15</f>
        <v>26.299999999999272</v>
      </c>
      <c r="AT13" s="31">
        <f>'FS Desroches Daily'!CH15</f>
        <v>68</v>
      </c>
      <c r="AU13" s="31">
        <f>'FS Desroches Daily'!CJ15</f>
        <v>317</v>
      </c>
      <c r="AV13" s="31">
        <f>'FS Desroches Daily'!CL15</f>
        <v>780.0000000000864</v>
      </c>
      <c r="AW13" s="31">
        <f>'FS Desroches Daily'!CM15</f>
        <v>111</v>
      </c>
      <c r="AX13" s="31">
        <f>IF(LPG!F20-LPG!F19&lt;0,"0",(LPG!F20-LPG!F19)*1.8315)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1.8314999999999999</v>
      </c>
      <c r="BA13" s="31">
        <f>IF(LPG!M20-LPG!M19&lt;0,"0",(LPG!M20-LPG!M19)*1.8315)</f>
        <v>5.4944999999999995</v>
      </c>
      <c r="BB13" s="31">
        <f>IF(LPG!Q20-LPG!Q19&lt;0,"0",(LPG!Q20-LPG!Q19)*1.8315)</f>
        <v>7.3259999999999996</v>
      </c>
      <c r="BC13" s="13">
        <f>'FS Desroches Daily'!CN15</f>
        <v>37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4</v>
      </c>
      <c r="D14" s="27">
        <v>2022</v>
      </c>
      <c r="E14" s="31">
        <f>'FS Desroches Daily'!D16</f>
        <v>3299.9999999998586</v>
      </c>
      <c r="F14" s="32">
        <f>'FS Desroches Daily'!F16</f>
        <v>3699.9999999993706</v>
      </c>
      <c r="G14" s="31">
        <f>'FS Desroches Daily'!H16</f>
        <v>3300.0000000003029</v>
      </c>
      <c r="H14" s="32">
        <f>'FS Desroches Daily'!J16</f>
        <v>1900.0000000000127</v>
      </c>
      <c r="I14" s="31">
        <f>'FS Desroches Daily'!L16</f>
        <v>2499.9999999999468</v>
      </c>
      <c r="J14" s="32">
        <f>'FS Desroches Daily'!N16</f>
        <v>2099.9999999999909</v>
      </c>
      <c r="K14" s="13">
        <f>'FS Desroches Daily'!P16</f>
        <v>36</v>
      </c>
      <c r="L14" s="31">
        <f>'FS Desroches Daily'!R16</f>
        <v>6</v>
      </c>
      <c r="M14" s="31">
        <f>'FS Desroches Daily'!T16</f>
        <v>1.4000000000000909</v>
      </c>
      <c r="N14" s="31">
        <f>'FS Desroches Daily'!V16</f>
        <v>478.19999999995343</v>
      </c>
      <c r="O14" s="31">
        <f>'FS Desroches Daily'!X16</f>
        <v>399.99999999997726</v>
      </c>
      <c r="P14" s="31">
        <f>'FS Desroches Daily'!Z16</f>
        <v>3600.0000000000477</v>
      </c>
      <c r="Q14" s="31">
        <f>'FS Desroches Daily'!AB16</f>
        <v>500</v>
      </c>
      <c r="R14" s="31">
        <f>'FS Desroches Daily'!AD16</f>
        <v>449.99999999998863</v>
      </c>
      <c r="S14" s="31">
        <f>'FS Desroches Daily'!AF16</f>
        <v>1049.9999999999545</v>
      </c>
      <c r="T14" s="31">
        <f>'FS Desroches Daily'!AH16</f>
        <v>65</v>
      </c>
      <c r="U14" s="35">
        <f>'FS Desroches Daily'!AJ16</f>
        <v>789.99999999996362</v>
      </c>
      <c r="V14" s="35">
        <f>'FS Desroches Daily'!AL16</f>
        <v>270.00000000003865</v>
      </c>
      <c r="W14" s="35">
        <f>'FS Desroches Daily'!AN16</f>
        <v>290.00000000002046</v>
      </c>
      <c r="X14" s="35">
        <f>'FS Desroches Daily'!AP16</f>
        <v>210.00000000000796</v>
      </c>
      <c r="Y14" s="35">
        <f>'FS Desroches Daily'!AR16</f>
        <v>199.99999999998863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240.00000000000909</v>
      </c>
      <c r="AC14" s="35">
        <f>'FS Desroches Daily'!AZ16</f>
        <v>310.00000000000227</v>
      </c>
      <c r="AD14" s="35">
        <f>'FS Desroches Daily'!BB16</f>
        <v>219.99999999997044</v>
      </c>
      <c r="AE14" s="35">
        <f>'FS Desroches Daily'!BD16</f>
        <v>200.00000000004547</v>
      </c>
      <c r="AF14" s="31">
        <f>'FS Desroches Daily'!BF16</f>
        <v>36</v>
      </c>
      <c r="AG14" s="32">
        <f>'FS Desroches Daily'!BH16</f>
        <v>29.999999999972715</v>
      </c>
      <c r="AH14" s="32">
        <f>'FS Desroches Daily'!BJ16</f>
        <v>29.999999999972715</v>
      </c>
      <c r="AI14" s="32">
        <f>'FS Desroches Daily'!BL16</f>
        <v>49.999999999982947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46</v>
      </c>
      <c r="AM14" s="32">
        <f>'FS Desroches Daily'!BT16</f>
        <v>50.000000000011369</v>
      </c>
      <c r="AN14" s="32">
        <f>'FS Desroches Daily'!BV16</f>
        <v>41</v>
      </c>
      <c r="AO14" s="32">
        <f>'FS Desroches Daily'!BX16</f>
        <v>60.000000000002274</v>
      </c>
      <c r="AP14" s="32">
        <f>'FS Desroches Daily'!BZ16</f>
        <v>46</v>
      </c>
      <c r="AQ14" s="31">
        <f>'FS Desroches Daily'!CB16</f>
        <v>71.69999999999709</v>
      </c>
      <c r="AR14" s="31">
        <f>'FS Desroches Daily'!CD16</f>
        <v>13.700000000000728</v>
      </c>
      <c r="AS14" s="31">
        <f>'FS Desroches Daily'!CF16</f>
        <v>3.2000000000007276</v>
      </c>
      <c r="AT14" s="31">
        <f>'FS Desroches Daily'!CH16</f>
        <v>52.399999999994179</v>
      </c>
      <c r="AU14" s="31">
        <f>'FS Desroches Daily'!CJ16</f>
        <v>373</v>
      </c>
      <c r="AV14" s="31">
        <f>'FS Desroches Daily'!CL16</f>
        <v>740.00000000000909</v>
      </c>
      <c r="AW14" s="31">
        <f>'FS Desroches Daily'!CM16</f>
        <v>113</v>
      </c>
      <c r="AX14" s="31">
        <f>IF(LPG!F21-LPG!F20&lt;0,"0",(LPG!F21-LPG!F20)*1.8315)</f>
        <v>0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5.4944999999999995</v>
      </c>
      <c r="BB14" s="31">
        <f>IF(LPG!Q21-LPG!Q20&lt;0,"0",(LPG!Q21-LPG!Q20)*1.8315)</f>
        <v>10.988999999999999</v>
      </c>
      <c r="BC14" s="13">
        <f>'FS Desroches Daily'!CN16</f>
        <v>37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4</v>
      </c>
      <c r="D15" s="27">
        <v>2022</v>
      </c>
      <c r="E15" s="31">
        <f>'FS Desroches Daily'!D17</f>
        <v>3800.0000000000255</v>
      </c>
      <c r="F15" s="32">
        <f>'FS Desroches Daily'!F17</f>
        <v>3900.0000000006808</v>
      </c>
      <c r="G15" s="31">
        <f>'FS Desroches Daily'!H17</f>
        <v>3499.9999999998367</v>
      </c>
      <c r="H15" s="32">
        <f>'FS Desroches Daily'!J17</f>
        <v>1999.9999999997797</v>
      </c>
      <c r="I15" s="31">
        <f>'FS Desroches Daily'!L17</f>
        <v>4899.9999999996826</v>
      </c>
      <c r="J15" s="32">
        <f>'FS Desroches Daily'!N17</f>
        <v>2199.9999999999795</v>
      </c>
      <c r="K15" s="13">
        <f>'FS Desroches Daily'!P17</f>
        <v>37</v>
      </c>
      <c r="L15" s="31">
        <f>'FS Desroches Daily'!R17</f>
        <v>7</v>
      </c>
      <c r="M15" s="31">
        <f>'FS Desroches Daily'!T17</f>
        <v>1.2999999999999545</v>
      </c>
      <c r="N15" s="31">
        <f>'FS Desroches Daily'!V17</f>
        <v>434.80000000004657</v>
      </c>
      <c r="O15" s="31">
        <f>'FS Desroches Daily'!X17</f>
        <v>410.00000000002501</v>
      </c>
      <c r="P15" s="31">
        <f>'FS Desroches Daily'!Z17</f>
        <v>3200.0000000000919</v>
      </c>
      <c r="Q15" s="31">
        <f>'FS Desroches Daily'!AB17</f>
        <v>490.00000000000909</v>
      </c>
      <c r="R15" s="31">
        <f>'FS Desroches Daily'!AD17</f>
        <v>439.99999999999773</v>
      </c>
      <c r="S15" s="31">
        <f>'FS Desroches Daily'!AF17</f>
        <v>1010.0000000001046</v>
      </c>
      <c r="T15" s="31">
        <f>'FS Desroches Daily'!AH17</f>
        <v>44</v>
      </c>
      <c r="U15" s="35">
        <f>'FS Desroches Daily'!AJ17</f>
        <v>900.00000000009095</v>
      </c>
      <c r="V15" s="35">
        <f>'FS Desroches Daily'!AL17</f>
        <v>289.99999999996362</v>
      </c>
      <c r="W15" s="35">
        <f>'FS Desroches Daily'!AN17</f>
        <v>299.99999999995453</v>
      </c>
      <c r="X15" s="35">
        <f>'FS Desroches Daily'!AP17</f>
        <v>269.99999999998181</v>
      </c>
      <c r="Y15" s="35">
        <f>'FS Desroches Daily'!AR17</f>
        <v>200.00000000004547</v>
      </c>
      <c r="Z15" s="35">
        <f>'FS Desroches Daily'!AT17</f>
        <v>230.00000000001819</v>
      </c>
      <c r="AA15" s="35">
        <f>'FS Desroches Daily'!AT17</f>
        <v>230.00000000001819</v>
      </c>
      <c r="AB15" s="35">
        <f>'FS Desroches Daily'!AV17</f>
        <v>269.99999999998181</v>
      </c>
      <c r="AC15" s="35">
        <f>'FS Desroches Daily'!AZ17</f>
        <v>349.99999999996589</v>
      </c>
      <c r="AD15" s="35">
        <f>'FS Desroches Daily'!BB17</f>
        <v>259.99999999999091</v>
      </c>
      <c r="AE15" s="35">
        <f>'FS Desroches Daily'!BD17</f>
        <v>250</v>
      </c>
      <c r="AF15" s="31">
        <f>'FS Desroches Daily'!BF17</f>
        <v>40</v>
      </c>
      <c r="AG15" s="32">
        <f>'FS Desroches Daily'!BH17</f>
        <v>60.000000000002274</v>
      </c>
      <c r="AH15" s="32">
        <f>'FS Desroches Daily'!BJ17</f>
        <v>30.000000000029559</v>
      </c>
      <c r="AI15" s="32">
        <f>'FS Desroches Daily'!BL17</f>
        <v>60.000000000002274</v>
      </c>
      <c r="AJ15" s="32">
        <f>'FS Desroches Daily'!BN17</f>
        <v>50.000000000011369</v>
      </c>
      <c r="AK15" s="32">
        <f>'FS Desroches Daily'!BP17</f>
        <v>79.999999999984084</v>
      </c>
      <c r="AL15" s="32">
        <f>'FS Desroches Daily'!BR17</f>
        <v>52</v>
      </c>
      <c r="AM15" s="32">
        <f>'FS Desroches Daily'!BT17</f>
        <v>60.000000000002274</v>
      </c>
      <c r="AN15" s="32">
        <f>'FS Desroches Daily'!BV17</f>
        <v>61</v>
      </c>
      <c r="AO15" s="32">
        <f>'FS Desroches Daily'!BX17</f>
        <v>60.000000000002274</v>
      </c>
      <c r="AP15" s="32">
        <f>'FS Desroches Daily'!BZ17</f>
        <v>50</v>
      </c>
      <c r="AQ15" s="31">
        <f>'FS Desroches Daily'!CB17</f>
        <v>76.599999999998545</v>
      </c>
      <c r="AR15" s="31">
        <f>'FS Desroches Daily'!CD17</f>
        <v>22.199999999998909</v>
      </c>
      <c r="AS15" s="31">
        <f>'FS Desroches Daily'!CF17</f>
        <v>7.2999999999992724</v>
      </c>
      <c r="AT15" s="31">
        <f>'FS Desroches Daily'!CH17</f>
        <v>62.80000000000291</v>
      </c>
      <c r="AU15" s="31">
        <f>'FS Desroches Daily'!CJ17</f>
        <v>330</v>
      </c>
      <c r="AV15" s="31">
        <f>'FS Desroches Daily'!CL17</f>
        <v>809.99999999994543</v>
      </c>
      <c r="AW15" s="31">
        <f>'FS Desroches Daily'!CM17</f>
        <v>123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3.6629999999999998</v>
      </c>
      <c r="BA15" s="31">
        <f>IF(LPG!M22-LPG!M21&lt;0,"0",(LPG!M22-LPG!M21)*1.8315)</f>
        <v>5.4944999999999995</v>
      </c>
      <c r="BB15" s="31">
        <f>IF(LPG!Q22-LPG!Q21&lt;0,"0",(LPG!Q22-LPG!Q21)*1.8315)</f>
        <v>5.4944999999999995</v>
      </c>
      <c r="BC15" s="13">
        <f>'FS Desroches Daily'!CN17</f>
        <v>40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4</v>
      </c>
      <c r="D16" s="27">
        <v>2022</v>
      </c>
      <c r="E16" s="31">
        <f>'FS Desroches Daily'!D18</f>
        <v>4099.9999999997708</v>
      </c>
      <c r="F16" s="32">
        <f>'FS Desroches Daily'!F18</f>
        <v>3999.9999999995593</v>
      </c>
      <c r="G16" s="31">
        <f>'FS Desroches Daily'!H18</f>
        <v>3499.9999999998367</v>
      </c>
      <c r="H16" s="32">
        <f>'FS Desroches Daily'!J18</f>
        <v>2000.0000000002237</v>
      </c>
      <c r="I16" s="31">
        <f>'FS Desroches Daily'!L18</f>
        <v>1100.000000000101</v>
      </c>
      <c r="J16" s="32">
        <f>'FS Desroches Daily'!N18</f>
        <v>2299.9999999999686</v>
      </c>
      <c r="K16" s="13">
        <f>'FS Desroches Daily'!P18</f>
        <v>38</v>
      </c>
      <c r="L16" s="31">
        <f>'FS Desroches Daily'!R18</f>
        <v>8</v>
      </c>
      <c r="M16" s="31">
        <f>'FS Desroches Daily'!T18</f>
        <v>1.7000000000000455</v>
      </c>
      <c r="N16" s="31">
        <f>'FS Desroches Daily'!V18</f>
        <v>635.09999999997672</v>
      </c>
      <c r="O16" s="31">
        <f>'FS Desroches Daily'!X18</f>
        <v>459.99999999997954</v>
      </c>
      <c r="P16" s="31">
        <f>'FS Desroches Daily'!Z18</f>
        <v>3699.9999999998145</v>
      </c>
      <c r="Q16" s="31">
        <f>'FS Desroches Daily'!AB18</f>
        <v>529.99999999997272</v>
      </c>
      <c r="R16" s="31">
        <f>'FS Desroches Daily'!AD18</f>
        <v>540.00000000002046</v>
      </c>
      <c r="S16" s="31">
        <f>'FS Desroches Daily'!AF18</f>
        <v>1359.9999999999</v>
      </c>
      <c r="T16" s="31">
        <f>'FS Desroches Daily'!AH18</f>
        <v>64</v>
      </c>
      <c r="U16" s="35">
        <f>'FS Desroches Daily'!AJ18</f>
        <v>929.99999999994998</v>
      </c>
      <c r="V16" s="35">
        <f>'FS Desroches Daily'!AL18</f>
        <v>290.00000000002046</v>
      </c>
      <c r="W16" s="35">
        <f>'FS Desroches Daily'!AN18</f>
        <v>310.00000000000227</v>
      </c>
      <c r="X16" s="35">
        <f>'FS Desroches Daily'!AP18</f>
        <v>290.00000000002046</v>
      </c>
      <c r="Y16" s="35">
        <f>'FS Desroches Daily'!AR18</f>
        <v>259.99999999999091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220.00000000002728</v>
      </c>
      <c r="AC16" s="35">
        <f>'FS Desroches Daily'!AZ18</f>
        <v>330.00000000004093</v>
      </c>
      <c r="AD16" s="35">
        <f>'FS Desroches Daily'!BB18</f>
        <v>300.00000000001137</v>
      </c>
      <c r="AE16" s="35">
        <f>'FS Desroches Daily'!BD18</f>
        <v>250</v>
      </c>
      <c r="AF16" s="31">
        <f>'FS Desroches Daily'!BF18</f>
        <v>45</v>
      </c>
      <c r="AG16" s="32">
        <f>'FS Desroches Daily'!BH18</f>
        <v>60.000000000002274</v>
      </c>
      <c r="AH16" s="32">
        <f>'FS Desroches Daily'!BJ18</f>
        <v>39.99999999996362</v>
      </c>
      <c r="AI16" s="32">
        <f>'FS Desroches Daily'!BL18</f>
        <v>69.999999999993179</v>
      </c>
      <c r="AJ16" s="32">
        <f>'FS Desroches Daily'!BN18</f>
        <v>60.000000000002274</v>
      </c>
      <c r="AK16" s="32">
        <f>'FS Desroches Daily'!BP18</f>
        <v>80.000000000040927</v>
      </c>
      <c r="AL16" s="32">
        <f>'FS Desroches Daily'!BR18</f>
        <v>60</v>
      </c>
      <c r="AM16" s="32">
        <f>'FS Desroches Daily'!BT18</f>
        <v>79.999999999984084</v>
      </c>
      <c r="AN16" s="32">
        <f>'FS Desroches Daily'!BV18</f>
        <v>65</v>
      </c>
      <c r="AO16" s="32">
        <f>'FS Desroches Daily'!BX18</f>
        <v>90.000000000003411</v>
      </c>
      <c r="AP16" s="32">
        <f>'FS Desroches Daily'!BZ18</f>
        <v>58</v>
      </c>
      <c r="AQ16" s="31">
        <f>'FS Desroches Daily'!CB18</f>
        <v>76.30000000000291</v>
      </c>
      <c r="AR16" s="31">
        <f>'FS Desroches Daily'!CD18</f>
        <v>23</v>
      </c>
      <c r="AS16" s="31">
        <f>'FS Desroches Daily'!CF18</f>
        <v>7.6000000000003638</v>
      </c>
      <c r="AT16" s="31">
        <f>'FS Desroches Daily'!CH18</f>
        <v>61.19999999999709</v>
      </c>
      <c r="AU16" s="31">
        <f>'FS Desroches Daily'!CJ18</f>
        <v>372</v>
      </c>
      <c r="AV16" s="31">
        <f>'FS Desroches Daily'!CL18</f>
        <v>789.99999999996362</v>
      </c>
      <c r="AW16" s="31">
        <f>'FS Desroches Daily'!CM18</f>
        <v>135</v>
      </c>
      <c r="AX16" s="31">
        <f>IF(LPG!F23-LPG!F22&lt;0,"0",(LPG!F23-LPG!F22)*1.8315)</f>
        <v>0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40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4</v>
      </c>
      <c r="D17" s="27">
        <v>2022</v>
      </c>
      <c r="E17" s="31">
        <f>'FS Desroches Daily'!D19</f>
        <v>3700.0000000002588</v>
      </c>
      <c r="F17" s="32">
        <f>'FS Desroches Daily'!F19</f>
        <v>4100.0000000002146</v>
      </c>
      <c r="G17" s="31">
        <f>'FS Desroches Daily'!H19</f>
        <v>3600.0000000004916</v>
      </c>
      <c r="H17" s="32">
        <f>'FS Desroches Daily'!J19</f>
        <v>1999.9999999997797</v>
      </c>
      <c r="I17" s="31">
        <f>'FS Desroches Daily'!L19</f>
        <v>2899.9999999999027</v>
      </c>
      <c r="J17" s="32">
        <f>'FS Desroches Daily'!N19</f>
        <v>2199.9999999999795</v>
      </c>
      <c r="K17" s="13">
        <f>'FS Desroches Daily'!P19</f>
        <v>33</v>
      </c>
      <c r="L17" s="31">
        <f>'FS Desroches Daily'!R19</f>
        <v>5</v>
      </c>
      <c r="M17" s="31">
        <f>'FS Desroches Daily'!T19</f>
        <v>1.1999999999998181</v>
      </c>
      <c r="N17" s="31">
        <f>'FS Desroches Daily'!V19</f>
        <v>417.20000000006985</v>
      </c>
      <c r="O17" s="31">
        <f>'FS Desroches Daily'!X19</f>
        <v>360.00000000001364</v>
      </c>
      <c r="P17" s="31">
        <f>'FS Desroches Daily'!Z19</f>
        <v>3500.0000000002806</v>
      </c>
      <c r="Q17" s="31">
        <f>'FS Desroches Daily'!AB19</f>
        <v>460.00000000003638</v>
      </c>
      <c r="R17" s="31">
        <f>'FS Desroches Daily'!AD19</f>
        <v>359.9999999999568</v>
      </c>
      <c r="S17" s="31">
        <f>'FS Desroches Daily'!AF19</f>
        <v>1060.0000000000591</v>
      </c>
      <c r="T17" s="31">
        <f>'FS Desroches Daily'!AH19</f>
        <v>57</v>
      </c>
      <c r="U17" s="35">
        <f>'FS Desroches Daily'!AJ19</f>
        <v>759.99999999999091</v>
      </c>
      <c r="V17" s="35">
        <f>'FS Desroches Daily'!AL19</f>
        <v>269.99999999998181</v>
      </c>
      <c r="W17" s="35">
        <f>'FS Desroches Daily'!AN19</f>
        <v>280.00000000002956</v>
      </c>
      <c r="X17" s="35">
        <f>'FS Desroches Daily'!AP19</f>
        <v>259.99999999999091</v>
      </c>
      <c r="Y17" s="35">
        <f>'FS Desroches Daily'!AR19</f>
        <v>199.99999999998863</v>
      </c>
      <c r="Z17" s="35">
        <f>'FS Desroches Daily'!AU20</f>
        <v>338.23</v>
      </c>
      <c r="AA17" s="35">
        <f>'FS Desroches Daily'!AU20</f>
        <v>338.23</v>
      </c>
      <c r="AB17" s="35">
        <f>'FS Desroches Daily'!AV19</f>
        <v>239.99999999995225</v>
      </c>
      <c r="AC17" s="35">
        <f>'FS Desroches Daily'!AZ19</f>
        <v>329.99999999998408</v>
      </c>
      <c r="AD17" s="35">
        <f>'FS Desroches Daily'!BB19</f>
        <v>250</v>
      </c>
      <c r="AE17" s="35">
        <f>'FS Desroches Daily'!BD19</f>
        <v>250</v>
      </c>
      <c r="AF17" s="31">
        <f>'FS Desroches Daily'!BF19</f>
        <v>16</v>
      </c>
      <c r="AG17" s="32">
        <f>'FS Desroches Daily'!BH19</f>
        <v>50.000000000011369</v>
      </c>
      <c r="AH17" s="32">
        <f>'FS Desroches Daily'!BJ19</f>
        <v>30.000000000029559</v>
      </c>
      <c r="AI17" s="32">
        <f>'FS Desroches Daily'!BL19</f>
        <v>60.000000000002274</v>
      </c>
      <c r="AJ17" s="32">
        <f>'FS Desroches Daily'!BN19</f>
        <v>39.999999999992042</v>
      </c>
      <c r="AK17" s="32">
        <f>'FS Desroches Daily'!BP19</f>
        <v>69.999999999993179</v>
      </c>
      <c r="AL17" s="32">
        <f>'FS Desroches Daily'!BR19</f>
        <v>41</v>
      </c>
      <c r="AM17" s="32">
        <f>'FS Desroches Daily'!BT19</f>
        <v>50.000000000011369</v>
      </c>
      <c r="AN17" s="32">
        <f>'FS Desroches Daily'!BV19</f>
        <v>56</v>
      </c>
      <c r="AO17" s="32">
        <f>'FS Desroches Daily'!BX19</f>
        <v>69.999999999993179</v>
      </c>
      <c r="AP17" s="32">
        <f>'FS Desroches Daily'!BZ19</f>
        <v>47</v>
      </c>
      <c r="AQ17" s="31">
        <f>'FS Desroches Daily'!CB19</f>
        <v>82.599999999998545</v>
      </c>
      <c r="AR17" s="31">
        <f>'FS Desroches Daily'!CD19</f>
        <v>18.800000000001091</v>
      </c>
      <c r="AS17" s="31">
        <f>'FS Desroches Daily'!CF19</f>
        <v>3.8000000000001819</v>
      </c>
      <c r="AT17" s="31">
        <f>'FS Desroches Daily'!CH19</f>
        <v>31.30000000000291</v>
      </c>
      <c r="AU17" s="31">
        <f>'FS Desroches Daily'!CJ19</f>
        <v>295</v>
      </c>
      <c r="AV17" s="31">
        <f>'FS Desroches Daily'!CL19</f>
        <v>890.00000000010004</v>
      </c>
      <c r="AW17" s="31">
        <f>'FS Desroches Daily'!CM19</f>
        <v>123</v>
      </c>
      <c r="AX17" s="31">
        <f>IF(LPG!F24-LPG!F23&lt;0,"0",(LPG!F24-LPG!F23)*1.8315)</f>
        <v>0</v>
      </c>
      <c r="AY17" s="31">
        <f>IF(LPG!H24-LPG!H23&lt;0,"0",(LPG!H24-LPG!H23)*1.8315)</f>
        <v>7.3259999999999996</v>
      </c>
      <c r="AZ17" s="31">
        <f>IF(LPG!J24-LPG!J23&lt;0,"0",(LPG!J24-LPG!J23)*1.8315)</f>
        <v>1.8314999999999999</v>
      </c>
      <c r="BA17" s="31">
        <f>IF(LPG!M24-LPG!M23&lt;0,"0",(LPG!M24-LPG!M23)*1.8315)</f>
        <v>7.3259999999999996</v>
      </c>
      <c r="BB17" s="31">
        <f>IF(LPG!Q24-LPG!Q23&lt;0,"0",(LPG!Q24-LPG!Q23)*1.8315)</f>
        <v>7.3259999999999996</v>
      </c>
      <c r="BC17" s="13">
        <f>'FS Desroches Daily'!CN19</f>
        <v>39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4</v>
      </c>
      <c r="D18" s="27">
        <v>2022</v>
      </c>
      <c r="E18" s="31">
        <f>'FS Desroches Daily'!D20</f>
        <v>2800.0000000001355</v>
      </c>
      <c r="F18" s="32">
        <f>'FS Desroches Daily'!F20</f>
        <v>3599.9999999996035</v>
      </c>
      <c r="G18" s="31">
        <f>'FS Desroches Daily'!H20</f>
        <v>3499.9999999998367</v>
      </c>
      <c r="H18" s="32">
        <f>'FS Desroches Daily'!J20</f>
        <v>1600.0000000002678</v>
      </c>
      <c r="I18" s="31">
        <f>'FS Desroches Daily'!L20</f>
        <v>2400.0000000001796</v>
      </c>
      <c r="J18" s="32">
        <f>'FS Desroches Daily'!N20</f>
        <v>1700.0000000000348</v>
      </c>
      <c r="K18" s="13">
        <f>'FS Desroches Daily'!P20</f>
        <v>25</v>
      </c>
      <c r="L18" s="31">
        <f>'FS Desroches Daily'!R20</f>
        <v>4</v>
      </c>
      <c r="M18" s="31">
        <f>'FS Desroches Daily'!T20</f>
        <v>1.4000000000000909</v>
      </c>
      <c r="N18" s="31">
        <f>'FS Desroches Daily'!V20</f>
        <v>433.19999999995343</v>
      </c>
      <c r="O18" s="31">
        <f>'FS Desroches Daily'!X20</f>
        <v>329.99999999998408</v>
      </c>
      <c r="P18" s="31">
        <f>'FS Desroches Daily'!Z20</f>
        <v>3299.9999999998586</v>
      </c>
      <c r="Q18" s="31">
        <f>'FS Desroches Daily'!AB20</f>
        <v>459.99999999997954</v>
      </c>
      <c r="R18" s="31">
        <f>'FS Desroches Daily'!AD20</f>
        <v>320.00000000005002</v>
      </c>
      <c r="S18" s="31">
        <f>'FS Desroches Daily'!AF20</f>
        <v>860.00000000001364</v>
      </c>
      <c r="T18" s="31">
        <f>'FS Desroches Daily'!AH20</f>
        <v>48</v>
      </c>
      <c r="U18" s="35">
        <f>'FS Desroches Daily'!AJ20</f>
        <v>590.00000000003183</v>
      </c>
      <c r="V18" s="35">
        <f>'FS Desroches Daily'!AL20</f>
        <v>210.00000000003638</v>
      </c>
      <c r="W18" s="35">
        <f>'FS Desroches Daily'!AN20</f>
        <v>219.99999999997044</v>
      </c>
      <c r="X18" s="35">
        <f>'FS Desroches Daily'!AP20</f>
        <v>169.99999999998749</v>
      </c>
      <c r="Y18" s="35">
        <f>'FS Desroches Daily'!AR20</f>
        <v>149.99999999997726</v>
      </c>
      <c r="Z18" s="35">
        <f>'FS Desroches Daily'!AT20</f>
        <v>110.00000000001364</v>
      </c>
      <c r="AA18" s="35">
        <f>'FS Desroches Daily'!AT20</f>
        <v>110.00000000001364</v>
      </c>
      <c r="AB18" s="35">
        <f>'FS Desroches Daily'!AV20</f>
        <v>270.00000000003865</v>
      </c>
      <c r="AC18" s="35">
        <f>'FS Desroches Daily'!AZ20</f>
        <v>259.99999999999091</v>
      </c>
      <c r="AD18" s="35">
        <f>'FS Desroches Daily'!BB20</f>
        <v>189.99999999999773</v>
      </c>
      <c r="AE18" s="35">
        <f>'FS Desroches Daily'!BD20</f>
        <v>159.99999999996817</v>
      </c>
      <c r="AF18" s="31">
        <f>'FS Desroches Daily'!BF20</f>
        <v>40</v>
      </c>
      <c r="AG18" s="32">
        <f>'FS Desroches Daily'!BH20</f>
        <v>39.999999999992042</v>
      </c>
      <c r="AH18" s="32">
        <f>'FS Desroches Daily'!BJ20</f>
        <v>29.999999999972715</v>
      </c>
      <c r="AI18" s="32">
        <f>'FS Desroches Daily'!BL20</f>
        <v>40.000000000020464</v>
      </c>
      <c r="AJ18" s="32">
        <f>'FS Desroches Daily'!BN20</f>
        <v>30.000000000001137</v>
      </c>
      <c r="AK18" s="32">
        <f>'FS Desroches Daily'!BP20</f>
        <v>39.99999999996362</v>
      </c>
      <c r="AL18" s="32">
        <f>'FS Desroches Daily'!BR20</f>
        <v>36</v>
      </c>
      <c r="AM18" s="32">
        <f>'FS Desroches Daily'!BT20</f>
        <v>50.000000000011369</v>
      </c>
      <c r="AN18" s="32">
        <f>'FS Desroches Daily'!BV20</f>
        <v>45</v>
      </c>
      <c r="AO18" s="32">
        <f>'FS Desroches Daily'!BX20</f>
        <v>49.999999999982947</v>
      </c>
      <c r="AP18" s="32">
        <f>'FS Desroches Daily'!BZ20</f>
        <v>41</v>
      </c>
      <c r="AQ18" s="31">
        <f>'FS Desroches Daily'!CB20</f>
        <v>80.5</v>
      </c>
      <c r="AR18" s="31">
        <f>'FS Desroches Daily'!CD20</f>
        <v>15.5</v>
      </c>
      <c r="AS18" s="31">
        <f>'FS Desroches Daily'!CF20</f>
        <v>7.5</v>
      </c>
      <c r="AT18" s="31">
        <f>'FS Desroches Daily'!CH20</f>
        <v>44.600000000005821</v>
      </c>
      <c r="AU18" s="31">
        <f>'FS Desroches Daily'!CJ20</f>
        <v>310</v>
      </c>
      <c r="AV18" s="31">
        <f>'FS Desroches Daily'!CL20</f>
        <v>929.99999999994998</v>
      </c>
      <c r="AW18" s="31">
        <f>'FS Desroches Daily'!CM20</f>
        <v>93</v>
      </c>
      <c r="AX18" s="31">
        <f>IF(LPG!F25-LPG!F24&lt;0,"0",(LPG!F25-LPG!F24)*1.8315)</f>
        <v>0</v>
      </c>
      <c r="AY18" s="31">
        <f>IF(LPG!H25-LPG!H24&lt;0,"0",(LPG!H25-LPG!H24)*1.8315)</f>
        <v>5.4944999999999995</v>
      </c>
      <c r="AZ18" s="31">
        <f>IF(LPG!J25-LPG!J24&lt;0,"0",(LPG!J25-LPG!J24)*1.8315)</f>
        <v>1.8314999999999999</v>
      </c>
      <c r="BA18" s="31">
        <f>IF(LPG!M25-LPG!M24&lt;0,"0",(LPG!M25-LPG!M24)*1.8315)</f>
        <v>3.6629999999999998</v>
      </c>
      <c r="BB18" s="31">
        <f>IF(LPG!Q25-LPG!Q24&lt;0,"0",(LPG!Q25-LPG!Q24)*1.8315)</f>
        <v>9.1574999999999989</v>
      </c>
      <c r="BC18" s="13">
        <f>'FS Desroches Daily'!CN20</f>
        <v>41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4</v>
      </c>
      <c r="D19" s="27">
        <v>2022</v>
      </c>
      <c r="E19" s="31">
        <f>'FS Desroches Daily'!D21</f>
        <v>2999.9999999996694</v>
      </c>
      <c r="F19" s="32">
        <f>'FS Desroches Daily'!F21</f>
        <v>3800.0000000000255</v>
      </c>
      <c r="G19" s="31">
        <f>'FS Desroches Daily'!H21</f>
        <v>3599.9999999996035</v>
      </c>
      <c r="H19" s="32">
        <f>'FS Desroches Daily'!J21</f>
        <v>1799.9999999998017</v>
      </c>
      <c r="I19" s="31">
        <f>'FS Desroches Daily'!L21</f>
        <v>2600.0000000001578</v>
      </c>
      <c r="J19" s="32">
        <f>'FS Desroches Daily'!N21</f>
        <v>2000.0000000000018</v>
      </c>
      <c r="K19" s="13">
        <f>'FS Desroches Daily'!P21</f>
        <v>37</v>
      </c>
      <c r="L19" s="31">
        <f>'FS Desroches Daily'!R21</f>
        <v>6</v>
      </c>
      <c r="M19" s="31">
        <f>'FS Desroches Daily'!T21</f>
        <v>1.5</v>
      </c>
      <c r="N19" s="31">
        <f>'FS Desroches Daily'!V21</f>
        <v>481.90000000002328</v>
      </c>
      <c r="O19" s="31">
        <f>'FS Desroches Daily'!X21</f>
        <v>420.00000000001592</v>
      </c>
      <c r="P19" s="31">
        <f>'FS Desroches Daily'!Z21</f>
        <v>3499.9999999998367</v>
      </c>
      <c r="Q19" s="31">
        <f>'FS Desroches Daily'!AB21</f>
        <v>550.00000000001137</v>
      </c>
      <c r="R19" s="31">
        <f>'FS Desroches Daily'!AD21</f>
        <v>409.99999999996817</v>
      </c>
      <c r="S19" s="31">
        <f>'FS Desroches Daily'!AF21</f>
        <v>929.99999999994998</v>
      </c>
      <c r="T19" s="31">
        <f>'FS Desroches Daily'!AH21</f>
        <v>53</v>
      </c>
      <c r="U19" s="35">
        <f>'FS Desroches Daily'!AJ21</f>
        <v>649.99999999997726</v>
      </c>
      <c r="V19" s="35">
        <f>'FS Desroches Daily'!AL21</f>
        <v>199.99999999998863</v>
      </c>
      <c r="W19" s="35">
        <f>'FS Desroches Daily'!AN21</f>
        <v>270.00000000003865</v>
      </c>
      <c r="X19" s="35">
        <f>'FS Desroches Daily'!AP21</f>
        <v>200.00000000001705</v>
      </c>
      <c r="Y19" s="35">
        <f>'FS Desroches Daily'!AR21</f>
        <v>129.99999999999545</v>
      </c>
      <c r="Z19" s="35">
        <f>'FS Desroches Daily'!AT21</f>
        <v>139.99999999998636</v>
      </c>
      <c r="AA19" s="35">
        <f>'FS Desroches Daily'!AT21</f>
        <v>139.99999999998636</v>
      </c>
      <c r="AB19" s="35">
        <f>'FS Desroches Daily'!AV21</f>
        <v>259.99999999999091</v>
      </c>
      <c r="AC19" s="35">
        <f>'FS Desroches Daily'!AZ21</f>
        <v>160.00000000002501</v>
      </c>
      <c r="AD19" s="35">
        <f>'FS Desroches Daily'!BB21</f>
        <v>199.99999999998863</v>
      </c>
      <c r="AE19" s="35">
        <f>'FS Desroches Daily'!BD21</f>
        <v>240.00000000000909</v>
      </c>
      <c r="AF19" s="31">
        <f>'FS Desroches Daily'!BF21</f>
        <v>34</v>
      </c>
      <c r="AG19" s="32">
        <f>'FS Desroches Daily'!BH21</f>
        <v>39.999999999992042</v>
      </c>
      <c r="AH19" s="32">
        <f>'FS Desroches Daily'!BJ21</f>
        <v>30.000000000029559</v>
      </c>
      <c r="AI19" s="32">
        <f>'FS Desroches Daily'!BL21</f>
        <v>60.000000000002274</v>
      </c>
      <c r="AJ19" s="32">
        <f>'FS Desroches Daily'!BN21</f>
        <v>50.000000000011369</v>
      </c>
      <c r="AK19" s="32">
        <f>'FS Desroches Daily'!BP21</f>
        <v>70.000000000050022</v>
      </c>
      <c r="AL19" s="32">
        <f>'FS Desroches Daily'!BR21</f>
        <v>48</v>
      </c>
      <c r="AM19" s="32">
        <f>'FS Desroches Daily'!BT21</f>
        <v>49.999999999982947</v>
      </c>
      <c r="AN19" s="32">
        <f>'FS Desroches Daily'!BV21</f>
        <v>48</v>
      </c>
      <c r="AO19" s="32">
        <f>'FS Desroches Daily'!BX21</f>
        <v>40.000000000020464</v>
      </c>
      <c r="AP19" s="32">
        <f>'FS Desroches Daily'!BZ21</f>
        <v>51</v>
      </c>
      <c r="AQ19" s="31">
        <f>'FS Desroches Daily'!CB21</f>
        <v>89</v>
      </c>
      <c r="AR19" s="31">
        <f>'FS Desroches Daily'!CD21</f>
        <v>11.099999999998545</v>
      </c>
      <c r="AS19" s="31">
        <f>'FS Desroches Daily'!CF21</f>
        <v>2.8000000000001819</v>
      </c>
      <c r="AT19" s="31">
        <f>'FS Desroches Daily'!CH21</f>
        <v>54.69999999999709</v>
      </c>
      <c r="AU19" s="31">
        <f>'FS Desroches Daily'!CJ21</f>
        <v>335</v>
      </c>
      <c r="AV19" s="31">
        <f>'FS Desroches Daily'!CL21</f>
        <v>919.99999999995907</v>
      </c>
      <c r="AW19" s="31">
        <f>'FS Desroches Daily'!CM21</f>
        <v>120</v>
      </c>
      <c r="AX19" s="31">
        <f>IF(LPG!F26-LPG!F25&lt;0,"0",(LPG!F26-LPG!F25)*1.8315)</f>
        <v>0</v>
      </c>
      <c r="AY19" s="31">
        <f>IF(LPG!H26-LPG!H25&lt;0,"0",(LPG!H26-LPG!H25)*1.8315)</f>
        <v>3.6629999999999998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41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4</v>
      </c>
      <c r="D20" s="27">
        <v>2022</v>
      </c>
      <c r="E20" s="31">
        <f>'FS Desroches Daily'!D22</f>
        <v>3500.0000000002806</v>
      </c>
      <c r="F20" s="32">
        <f>'FS Desroches Daily'!F22</f>
        <v>3899.9999999997926</v>
      </c>
      <c r="G20" s="31">
        <f>'FS Desroches Daily'!H22</f>
        <v>3800.0000000000255</v>
      </c>
      <c r="H20" s="32">
        <f>'FS Desroches Daily'!J22</f>
        <v>1900.0000000000127</v>
      </c>
      <c r="I20" s="31">
        <f>'FS Desroches Daily'!L22</f>
        <v>2799.9999999996917</v>
      </c>
      <c r="J20" s="32">
        <f>'FS Desroches Daily'!N22</f>
        <v>2000.0000000000018</v>
      </c>
      <c r="K20" s="13">
        <f>'FS Desroches Daily'!P22</f>
        <v>35</v>
      </c>
      <c r="L20" s="31">
        <f>'FS Desroches Daily'!R22</f>
        <v>7</v>
      </c>
      <c r="M20" s="31">
        <f>'FS Desroches Daily'!T22</f>
        <v>1.5999999999999091</v>
      </c>
      <c r="N20" s="31">
        <f>'FS Desroches Daily'!V22</f>
        <v>641.5</v>
      </c>
      <c r="O20" s="31">
        <f>'FS Desroches Daily'!X22</f>
        <v>439.99999999999773</v>
      </c>
      <c r="P20" s="31">
        <f>'FS Desroches Daily'!Z22</f>
        <v>3500.0000000002806</v>
      </c>
      <c r="Q20" s="31">
        <f>'FS Desroches Daily'!AB22</f>
        <v>379.99999999999545</v>
      </c>
      <c r="R20" s="31">
        <f>'FS Desroches Daily'!AD22</f>
        <v>410.00000000002501</v>
      </c>
      <c r="S20" s="31">
        <f>'FS Desroches Daily'!AF22</f>
        <v>1129.9999999999955</v>
      </c>
      <c r="T20" s="31">
        <f>'FS Desroches Daily'!AH22</f>
        <v>60</v>
      </c>
      <c r="U20" s="35">
        <f>'FS Desroches Daily'!AJ22</f>
        <v>810.00000000005912</v>
      </c>
      <c r="V20" s="35">
        <f>'FS Desroches Daily'!AL22</f>
        <v>289.99999999996362</v>
      </c>
      <c r="W20" s="35">
        <f>'FS Desroches Daily'!AN22</f>
        <v>310.00000000000227</v>
      </c>
      <c r="X20" s="35">
        <f>'FS Desroches Daily'!AP22</f>
        <v>199.99999999998863</v>
      </c>
      <c r="Y20" s="35">
        <f>'FS Desroches Daily'!AR22</f>
        <v>189.99999999999773</v>
      </c>
      <c r="Z20" s="35">
        <f>'FS Desroches Daily'!AT22</f>
        <v>139.99999999998636</v>
      </c>
      <c r="AA20" s="35">
        <f>'FS Desroches Daily'!AT22</f>
        <v>139.99999999998636</v>
      </c>
      <c r="AB20" s="35">
        <f>'FS Desroches Daily'!AV22</f>
        <v>269.99999999998181</v>
      </c>
      <c r="AC20" s="35">
        <f>'FS Desroches Daily'!AZ22</f>
        <v>250</v>
      </c>
      <c r="AD20" s="35">
        <f>'FS Desroches Daily'!BB22</f>
        <v>230.00000000001819</v>
      </c>
      <c r="AE20" s="35">
        <f>'FS Desroches Daily'!BD22</f>
        <v>269.99999999998181</v>
      </c>
      <c r="AF20" s="31">
        <f>'FS Desroches Daily'!BF22</f>
        <v>40</v>
      </c>
      <c r="AG20" s="32">
        <f>'FS Desroches Daily'!BH22</f>
        <v>50.000000000011369</v>
      </c>
      <c r="AH20" s="32">
        <f>'FS Desroches Daily'!BJ22</f>
        <v>39.99999999996362</v>
      </c>
      <c r="AI20" s="32">
        <f>'FS Desroches Daily'!BL22</f>
        <v>59.999999999973852</v>
      </c>
      <c r="AJ20" s="32">
        <f>'FS Desroches Daily'!BN22</f>
        <v>49.999999999982947</v>
      </c>
      <c r="AK20" s="32">
        <f>'FS Desroches Daily'!BP22</f>
        <v>79.999999999984084</v>
      </c>
      <c r="AL20" s="32">
        <f>'FS Desroches Daily'!BR22</f>
        <v>49</v>
      </c>
      <c r="AM20" s="32">
        <f>'FS Desroches Daily'!BT22</f>
        <v>60.000000000002274</v>
      </c>
      <c r="AN20" s="32">
        <f>'FS Desroches Daily'!BV22</f>
        <v>65</v>
      </c>
      <c r="AO20" s="32">
        <f>'FS Desroches Daily'!BX22</f>
        <v>60.000000000002274</v>
      </c>
      <c r="AP20" s="32">
        <f>'FS Desroches Daily'!BZ22</f>
        <v>56</v>
      </c>
      <c r="AQ20" s="31">
        <f>'FS Desroches Daily'!CB22</f>
        <v>84.80000000000291</v>
      </c>
      <c r="AR20" s="31">
        <f>'FS Desroches Daily'!CD22</f>
        <v>11.5</v>
      </c>
      <c r="AS20" s="31">
        <f>'FS Desroches Daily'!CF22</f>
        <v>3.0999999999994543</v>
      </c>
      <c r="AT20" s="31">
        <f>'FS Desroches Daily'!CH22</f>
        <v>50.80000000000291</v>
      </c>
      <c r="AU20" s="31">
        <f>'FS Desroches Daily'!CJ22</f>
        <v>357</v>
      </c>
      <c r="AV20" s="31">
        <f>'FS Desroches Daily'!CL22</f>
        <v>950.00000000004547</v>
      </c>
      <c r="AW20" s="31">
        <f>'FS Desroches Daily'!CM22</f>
        <v>129.20000000000073</v>
      </c>
      <c r="AX20" s="31">
        <f>IF(LPG!F27-LPG!F26&lt;0,"0",(LPG!F27-LPG!F26)*1.8315)</f>
        <v>0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5.4944999999999995</v>
      </c>
      <c r="BB20" s="31">
        <f>IF(LPG!Q27-LPG!Q26&lt;0,"0",(LPG!Q27-LPG!Q26)*1.8315)</f>
        <v>7.3259999999999996</v>
      </c>
      <c r="BC20" s="13">
        <f>'FS Desroches Daily'!CN22</f>
        <v>29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4</v>
      </c>
      <c r="D21" s="27">
        <v>2022</v>
      </c>
      <c r="E21" s="31">
        <f>'FS Desroches Daily'!D23</f>
        <v>3499.9999999998367</v>
      </c>
      <c r="F21" s="32">
        <f>'FS Desroches Daily'!F23</f>
        <v>3900.0000000006808</v>
      </c>
      <c r="G21" s="31">
        <f>'FS Desroches Daily'!H23</f>
        <v>3600.0000000004916</v>
      </c>
      <c r="H21" s="32">
        <f>'FS Desroches Daily'!J23</f>
        <v>1999.9999999997797</v>
      </c>
      <c r="I21" s="31">
        <f>'FS Desroches Daily'!L23</f>
        <v>2700.0000000003688</v>
      </c>
      <c r="J21" s="32">
        <f>'FS Desroches Daily'!N23</f>
        <v>2099.9999999999909</v>
      </c>
      <c r="K21" s="13">
        <f>'FS Desroches Daily'!P23</f>
        <v>33</v>
      </c>
      <c r="L21" s="31">
        <f>'FS Desroches Daily'!R23</f>
        <v>6</v>
      </c>
      <c r="M21" s="31">
        <f>'FS Desroches Daily'!T23</f>
        <v>1.3000000000001819</v>
      </c>
      <c r="N21" s="31">
        <f>'FS Desroches Daily'!V23</f>
        <v>479.40000000002328</v>
      </c>
      <c r="O21" s="31">
        <f>'FS Desroches Daily'!X23</f>
        <v>490.00000000000909</v>
      </c>
      <c r="P21" s="31">
        <f>'FS Desroches Daily'!Z23</f>
        <v>3299.9999999998586</v>
      </c>
      <c r="Q21" s="31">
        <f>'FS Desroches Daily'!AB23</f>
        <v>439.99999999999773</v>
      </c>
      <c r="R21" s="31">
        <f>'FS Desroches Daily'!AD23</f>
        <v>399.99999999997726</v>
      </c>
      <c r="S21" s="31">
        <f>'FS Desroches Daily'!AF23</f>
        <v>1050.0000000000682</v>
      </c>
      <c r="T21" s="31">
        <f>'FS Desroches Daily'!AH23</f>
        <v>45</v>
      </c>
      <c r="U21" s="35">
        <f>'FS Desroches Daily'!AJ23</f>
        <v>849.99999999990905</v>
      </c>
      <c r="V21" s="35">
        <f>'FS Desroches Daily'!AL23</f>
        <v>260.00000000004775</v>
      </c>
      <c r="W21" s="35">
        <f>'FS Desroches Daily'!AN23</f>
        <v>310.00000000000227</v>
      </c>
      <c r="X21" s="35">
        <f>'FS Desroches Daily'!AP23</f>
        <v>180.00000000000682</v>
      </c>
      <c r="Y21" s="35">
        <f>'FS Desroches Daily'!AR23</f>
        <v>300.00000000001137</v>
      </c>
      <c r="Z21" s="35">
        <f>'FS Desroches Daily'!AT23</f>
        <v>160.00000000002501</v>
      </c>
      <c r="AA21" s="35">
        <f>'FS Desroches Daily'!AT23</f>
        <v>160.00000000002501</v>
      </c>
      <c r="AB21" s="35">
        <f>'FS Desroches Daily'!AV23</f>
        <v>269.99999999998181</v>
      </c>
      <c r="AC21" s="35">
        <f>'FS Desroches Daily'!AZ23</f>
        <v>180.00000000000682</v>
      </c>
      <c r="AD21" s="35">
        <f>'FS Desroches Daily'!BB23</f>
        <v>209.99999999997954</v>
      </c>
      <c r="AE21" s="35">
        <f>'FS Desroches Daily'!BD23</f>
        <v>240.00000000000909</v>
      </c>
      <c r="AF21" s="31">
        <f>'FS Desroches Daily'!BF23</f>
        <v>36</v>
      </c>
      <c r="AG21" s="32">
        <f>'FS Desroches Daily'!BH23</f>
        <v>50.000000000011369</v>
      </c>
      <c r="AH21" s="32">
        <f>'FS Desroches Daily'!BJ23</f>
        <v>40.000000000020464</v>
      </c>
      <c r="AI21" s="32">
        <f>'FS Desroches Daily'!BL23</f>
        <v>60.000000000002274</v>
      </c>
      <c r="AJ21" s="32">
        <f>'FS Desroches Daily'!BN23</f>
        <v>50.000000000011369</v>
      </c>
      <c r="AK21" s="32">
        <f>'FS Desroches Daily'!BP23</f>
        <v>69.999999999993179</v>
      </c>
      <c r="AL21" s="32">
        <f>'FS Desroches Daily'!BR23</f>
        <v>47</v>
      </c>
      <c r="AM21" s="32">
        <f>'FS Desroches Daily'!BT23</f>
        <v>50.000000000011369</v>
      </c>
      <c r="AN21" s="32">
        <f>'FS Desroches Daily'!BV23</f>
        <v>58</v>
      </c>
      <c r="AO21" s="32">
        <f>'FS Desroches Daily'!BX23</f>
        <v>60.000000000002274</v>
      </c>
      <c r="AP21" s="32">
        <f>'FS Desroches Daily'!BZ23</f>
        <v>53</v>
      </c>
      <c r="AQ21" s="31">
        <f>'FS Desroches Daily'!CB23</f>
        <v>73.799999999995634</v>
      </c>
      <c r="AR21" s="31">
        <f>'FS Desroches Daily'!CD23</f>
        <v>10.900000000001455</v>
      </c>
      <c r="AS21" s="31">
        <f>'FS Desroches Daily'!CF23</f>
        <v>3.9000000000005457</v>
      </c>
      <c r="AT21" s="31">
        <f>'FS Desroches Daily'!CH23</f>
        <v>52.099999999991269</v>
      </c>
      <c r="AU21" s="31">
        <f>'FS Desroches Daily'!CJ23</f>
        <v>340</v>
      </c>
      <c r="AV21" s="31">
        <f>'FS Desroches Daily'!CL23</f>
        <v>1009.9999999999909</v>
      </c>
      <c r="AW21" s="31">
        <f>'FS Desroches Daily'!CM23</f>
        <v>107.79999999999927</v>
      </c>
      <c r="AX21" s="31" t="str">
        <f>IF(LPG!F28-LPG!F27&lt;0,"0",(LPG!F28-LPG!F27)*1.8315)</f>
        <v>0</v>
      </c>
      <c r="AY21" s="31" t="str">
        <f>IF(LPG!H28-LPG!H27&lt;0,"0",(LPG!H28-LPG!H27)*1.8315)</f>
        <v>0</v>
      </c>
      <c r="AZ21" s="31" t="str">
        <f>IF(LPG!J28-LPG!J27&lt;0,"0",(LPG!J28-LPG!J27)*1.8315)</f>
        <v>0</v>
      </c>
      <c r="BA21" s="31" t="str">
        <f>IF(LPG!M28-LPG!M27&lt;0,"0",(LPG!M28-LPG!M27)*1.8315)</f>
        <v>0</v>
      </c>
      <c r="BB21" s="31" t="str">
        <f>IF(LPG!Q28-LPG!Q27&lt;0,"0",(LPG!Q28-LPG!Q27)*1.8315)</f>
        <v>0</v>
      </c>
      <c r="BC21" s="13">
        <f>'FS Desroches Daily'!CN23</f>
        <v>28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4</v>
      </c>
      <c r="D22" s="27">
        <v>2022</v>
      </c>
      <c r="E22" s="31" t="str">
        <f>'FS Desroches Daily'!D24</f>
        <v>0</v>
      </c>
      <c r="F22" s="32" t="str">
        <f>'FS Desroches Daily'!F24</f>
        <v>0</v>
      </c>
      <c r="G22" s="31" t="str">
        <f>'FS Desroches Daily'!H24</f>
        <v>0</v>
      </c>
      <c r="H22" s="32" t="str">
        <f>'FS Desroches Daily'!J24</f>
        <v>0</v>
      </c>
      <c r="I22" s="31" t="str">
        <f>'FS Desroches Daily'!L24</f>
        <v>0</v>
      </c>
      <c r="J22" s="32" t="str">
        <f>'FS Desroches Daily'!N24</f>
        <v/>
      </c>
      <c r="K22" s="13" t="str">
        <f>'FS Desroches Daily'!P24</f>
        <v/>
      </c>
      <c r="L22" s="31" t="str">
        <f>'FS Desroches Daily'!R24</f>
        <v/>
      </c>
      <c r="M22" s="31" t="str">
        <f>'FS Desroches Daily'!T24</f>
        <v/>
      </c>
      <c r="N22" s="31" t="str">
        <f>'FS Desroches Daily'!V24</f>
        <v/>
      </c>
      <c r="O22" s="31" t="str">
        <f>'FS Desroches Daily'!X24</f>
        <v/>
      </c>
      <c r="P22" s="31" t="str">
        <f>'FS Desroches Daily'!Z24</f>
        <v/>
      </c>
      <c r="Q22" s="31" t="str">
        <f>'FS Desroches Daily'!AB24</f>
        <v/>
      </c>
      <c r="R22" s="31" t="str">
        <f>'FS Desroches Daily'!AD24</f>
        <v/>
      </c>
      <c r="S22" s="31" t="str">
        <f>'FS Desroches Daily'!AF24</f>
        <v/>
      </c>
      <c r="T22" s="31" t="str">
        <f>'FS Desroches Daily'!AH24</f>
        <v/>
      </c>
      <c r="U22" s="35" t="str">
        <f>'FS Desroches Daily'!AJ24</f>
        <v/>
      </c>
      <c r="V22" s="35" t="str">
        <f>'FS Desroches Daily'!AL24</f>
        <v/>
      </c>
      <c r="W22" s="35" t="str">
        <f>'FS Desroches Daily'!AN24</f>
        <v/>
      </c>
      <c r="X22" s="35" t="str">
        <f>'FS Desroches Daily'!AP24</f>
        <v/>
      </c>
      <c r="Y22" s="35" t="str">
        <f>'FS Desroches Daily'!AR24</f>
        <v/>
      </c>
      <c r="Z22" s="35" t="str">
        <f>'FS Desroches Daily'!AT24</f>
        <v/>
      </c>
      <c r="AA22" s="35" t="str">
        <f>'FS Desroches Daily'!AT24</f>
        <v/>
      </c>
      <c r="AB22" s="35" t="str">
        <f>'FS Desroches Daily'!AV24</f>
        <v/>
      </c>
      <c r="AC22" s="35" t="str">
        <f>'FS Desroches Daily'!AZ24</f>
        <v/>
      </c>
      <c r="AD22" s="35" t="str">
        <f>'FS Desroches Daily'!BB24</f>
        <v/>
      </c>
      <c r="AE22" s="35" t="str">
        <f>'FS Desroches Daily'!BD24</f>
        <v/>
      </c>
      <c r="AF22" s="31" t="str">
        <f>'FS Desroches Daily'!BF24</f>
        <v/>
      </c>
      <c r="AG22" s="32" t="str">
        <f>'FS Desroches Daily'!BH24</f>
        <v/>
      </c>
      <c r="AH22" s="32" t="str">
        <f>'FS Desroches Daily'!BJ24</f>
        <v/>
      </c>
      <c r="AI22" s="32" t="str">
        <f>'FS Desroches Daily'!BL24</f>
        <v/>
      </c>
      <c r="AJ22" s="32" t="str">
        <f>'FS Desroches Daily'!BN24</f>
        <v/>
      </c>
      <c r="AK22" s="32" t="str">
        <f>'FS Desroches Daily'!BP24</f>
        <v/>
      </c>
      <c r="AL22" s="32" t="str">
        <f>'FS Desroches Daily'!BR24</f>
        <v/>
      </c>
      <c r="AM22" s="32" t="str">
        <f>'FS Desroches Daily'!BT24</f>
        <v/>
      </c>
      <c r="AN22" s="32" t="str">
        <f>'FS Desroches Daily'!BV24</f>
        <v/>
      </c>
      <c r="AO22" s="32" t="str">
        <f>'FS Desroches Daily'!BX24</f>
        <v/>
      </c>
      <c r="AP22" s="32" t="str">
        <f>'FS Desroches Daily'!BZ24</f>
        <v/>
      </c>
      <c r="AQ22" s="31" t="str">
        <f>'FS Desroches Daily'!CB24</f>
        <v/>
      </c>
      <c r="AR22" s="31" t="str">
        <f>'FS Desroches Daily'!CD24</f>
        <v/>
      </c>
      <c r="AS22" s="31" t="str">
        <f>'FS Desroches Daily'!CF24</f>
        <v/>
      </c>
      <c r="AT22" s="31" t="str">
        <f>'FS Desroches Daily'!CH24</f>
        <v/>
      </c>
      <c r="AU22" s="31" t="str">
        <f>'FS Desroches Daily'!CJ24</f>
        <v/>
      </c>
      <c r="AV22" s="31" t="str">
        <f>'FS Desroches Daily'!CL24</f>
        <v/>
      </c>
      <c r="AW22" s="31" t="e">
        <f>'FS Desroches Daily'!CM24</f>
        <v>#VALUE!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4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4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4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4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4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4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4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4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4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4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69999.99999999984</v>
      </c>
      <c r="F33" s="17">
        <f t="shared" ref="F33:BC33" si="0">SUM(F2:F32)</f>
        <v>76700.000000000684</v>
      </c>
      <c r="G33" s="17">
        <f t="shared" si="0"/>
        <v>68700.000000000684</v>
      </c>
      <c r="H33" s="17">
        <f t="shared" si="0"/>
        <v>37799.999999999833</v>
      </c>
      <c r="I33" s="17">
        <f t="shared" si="0"/>
        <v>52400.000000000007</v>
      </c>
      <c r="J33" s="17">
        <f t="shared" si="0"/>
        <v>41699.999999999847</v>
      </c>
      <c r="K33" s="17">
        <f t="shared" si="0"/>
        <v>765</v>
      </c>
      <c r="L33" s="17">
        <f t="shared" si="0"/>
        <v>128</v>
      </c>
      <c r="M33" s="17">
        <f t="shared" si="0"/>
        <v>27.300000000000182</v>
      </c>
      <c r="N33" s="17">
        <f t="shared" si="0"/>
        <v>9903.4000000000233</v>
      </c>
      <c r="O33" s="17">
        <f t="shared" si="0"/>
        <v>8470.0000000000291</v>
      </c>
      <c r="P33" s="17">
        <f t="shared" si="0"/>
        <v>68500.000000000247</v>
      </c>
      <c r="Q33" s="17">
        <f t="shared" si="0"/>
        <v>9149.9999999999764</v>
      </c>
      <c r="R33" s="17">
        <f t="shared" si="0"/>
        <v>9959.9999999999782</v>
      </c>
      <c r="S33" s="17">
        <f t="shared" si="0"/>
        <v>20460.00000000004</v>
      </c>
      <c r="T33" s="17">
        <f t="shared" si="0"/>
        <v>1063</v>
      </c>
      <c r="U33" s="35">
        <f t="shared" si="0"/>
        <v>15899.999999999975</v>
      </c>
      <c r="V33" s="35">
        <f t="shared" si="0"/>
        <v>5710.0000000000364</v>
      </c>
      <c r="W33" s="35">
        <f t="shared" si="0"/>
        <v>5180.0000000000346</v>
      </c>
      <c r="X33" s="35">
        <f t="shared" si="0"/>
        <v>5011.9800000000087</v>
      </c>
      <c r="Y33" s="35">
        <f t="shared" si="0"/>
        <v>4289.9999999999636</v>
      </c>
      <c r="Z33" s="35">
        <f t="shared" si="0"/>
        <v>4158.2299999999932</v>
      </c>
      <c r="AA33" s="35">
        <f t="shared" si="0"/>
        <v>4158.2299999999932</v>
      </c>
      <c r="AB33" s="35">
        <f t="shared" si="0"/>
        <v>5349.9999999999654</v>
      </c>
      <c r="AC33" s="35">
        <f t="shared" si="0"/>
        <v>5260.0000000000491</v>
      </c>
      <c r="AD33" s="35">
        <f t="shared" si="0"/>
        <v>4539.9999999999636</v>
      </c>
      <c r="AE33" s="35">
        <f t="shared" si="0"/>
        <v>3930.0000000000068</v>
      </c>
      <c r="AF33" s="17">
        <f t="shared" si="0"/>
        <v>738</v>
      </c>
      <c r="AG33" s="32">
        <f t="shared" si="0"/>
        <v>969.99999999999886</v>
      </c>
      <c r="AH33" s="32">
        <f t="shared" si="0"/>
        <v>709.99999999997954</v>
      </c>
      <c r="AI33" s="32">
        <f t="shared" si="0"/>
        <v>1139.9999999999864</v>
      </c>
      <c r="AJ33" s="32">
        <f t="shared" si="0"/>
        <v>909.99999999999659</v>
      </c>
      <c r="AK33" s="32">
        <f t="shared" si="0"/>
        <v>1329.9999999999841</v>
      </c>
      <c r="AL33" s="32">
        <f t="shared" si="0"/>
        <v>970</v>
      </c>
      <c r="AM33" s="32">
        <f t="shared" si="0"/>
        <v>1020.0000000000102</v>
      </c>
      <c r="AN33" s="32">
        <f t="shared" si="0"/>
        <v>1078</v>
      </c>
      <c r="AO33" s="32">
        <f t="shared" si="0"/>
        <v>1290.0000000000205</v>
      </c>
      <c r="AP33" s="32">
        <f t="shared" si="0"/>
        <v>999</v>
      </c>
      <c r="AQ33" s="17">
        <f t="shared" si="0"/>
        <v>1262.5999999999985</v>
      </c>
      <c r="AR33" s="17">
        <f t="shared" si="0"/>
        <v>344</v>
      </c>
      <c r="AS33" s="17">
        <f t="shared" si="0"/>
        <v>108.10000000000036</v>
      </c>
      <c r="AT33" s="17">
        <f t="shared" si="0"/>
        <v>1071.5999999999913</v>
      </c>
      <c r="AU33" s="17">
        <f t="shared" si="0"/>
        <v>7265</v>
      </c>
      <c r="AV33" s="17">
        <f t="shared" si="0"/>
        <v>16710.000000000036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153.84599999999998</v>
      </c>
      <c r="BC33" s="17">
        <f t="shared" si="0"/>
        <v>680</v>
      </c>
    </row>
    <row r="35" spans="5:55" x14ac:dyDescent="0.25">
      <c r="E35" s="38">
        <f>E33/E37</f>
        <v>0.24472272914787416</v>
      </c>
      <c r="G35" s="29">
        <f>G33-M36</f>
        <v>58769.300000000658</v>
      </c>
      <c r="AE35" s="35">
        <f>SUM(U33:AE33)</f>
        <v>63488.439999999995</v>
      </c>
      <c r="AG35" s="32">
        <f>SUM(AG33:AP33)</f>
        <v>10416.999999999976</v>
      </c>
    </row>
    <row r="36" spans="5:55" x14ac:dyDescent="0.25">
      <c r="G36" s="29">
        <f>G35-633*14</f>
        <v>49907.300000000658</v>
      </c>
      <c r="M36" s="29">
        <f>M33+N33</f>
        <v>9930.7000000000226</v>
      </c>
    </row>
    <row r="37" spans="5:55" x14ac:dyDescent="0.25">
      <c r="E37" s="17">
        <f>E33+F33+G33+H33+J33-633*14</f>
        <v>286038.00000000087</v>
      </c>
      <c r="G37" s="37">
        <f>M36/E37</f>
        <v>3.47181143764115E-2</v>
      </c>
      <c r="M37" s="35">
        <f>AE35</f>
        <v>63488.439999999995</v>
      </c>
    </row>
    <row r="38" spans="5:55" x14ac:dyDescent="0.25">
      <c r="L38" s="27">
        <f>M38/E37</f>
        <v>3.6418238136191501E-2</v>
      </c>
      <c r="M38" s="29">
        <f>AG35</f>
        <v>10416.999999999976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8"/>
  <sheetViews>
    <sheetView tabSelected="1" topLeftCell="CB1" zoomScale="85" zoomScaleNormal="85" workbookViewId="0">
      <pane ySplit="1" topLeftCell="A5" activePane="bottomLeft" state="frozen"/>
      <selection pane="bottomLeft" activeCell="CN24" sqref="CN2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" style="71" customWidth="1"/>
    <col min="29" max="29" width="13.42578125" style="57" customWidth="1"/>
    <col min="30" max="30" width="13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71093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  <c r="CX1" s="78" t="s">
        <v>147</v>
      </c>
      <c r="CY1" s="79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44651</v>
      </c>
      <c r="B3" s="68"/>
      <c r="C3" s="58">
        <v>3.0388000000000002</v>
      </c>
      <c r="D3" s="64" t="e">
        <f t="shared" ref="D3" si="0">IF((C3-C2&lt;0), "0",(C3-C2)*1000000)</f>
        <v>#VALUE!</v>
      </c>
      <c r="E3" s="58">
        <v>4.1281999999999996</v>
      </c>
      <c r="F3" s="64" t="e">
        <f t="shared" ref="F3" si="1">IF((E3-E2&lt;0), "0",(E3-E2)*1000000)</f>
        <v>#VALUE!</v>
      </c>
      <c r="G3" s="58">
        <v>4.0949999999999998</v>
      </c>
      <c r="H3" s="64" t="e">
        <f t="shared" ref="H3" si="2">IF((G3-G2&lt;0), "0",(G3-G2)*1000000)</f>
        <v>#VALUE!</v>
      </c>
      <c r="I3" s="58">
        <v>2.0526</v>
      </c>
      <c r="J3" s="64" t="e">
        <f t="shared" ref="J3" si="3">IF((I3-I2&lt;0), "0",(I3-I2)*1000000)</f>
        <v>#VALUE!</v>
      </c>
      <c r="K3" s="58">
        <v>3.22</v>
      </c>
      <c r="L3" s="64" t="e">
        <f t="shared" ref="L3" si="4">IF((K3-K2&lt;0), "0",(K3-K2)*1000000)</f>
        <v>#VALUE!</v>
      </c>
      <c r="M3" s="58">
        <v>1.8238000000000001</v>
      </c>
      <c r="N3" s="64" t="e">
        <f t="shared" ref="N3" si="5">IF((M3-M2&lt;0), "",(M3-M2)*1000000)</f>
        <v>#VALUE!</v>
      </c>
      <c r="O3" s="58">
        <v>19074</v>
      </c>
      <c r="P3" s="67" t="e">
        <f t="shared" ref="P3" si="6">IF((O3-O2&lt;0), "",O3-O2)</f>
        <v>#VALUE!</v>
      </c>
      <c r="Q3" s="58">
        <v>2252</v>
      </c>
      <c r="R3" s="67" t="e">
        <f t="shared" ref="R3" si="7">IF((Q3-Q2&lt;0), "",Q3-Q2)</f>
        <v>#VALUE!</v>
      </c>
      <c r="S3" s="58">
        <v>1277.5999999999999</v>
      </c>
      <c r="T3" s="67" t="e">
        <f t="shared" ref="T3" si="8">IF((S3-S2&lt;0), "",S3-S2)</f>
        <v>#VALUE!</v>
      </c>
      <c r="U3" s="58">
        <v>524255.4</v>
      </c>
      <c r="V3" s="67" t="e">
        <f t="shared" ref="V3" si="9">IF((U3-U2&lt;0), "",U3-U2)</f>
        <v>#VALUE!</v>
      </c>
      <c r="W3" s="58">
        <v>489.77</v>
      </c>
      <c r="X3" s="65" t="e">
        <f t="shared" ref="X3" si="10">IF((W3-W2&lt;0), "",(W3-W2)*1000)</f>
        <v>#VALUE!</v>
      </c>
      <c r="Y3" s="58">
        <v>3.6269999999999998</v>
      </c>
      <c r="Z3" s="65" t="e">
        <f t="shared" ref="Z3" si="11">IF((Y3-Y2&lt;0), "",(Y3-Y2)*1000000)</f>
        <v>#VALUE!</v>
      </c>
      <c r="AA3" s="58">
        <v>491.54</v>
      </c>
      <c r="AB3" s="65" t="e">
        <f t="shared" ref="AB3" si="12">IF((AA3-AA2&lt;0), "",(AA3-AA2)*1000)</f>
        <v>#VALUE!</v>
      </c>
      <c r="AC3" s="58">
        <v>479.98</v>
      </c>
      <c r="AD3" s="65" t="e">
        <f t="shared" ref="AD3" si="13">IF((AC3-AC2&lt;0), "",(AC3-AC2)*1000)</f>
        <v>#VALUE!</v>
      </c>
      <c r="AE3" s="58">
        <v>699</v>
      </c>
      <c r="AF3" s="65" t="e">
        <f t="shared" ref="AF3" si="14">IF((AE3-AE2&lt;0), "",(AE3-AE2)*1000)</f>
        <v>#VALUE!</v>
      </c>
      <c r="AG3" s="58">
        <v>15066</v>
      </c>
      <c r="AH3" s="67" t="e">
        <f t="shared" ref="AH3" si="15">IF((AG3-AG2&lt;0), "",AG3-AG2)</f>
        <v>#VALUE!</v>
      </c>
      <c r="AI3" s="58">
        <v>809.77</v>
      </c>
      <c r="AJ3" s="65" t="e">
        <f t="shared" ref="AJ3" si="16">IF((AI3-AI2&lt;0), "",(AI3-AI2)*1000)</f>
        <v>#VALUE!</v>
      </c>
      <c r="AK3" s="58">
        <v>270.95</v>
      </c>
      <c r="AL3" s="65" t="e">
        <f t="shared" ref="AL3" si="17">IF((AK3-AK2&lt;0), "",(AK3-AK2)*1000)</f>
        <v>#VALUE!</v>
      </c>
      <c r="AM3" s="58">
        <v>253.17</v>
      </c>
      <c r="AN3" s="65" t="e">
        <f t="shared" ref="AN3" si="18">IF((AM3-AM2&lt;0), "",(AM3-AM2)*1000)</f>
        <v>#VALUE!</v>
      </c>
      <c r="AO3" s="58">
        <v>244.46</v>
      </c>
      <c r="AP3" s="65" t="e">
        <f t="shared" ref="AP3" si="19">IF((AO3-AO2&lt;0), "",(AO3-AO2)*1000)</f>
        <v>#VALUE!</v>
      </c>
      <c r="AQ3" s="58">
        <v>301.54000000000002</v>
      </c>
      <c r="AR3" s="65" t="e">
        <f t="shared" ref="AR3" si="20">IF((AQ3-AQ2&lt;0), "",(AQ3-AQ2)*1000)</f>
        <v>#VALUE!</v>
      </c>
      <c r="AS3" s="58">
        <v>426.49</v>
      </c>
      <c r="AT3" s="65" t="e">
        <f t="shared" ref="AT3" si="21">IF((AS3-AS2&lt;0), "",(AS3-AS2)*1000)</f>
        <v>#VALUE!</v>
      </c>
      <c r="AU3" s="58">
        <v>333.68</v>
      </c>
      <c r="AV3" s="65" t="e">
        <f t="shared" ref="AV3" si="22">IF((AU3-AU2&lt;0), "",(AU3-AU2)*1000)</f>
        <v>#VALUE!</v>
      </c>
      <c r="AW3" s="58">
        <v>364.69</v>
      </c>
      <c r="AX3" s="65" t="e">
        <f t="shared" ref="AX3" si="23">IF((AW3-AW2&lt;0), "",(AW3-AW2)*1000)</f>
        <v>#VALUE!</v>
      </c>
      <c r="AY3" s="58">
        <v>399.09</v>
      </c>
      <c r="AZ3" s="65" t="e">
        <f t="shared" ref="AZ3" si="24">IF((AY3-AY2&lt;0), "",(AY3-AY2)*1000)</f>
        <v>#VALUE!</v>
      </c>
      <c r="BA3" s="58">
        <v>419.54</v>
      </c>
      <c r="BB3" s="65" t="e">
        <f t="shared" ref="BB3" si="25">IF((BA3-BA2&lt;0), "",(BA3-BA2)*1000)</f>
        <v>#VALUE!</v>
      </c>
      <c r="BC3" s="58">
        <v>267.83</v>
      </c>
      <c r="BD3" s="65" t="e">
        <f t="shared" ref="BD3" si="26">IF((BC3-BC2&lt;0), "",(BC3-BC2)*1000)</f>
        <v>#VALUE!</v>
      </c>
      <c r="BE3" s="59">
        <v>49512</v>
      </c>
      <c r="BF3" s="67" t="e">
        <f t="shared" ref="BF3" si="27">IF((BE3-BE2&lt;0), "",BE3-BE2)</f>
        <v>#VALUE!</v>
      </c>
      <c r="BG3" s="60">
        <v>246.02</v>
      </c>
      <c r="BH3" s="65" t="e">
        <f t="shared" ref="BH3" si="28">IF((BG3-BG2&lt;0), "",(BG3-BG2)*1000)</f>
        <v>#VALUE!</v>
      </c>
      <c r="BI3" s="60">
        <v>301.29000000000002</v>
      </c>
      <c r="BJ3" s="65" t="e">
        <f t="shared" ref="BJ3" si="29">IF((BI3-BI2&lt;0), "",(BI3-BI2)*1000)</f>
        <v>#VALUE!</v>
      </c>
      <c r="BK3" s="60">
        <v>248.81</v>
      </c>
      <c r="BL3" s="65" t="e">
        <f t="shared" ref="BL3" si="30">IF((BK3-BK2&lt;0), "",(BK3-BK2)*1000)</f>
        <v>#VALUE!</v>
      </c>
      <c r="BM3" s="60">
        <v>235.65</v>
      </c>
      <c r="BN3" s="65" t="e">
        <f t="shared" ref="BN3" si="31">IF((BM3-BM2&lt;0), "",(BM3-BM2)*1000)</f>
        <v>#VALUE!</v>
      </c>
      <c r="BO3" s="60">
        <v>302.42</v>
      </c>
      <c r="BP3" s="65" t="e">
        <f t="shared" ref="BP3" si="32">IF((BO3-BO2&lt;0), "",(BO3-BO2)*1000)</f>
        <v>#VALUE!</v>
      </c>
      <c r="BQ3" s="60">
        <v>54147</v>
      </c>
      <c r="BR3" s="65" t="e">
        <f t="shared" ref="BR3" si="33">IF((BQ3-BQ2&lt;0), "",BQ3-BQ2)</f>
        <v>#VALUE!</v>
      </c>
      <c r="BS3" s="60">
        <v>212.91</v>
      </c>
      <c r="BT3" s="65" t="e">
        <f t="shared" ref="BT3" si="34">IF((BS3-BS2&lt;0), "",(BS3-BS2)*1000)</f>
        <v>#VALUE!</v>
      </c>
      <c r="BU3" s="60">
        <v>51522</v>
      </c>
      <c r="BV3" s="65" t="e">
        <f t="shared" ref="BV3" si="35">IF((BU3-BU2&lt;0), "",BU3-BU2)</f>
        <v>#VALUE!</v>
      </c>
      <c r="BW3" s="60">
        <v>241.01</v>
      </c>
      <c r="BX3" s="65" t="e">
        <f t="shared" ref="BX3" si="36">IF((BW3-BW2&lt;0), "",(BW3-BW2)*1000)</f>
        <v>#VALUE!</v>
      </c>
      <c r="BY3" s="60">
        <v>71270</v>
      </c>
      <c r="BZ3" s="67" t="e">
        <f t="shared" ref="BZ3" si="37">IF((BY3-BY2&lt;0), "",BY3-BY2)</f>
        <v>#VALUE!</v>
      </c>
      <c r="CA3" s="60">
        <v>45054</v>
      </c>
      <c r="CB3" s="67" t="e">
        <f t="shared" ref="CB3" si="38">IF((CA3-CA2&lt;0), "",CA3-CA2)</f>
        <v>#VALUE!</v>
      </c>
      <c r="CC3" s="60">
        <v>14987.7</v>
      </c>
      <c r="CD3" s="67" t="e">
        <f t="shared" ref="CD3" si="39">IF((CC3-CC2&lt;0), "",CC3-CC2)</f>
        <v>#VALUE!</v>
      </c>
      <c r="CE3" s="60">
        <v>7851</v>
      </c>
      <c r="CF3" s="67" t="e">
        <f t="shared" ref="CF3" si="40">IF((CE3-CE2&lt;0), "",CE3-CE2)</f>
        <v>#VALUE!</v>
      </c>
      <c r="CG3" s="60">
        <v>71806.3</v>
      </c>
      <c r="CH3" s="67" t="e">
        <f t="shared" ref="CH3" si="41">IF((CG3-CG2&lt;0), "",CG3-CG2)</f>
        <v>#VALUE!</v>
      </c>
      <c r="CI3" s="60">
        <v>1029466</v>
      </c>
      <c r="CJ3" s="67" t="e">
        <f t="shared" ref="CJ3" si="42">IF((CI3-CI2&lt;0), "",CI3-CI2)</f>
        <v>#VALUE!</v>
      </c>
      <c r="CK3" s="60">
        <v>946.29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30</v>
      </c>
      <c r="CO3" s="62">
        <v>65</v>
      </c>
      <c r="CP3" s="68">
        <v>25827</v>
      </c>
      <c r="CQ3" s="67" t="e">
        <f t="shared" ref="CQ3" si="45">IF((CP3-CP2&lt;0), "",CP3-CP2)</f>
        <v>#VALUE!</v>
      </c>
      <c r="CR3" s="68">
        <v>20268</v>
      </c>
      <c r="CS3" s="67" t="e">
        <f t="shared" ref="CS3" si="46">IF((CR3-CR2&lt;0), "",CR3-CR2)</f>
        <v>#VALUE!</v>
      </c>
      <c r="CT3" s="75">
        <v>9338</v>
      </c>
      <c r="CU3" s="67" t="e">
        <f t="shared" ref="CU3" si="47">IF((CT3-CT2&lt;0), "",CT3-CT2)</f>
        <v>#VALUE!</v>
      </c>
      <c r="CV3" s="68">
        <v>23359</v>
      </c>
      <c r="CW3" s="67" t="e">
        <f t="shared" ref="CW3" si="48">IF((CV3-CV2&lt;0), "",CV3-CV2)</f>
        <v>#VALUE!</v>
      </c>
      <c r="CX3" s="58">
        <v>2369.5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44652</v>
      </c>
      <c r="B4" s="68"/>
      <c r="C4" s="58">
        <v>3.0425</v>
      </c>
      <c r="D4" s="64">
        <f t="shared" ref="D4:D34" si="50">IF((C4-C3&lt;0), "0",(C4-C3)*1000000)</f>
        <v>3699.9999999998145</v>
      </c>
      <c r="E4" s="58">
        <v>4.1321000000000003</v>
      </c>
      <c r="F4" s="64">
        <f t="shared" ref="F4:F34" si="51">IF((E4-E3&lt;0), "0",(E4-E3)*1000000)</f>
        <v>3900.0000000006808</v>
      </c>
      <c r="G4" s="58">
        <v>4.0980999999999996</v>
      </c>
      <c r="H4" s="64">
        <f t="shared" ref="H4:H34" si="52">IF((G4-G3&lt;0), "0",(G4-G3)*1000000)</f>
        <v>3099.9999999998809</v>
      </c>
      <c r="I4" s="58">
        <v>2.0545</v>
      </c>
      <c r="J4" s="64">
        <f t="shared" ref="J4:J34" si="53">IF((I4-I3&lt;0), "0",(I4-I3)*1000000)</f>
        <v>1900.0000000000127</v>
      </c>
      <c r="K4" s="58">
        <v>3.2225999999999999</v>
      </c>
      <c r="L4" s="64">
        <f t="shared" ref="L4:L34" si="54">IF((K4-K3&lt;0), "0",(K4-K3)*1000000)</f>
        <v>2599.9999999997135</v>
      </c>
      <c r="M4" s="58">
        <v>1.8258000000000001</v>
      </c>
      <c r="N4" s="64">
        <f t="shared" ref="N4:N34" si="55">IF((M4-M3&lt;0), "",(M4-M3)*1000000)</f>
        <v>2000.0000000000018</v>
      </c>
      <c r="O4" s="58">
        <v>19112</v>
      </c>
      <c r="P4" s="67">
        <f t="shared" ref="P4:P34" si="56">IF((O4-O3&lt;0), "",O4-O3)</f>
        <v>38</v>
      </c>
      <c r="Q4" s="58">
        <v>2260</v>
      </c>
      <c r="R4" s="67">
        <f t="shared" ref="R4:R34" si="57">IF((Q4-Q3&lt;0), "",Q4-Q3)</f>
        <v>8</v>
      </c>
      <c r="S4" s="58">
        <v>1278.5999999999999</v>
      </c>
      <c r="T4" s="67">
        <f t="shared" ref="T4:T34" si="58">IF((S4-S3&lt;0), "",S4-S3)</f>
        <v>1</v>
      </c>
      <c r="U4" s="58">
        <v>524740.19999999995</v>
      </c>
      <c r="V4" s="67">
        <f t="shared" ref="V4:V34" si="59">IF((U4-U3&lt;0), "",U4-U3)</f>
        <v>484.79999999993015</v>
      </c>
      <c r="W4" s="58">
        <v>490.25</v>
      </c>
      <c r="X4" s="65">
        <f t="shared" ref="X4:X34" si="60">IF((W4-W3&lt;0), "",(W4-W3)*1000)</f>
        <v>480.00000000001819</v>
      </c>
      <c r="Y4" s="58">
        <v>3.6305000000000001</v>
      </c>
      <c r="Z4" s="65">
        <f t="shared" ref="Z4:Z34" si="61">IF((Y4-Y3&lt;0), "",(Y4-Y3)*1000000)</f>
        <v>3500.0000000002806</v>
      </c>
      <c r="AA4" s="58">
        <v>491.85</v>
      </c>
      <c r="AB4" s="65">
        <f t="shared" ref="AB4:AB34" si="62">IF((AA4-AA3&lt;0), "",(AA4-AA3)*1000)</f>
        <v>310.00000000000227</v>
      </c>
      <c r="AC4" s="58">
        <v>480.51</v>
      </c>
      <c r="AD4" s="65">
        <f t="shared" ref="AD4:AD34" si="63">IF((AC4-AC3&lt;0), "",(AC4-AC3)*1000)</f>
        <v>529.99999999997272</v>
      </c>
      <c r="AE4" s="58">
        <v>700.09</v>
      </c>
      <c r="AF4" s="65">
        <f t="shared" ref="AF4:AF34" si="64">IF((AE4-AE3&lt;0), "",(AE4-AE3)*1000)</f>
        <v>1090.0000000000318</v>
      </c>
      <c r="AG4" s="58">
        <v>15107</v>
      </c>
      <c r="AH4" s="67">
        <f t="shared" ref="AH4:AH34" si="65">IF((AG4-AG3&lt;0), "",AG4-AG3)</f>
        <v>41</v>
      </c>
      <c r="AI4" s="58">
        <v>810.52</v>
      </c>
      <c r="AJ4" s="65">
        <f t="shared" ref="AJ4:AJ34" si="66">IF((AI4-AI3&lt;0), "",(AI4-AI3)*1000)</f>
        <v>750</v>
      </c>
      <c r="AK4" s="58">
        <v>271.32</v>
      </c>
      <c r="AL4" s="65">
        <f t="shared" ref="AL4:AL34" si="67">IF((AK4-AK3&lt;0), "",(AK4-AK3)*1000)</f>
        <v>370.00000000000455</v>
      </c>
      <c r="AM4" s="58">
        <v>253.45</v>
      </c>
      <c r="AN4" s="65">
        <f t="shared" ref="AN4:AN34" si="68">IF((AM4-AM3&lt;0), "",(AM4-AM3)*1000)</f>
        <v>280.00000000000114</v>
      </c>
      <c r="AO4" s="58">
        <v>244.71</v>
      </c>
      <c r="AP4" s="65">
        <f t="shared" ref="AP4:AP34" si="69">IF((AO4-AO3&lt;0), "",(AO4-AO3)*1000)</f>
        <v>250</v>
      </c>
      <c r="AQ4" s="58">
        <v>301.74</v>
      </c>
      <c r="AR4" s="65">
        <f t="shared" ref="AR4:AR34" si="70">IF((AQ4-AQ3&lt;0), "",(AQ4-AQ3)*1000)</f>
        <v>199.99999999998863</v>
      </c>
      <c r="AS4" s="58">
        <v>426.64</v>
      </c>
      <c r="AT4" s="65">
        <f t="shared" ref="AT4:AT34" si="71">IF((AS4-AS3&lt;0), "",(AS4-AS3)*1000)</f>
        <v>149.99999999997726</v>
      </c>
      <c r="AU4" s="58">
        <v>333.92</v>
      </c>
      <c r="AV4" s="65">
        <f t="shared" ref="AV4:AV34" si="72">IF((AU4-AU3&lt;0), "",(AU4-AU3)*1000)</f>
        <v>240.00000000000909</v>
      </c>
      <c r="AW4" s="58">
        <v>364.96</v>
      </c>
      <c r="AX4" s="65">
        <f t="shared" ref="AX4:AX34" si="73">IF((AW4-AW3&lt;0), "",(AW4-AW3)*1000)</f>
        <v>269.99999999998181</v>
      </c>
      <c r="AY4" s="58">
        <v>399.38</v>
      </c>
      <c r="AZ4" s="65">
        <f t="shared" ref="AZ4:AZ34" si="74">IF((AY4-AY3&lt;0), "",(AY4-AY3)*1000)</f>
        <v>290.00000000002046</v>
      </c>
      <c r="BA4" s="58">
        <v>419.84</v>
      </c>
      <c r="BB4" s="65">
        <f t="shared" ref="BB4:BB34" si="75">IF((BA4-BA3&lt;0), "",(BA4-BA3)*1000)</f>
        <v>299.99999999995453</v>
      </c>
      <c r="BC4" s="58">
        <v>267.99</v>
      </c>
      <c r="BD4" s="65">
        <f t="shared" ref="BD4:BD34" si="76">IF((BC4-BC3&lt;0), "",(BC4-BC3)*1000)</f>
        <v>160.00000000002501</v>
      </c>
      <c r="BE4" s="59">
        <v>49563</v>
      </c>
      <c r="BF4" s="67">
        <f t="shared" ref="BF4:BF34" si="77">IF((BE4-BE3&lt;0), "",BE4-BE3)</f>
        <v>51</v>
      </c>
      <c r="BG4" s="60">
        <v>246.07</v>
      </c>
      <c r="BH4" s="65">
        <f t="shared" ref="BH4:BH34" si="78">IF((BG4-BG3&lt;0), "",(BG4-BG3)*1000)</f>
        <v>49.999999999982947</v>
      </c>
      <c r="BI4" s="60">
        <v>301.32</v>
      </c>
      <c r="BJ4" s="65">
        <f t="shared" ref="BJ4:BJ34" si="79">IF((BI4-BI3&lt;0), "",(BI4-BI3)*1000)</f>
        <v>29.999999999972715</v>
      </c>
      <c r="BK4" s="60">
        <v>248.86</v>
      </c>
      <c r="BL4" s="65">
        <f t="shared" ref="BL4:BL34" si="80">IF((BK4-BK3&lt;0), "",(BK4-BK3)*1000)</f>
        <v>50.000000000011369</v>
      </c>
      <c r="BM4" s="60">
        <v>235.7</v>
      </c>
      <c r="BN4" s="65">
        <f t="shared" ref="BN4:BN34" si="81">IF((BM4-BM3&lt;0), "",(BM4-BM3)*1000)</f>
        <v>49.999999999982947</v>
      </c>
      <c r="BO4" s="60">
        <v>302.48</v>
      </c>
      <c r="BP4" s="65">
        <f t="shared" ref="BP4:BP34" si="82">IF((BO4-BO3&lt;0), "",(BO4-BO3)*1000)</f>
        <v>60.000000000002274</v>
      </c>
      <c r="BQ4" s="60">
        <v>54202</v>
      </c>
      <c r="BR4" s="65">
        <f t="shared" ref="BR4:BR34" si="83">IF((BQ4-BQ3&lt;0), "",BQ4-BQ3)</f>
        <v>55</v>
      </c>
      <c r="BS4" s="60">
        <v>212.96</v>
      </c>
      <c r="BT4" s="65">
        <f t="shared" ref="BT4:BT34" si="84">IF((BS4-BS3&lt;0), "",(BS4-BS3)*1000)</f>
        <v>50.000000000011369</v>
      </c>
      <c r="BU4" s="60">
        <v>51574</v>
      </c>
      <c r="BV4" s="65">
        <f t="shared" ref="BV4:BV34" si="85">IF((BU4-BU3&lt;0), "",BU4-BU3)</f>
        <v>52</v>
      </c>
      <c r="BW4" s="60">
        <v>241.08</v>
      </c>
      <c r="BX4" s="65">
        <f t="shared" ref="BX4:BX34" si="86">IF((BW4-BW3&lt;0), "",(BW4-BW3)*1000)</f>
        <v>70.0000000000216</v>
      </c>
      <c r="BY4" s="60">
        <v>71323</v>
      </c>
      <c r="BZ4" s="67">
        <f t="shared" ref="BZ4:BZ34" si="87">IF((BY4-BY3&lt;0), "",BY4-BY3)</f>
        <v>53</v>
      </c>
      <c r="CA4" s="60">
        <v>45065.5</v>
      </c>
      <c r="CB4" s="67">
        <f t="shared" ref="CB4:CB34" si="88">IF((CA4-CA3&lt;0), "",CA4-CA3)</f>
        <v>11.5</v>
      </c>
      <c r="CC4" s="60">
        <v>15009.3</v>
      </c>
      <c r="CD4" s="67">
        <f t="shared" ref="CD4:CD34" si="89">IF((CC4-CC3&lt;0), "",CC4-CC3)</f>
        <v>21.599999999998545</v>
      </c>
      <c r="CE4" s="60">
        <v>7852</v>
      </c>
      <c r="CF4" s="67">
        <f t="shared" ref="CF4:CF34" si="90">IF((CE4-CE3&lt;0), "",CE4-CE3)</f>
        <v>1</v>
      </c>
      <c r="CG4" s="60">
        <v>71849</v>
      </c>
      <c r="CH4" s="67">
        <f t="shared" ref="CH4:CH34" si="91">IF((CG4-CG3&lt;0), "",CG4-CG3)</f>
        <v>42.69999999999709</v>
      </c>
      <c r="CI4" s="60">
        <v>1029797</v>
      </c>
      <c r="CJ4" s="67">
        <f t="shared" ref="CJ4:CJ34" si="92">IF((CI4-CI3&lt;0), "",CI4-CI3)</f>
        <v>331</v>
      </c>
      <c r="CK4" s="60">
        <v>947.07</v>
      </c>
      <c r="CL4" s="64">
        <f t="shared" ref="CL4:CL34" si="93">IF((CK4-CK3&lt;0), "",(CK4-CK3)*1000)</f>
        <v>780.0000000000864</v>
      </c>
      <c r="CM4" s="65">
        <f t="shared" ref="CM4:CM34" si="94">CQ4+CS4</f>
        <v>86</v>
      </c>
      <c r="CN4" s="62">
        <v>30</v>
      </c>
      <c r="CO4" s="62">
        <v>65</v>
      </c>
      <c r="CP4" s="68">
        <v>25905</v>
      </c>
      <c r="CQ4" s="67">
        <f t="shared" ref="CQ4:CQ34" si="95">IF((CP4-CP3&lt;0), "",CP4-CP3)</f>
        <v>78</v>
      </c>
      <c r="CR4" s="68">
        <v>20276</v>
      </c>
      <c r="CS4" s="67">
        <f t="shared" ref="CS4:CS34" si="96">IF((CR4-CR3&lt;0), "",CR4-CR3)</f>
        <v>8</v>
      </c>
      <c r="CT4" s="75">
        <v>9361</v>
      </c>
      <c r="CU4" s="67">
        <f t="shared" ref="CU4:CU34" si="97">IF((CT4-CT3&lt;0), "",CT4-CT3)</f>
        <v>23</v>
      </c>
      <c r="CV4" s="68">
        <v>23379</v>
      </c>
      <c r="CW4" s="67">
        <f t="shared" ref="CW4:CW34" si="98">IF((CV4-CV3&lt;0), "",CV4-CV3)</f>
        <v>20</v>
      </c>
      <c r="CX4" s="58">
        <v>2383.1999999999998</v>
      </c>
      <c r="CY4" s="67">
        <f t="shared" ref="CY4:CY34" si="99">IF((CX4-CX3&lt;0), "",CX4-CX3)</f>
        <v>13.699999999999818</v>
      </c>
    </row>
    <row r="5" spans="1:103" ht="25.5" customHeight="1" thickBot="1" x14ac:dyDescent="0.45">
      <c r="A5" s="63">
        <v>44653</v>
      </c>
      <c r="B5" s="44"/>
      <c r="C5" s="58">
        <v>3.0461</v>
      </c>
      <c r="D5" s="64">
        <f t="shared" si="50"/>
        <v>3600.0000000000477</v>
      </c>
      <c r="E5" s="58">
        <v>4.1359000000000004</v>
      </c>
      <c r="F5" s="64">
        <f t="shared" si="51"/>
        <v>3800.0000000000255</v>
      </c>
      <c r="G5" s="58">
        <v>4.1014999999999997</v>
      </c>
      <c r="H5" s="64">
        <f t="shared" si="52"/>
        <v>3400.0000000000696</v>
      </c>
      <c r="I5" s="58">
        <v>2.0565000000000002</v>
      </c>
      <c r="J5" s="64">
        <f t="shared" si="53"/>
        <v>2000.0000000002237</v>
      </c>
      <c r="K5" s="58">
        <v>3.2252000000000001</v>
      </c>
      <c r="L5" s="64">
        <f t="shared" si="54"/>
        <v>2600.0000000001578</v>
      </c>
      <c r="M5" s="58">
        <v>1.8278000000000001</v>
      </c>
      <c r="N5" s="64">
        <f t="shared" si="55"/>
        <v>2000.0000000000018</v>
      </c>
      <c r="O5" s="58">
        <v>19120</v>
      </c>
      <c r="P5" s="67">
        <f t="shared" si="56"/>
        <v>8</v>
      </c>
      <c r="Q5" s="58">
        <v>2268</v>
      </c>
      <c r="R5" s="67">
        <f t="shared" si="57"/>
        <v>8</v>
      </c>
      <c r="S5" s="58">
        <v>1280.2</v>
      </c>
      <c r="T5" s="67">
        <f t="shared" si="58"/>
        <v>1.6000000000001364</v>
      </c>
      <c r="U5" s="58">
        <v>525405.6</v>
      </c>
      <c r="V5" s="67">
        <f t="shared" si="59"/>
        <v>665.40000000002328</v>
      </c>
      <c r="W5" s="58">
        <v>490.79</v>
      </c>
      <c r="X5" s="65">
        <f t="shared" si="60"/>
        <v>540.00000000002046</v>
      </c>
      <c r="Y5" s="58">
        <v>3.6341999999999999</v>
      </c>
      <c r="Z5" s="65">
        <f t="shared" si="61"/>
        <v>3699.9999999998145</v>
      </c>
      <c r="AA5" s="58">
        <v>492.22</v>
      </c>
      <c r="AB5" s="65">
        <f t="shared" si="62"/>
        <v>370.00000000000455</v>
      </c>
      <c r="AC5" s="58">
        <v>481.2</v>
      </c>
      <c r="AD5" s="65">
        <f t="shared" si="63"/>
        <v>689.99999999999773</v>
      </c>
      <c r="AE5" s="58">
        <v>701.28</v>
      </c>
      <c r="AF5" s="65">
        <f t="shared" si="64"/>
        <v>1189.9999999999409</v>
      </c>
      <c r="AG5" s="58">
        <v>15162</v>
      </c>
      <c r="AH5" s="67">
        <f t="shared" si="65"/>
        <v>55</v>
      </c>
      <c r="AI5" s="58">
        <v>811.43</v>
      </c>
      <c r="AJ5" s="65">
        <f t="shared" si="66"/>
        <v>909.99999999996817</v>
      </c>
      <c r="AK5" s="58">
        <v>271.69</v>
      </c>
      <c r="AL5" s="65">
        <f t="shared" si="67"/>
        <v>370.00000000000455</v>
      </c>
      <c r="AM5" s="58">
        <v>253.64</v>
      </c>
      <c r="AN5" s="65">
        <f t="shared" si="68"/>
        <v>189.99999999999773</v>
      </c>
      <c r="AO5" s="58">
        <v>245.01</v>
      </c>
      <c r="AP5" s="65">
        <v>301.98</v>
      </c>
      <c r="AQ5" s="58">
        <v>301.98</v>
      </c>
      <c r="AR5" s="65">
        <f t="shared" si="70"/>
        <v>240.00000000000909</v>
      </c>
      <c r="AS5" s="58">
        <v>426.93</v>
      </c>
      <c r="AT5" s="65">
        <f t="shared" si="71"/>
        <v>290.00000000002046</v>
      </c>
      <c r="AU5" s="58">
        <v>334.27</v>
      </c>
      <c r="AV5" s="65">
        <f t="shared" si="72"/>
        <v>349.99999999996589</v>
      </c>
      <c r="AW5" s="58">
        <v>365.31</v>
      </c>
      <c r="AX5" s="65">
        <f t="shared" si="73"/>
        <v>350.00000000002274</v>
      </c>
      <c r="AY5" s="58">
        <v>399.7</v>
      </c>
      <c r="AZ5" s="65">
        <f t="shared" si="74"/>
        <v>319.99999999999318</v>
      </c>
      <c r="BA5" s="58">
        <v>420.19</v>
      </c>
      <c r="BB5" s="65">
        <f t="shared" si="75"/>
        <v>350.00000000002274</v>
      </c>
      <c r="BC5" s="58">
        <v>268.12</v>
      </c>
      <c r="BD5" s="65">
        <f t="shared" si="76"/>
        <v>129.99999999999545</v>
      </c>
      <c r="BE5" s="59">
        <v>49604</v>
      </c>
      <c r="BF5" s="67">
        <f t="shared" si="77"/>
        <v>41</v>
      </c>
      <c r="BG5" s="60">
        <v>246.13</v>
      </c>
      <c r="BH5" s="65">
        <f t="shared" si="78"/>
        <v>60.000000000002274</v>
      </c>
      <c r="BI5" s="60">
        <v>301.36</v>
      </c>
      <c r="BJ5" s="65">
        <f t="shared" si="79"/>
        <v>40.000000000020464</v>
      </c>
      <c r="BK5" s="60">
        <v>248.93</v>
      </c>
      <c r="BL5" s="65">
        <f t="shared" si="80"/>
        <v>69.999999999993179</v>
      </c>
      <c r="BM5" s="60">
        <v>235.75</v>
      </c>
      <c r="BN5" s="65">
        <f t="shared" si="81"/>
        <v>50.000000000011369</v>
      </c>
      <c r="BO5" s="60">
        <v>302.57</v>
      </c>
      <c r="BP5" s="65">
        <f t="shared" si="82"/>
        <v>89.999999999974989</v>
      </c>
      <c r="BQ5" s="60">
        <v>54257</v>
      </c>
      <c r="BR5" s="65">
        <f t="shared" si="83"/>
        <v>55</v>
      </c>
      <c r="BS5" s="60">
        <v>213.02</v>
      </c>
      <c r="BT5" s="65">
        <f t="shared" si="84"/>
        <v>60.000000000002274</v>
      </c>
      <c r="BU5" s="60">
        <v>51633</v>
      </c>
      <c r="BV5" s="65">
        <f t="shared" si="85"/>
        <v>59</v>
      </c>
      <c r="BW5" s="60">
        <v>241.16</v>
      </c>
      <c r="BX5" s="65">
        <f t="shared" si="86"/>
        <v>79.999999999984084</v>
      </c>
      <c r="BY5" s="60">
        <v>71385</v>
      </c>
      <c r="BZ5" s="67">
        <f t="shared" si="87"/>
        <v>62</v>
      </c>
      <c r="CA5" s="60">
        <v>45105.7</v>
      </c>
      <c r="CB5" s="67">
        <f t="shared" si="88"/>
        <v>40.19999999999709</v>
      </c>
      <c r="CC5" s="60">
        <v>15028.5</v>
      </c>
      <c r="CD5" s="67">
        <f t="shared" si="89"/>
        <v>19.200000000000728</v>
      </c>
      <c r="CE5" s="60">
        <v>7853.2</v>
      </c>
      <c r="CF5" s="67">
        <f t="shared" si="90"/>
        <v>1.1999999999998181</v>
      </c>
      <c r="CG5" s="60">
        <v>71925.399999999994</v>
      </c>
      <c r="CH5" s="67">
        <f t="shared" si="91"/>
        <v>76.399999999994179</v>
      </c>
      <c r="CI5" s="60">
        <v>1030262</v>
      </c>
      <c r="CJ5" s="67">
        <f t="shared" si="92"/>
        <v>465</v>
      </c>
      <c r="CK5" s="60">
        <v>947.95</v>
      </c>
      <c r="CL5" s="64">
        <f t="shared" si="93"/>
        <v>879.99999999999545</v>
      </c>
      <c r="CM5" s="65">
        <f t="shared" si="94"/>
        <v>108</v>
      </c>
      <c r="CN5" s="62">
        <v>31</v>
      </c>
      <c r="CO5" s="62">
        <v>71</v>
      </c>
      <c r="CP5" s="68">
        <v>25994</v>
      </c>
      <c r="CQ5" s="67">
        <f t="shared" si="95"/>
        <v>89</v>
      </c>
      <c r="CR5" s="68">
        <v>20295</v>
      </c>
      <c r="CS5" s="67">
        <f t="shared" si="96"/>
        <v>19</v>
      </c>
      <c r="CT5" s="75">
        <v>9392</v>
      </c>
      <c r="CU5" s="67">
        <f t="shared" si="97"/>
        <v>31</v>
      </c>
      <c r="CV5" s="68">
        <v>23407</v>
      </c>
      <c r="CW5" s="67">
        <f t="shared" si="98"/>
        <v>28</v>
      </c>
      <c r="CX5" s="58">
        <v>2396</v>
      </c>
      <c r="CY5" s="67">
        <f t="shared" si="99"/>
        <v>12.800000000000182</v>
      </c>
    </row>
    <row r="6" spans="1:103" ht="24.75" customHeight="1" thickBot="1" x14ac:dyDescent="0.45">
      <c r="A6" s="63">
        <v>44654</v>
      </c>
      <c r="B6" s="44"/>
      <c r="C6" s="58">
        <v>3.0499000000000001</v>
      </c>
      <c r="D6" s="64">
        <f t="shared" si="50"/>
        <v>3800.0000000000255</v>
      </c>
      <c r="E6" s="58">
        <v>4.1399999999999997</v>
      </c>
      <c r="F6" s="64">
        <f t="shared" si="51"/>
        <v>4099.9999999993261</v>
      </c>
      <c r="G6" s="58">
        <v>4.1048</v>
      </c>
      <c r="H6" s="64">
        <f t="shared" si="52"/>
        <v>3300.0000000003029</v>
      </c>
      <c r="I6" s="58">
        <v>2.0585</v>
      </c>
      <c r="J6" s="64">
        <f t="shared" si="53"/>
        <v>1999.9999999997797</v>
      </c>
      <c r="K6" s="58">
        <v>3.2277999999999998</v>
      </c>
      <c r="L6" s="64">
        <f t="shared" si="54"/>
        <v>2599.9999999997135</v>
      </c>
      <c r="M6" s="58">
        <v>1.8302</v>
      </c>
      <c r="N6" s="64">
        <f t="shared" si="55"/>
        <v>2399.9999999999577</v>
      </c>
      <c r="O6" s="58">
        <v>19220</v>
      </c>
      <c r="P6" s="67">
        <f t="shared" si="56"/>
        <v>100</v>
      </c>
      <c r="Q6" s="58">
        <v>2274</v>
      </c>
      <c r="R6" s="67">
        <f t="shared" si="57"/>
        <v>6</v>
      </c>
      <c r="S6" s="58">
        <v>1281.2</v>
      </c>
      <c r="T6" s="67">
        <f t="shared" si="58"/>
        <v>1</v>
      </c>
      <c r="U6" s="58">
        <v>525751.4</v>
      </c>
      <c r="V6" s="67">
        <f t="shared" si="59"/>
        <v>345.80000000004657</v>
      </c>
      <c r="W6" s="58">
        <v>491.17</v>
      </c>
      <c r="X6" s="65">
        <f t="shared" si="60"/>
        <v>379.99999999999545</v>
      </c>
      <c r="Y6" s="58">
        <v>3.6373000000000002</v>
      </c>
      <c r="Z6" s="65">
        <f t="shared" si="61"/>
        <v>3100.0000000003247</v>
      </c>
      <c r="AA6" s="58">
        <v>492.55</v>
      </c>
      <c r="AB6" s="65">
        <f t="shared" si="62"/>
        <v>329.99999999998408</v>
      </c>
      <c r="AC6" s="58">
        <v>481.84</v>
      </c>
      <c r="AD6" s="65">
        <f t="shared" si="63"/>
        <v>639.99999999998636</v>
      </c>
      <c r="AE6" s="58">
        <v>702.27</v>
      </c>
      <c r="AF6" s="65">
        <f t="shared" si="64"/>
        <v>990.00000000000909</v>
      </c>
      <c r="AG6" s="58">
        <v>15196</v>
      </c>
      <c r="AH6" s="67">
        <f t="shared" si="65"/>
        <v>34</v>
      </c>
      <c r="AI6" s="58">
        <v>812.08</v>
      </c>
      <c r="AJ6" s="65">
        <f t="shared" si="66"/>
        <v>650.00000000009095</v>
      </c>
      <c r="AK6" s="58">
        <v>271.95</v>
      </c>
      <c r="AL6" s="65">
        <f t="shared" si="67"/>
        <v>259.99999999999091</v>
      </c>
      <c r="AM6" s="58">
        <v>254.05</v>
      </c>
      <c r="AN6" s="65">
        <f t="shared" si="68"/>
        <v>410.00000000002501</v>
      </c>
      <c r="AO6" s="58">
        <v>245.26</v>
      </c>
      <c r="AP6" s="65">
        <f t="shared" si="69"/>
        <v>250</v>
      </c>
      <c r="AQ6" s="58">
        <v>302.16000000000003</v>
      </c>
      <c r="AR6" s="65">
        <f t="shared" si="70"/>
        <v>180.00000000000682</v>
      </c>
      <c r="AS6" s="58">
        <v>427.09</v>
      </c>
      <c r="AT6" s="65">
        <f t="shared" si="71"/>
        <v>159.99999999996817</v>
      </c>
      <c r="AU6" s="58">
        <v>334.53</v>
      </c>
      <c r="AV6" s="65">
        <f t="shared" si="72"/>
        <v>259.99999999999091</v>
      </c>
      <c r="AW6" s="58">
        <v>365.54</v>
      </c>
      <c r="AX6" s="65">
        <f t="shared" si="73"/>
        <v>230.00000000001819</v>
      </c>
      <c r="AY6" s="58">
        <v>399.92</v>
      </c>
      <c r="AZ6" s="65">
        <f t="shared" si="74"/>
        <v>220.00000000002728</v>
      </c>
      <c r="BA6" s="58">
        <v>420.39</v>
      </c>
      <c r="BB6" s="65">
        <f t="shared" si="75"/>
        <v>199.99999999998863</v>
      </c>
      <c r="BC6" s="58">
        <v>268.18</v>
      </c>
      <c r="BD6" s="65">
        <f t="shared" si="76"/>
        <v>60.000000000002274</v>
      </c>
      <c r="BE6" s="59">
        <v>49632</v>
      </c>
      <c r="BF6" s="67">
        <f t="shared" si="77"/>
        <v>28</v>
      </c>
      <c r="BG6" s="60">
        <v>246.17</v>
      </c>
      <c r="BH6" s="65">
        <f t="shared" si="78"/>
        <v>39.999999999992042</v>
      </c>
      <c r="BI6" s="60">
        <v>301.39999999999998</v>
      </c>
      <c r="BJ6" s="65">
        <f t="shared" si="79"/>
        <v>39.99999999996362</v>
      </c>
      <c r="BK6" s="60">
        <v>248.98</v>
      </c>
      <c r="BL6" s="65">
        <f t="shared" si="80"/>
        <v>49.999999999982947</v>
      </c>
      <c r="BM6" s="60">
        <v>235.8</v>
      </c>
      <c r="BN6" s="65">
        <f t="shared" si="81"/>
        <v>50.000000000011369</v>
      </c>
      <c r="BO6" s="60">
        <v>302.63</v>
      </c>
      <c r="BP6" s="65">
        <f t="shared" si="82"/>
        <v>60.000000000002274</v>
      </c>
      <c r="BQ6" s="60">
        <v>54306</v>
      </c>
      <c r="BR6" s="65">
        <f t="shared" si="83"/>
        <v>49</v>
      </c>
      <c r="BS6" s="60">
        <v>213.08</v>
      </c>
      <c r="BT6" s="65">
        <f t="shared" si="84"/>
        <v>60.000000000002274</v>
      </c>
      <c r="BU6" s="60">
        <v>51684</v>
      </c>
      <c r="BV6" s="65">
        <f t="shared" si="85"/>
        <v>51</v>
      </c>
      <c r="BW6" s="60">
        <v>241.23</v>
      </c>
      <c r="BX6" s="65">
        <f t="shared" si="86"/>
        <v>69.999999999993179</v>
      </c>
      <c r="BY6" s="60">
        <v>71435</v>
      </c>
      <c r="BZ6" s="67">
        <f t="shared" si="87"/>
        <v>50</v>
      </c>
      <c r="CA6" s="60">
        <v>45153.4</v>
      </c>
      <c r="CB6" s="67">
        <f t="shared" si="88"/>
        <v>47.700000000004366</v>
      </c>
      <c r="CC6" s="60">
        <v>15038.6</v>
      </c>
      <c r="CD6" s="67">
        <f t="shared" si="89"/>
        <v>10.100000000000364</v>
      </c>
      <c r="CE6" s="60">
        <v>7855.5</v>
      </c>
      <c r="CF6" s="67">
        <f t="shared" si="90"/>
        <v>2.3000000000001819</v>
      </c>
      <c r="CG6" s="60">
        <v>71944.3</v>
      </c>
      <c r="CH6" s="67">
        <f t="shared" si="91"/>
        <v>18.900000000008731</v>
      </c>
      <c r="CI6" s="60">
        <v>1030646</v>
      </c>
      <c r="CJ6" s="67">
        <f t="shared" si="92"/>
        <v>384</v>
      </c>
      <c r="CK6" s="60">
        <v>948.84</v>
      </c>
      <c r="CL6" s="64">
        <f t="shared" si="93"/>
        <v>889.99999999998636</v>
      </c>
      <c r="CM6" s="65">
        <f t="shared" si="94"/>
        <v>100.5</v>
      </c>
      <c r="CN6" s="62">
        <v>34</v>
      </c>
      <c r="CO6" s="62">
        <v>82</v>
      </c>
      <c r="CP6" s="68">
        <v>26084</v>
      </c>
      <c r="CQ6" s="67">
        <f t="shared" si="95"/>
        <v>90</v>
      </c>
      <c r="CR6" s="68">
        <v>20305.5</v>
      </c>
      <c r="CS6" s="67">
        <f t="shared" si="96"/>
        <v>10.5</v>
      </c>
      <c r="CT6" s="75">
        <v>9416</v>
      </c>
      <c r="CU6" s="67">
        <f t="shared" si="97"/>
        <v>24</v>
      </c>
      <c r="CV6" s="68">
        <v>23422</v>
      </c>
      <c r="CW6" s="67">
        <f t="shared" si="98"/>
        <v>15</v>
      </c>
      <c r="CX6" s="58">
        <v>2409.6999999999998</v>
      </c>
      <c r="CY6" s="67">
        <f t="shared" si="99"/>
        <v>13.699999999999818</v>
      </c>
    </row>
    <row r="7" spans="1:103" ht="25.5" customHeight="1" thickBot="1" x14ac:dyDescent="0.45">
      <c r="A7" s="63">
        <v>44655</v>
      </c>
      <c r="B7" s="44"/>
      <c r="C7" s="58">
        <v>3.0531999999999999</v>
      </c>
      <c r="D7" s="64">
        <f t="shared" si="50"/>
        <v>3299.9999999998586</v>
      </c>
      <c r="E7" s="58">
        <v>4.1436999999999999</v>
      </c>
      <c r="F7" s="64">
        <f t="shared" si="51"/>
        <v>3700.0000000002588</v>
      </c>
      <c r="G7" s="58">
        <v>4.1082999999999998</v>
      </c>
      <c r="H7" s="64">
        <f t="shared" si="52"/>
        <v>3499.9999999998367</v>
      </c>
      <c r="I7" s="58">
        <v>2.0604</v>
      </c>
      <c r="J7" s="64">
        <f t="shared" si="53"/>
        <v>1900.0000000000127</v>
      </c>
      <c r="K7" s="58">
        <v>3.2302</v>
      </c>
      <c r="L7" s="64">
        <f t="shared" si="54"/>
        <v>2400.0000000001796</v>
      </c>
      <c r="M7" s="58">
        <v>1.8325</v>
      </c>
      <c r="N7" s="64">
        <f t="shared" si="55"/>
        <v>2299.9999999999686</v>
      </c>
      <c r="O7" s="58">
        <v>19268</v>
      </c>
      <c r="P7" s="67">
        <f t="shared" si="56"/>
        <v>48</v>
      </c>
      <c r="Q7" s="58">
        <v>2281</v>
      </c>
      <c r="R7" s="67">
        <f t="shared" si="57"/>
        <v>7</v>
      </c>
      <c r="S7" s="58">
        <v>1282.4000000000001</v>
      </c>
      <c r="T7" s="67">
        <f t="shared" si="58"/>
        <v>1.2000000000000455</v>
      </c>
      <c r="U7" s="58">
        <v>526228.9</v>
      </c>
      <c r="V7" s="67">
        <f t="shared" si="59"/>
        <v>477.5</v>
      </c>
      <c r="W7" s="58">
        <v>491.65</v>
      </c>
      <c r="X7" s="65">
        <f t="shared" si="60"/>
        <v>479.99999999996135</v>
      </c>
      <c r="Y7" s="58">
        <v>3.6406000000000001</v>
      </c>
      <c r="Z7" s="65">
        <f t="shared" si="61"/>
        <v>3299.9999999998586</v>
      </c>
      <c r="AA7" s="58">
        <v>493.03</v>
      </c>
      <c r="AB7" s="65">
        <f t="shared" si="62"/>
        <v>479.99999999996135</v>
      </c>
      <c r="AC7" s="58">
        <v>482.46</v>
      </c>
      <c r="AD7" s="65">
        <f t="shared" si="63"/>
        <v>620.00000000000455</v>
      </c>
      <c r="AE7" s="58">
        <v>703.28</v>
      </c>
      <c r="AF7" s="65">
        <f t="shared" si="64"/>
        <v>1009.9999999999909</v>
      </c>
      <c r="AG7" s="58">
        <v>15249</v>
      </c>
      <c r="AH7" s="67">
        <f t="shared" si="65"/>
        <v>53</v>
      </c>
      <c r="AI7" s="58">
        <v>812.82</v>
      </c>
      <c r="AJ7" s="65">
        <f t="shared" si="66"/>
        <v>740.00000000000909</v>
      </c>
      <c r="AK7" s="58">
        <v>272.25</v>
      </c>
      <c r="AL7" s="65">
        <f t="shared" si="67"/>
        <v>300.00000000001137</v>
      </c>
      <c r="AM7" s="58">
        <v>254.24</v>
      </c>
      <c r="AN7" s="65">
        <f t="shared" si="68"/>
        <v>189.99999999999773</v>
      </c>
      <c r="AO7" s="58">
        <v>245.51</v>
      </c>
      <c r="AP7" s="65">
        <f t="shared" si="69"/>
        <v>250</v>
      </c>
      <c r="AQ7" s="58">
        <v>302.36</v>
      </c>
      <c r="AR7" s="65">
        <f t="shared" si="70"/>
        <v>199.99999999998863</v>
      </c>
      <c r="AS7" s="58">
        <v>427.27</v>
      </c>
      <c r="AT7" s="65">
        <f t="shared" si="71"/>
        <v>180.00000000000682</v>
      </c>
      <c r="AU7" s="58">
        <v>334.81</v>
      </c>
      <c r="AV7" s="65">
        <f t="shared" si="72"/>
        <v>280.00000000002956</v>
      </c>
      <c r="AW7" s="58">
        <v>365.83</v>
      </c>
      <c r="AX7" s="65">
        <f t="shared" si="73"/>
        <v>289.99999999996362</v>
      </c>
      <c r="AY7" s="58">
        <v>400.16</v>
      </c>
      <c r="AZ7" s="65">
        <f t="shared" si="74"/>
        <v>240.00000000000909</v>
      </c>
      <c r="BA7" s="58">
        <v>420.63</v>
      </c>
      <c r="BB7" s="65">
        <f t="shared" si="75"/>
        <v>240.00000000000909</v>
      </c>
      <c r="BC7" s="58">
        <v>268.3</v>
      </c>
      <c r="BD7" s="65">
        <f t="shared" si="76"/>
        <v>120.00000000000455</v>
      </c>
      <c r="BE7" s="59">
        <v>49662</v>
      </c>
      <c r="BF7" s="67">
        <f t="shared" si="77"/>
        <v>30</v>
      </c>
      <c r="BG7" s="60">
        <v>246.22</v>
      </c>
      <c r="BH7" s="65">
        <f t="shared" si="78"/>
        <v>50.000000000011369</v>
      </c>
      <c r="BI7" s="60">
        <v>301.44</v>
      </c>
      <c r="BJ7" s="65">
        <f t="shared" si="79"/>
        <v>40.000000000020464</v>
      </c>
      <c r="BK7" s="60">
        <v>249.02</v>
      </c>
      <c r="BL7" s="65">
        <f t="shared" si="80"/>
        <v>40.000000000020464</v>
      </c>
      <c r="BM7" s="60">
        <v>235.84</v>
      </c>
      <c r="BN7" s="65">
        <f t="shared" si="81"/>
        <v>39.999999999992042</v>
      </c>
      <c r="BO7" s="60">
        <v>302.69</v>
      </c>
      <c r="BP7" s="65">
        <f t="shared" si="82"/>
        <v>60.000000000002274</v>
      </c>
      <c r="BQ7" s="60">
        <v>54357</v>
      </c>
      <c r="BR7" s="65">
        <f t="shared" si="83"/>
        <v>51</v>
      </c>
      <c r="BS7" s="60">
        <v>213.12</v>
      </c>
      <c r="BT7" s="65">
        <f t="shared" si="84"/>
        <v>39.999999999992042</v>
      </c>
      <c r="BU7" s="60">
        <v>51734</v>
      </c>
      <c r="BV7" s="65">
        <f t="shared" si="85"/>
        <v>50</v>
      </c>
      <c r="BW7" s="60">
        <v>241.3</v>
      </c>
      <c r="BX7" s="65">
        <f t="shared" si="86"/>
        <v>70.0000000000216</v>
      </c>
      <c r="BY7" s="60">
        <v>71480</v>
      </c>
      <c r="BZ7" s="67">
        <f t="shared" si="87"/>
        <v>45</v>
      </c>
      <c r="CA7" s="60">
        <v>45200.5</v>
      </c>
      <c r="CB7" s="67">
        <f t="shared" si="88"/>
        <v>47.099999999998545</v>
      </c>
      <c r="CC7" s="60">
        <v>15053.7</v>
      </c>
      <c r="CD7" s="67">
        <f t="shared" si="89"/>
        <v>15.100000000000364</v>
      </c>
      <c r="CE7" s="60">
        <v>7860.6</v>
      </c>
      <c r="CF7" s="67">
        <f t="shared" si="90"/>
        <v>5.1000000000003638</v>
      </c>
      <c r="CG7" s="60">
        <v>72011.7</v>
      </c>
      <c r="CH7" s="67">
        <f t="shared" si="91"/>
        <v>67.399999999994179</v>
      </c>
      <c r="CI7" s="60">
        <v>1031048</v>
      </c>
      <c r="CJ7" s="67">
        <f t="shared" si="92"/>
        <v>402</v>
      </c>
      <c r="CK7" s="60">
        <v>949.74</v>
      </c>
      <c r="CL7" s="64">
        <f t="shared" si="93"/>
        <v>899.99999999997726</v>
      </c>
      <c r="CM7" s="65">
        <f t="shared" si="94"/>
        <v>116.5</v>
      </c>
      <c r="CN7" s="62">
        <v>34</v>
      </c>
      <c r="CO7" s="62">
        <v>85</v>
      </c>
      <c r="CP7" s="68">
        <v>26182</v>
      </c>
      <c r="CQ7" s="67">
        <f t="shared" si="95"/>
        <v>98</v>
      </c>
      <c r="CR7" s="68">
        <v>20324</v>
      </c>
      <c r="CS7" s="67">
        <f t="shared" si="96"/>
        <v>18.5</v>
      </c>
      <c r="CT7" s="75">
        <v>9446</v>
      </c>
      <c r="CU7" s="67">
        <f t="shared" si="97"/>
        <v>30</v>
      </c>
      <c r="CV7" s="68">
        <v>23441</v>
      </c>
      <c r="CW7" s="67">
        <f t="shared" si="98"/>
        <v>19</v>
      </c>
      <c r="CX7" s="58">
        <v>2413.5</v>
      </c>
      <c r="CY7" s="67">
        <f t="shared" si="99"/>
        <v>3.8000000000001819</v>
      </c>
    </row>
    <row r="8" spans="1:103" ht="25.5" customHeight="1" thickBot="1" x14ac:dyDescent="0.45">
      <c r="A8" s="63">
        <v>44656</v>
      </c>
      <c r="B8" s="44"/>
      <c r="C8" s="58">
        <v>3.0567000000000002</v>
      </c>
      <c r="D8" s="64">
        <f t="shared" si="50"/>
        <v>3500.0000000002806</v>
      </c>
      <c r="E8" s="58">
        <v>4.1475</v>
      </c>
      <c r="F8" s="64">
        <f t="shared" si="51"/>
        <v>3800.0000000000255</v>
      </c>
      <c r="G8" s="58">
        <v>4.1116999999999999</v>
      </c>
      <c r="H8" s="64">
        <f t="shared" si="52"/>
        <v>3400.0000000000696</v>
      </c>
      <c r="I8" s="58">
        <v>2.0623999999999998</v>
      </c>
      <c r="J8" s="64">
        <f t="shared" si="53"/>
        <v>1999.9999999997797</v>
      </c>
      <c r="K8" s="58">
        <v>3.2326999999999999</v>
      </c>
      <c r="L8" s="64">
        <f t="shared" si="54"/>
        <v>2499.9999999999468</v>
      </c>
      <c r="M8" s="58">
        <v>1.8348</v>
      </c>
      <c r="N8" s="64">
        <f t="shared" si="55"/>
        <v>2299.9999999999686</v>
      </c>
      <c r="O8" s="58">
        <v>19320</v>
      </c>
      <c r="P8" s="67">
        <f t="shared" si="56"/>
        <v>52</v>
      </c>
      <c r="Q8" s="58">
        <v>2288</v>
      </c>
      <c r="R8" s="67">
        <f t="shared" si="57"/>
        <v>7</v>
      </c>
      <c r="S8" s="58">
        <v>1283.8</v>
      </c>
      <c r="T8" s="67">
        <f t="shared" si="58"/>
        <v>1.3999999999998636</v>
      </c>
      <c r="U8" s="58">
        <v>526810.80000000005</v>
      </c>
      <c r="V8" s="67">
        <f t="shared" si="59"/>
        <v>581.90000000002328</v>
      </c>
      <c r="W8" s="58">
        <v>492.13</v>
      </c>
      <c r="X8" s="65">
        <f t="shared" si="60"/>
        <v>480.00000000001819</v>
      </c>
      <c r="Y8" s="58">
        <v>3.6438999999999999</v>
      </c>
      <c r="Z8" s="65">
        <f t="shared" si="61"/>
        <v>3299.9999999998586</v>
      </c>
      <c r="AA8" s="58">
        <v>493.5</v>
      </c>
      <c r="AB8" s="65">
        <f t="shared" si="62"/>
        <v>470.00000000002728</v>
      </c>
      <c r="AC8" s="58">
        <v>483.04</v>
      </c>
      <c r="AD8" s="65">
        <f t="shared" si="63"/>
        <v>580.00000000004093</v>
      </c>
      <c r="AE8" s="58">
        <v>704.42</v>
      </c>
      <c r="AF8" s="65">
        <f t="shared" si="64"/>
        <v>1139.9999999999864</v>
      </c>
      <c r="AG8" s="58">
        <v>15304</v>
      </c>
      <c r="AH8" s="67">
        <f t="shared" si="65"/>
        <v>55</v>
      </c>
      <c r="AI8" s="58">
        <v>813.63</v>
      </c>
      <c r="AJ8" s="65">
        <f t="shared" si="66"/>
        <v>809.99999999994543</v>
      </c>
      <c r="AK8" s="58">
        <v>272.56</v>
      </c>
      <c r="AL8" s="65">
        <f t="shared" si="67"/>
        <v>310.00000000000227</v>
      </c>
      <c r="AM8" s="58">
        <v>254.42</v>
      </c>
      <c r="AN8" s="65">
        <f t="shared" si="68"/>
        <v>179.9999999999784</v>
      </c>
      <c r="AO8" s="58">
        <v>245.78</v>
      </c>
      <c r="AP8" s="65">
        <f t="shared" si="69"/>
        <v>270.00000000001023</v>
      </c>
      <c r="AQ8" s="58">
        <v>302.61</v>
      </c>
      <c r="AR8" s="65">
        <f t="shared" si="70"/>
        <v>250</v>
      </c>
      <c r="AS8" s="58">
        <v>427.47</v>
      </c>
      <c r="AT8" s="65">
        <f t="shared" si="71"/>
        <v>200.00000000004547</v>
      </c>
      <c r="AU8" s="58">
        <v>335.11</v>
      </c>
      <c r="AV8" s="65">
        <f t="shared" si="72"/>
        <v>300.00000000001137</v>
      </c>
      <c r="AW8" s="58">
        <v>366.11</v>
      </c>
      <c r="AX8" s="65">
        <f t="shared" si="73"/>
        <v>280.00000000002956</v>
      </c>
      <c r="AY8" s="58">
        <v>400.42</v>
      </c>
      <c r="AZ8" s="65">
        <f t="shared" si="74"/>
        <v>259.99999999999091</v>
      </c>
      <c r="BA8" s="58">
        <v>420.81</v>
      </c>
      <c r="BB8" s="65">
        <f t="shared" si="75"/>
        <v>180.00000000000682</v>
      </c>
      <c r="BC8" s="58">
        <v>268.5</v>
      </c>
      <c r="BD8" s="65">
        <f t="shared" si="76"/>
        <v>199.99999999998863</v>
      </c>
      <c r="BE8" s="59">
        <v>49704</v>
      </c>
      <c r="BF8" s="67">
        <f t="shared" si="77"/>
        <v>42</v>
      </c>
      <c r="BG8" s="60">
        <v>246.27</v>
      </c>
      <c r="BH8" s="65">
        <f t="shared" si="78"/>
        <v>50.000000000011369</v>
      </c>
      <c r="BI8" s="60">
        <v>301.48</v>
      </c>
      <c r="BJ8" s="65">
        <f t="shared" si="79"/>
        <v>40.000000000020464</v>
      </c>
      <c r="BK8" s="60">
        <v>249.08</v>
      </c>
      <c r="BL8" s="65">
        <f t="shared" si="80"/>
        <v>60.000000000002274</v>
      </c>
      <c r="BM8" s="60">
        <v>235.88</v>
      </c>
      <c r="BN8" s="65">
        <f t="shared" si="81"/>
        <v>39.999999999992042</v>
      </c>
      <c r="BO8" s="60">
        <v>302.76</v>
      </c>
      <c r="BP8" s="65">
        <f t="shared" si="82"/>
        <v>69.999999999993179</v>
      </c>
      <c r="BQ8" s="60">
        <v>54407</v>
      </c>
      <c r="BR8" s="65">
        <f t="shared" si="83"/>
        <v>50</v>
      </c>
      <c r="BS8" s="60">
        <v>213.17</v>
      </c>
      <c r="BT8" s="65">
        <f t="shared" si="84"/>
        <v>49.999999999982947</v>
      </c>
      <c r="BU8" s="60">
        <v>51789</v>
      </c>
      <c r="BV8" s="65">
        <f t="shared" si="85"/>
        <v>55</v>
      </c>
      <c r="BW8" s="60">
        <v>241.38</v>
      </c>
      <c r="BX8" s="65">
        <f t="shared" si="86"/>
        <v>79.999999999984084</v>
      </c>
      <c r="BY8" s="60">
        <v>71534</v>
      </c>
      <c r="BZ8" s="67">
        <f t="shared" si="87"/>
        <v>54</v>
      </c>
      <c r="CA8" s="60">
        <v>45254.8</v>
      </c>
      <c r="CB8" s="67">
        <f t="shared" si="88"/>
        <v>54.30000000000291</v>
      </c>
      <c r="CC8" s="60">
        <v>15071.9</v>
      </c>
      <c r="CD8" s="67">
        <f t="shared" si="89"/>
        <v>18.199999999998909</v>
      </c>
      <c r="CE8" s="60">
        <v>7863.1</v>
      </c>
      <c r="CF8" s="67">
        <f t="shared" si="90"/>
        <v>2.5</v>
      </c>
      <c r="CG8" s="60">
        <v>72058.899999999994</v>
      </c>
      <c r="CH8" s="67">
        <f t="shared" si="91"/>
        <v>47.19999999999709</v>
      </c>
      <c r="CI8" s="60">
        <v>1031449</v>
      </c>
      <c r="CJ8" s="67">
        <f t="shared" si="92"/>
        <v>401</v>
      </c>
      <c r="CK8" s="60">
        <v>950.55</v>
      </c>
      <c r="CL8" s="64">
        <f t="shared" si="93"/>
        <v>809.99999999994543</v>
      </c>
      <c r="CM8" s="65">
        <f t="shared" si="94"/>
        <v>111.20000000000073</v>
      </c>
      <c r="CN8" s="62">
        <v>34</v>
      </c>
      <c r="CO8" s="62">
        <v>85</v>
      </c>
      <c r="CP8" s="68">
        <v>26277</v>
      </c>
      <c r="CQ8" s="67">
        <f t="shared" si="95"/>
        <v>95</v>
      </c>
      <c r="CR8" s="68">
        <v>20340.2</v>
      </c>
      <c r="CS8" s="67">
        <f t="shared" si="96"/>
        <v>16.200000000000728</v>
      </c>
      <c r="CT8" s="75">
        <v>9473</v>
      </c>
      <c r="CU8" s="67">
        <f t="shared" si="97"/>
        <v>27</v>
      </c>
      <c r="CV8" s="68">
        <v>23459</v>
      </c>
      <c r="CW8" s="67">
        <f t="shared" si="98"/>
        <v>18</v>
      </c>
      <c r="CX8" s="58">
        <v>2427.1</v>
      </c>
      <c r="CY8" s="67">
        <f t="shared" si="99"/>
        <v>13.599999999999909</v>
      </c>
    </row>
    <row r="9" spans="1:103" ht="25.5" customHeight="1" thickBot="1" x14ac:dyDescent="0.45">
      <c r="A9" s="63">
        <v>44657</v>
      </c>
      <c r="B9" s="44"/>
      <c r="C9" s="58">
        <v>3.0604</v>
      </c>
      <c r="D9" s="64">
        <f t="shared" si="50"/>
        <v>3699.9999999998145</v>
      </c>
      <c r="E9" s="58">
        <v>4.1513999999999998</v>
      </c>
      <c r="F9" s="64">
        <f t="shared" si="51"/>
        <v>3899.9999999997926</v>
      </c>
      <c r="G9" s="58">
        <v>4.1151</v>
      </c>
      <c r="H9" s="64">
        <f t="shared" si="52"/>
        <v>3400.0000000000696</v>
      </c>
      <c r="I9" s="58">
        <v>2.0644</v>
      </c>
      <c r="J9" s="64">
        <f t="shared" si="53"/>
        <v>2000.0000000002237</v>
      </c>
      <c r="K9" s="58">
        <v>3.2351999999999999</v>
      </c>
      <c r="L9" s="64">
        <f t="shared" si="54"/>
        <v>2499.9999999999468</v>
      </c>
      <c r="M9" s="58">
        <v>1.837</v>
      </c>
      <c r="N9" s="64">
        <f t="shared" si="55"/>
        <v>2199.9999999999795</v>
      </c>
      <c r="O9" s="58">
        <v>19364</v>
      </c>
      <c r="P9" s="67">
        <f t="shared" si="56"/>
        <v>44</v>
      </c>
      <c r="Q9" s="58">
        <v>2295</v>
      </c>
      <c r="R9" s="67">
        <f t="shared" si="57"/>
        <v>7</v>
      </c>
      <c r="S9" s="58">
        <v>1285.2</v>
      </c>
      <c r="T9" s="67">
        <f t="shared" si="58"/>
        <v>1.4000000000000909</v>
      </c>
      <c r="U9" s="58">
        <v>527374.1</v>
      </c>
      <c r="V9" s="67">
        <f t="shared" si="59"/>
        <v>563.29999999993015</v>
      </c>
      <c r="W9" s="58">
        <v>492.62</v>
      </c>
      <c r="X9" s="65">
        <f t="shared" si="60"/>
        <v>490.00000000000909</v>
      </c>
      <c r="Y9" s="58">
        <v>3.6474000000000002</v>
      </c>
      <c r="Z9" s="65">
        <f t="shared" si="61"/>
        <v>3500.0000000002806</v>
      </c>
      <c r="AA9" s="58">
        <v>494</v>
      </c>
      <c r="AB9" s="65">
        <f t="shared" si="62"/>
        <v>500</v>
      </c>
      <c r="AC9" s="58">
        <v>483.6</v>
      </c>
      <c r="AD9" s="65">
        <f t="shared" si="63"/>
        <v>560.00000000000227</v>
      </c>
      <c r="AE9" s="58">
        <v>705.48</v>
      </c>
      <c r="AF9" s="65">
        <f t="shared" si="64"/>
        <v>1060.0000000000591</v>
      </c>
      <c r="AG9" s="58">
        <v>15359</v>
      </c>
      <c r="AH9" s="67">
        <f t="shared" si="65"/>
        <v>55</v>
      </c>
      <c r="AI9" s="58">
        <v>814.56</v>
      </c>
      <c r="AJ9" s="65">
        <f t="shared" si="66"/>
        <v>929.99999999994998</v>
      </c>
      <c r="AK9" s="58">
        <v>272.91000000000003</v>
      </c>
      <c r="AL9" s="65">
        <f t="shared" si="67"/>
        <v>350.00000000002274</v>
      </c>
      <c r="AM9" s="58">
        <v>254.6</v>
      </c>
      <c r="AN9" s="65">
        <f t="shared" si="68"/>
        <v>180.00000000000682</v>
      </c>
      <c r="AO9" s="58">
        <v>246.07</v>
      </c>
      <c r="AP9" s="65">
        <f t="shared" si="69"/>
        <v>289.99999999999204</v>
      </c>
      <c r="AQ9" s="58">
        <v>302.88</v>
      </c>
      <c r="AR9" s="65">
        <f t="shared" si="70"/>
        <v>269.99999999998181</v>
      </c>
      <c r="AS9" s="58">
        <v>427.68</v>
      </c>
      <c r="AT9" s="65">
        <f t="shared" si="71"/>
        <v>209.99999999997954</v>
      </c>
      <c r="AU9" s="58">
        <v>335.42</v>
      </c>
      <c r="AV9" s="65">
        <f t="shared" si="72"/>
        <v>310.00000000000227</v>
      </c>
      <c r="AW9" s="58">
        <v>366.39</v>
      </c>
      <c r="AX9" s="65">
        <f t="shared" si="73"/>
        <v>279.99999999997272</v>
      </c>
      <c r="AY9" s="58">
        <v>400.69</v>
      </c>
      <c r="AZ9" s="65">
        <f t="shared" si="74"/>
        <v>269.99999999998181</v>
      </c>
      <c r="BA9" s="58">
        <v>420.99</v>
      </c>
      <c r="BB9" s="65">
        <f t="shared" si="75"/>
        <v>180.00000000000682</v>
      </c>
      <c r="BC9" s="58">
        <v>268.72000000000003</v>
      </c>
      <c r="BD9" s="65">
        <f t="shared" si="76"/>
        <v>220.00000000002728</v>
      </c>
      <c r="BE9" s="59">
        <v>49742</v>
      </c>
      <c r="BF9" s="67">
        <f t="shared" si="77"/>
        <v>38</v>
      </c>
      <c r="BG9" s="60">
        <v>246.32</v>
      </c>
      <c r="BH9" s="65">
        <f t="shared" si="78"/>
        <v>49.999999999982947</v>
      </c>
      <c r="BI9" s="60">
        <v>301.52</v>
      </c>
      <c r="BJ9" s="65">
        <f t="shared" si="79"/>
        <v>39.99999999996362</v>
      </c>
      <c r="BK9" s="60">
        <v>249.15</v>
      </c>
      <c r="BL9" s="65">
        <f t="shared" si="80"/>
        <v>69.999999999993179</v>
      </c>
      <c r="BM9" s="60">
        <v>235.92</v>
      </c>
      <c r="BN9" s="65">
        <f t="shared" si="81"/>
        <v>39.999999999992042</v>
      </c>
      <c r="BO9" s="60">
        <v>302.83</v>
      </c>
      <c r="BP9" s="65">
        <f t="shared" si="82"/>
        <v>69.999999999993179</v>
      </c>
      <c r="BQ9" s="60">
        <v>54457</v>
      </c>
      <c r="BR9" s="65">
        <f t="shared" si="83"/>
        <v>50</v>
      </c>
      <c r="BS9" s="60">
        <v>213.22</v>
      </c>
      <c r="BT9" s="65">
        <f t="shared" si="84"/>
        <v>50.000000000011369</v>
      </c>
      <c r="BU9" s="60">
        <v>51850</v>
      </c>
      <c r="BV9" s="65">
        <f t="shared" si="85"/>
        <v>61</v>
      </c>
      <c r="BW9" s="60">
        <v>241.45</v>
      </c>
      <c r="BX9" s="65">
        <f t="shared" si="86"/>
        <v>69.999999999993179</v>
      </c>
      <c r="BY9" s="60">
        <v>71590</v>
      </c>
      <c r="BZ9" s="67">
        <f t="shared" si="87"/>
        <v>56</v>
      </c>
      <c r="CA9" s="60">
        <v>45318.1</v>
      </c>
      <c r="CB9" s="67">
        <f t="shared" si="88"/>
        <v>63.299999999995634</v>
      </c>
      <c r="CC9" s="60">
        <v>15087.9</v>
      </c>
      <c r="CD9" s="67">
        <f t="shared" si="89"/>
        <v>16</v>
      </c>
      <c r="CE9" s="60">
        <v>7868.3</v>
      </c>
      <c r="CF9" s="67">
        <f t="shared" si="90"/>
        <v>5.1999999999998181</v>
      </c>
      <c r="CG9" s="60">
        <v>72114.3</v>
      </c>
      <c r="CH9" s="67">
        <f t="shared" si="91"/>
        <v>55.400000000008731</v>
      </c>
      <c r="CI9" s="60">
        <v>1031846</v>
      </c>
      <c r="CJ9" s="67">
        <f t="shared" si="92"/>
        <v>397</v>
      </c>
      <c r="CK9" s="60">
        <v>951.41</v>
      </c>
      <c r="CL9" s="64">
        <f t="shared" si="93"/>
        <v>860.00000000001364</v>
      </c>
      <c r="CM9" s="65">
        <f t="shared" si="94"/>
        <v>115.09999999999854</v>
      </c>
      <c r="CN9" s="62">
        <v>33</v>
      </c>
      <c r="CO9" s="62">
        <v>83</v>
      </c>
      <c r="CP9" s="68">
        <v>26371</v>
      </c>
      <c r="CQ9" s="67">
        <f t="shared" si="95"/>
        <v>94</v>
      </c>
      <c r="CR9" s="68">
        <v>20361.3</v>
      </c>
      <c r="CS9" s="67">
        <f t="shared" si="96"/>
        <v>21.099999999998545</v>
      </c>
      <c r="CT9" s="75">
        <v>9502</v>
      </c>
      <c r="CU9" s="67">
        <f t="shared" si="97"/>
        <v>29</v>
      </c>
      <c r="CV9" s="68">
        <v>23479</v>
      </c>
      <c r="CW9" s="67">
        <f t="shared" si="98"/>
        <v>20</v>
      </c>
      <c r="CX9" s="58">
        <v>2440.8000000000002</v>
      </c>
      <c r="CY9" s="67">
        <f t="shared" si="99"/>
        <v>13.700000000000273</v>
      </c>
    </row>
    <row r="10" spans="1:103" ht="25.5" customHeight="1" thickBot="1" x14ac:dyDescent="0.45">
      <c r="A10" s="63">
        <v>44658</v>
      </c>
      <c r="B10" s="44"/>
      <c r="C10" s="58">
        <v>3.0634000000000001</v>
      </c>
      <c r="D10" s="64">
        <f t="shared" si="50"/>
        <v>3000.0000000001137</v>
      </c>
      <c r="E10" s="58">
        <v>4.1550000000000002</v>
      </c>
      <c r="F10" s="64">
        <f t="shared" si="51"/>
        <v>3600.0000000004916</v>
      </c>
      <c r="G10" s="58">
        <v>4.1177999999999999</v>
      </c>
      <c r="H10" s="64">
        <f t="shared" si="52"/>
        <v>2699.9999999999245</v>
      </c>
      <c r="I10" s="58">
        <v>2.0659999999999998</v>
      </c>
      <c r="J10" s="64">
        <f t="shared" si="53"/>
        <v>1599.9999999998238</v>
      </c>
      <c r="K10" s="58">
        <v>3.2374999999999998</v>
      </c>
      <c r="L10" s="64">
        <f t="shared" si="54"/>
        <v>2299.9999999999686</v>
      </c>
      <c r="M10" s="58">
        <v>1.8388</v>
      </c>
      <c r="N10" s="64">
        <f t="shared" si="55"/>
        <v>1800.0000000000239</v>
      </c>
      <c r="O10" s="58">
        <v>19389</v>
      </c>
      <c r="P10" s="67">
        <f t="shared" si="56"/>
        <v>25</v>
      </c>
      <c r="Q10" s="58">
        <v>2299</v>
      </c>
      <c r="R10" s="67">
        <f t="shared" si="57"/>
        <v>4</v>
      </c>
      <c r="S10" s="58">
        <v>1286.4000000000001</v>
      </c>
      <c r="T10" s="67">
        <f t="shared" si="58"/>
        <v>1.2000000000000455</v>
      </c>
      <c r="U10" s="58">
        <v>527763.30000000005</v>
      </c>
      <c r="V10" s="67">
        <f t="shared" si="59"/>
        <v>389.20000000006985</v>
      </c>
      <c r="W10" s="58">
        <v>493.01</v>
      </c>
      <c r="X10" s="65">
        <f t="shared" si="60"/>
        <v>389.99999999998636</v>
      </c>
      <c r="Y10" s="58">
        <v>3.6507000000000001</v>
      </c>
      <c r="Z10" s="65">
        <f t="shared" si="61"/>
        <v>3299.9999999998586</v>
      </c>
      <c r="AA10" s="58">
        <v>494.44</v>
      </c>
      <c r="AB10" s="65">
        <f t="shared" si="62"/>
        <v>439.99999999999773</v>
      </c>
      <c r="AC10" s="58">
        <v>484.05</v>
      </c>
      <c r="AD10" s="65">
        <f t="shared" si="63"/>
        <v>449.99999999998863</v>
      </c>
      <c r="AE10" s="58">
        <v>706.3</v>
      </c>
      <c r="AF10" s="65">
        <f t="shared" si="64"/>
        <v>819.99999999993634</v>
      </c>
      <c r="AG10" s="58">
        <v>15425</v>
      </c>
      <c r="AH10" s="67">
        <f t="shared" si="65"/>
        <v>66</v>
      </c>
      <c r="AI10" s="58">
        <v>815.31</v>
      </c>
      <c r="AJ10" s="65">
        <f t="shared" si="66"/>
        <v>750</v>
      </c>
      <c r="AK10" s="58">
        <v>273.19</v>
      </c>
      <c r="AL10" s="65">
        <f t="shared" si="67"/>
        <v>279.99999999997272</v>
      </c>
      <c r="AM10" s="58">
        <v>254.76</v>
      </c>
      <c r="AN10" s="65">
        <f t="shared" si="68"/>
        <v>159.99999999999659</v>
      </c>
      <c r="AO10" s="58">
        <v>246.33</v>
      </c>
      <c r="AP10" s="65">
        <f t="shared" si="69"/>
        <v>260.00000000001933</v>
      </c>
      <c r="AQ10" s="58">
        <v>303.07</v>
      </c>
      <c r="AR10" s="65">
        <f t="shared" si="70"/>
        <v>189.99999999999773</v>
      </c>
      <c r="AS10" s="58">
        <v>427.84</v>
      </c>
      <c r="AT10" s="65">
        <f t="shared" si="71"/>
        <v>159.99999999996817</v>
      </c>
      <c r="AU10" s="58">
        <v>335.67</v>
      </c>
      <c r="AV10" s="65">
        <f t="shared" si="72"/>
        <v>250</v>
      </c>
      <c r="AW10" s="58">
        <v>366.65</v>
      </c>
      <c r="AX10" s="65">
        <f t="shared" si="73"/>
        <v>259.99999999999091</v>
      </c>
      <c r="AY10" s="58">
        <v>400.92</v>
      </c>
      <c r="AZ10" s="65">
        <f t="shared" si="74"/>
        <v>230.00000000001819</v>
      </c>
      <c r="BA10" s="58">
        <v>421.12</v>
      </c>
      <c r="BB10" s="65">
        <f t="shared" si="75"/>
        <v>129.99999999999545</v>
      </c>
      <c r="BC10" s="58">
        <v>268.87</v>
      </c>
      <c r="BD10" s="65">
        <f t="shared" si="76"/>
        <v>149.99999999997726</v>
      </c>
      <c r="BE10" s="59">
        <v>49786</v>
      </c>
      <c r="BF10" s="67">
        <f t="shared" si="77"/>
        <v>44</v>
      </c>
      <c r="BG10" s="60">
        <v>246.36</v>
      </c>
      <c r="BH10" s="65">
        <f t="shared" si="78"/>
        <v>40.000000000020464</v>
      </c>
      <c r="BI10" s="60">
        <v>301.55</v>
      </c>
      <c r="BJ10" s="65">
        <f t="shared" si="79"/>
        <v>30.000000000029559</v>
      </c>
      <c r="BK10" s="60">
        <v>249.2</v>
      </c>
      <c r="BL10" s="65">
        <f t="shared" si="80"/>
        <v>49.999999999982947</v>
      </c>
      <c r="BM10" s="60">
        <v>235.96</v>
      </c>
      <c r="BN10" s="65">
        <f t="shared" si="81"/>
        <v>40.000000000020464</v>
      </c>
      <c r="BO10" s="60">
        <v>302.88</v>
      </c>
      <c r="BP10" s="65">
        <f t="shared" si="82"/>
        <v>50.000000000011369</v>
      </c>
      <c r="BQ10" s="60">
        <v>54493</v>
      </c>
      <c r="BR10" s="65">
        <f t="shared" si="83"/>
        <v>36</v>
      </c>
      <c r="BS10" s="60">
        <v>213.26</v>
      </c>
      <c r="BT10" s="65">
        <f t="shared" si="84"/>
        <v>39.999999999992042</v>
      </c>
      <c r="BU10" s="60">
        <v>51888</v>
      </c>
      <c r="BV10" s="65">
        <f t="shared" si="85"/>
        <v>38</v>
      </c>
      <c r="BW10" s="60">
        <v>241.5</v>
      </c>
      <c r="BX10" s="65">
        <f t="shared" si="86"/>
        <v>50.000000000011369</v>
      </c>
      <c r="BY10" s="60">
        <v>71631</v>
      </c>
      <c r="BZ10" s="67">
        <f t="shared" si="87"/>
        <v>41</v>
      </c>
      <c r="CA10" s="60">
        <v>45395.4</v>
      </c>
      <c r="CB10" s="67">
        <f t="shared" si="88"/>
        <v>77.30000000000291</v>
      </c>
      <c r="CC10" s="60">
        <v>15104.5</v>
      </c>
      <c r="CD10" s="67">
        <f t="shared" si="89"/>
        <v>16.600000000000364</v>
      </c>
      <c r="CE10" s="60">
        <v>7882.1</v>
      </c>
      <c r="CF10" s="67">
        <f t="shared" si="90"/>
        <v>13.800000000000182</v>
      </c>
      <c r="CG10" s="60">
        <v>72165.8</v>
      </c>
      <c r="CH10" s="67">
        <f t="shared" si="91"/>
        <v>51.5</v>
      </c>
      <c r="CI10" s="60">
        <v>1032175</v>
      </c>
      <c r="CJ10" s="67">
        <f t="shared" si="92"/>
        <v>329</v>
      </c>
      <c r="CK10" s="60">
        <v>952.17</v>
      </c>
      <c r="CL10" s="64">
        <f t="shared" si="93"/>
        <v>759.99999999999091</v>
      </c>
      <c r="CM10" s="65">
        <f t="shared" si="94"/>
        <v>135.70000000000073</v>
      </c>
      <c r="CN10" s="62">
        <v>28</v>
      </c>
      <c r="CO10" s="62">
        <v>70</v>
      </c>
      <c r="CP10" s="68">
        <v>26477</v>
      </c>
      <c r="CQ10" s="67">
        <f t="shared" si="95"/>
        <v>106</v>
      </c>
      <c r="CR10" s="68">
        <v>20391</v>
      </c>
      <c r="CS10" s="67">
        <f t="shared" si="96"/>
        <v>29.700000000000728</v>
      </c>
      <c r="CT10" s="75">
        <v>9529</v>
      </c>
      <c r="CU10" s="67">
        <f t="shared" si="97"/>
        <v>27</v>
      </c>
      <c r="CV10" s="68">
        <v>23501</v>
      </c>
      <c r="CW10" s="67">
        <f t="shared" si="98"/>
        <v>22</v>
      </c>
      <c r="CX10" s="58">
        <v>2446.6999999999998</v>
      </c>
      <c r="CY10" s="67">
        <f t="shared" si="99"/>
        <v>5.8999999999996362</v>
      </c>
    </row>
    <row r="11" spans="1:103" ht="25.5" customHeight="1" thickBot="1" x14ac:dyDescent="0.45">
      <c r="A11" s="63">
        <v>44659</v>
      </c>
      <c r="B11" s="44"/>
      <c r="C11" s="58">
        <v>3.0669</v>
      </c>
      <c r="D11" s="64">
        <f t="shared" si="50"/>
        <v>3499.9999999998367</v>
      </c>
      <c r="E11" s="58">
        <v>4.1586999999999996</v>
      </c>
      <c r="F11" s="64">
        <f t="shared" si="51"/>
        <v>3699.9999999993706</v>
      </c>
      <c r="G11" s="58">
        <v>4.1216999999999997</v>
      </c>
      <c r="H11" s="64">
        <f t="shared" si="52"/>
        <v>3899.9999999997926</v>
      </c>
      <c r="I11" s="58">
        <v>2.0678000000000001</v>
      </c>
      <c r="J11" s="64">
        <f t="shared" si="53"/>
        <v>1800.0000000002458</v>
      </c>
      <c r="K11" s="58">
        <v>3.2402000000000002</v>
      </c>
      <c r="L11" s="64">
        <f t="shared" si="54"/>
        <v>2700.0000000003688</v>
      </c>
      <c r="M11" s="58">
        <v>1.8409</v>
      </c>
      <c r="N11" s="64">
        <f t="shared" si="55"/>
        <v>2099.9999999999909</v>
      </c>
      <c r="O11" s="58">
        <v>19427</v>
      </c>
      <c r="P11" s="67">
        <f t="shared" si="56"/>
        <v>38</v>
      </c>
      <c r="Q11" s="58">
        <v>2306</v>
      </c>
      <c r="R11" s="67">
        <f t="shared" si="57"/>
        <v>7</v>
      </c>
      <c r="S11" s="58">
        <v>1287.7</v>
      </c>
      <c r="T11" s="67">
        <f t="shared" si="58"/>
        <v>1.2999999999999545</v>
      </c>
      <c r="U11" s="58">
        <v>528219</v>
      </c>
      <c r="V11" s="67">
        <f t="shared" si="59"/>
        <v>455.69999999995343</v>
      </c>
      <c r="W11" s="58">
        <v>493.39</v>
      </c>
      <c r="X11" s="65">
        <f t="shared" si="60"/>
        <v>379.99999999999545</v>
      </c>
      <c r="Y11" s="58">
        <v>3.6539999999999999</v>
      </c>
      <c r="Z11" s="65">
        <f t="shared" si="61"/>
        <v>3299.9999999998586</v>
      </c>
      <c r="AA11" s="58">
        <v>494.93</v>
      </c>
      <c r="AB11" s="65">
        <f t="shared" si="62"/>
        <v>490.00000000000909</v>
      </c>
      <c r="AC11" s="58">
        <v>484.62</v>
      </c>
      <c r="AD11" s="65">
        <f t="shared" si="63"/>
        <v>569.99999999999318</v>
      </c>
      <c r="AE11" s="58">
        <v>707.26</v>
      </c>
      <c r="AF11" s="65">
        <f t="shared" si="64"/>
        <v>960.00000000003638</v>
      </c>
      <c r="AG11" s="58">
        <v>15462</v>
      </c>
      <c r="AH11" s="67">
        <f t="shared" si="65"/>
        <v>37</v>
      </c>
      <c r="AI11" s="58">
        <v>816.17</v>
      </c>
      <c r="AJ11" s="65">
        <f t="shared" si="66"/>
        <v>860.00000000001364</v>
      </c>
      <c r="AK11" s="58">
        <v>273.47000000000003</v>
      </c>
      <c r="AL11" s="65">
        <f t="shared" si="67"/>
        <v>280.00000000002956</v>
      </c>
      <c r="AM11" s="58">
        <v>254.95</v>
      </c>
      <c r="AN11" s="65">
        <f t="shared" si="68"/>
        <v>189.99999999999773</v>
      </c>
      <c r="AO11" s="58">
        <v>246.64</v>
      </c>
      <c r="AP11" s="65">
        <f t="shared" si="69"/>
        <v>309.99999999997385</v>
      </c>
      <c r="AQ11" s="58">
        <v>303.27999999999997</v>
      </c>
      <c r="AR11" s="65">
        <f t="shared" si="70"/>
        <v>209.99999999997954</v>
      </c>
      <c r="AS11" s="58">
        <v>428.11</v>
      </c>
      <c r="AT11" s="65">
        <f t="shared" si="71"/>
        <v>270.00000000003865</v>
      </c>
      <c r="AU11" s="58">
        <v>335.95</v>
      </c>
      <c r="AV11" s="65">
        <f t="shared" si="72"/>
        <v>279.99999999997272</v>
      </c>
      <c r="AW11" s="58">
        <v>366.95</v>
      </c>
      <c r="AX11" s="65">
        <f t="shared" si="73"/>
        <v>300.00000000001137</v>
      </c>
      <c r="AY11" s="58">
        <v>401.26</v>
      </c>
      <c r="AZ11" s="65">
        <f t="shared" si="74"/>
        <v>339.99999999997499</v>
      </c>
      <c r="BA11" s="58">
        <v>421.29</v>
      </c>
      <c r="BB11" s="65">
        <f t="shared" si="75"/>
        <v>170.00000000001592</v>
      </c>
      <c r="BC11" s="58">
        <v>269.08</v>
      </c>
      <c r="BD11" s="65">
        <f t="shared" si="76"/>
        <v>209.99999999997954</v>
      </c>
      <c r="BE11" s="59">
        <v>49829</v>
      </c>
      <c r="BF11" s="67">
        <f t="shared" si="77"/>
        <v>43</v>
      </c>
      <c r="BG11" s="60">
        <v>246.42</v>
      </c>
      <c r="BH11" s="65">
        <f t="shared" si="78"/>
        <v>59.999999999973852</v>
      </c>
      <c r="BI11" s="60">
        <v>301.58</v>
      </c>
      <c r="BJ11" s="65">
        <f t="shared" si="79"/>
        <v>29.999999999972715</v>
      </c>
      <c r="BK11" s="60">
        <v>249.28</v>
      </c>
      <c r="BL11" s="65">
        <f t="shared" si="80"/>
        <v>80.000000000012506</v>
      </c>
      <c r="BM11" s="60">
        <v>236</v>
      </c>
      <c r="BN11" s="65">
        <f t="shared" si="81"/>
        <v>39.999999999992042</v>
      </c>
      <c r="BO11" s="60">
        <v>302.94</v>
      </c>
      <c r="BP11" s="65">
        <f t="shared" si="82"/>
        <v>60.000000000002274</v>
      </c>
      <c r="BQ11" s="60">
        <v>54546</v>
      </c>
      <c r="BR11" s="65">
        <f t="shared" si="83"/>
        <v>53</v>
      </c>
      <c r="BS11" s="60">
        <v>213.31</v>
      </c>
      <c r="BT11" s="65">
        <f t="shared" si="84"/>
        <v>50.000000000011369</v>
      </c>
      <c r="BU11" s="60">
        <v>51939</v>
      </c>
      <c r="BV11" s="65">
        <f t="shared" si="85"/>
        <v>51</v>
      </c>
      <c r="BW11" s="60">
        <v>241.56</v>
      </c>
      <c r="BX11" s="65">
        <f t="shared" si="86"/>
        <v>60.000000000002274</v>
      </c>
      <c r="BY11" s="60">
        <v>71679</v>
      </c>
      <c r="BZ11" s="67">
        <f t="shared" si="87"/>
        <v>48</v>
      </c>
      <c r="CA11" s="60">
        <v>45472.2</v>
      </c>
      <c r="CB11" s="67">
        <f t="shared" si="88"/>
        <v>76.799999999995634</v>
      </c>
      <c r="CC11" s="60">
        <v>15120.7</v>
      </c>
      <c r="CD11" s="67">
        <f t="shared" si="89"/>
        <v>16.200000000000728</v>
      </c>
      <c r="CE11" s="60">
        <v>7888.2</v>
      </c>
      <c r="CF11" s="67">
        <f t="shared" si="90"/>
        <v>6.0999999999994543</v>
      </c>
      <c r="CG11" s="60">
        <v>72224.5</v>
      </c>
      <c r="CH11" s="67">
        <f t="shared" si="91"/>
        <v>58.69999999999709</v>
      </c>
      <c r="CI11" s="60">
        <v>1032560</v>
      </c>
      <c r="CJ11" s="67">
        <f t="shared" si="92"/>
        <v>385</v>
      </c>
      <c r="CK11" s="60">
        <v>952.93</v>
      </c>
      <c r="CL11" s="64">
        <f t="shared" si="93"/>
        <v>759.99999999999091</v>
      </c>
      <c r="CM11" s="65">
        <f t="shared" si="94"/>
        <v>105.40000000000146</v>
      </c>
      <c r="CN11" s="62">
        <v>28</v>
      </c>
      <c r="CO11" s="62">
        <v>70</v>
      </c>
      <c r="CP11" s="68">
        <v>26563</v>
      </c>
      <c r="CQ11" s="67">
        <f t="shared" si="95"/>
        <v>86</v>
      </c>
      <c r="CR11" s="68">
        <v>20410.400000000001</v>
      </c>
      <c r="CS11" s="67">
        <f t="shared" si="96"/>
        <v>19.400000000001455</v>
      </c>
      <c r="CT11" s="75">
        <v>9562</v>
      </c>
      <c r="CU11" s="67">
        <f t="shared" si="97"/>
        <v>33</v>
      </c>
      <c r="CV11" s="68">
        <v>23520</v>
      </c>
      <c r="CW11" s="67">
        <f t="shared" si="98"/>
        <v>19</v>
      </c>
      <c r="CX11" s="58">
        <v>2460.1999999999998</v>
      </c>
      <c r="CY11" s="67">
        <f t="shared" si="99"/>
        <v>13.5</v>
      </c>
    </row>
    <row r="12" spans="1:103" ht="25.5" customHeight="1" thickBot="1" x14ac:dyDescent="0.45">
      <c r="A12" s="63">
        <v>44660</v>
      </c>
      <c r="B12" s="44"/>
      <c r="C12" s="58">
        <v>3.0707</v>
      </c>
      <c r="D12" s="64">
        <f t="shared" si="50"/>
        <v>3800.0000000000255</v>
      </c>
      <c r="E12" s="58">
        <v>4.1623999999999999</v>
      </c>
      <c r="F12" s="64">
        <f t="shared" si="51"/>
        <v>3700.0000000002588</v>
      </c>
      <c r="G12" s="58">
        <v>4.1250999999999998</v>
      </c>
      <c r="H12" s="64">
        <f t="shared" si="52"/>
        <v>3400.0000000000696</v>
      </c>
      <c r="I12" s="58">
        <v>2.0697999999999999</v>
      </c>
      <c r="J12" s="64">
        <f t="shared" si="53"/>
        <v>1999.9999999997797</v>
      </c>
      <c r="K12" s="58">
        <v>3.2429000000000001</v>
      </c>
      <c r="L12" s="64">
        <f t="shared" si="54"/>
        <v>2699.9999999999245</v>
      </c>
      <c r="M12" s="58">
        <v>1.843</v>
      </c>
      <c r="N12" s="64">
        <f t="shared" si="55"/>
        <v>2099.9999999999909</v>
      </c>
      <c r="O12" s="58">
        <v>19428</v>
      </c>
      <c r="P12" s="67">
        <f t="shared" si="56"/>
        <v>1</v>
      </c>
      <c r="Q12" s="58">
        <v>2313</v>
      </c>
      <c r="R12" s="67">
        <f t="shared" si="57"/>
        <v>7</v>
      </c>
      <c r="S12" s="58">
        <v>1289.0999999999999</v>
      </c>
      <c r="T12" s="67">
        <f t="shared" si="58"/>
        <v>1.3999999999998636</v>
      </c>
      <c r="U12" s="58">
        <v>528739.30000000005</v>
      </c>
      <c r="V12" s="67">
        <f t="shared" si="59"/>
        <v>520.30000000004657</v>
      </c>
      <c r="W12" s="58">
        <v>493.74</v>
      </c>
      <c r="X12" s="65">
        <f t="shared" si="60"/>
        <v>350.00000000002274</v>
      </c>
      <c r="Y12" s="58">
        <v>3.6573000000000002</v>
      </c>
      <c r="Z12" s="65">
        <f t="shared" si="61"/>
        <v>3300.0000000003029</v>
      </c>
      <c r="AA12" s="58">
        <v>495.39</v>
      </c>
      <c r="AB12" s="65">
        <f t="shared" si="62"/>
        <v>459.99999999997954</v>
      </c>
      <c r="AC12" s="58">
        <v>485.17</v>
      </c>
      <c r="AD12" s="65">
        <f t="shared" si="63"/>
        <v>550.00000000001137</v>
      </c>
      <c r="AE12" s="58">
        <v>708.22</v>
      </c>
      <c r="AF12" s="65">
        <f t="shared" si="64"/>
        <v>960.00000000003638</v>
      </c>
      <c r="AG12" s="58">
        <v>15524</v>
      </c>
      <c r="AH12" s="67">
        <f t="shared" si="65"/>
        <v>62</v>
      </c>
      <c r="AI12" s="58">
        <v>816.97</v>
      </c>
      <c r="AJ12" s="65">
        <f t="shared" si="66"/>
        <v>800.00000000006821</v>
      </c>
      <c r="AK12" s="58">
        <v>273.77999999999997</v>
      </c>
      <c r="AL12" s="65">
        <f t="shared" si="67"/>
        <v>309.99999999994543</v>
      </c>
      <c r="AM12" s="58">
        <v>255.2</v>
      </c>
      <c r="AN12" s="65">
        <f t="shared" si="68"/>
        <v>250</v>
      </c>
      <c r="AO12" s="58">
        <v>246.94</v>
      </c>
      <c r="AP12" s="65">
        <f t="shared" si="69"/>
        <v>300.00000000001137</v>
      </c>
      <c r="AQ12" s="58">
        <v>303.51</v>
      </c>
      <c r="AR12" s="65">
        <f t="shared" si="70"/>
        <v>230.00000000001819</v>
      </c>
      <c r="AS12" s="58">
        <v>428.35</v>
      </c>
      <c r="AT12" s="65">
        <f t="shared" si="71"/>
        <v>240.00000000000909</v>
      </c>
      <c r="AU12" s="58">
        <v>336.22</v>
      </c>
      <c r="AV12" s="65">
        <f t="shared" si="72"/>
        <v>270.00000000003865</v>
      </c>
      <c r="AW12" s="58">
        <v>367.21</v>
      </c>
      <c r="AX12" s="65">
        <f t="shared" si="73"/>
        <v>259.99999999999091</v>
      </c>
      <c r="AY12" s="58">
        <v>401.39</v>
      </c>
      <c r="AZ12" s="65">
        <f t="shared" si="74"/>
        <v>129.99999999999545</v>
      </c>
      <c r="BA12" s="58">
        <v>421.54</v>
      </c>
      <c r="BB12" s="65">
        <f t="shared" si="75"/>
        <v>250</v>
      </c>
      <c r="BC12" s="58">
        <v>269.3</v>
      </c>
      <c r="BD12" s="65">
        <f t="shared" si="76"/>
        <v>220.00000000002728</v>
      </c>
      <c r="BE12" s="59">
        <v>49853</v>
      </c>
      <c r="BF12" s="67">
        <f t="shared" si="77"/>
        <v>24</v>
      </c>
      <c r="BG12" s="60">
        <v>246.46</v>
      </c>
      <c r="BH12" s="65">
        <f t="shared" si="78"/>
        <v>40.000000000020464</v>
      </c>
      <c r="BI12" s="60">
        <v>301.62</v>
      </c>
      <c r="BJ12" s="65">
        <f t="shared" si="79"/>
        <v>40.000000000020464</v>
      </c>
      <c r="BK12" s="60">
        <v>249.32</v>
      </c>
      <c r="BL12" s="65">
        <f t="shared" si="80"/>
        <v>39.999999999992042</v>
      </c>
      <c r="BM12" s="60">
        <v>236.05</v>
      </c>
      <c r="BN12" s="65">
        <f t="shared" si="81"/>
        <v>50.000000000011369</v>
      </c>
      <c r="BO12" s="60">
        <v>303.01</v>
      </c>
      <c r="BP12" s="65">
        <f t="shared" si="82"/>
        <v>69.999999999993179</v>
      </c>
      <c r="BQ12" s="60">
        <v>54597</v>
      </c>
      <c r="BR12" s="65">
        <f t="shared" si="83"/>
        <v>51</v>
      </c>
      <c r="BS12" s="60">
        <v>213.35</v>
      </c>
      <c r="BT12" s="65">
        <f t="shared" si="84"/>
        <v>39.999999999992042</v>
      </c>
      <c r="BU12" s="60">
        <v>51993</v>
      </c>
      <c r="BV12" s="65">
        <f t="shared" si="85"/>
        <v>54</v>
      </c>
      <c r="BW12" s="60">
        <v>241.62</v>
      </c>
      <c r="BX12" s="65">
        <f t="shared" si="86"/>
        <v>60.000000000002274</v>
      </c>
      <c r="BY12" s="60">
        <v>71727</v>
      </c>
      <c r="BZ12" s="67">
        <f t="shared" si="87"/>
        <v>48</v>
      </c>
      <c r="CA12" s="60">
        <v>45512.6</v>
      </c>
      <c r="CB12" s="67">
        <f t="shared" si="88"/>
        <v>40.400000000001455</v>
      </c>
      <c r="CC12" s="60">
        <v>15154.7</v>
      </c>
      <c r="CD12" s="67">
        <f t="shared" si="89"/>
        <v>34</v>
      </c>
      <c r="CE12" s="60">
        <v>7890.1</v>
      </c>
      <c r="CF12" s="67">
        <f t="shared" si="90"/>
        <v>1.9000000000005457</v>
      </c>
      <c r="CG12" s="60">
        <v>72283.600000000006</v>
      </c>
      <c r="CH12" s="67">
        <f t="shared" si="91"/>
        <v>59.100000000005821</v>
      </c>
      <c r="CI12" s="60">
        <v>1032934</v>
      </c>
      <c r="CJ12" s="67">
        <f t="shared" si="92"/>
        <v>374</v>
      </c>
      <c r="CK12" s="60">
        <v>953.67</v>
      </c>
      <c r="CL12" s="64">
        <f t="shared" si="93"/>
        <v>740.00000000000909</v>
      </c>
      <c r="CM12" s="65">
        <f t="shared" si="94"/>
        <v>106.59999999999854</v>
      </c>
      <c r="CN12" s="62">
        <v>28</v>
      </c>
      <c r="CO12" s="62">
        <v>78</v>
      </c>
      <c r="CP12" s="68">
        <v>26651</v>
      </c>
      <c r="CQ12" s="67">
        <f t="shared" si="95"/>
        <v>88</v>
      </c>
      <c r="CR12" s="68">
        <v>20429</v>
      </c>
      <c r="CS12" s="67">
        <f t="shared" si="96"/>
        <v>18.599999999998545</v>
      </c>
      <c r="CT12" s="75">
        <v>9586</v>
      </c>
      <c r="CU12" s="67">
        <f t="shared" si="97"/>
        <v>24</v>
      </c>
      <c r="CV12" s="68">
        <v>23537</v>
      </c>
      <c r="CW12" s="67">
        <f t="shared" si="98"/>
        <v>17</v>
      </c>
      <c r="CX12" s="58">
        <v>2473.9</v>
      </c>
      <c r="CY12" s="67">
        <f t="shared" si="99"/>
        <v>13.700000000000273</v>
      </c>
    </row>
    <row r="13" spans="1:103" ht="25.5" customHeight="1" thickBot="1" x14ac:dyDescent="0.45">
      <c r="A13" s="63">
        <v>44661</v>
      </c>
      <c r="B13" s="44"/>
      <c r="C13" s="58">
        <v>3.0743</v>
      </c>
      <c r="D13" s="64">
        <f t="shared" si="50"/>
        <v>3600.0000000000477</v>
      </c>
      <c r="E13" s="58">
        <v>4.1661999999999999</v>
      </c>
      <c r="F13" s="64">
        <f t="shared" si="51"/>
        <v>3800.0000000000255</v>
      </c>
      <c r="G13" s="58">
        <v>4.1284000000000001</v>
      </c>
      <c r="H13" s="64">
        <f t="shared" si="52"/>
        <v>3300.0000000003029</v>
      </c>
      <c r="I13" s="58">
        <v>2.0716999999999999</v>
      </c>
      <c r="J13" s="64">
        <f t="shared" si="53"/>
        <v>1900.0000000000127</v>
      </c>
      <c r="K13" s="58">
        <v>3.2454999999999998</v>
      </c>
      <c r="L13" s="64">
        <f t="shared" si="54"/>
        <v>2599.9999999997135</v>
      </c>
      <c r="M13" s="58">
        <v>1.8452</v>
      </c>
      <c r="N13" s="64">
        <f t="shared" si="55"/>
        <v>2199.9999999999795</v>
      </c>
      <c r="O13" s="58">
        <v>19486</v>
      </c>
      <c r="P13" s="67">
        <f t="shared" si="56"/>
        <v>58</v>
      </c>
      <c r="Q13" s="58">
        <v>2320</v>
      </c>
      <c r="R13" s="67">
        <f t="shared" si="57"/>
        <v>7</v>
      </c>
      <c r="S13" s="58">
        <v>1290.5</v>
      </c>
      <c r="T13" s="67">
        <f t="shared" si="58"/>
        <v>1.4000000000000909</v>
      </c>
      <c r="U13" s="58">
        <v>529247.69999999995</v>
      </c>
      <c r="V13" s="67">
        <f t="shared" si="59"/>
        <v>508.39999999990687</v>
      </c>
      <c r="W13" s="58">
        <v>494.18</v>
      </c>
      <c r="X13" s="65">
        <f t="shared" si="60"/>
        <v>439.99999999999773</v>
      </c>
      <c r="Y13" s="58">
        <v>3.6608000000000001</v>
      </c>
      <c r="Z13" s="65">
        <f t="shared" si="61"/>
        <v>3499.9999999998367</v>
      </c>
      <c r="AA13" s="58">
        <v>495.91</v>
      </c>
      <c r="AB13" s="65">
        <f t="shared" si="62"/>
        <v>520.00000000003865</v>
      </c>
      <c r="AC13" s="58">
        <v>485.75</v>
      </c>
      <c r="AD13" s="65">
        <f t="shared" si="63"/>
        <v>579.99999999998408</v>
      </c>
      <c r="AE13" s="58">
        <v>709.23</v>
      </c>
      <c r="AF13" s="65">
        <f t="shared" si="64"/>
        <v>1009.9999999999909</v>
      </c>
      <c r="AG13" s="58">
        <v>15591</v>
      </c>
      <c r="AH13" s="67">
        <f t="shared" si="65"/>
        <v>67</v>
      </c>
      <c r="AI13" s="58">
        <v>817.84</v>
      </c>
      <c r="AJ13" s="65">
        <f t="shared" si="66"/>
        <v>870.00000000000455</v>
      </c>
      <c r="AK13" s="58">
        <v>274.07</v>
      </c>
      <c r="AL13" s="65">
        <f t="shared" si="67"/>
        <v>290.00000000002046</v>
      </c>
      <c r="AM13" s="58">
        <v>255.47</v>
      </c>
      <c r="AN13" s="65">
        <f t="shared" si="68"/>
        <v>270.00000000001023</v>
      </c>
      <c r="AO13" s="58">
        <v>247.26</v>
      </c>
      <c r="AP13" s="65">
        <f t="shared" si="69"/>
        <v>319.99999999999318</v>
      </c>
      <c r="AQ13" s="58">
        <v>303.77</v>
      </c>
      <c r="AR13" s="65">
        <f t="shared" si="70"/>
        <v>259.99999999999091</v>
      </c>
      <c r="AS13" s="58">
        <v>428.63</v>
      </c>
      <c r="AT13" s="65">
        <f t="shared" si="71"/>
        <v>279.99999999997272</v>
      </c>
      <c r="AU13" s="58">
        <v>336.45</v>
      </c>
      <c r="AV13" s="65">
        <f t="shared" si="72"/>
        <v>229.99999999996135</v>
      </c>
      <c r="AW13" s="58">
        <v>367.41</v>
      </c>
      <c r="AX13" s="65">
        <f t="shared" si="73"/>
        <v>200.00000000004547</v>
      </c>
      <c r="AY13" s="58">
        <v>401.62</v>
      </c>
      <c r="AZ13" s="65">
        <f t="shared" si="74"/>
        <v>230.00000000001819</v>
      </c>
      <c r="BA13" s="58">
        <v>421.76</v>
      </c>
      <c r="BB13" s="65">
        <f t="shared" si="75"/>
        <v>219.99999999997044</v>
      </c>
      <c r="BC13" s="58">
        <v>269.51</v>
      </c>
      <c r="BD13" s="65">
        <f t="shared" si="76"/>
        <v>209.99999999997954</v>
      </c>
      <c r="BE13" s="59">
        <v>49900</v>
      </c>
      <c r="BF13" s="67">
        <f t="shared" si="77"/>
        <v>47</v>
      </c>
      <c r="BG13" s="60">
        <v>246.52</v>
      </c>
      <c r="BH13" s="65">
        <f t="shared" si="78"/>
        <v>60.000000000002274</v>
      </c>
      <c r="BI13" s="60">
        <v>301.66000000000003</v>
      </c>
      <c r="BJ13" s="65">
        <f t="shared" si="79"/>
        <v>40.000000000020464</v>
      </c>
      <c r="BK13" s="60">
        <v>249.38</v>
      </c>
      <c r="BL13" s="65">
        <f t="shared" si="80"/>
        <v>60.000000000002274</v>
      </c>
      <c r="BM13" s="60">
        <v>236.1</v>
      </c>
      <c r="BN13" s="65">
        <f t="shared" si="81"/>
        <v>49.999999999982947</v>
      </c>
      <c r="BO13" s="60">
        <v>303.08999999999997</v>
      </c>
      <c r="BP13" s="65">
        <f t="shared" si="82"/>
        <v>79.999999999984084</v>
      </c>
      <c r="BQ13" s="60">
        <v>54650</v>
      </c>
      <c r="BR13" s="65">
        <f t="shared" si="83"/>
        <v>53</v>
      </c>
      <c r="BS13" s="60">
        <v>213.39</v>
      </c>
      <c r="BT13" s="65">
        <f t="shared" si="84"/>
        <v>39.999999999992042</v>
      </c>
      <c r="BU13" s="60">
        <v>52052</v>
      </c>
      <c r="BV13" s="65">
        <f t="shared" si="85"/>
        <v>59</v>
      </c>
      <c r="BW13" s="60">
        <v>241.69</v>
      </c>
      <c r="BX13" s="65">
        <f t="shared" si="86"/>
        <v>69.999999999993179</v>
      </c>
      <c r="BY13" s="60">
        <v>71777</v>
      </c>
      <c r="BZ13" s="67">
        <f t="shared" si="87"/>
        <v>50</v>
      </c>
      <c r="CA13" s="60">
        <v>45577.8</v>
      </c>
      <c r="CB13" s="67">
        <f t="shared" si="88"/>
        <v>65.200000000004366</v>
      </c>
      <c r="CC13" s="60">
        <v>15170.1</v>
      </c>
      <c r="CD13" s="67">
        <f t="shared" si="89"/>
        <v>15.399999999999636</v>
      </c>
      <c r="CE13" s="60">
        <v>7891.5</v>
      </c>
      <c r="CF13" s="67">
        <f t="shared" si="90"/>
        <v>1.3999999999996362</v>
      </c>
      <c r="CG13" s="60">
        <v>72321.8</v>
      </c>
      <c r="CH13" s="67">
        <f t="shared" si="91"/>
        <v>38.19999999999709</v>
      </c>
      <c r="CI13" s="60">
        <v>1033299</v>
      </c>
      <c r="CJ13" s="67">
        <f t="shared" si="92"/>
        <v>365</v>
      </c>
      <c r="CK13" s="60">
        <v>954.42</v>
      </c>
      <c r="CL13" s="64">
        <f t="shared" si="93"/>
        <v>750</v>
      </c>
      <c r="CM13" s="65">
        <f t="shared" si="94"/>
        <v>108</v>
      </c>
      <c r="CN13" s="62">
        <v>33</v>
      </c>
      <c r="CO13" s="62">
        <v>88</v>
      </c>
      <c r="CP13" s="68">
        <v>26734</v>
      </c>
      <c r="CQ13" s="67">
        <f t="shared" si="95"/>
        <v>83</v>
      </c>
      <c r="CR13" s="68">
        <v>20454</v>
      </c>
      <c r="CS13" s="67">
        <f t="shared" si="96"/>
        <v>25</v>
      </c>
      <c r="CT13" s="75">
        <v>9608</v>
      </c>
      <c r="CU13" s="67">
        <f t="shared" si="97"/>
        <v>22</v>
      </c>
      <c r="CV13" s="68">
        <v>23553</v>
      </c>
      <c r="CW13" s="67">
        <f t="shared" si="98"/>
        <v>16</v>
      </c>
      <c r="CX13" s="58">
        <v>2487.6999999999998</v>
      </c>
      <c r="CY13" s="67">
        <f t="shared" si="99"/>
        <v>13.799999999999727</v>
      </c>
    </row>
    <row r="14" spans="1:103" ht="25.5" customHeight="1" thickBot="1" x14ac:dyDescent="0.45">
      <c r="A14" s="63">
        <v>44662</v>
      </c>
      <c r="B14" s="44"/>
      <c r="C14" s="58">
        <v>3.0781999999999998</v>
      </c>
      <c r="D14" s="64">
        <f t="shared" si="50"/>
        <v>3899.9999999997926</v>
      </c>
      <c r="E14" s="58">
        <v>4.1703000000000001</v>
      </c>
      <c r="F14" s="64">
        <f t="shared" si="51"/>
        <v>4100.0000000002146</v>
      </c>
      <c r="G14" s="58">
        <v>4.1318000000000001</v>
      </c>
      <c r="H14" s="64">
        <f t="shared" si="52"/>
        <v>3400.0000000000696</v>
      </c>
      <c r="I14" s="58">
        <v>2.0735999999999999</v>
      </c>
      <c r="J14" s="64">
        <f t="shared" si="53"/>
        <v>1900.0000000000127</v>
      </c>
      <c r="K14" s="58">
        <v>3.2480000000000002</v>
      </c>
      <c r="L14" s="64">
        <f t="shared" si="54"/>
        <v>2500.0000000003906</v>
      </c>
      <c r="M14" s="58">
        <v>1.8472</v>
      </c>
      <c r="N14" s="64">
        <f t="shared" si="55"/>
        <v>2000.0000000000018</v>
      </c>
      <c r="O14" s="58">
        <v>19531</v>
      </c>
      <c r="P14" s="67">
        <f t="shared" si="56"/>
        <v>45</v>
      </c>
      <c r="Q14" s="58">
        <v>2327</v>
      </c>
      <c r="R14" s="67">
        <f t="shared" si="57"/>
        <v>7</v>
      </c>
      <c r="S14" s="58">
        <v>1292.0999999999999</v>
      </c>
      <c r="T14" s="67">
        <f t="shared" si="58"/>
        <v>1.5999999999999091</v>
      </c>
      <c r="U14" s="58">
        <v>529798.69999999995</v>
      </c>
      <c r="V14" s="67">
        <f t="shared" si="59"/>
        <v>551</v>
      </c>
      <c r="W14" s="58">
        <v>494.63</v>
      </c>
      <c r="X14" s="65">
        <f t="shared" si="60"/>
        <v>449.99999999998863</v>
      </c>
      <c r="Y14" s="58">
        <v>3.6646000000000001</v>
      </c>
      <c r="Z14" s="65">
        <f t="shared" si="61"/>
        <v>3800.0000000000255</v>
      </c>
      <c r="AA14" s="58">
        <v>496.42</v>
      </c>
      <c r="AB14" s="65">
        <f t="shared" si="62"/>
        <v>509.99999999999091</v>
      </c>
      <c r="AC14" s="58">
        <v>486.23</v>
      </c>
      <c r="AD14" s="65">
        <f t="shared" si="63"/>
        <v>480.00000000001819</v>
      </c>
      <c r="AE14" s="58">
        <v>710.22</v>
      </c>
      <c r="AF14" s="65">
        <f t="shared" si="64"/>
        <v>990.00000000000909</v>
      </c>
      <c r="AG14" s="58">
        <v>15639</v>
      </c>
      <c r="AH14" s="67">
        <f t="shared" si="65"/>
        <v>48</v>
      </c>
      <c r="AI14" s="58">
        <v>818.69</v>
      </c>
      <c r="AJ14" s="65">
        <f t="shared" si="66"/>
        <v>850.00000000002274</v>
      </c>
      <c r="AK14" s="58">
        <v>274.38</v>
      </c>
      <c r="AL14" s="65">
        <f t="shared" si="67"/>
        <v>310.00000000000227</v>
      </c>
      <c r="AM14" s="58">
        <v>255.83</v>
      </c>
      <c r="AN14" s="65">
        <f t="shared" si="68"/>
        <v>360.00000000001364</v>
      </c>
      <c r="AO14" s="58">
        <v>247.52</v>
      </c>
      <c r="AP14" s="65">
        <f t="shared" si="69"/>
        <v>260.00000000001933</v>
      </c>
      <c r="AQ14" s="58">
        <v>304.02999999999997</v>
      </c>
      <c r="AR14" s="65">
        <f t="shared" si="70"/>
        <v>259.99999999999091</v>
      </c>
      <c r="AS14" s="58">
        <v>428.92</v>
      </c>
      <c r="AT14" s="65">
        <f t="shared" si="71"/>
        <v>290.00000000002046</v>
      </c>
      <c r="AU14" s="58">
        <v>336.73</v>
      </c>
      <c r="AV14" s="65">
        <f t="shared" si="72"/>
        <v>280.00000000002956</v>
      </c>
      <c r="AW14" s="58">
        <v>367.61</v>
      </c>
      <c r="AX14" s="65">
        <f t="shared" si="73"/>
        <v>199.99999999998863</v>
      </c>
      <c r="AY14" s="58">
        <v>401.94</v>
      </c>
      <c r="AZ14" s="65">
        <f t="shared" si="74"/>
        <v>319.99999999999318</v>
      </c>
      <c r="BA14" s="58">
        <v>422.03</v>
      </c>
      <c r="BB14" s="65">
        <f t="shared" si="75"/>
        <v>269.99999999998181</v>
      </c>
      <c r="BC14" s="58">
        <v>269.72000000000003</v>
      </c>
      <c r="BD14" s="65">
        <f t="shared" si="76"/>
        <v>210.00000000003638</v>
      </c>
      <c r="BE14" s="59">
        <v>49927</v>
      </c>
      <c r="BF14" s="67">
        <f t="shared" si="77"/>
        <v>27</v>
      </c>
      <c r="BG14" s="60">
        <v>246.57</v>
      </c>
      <c r="BH14" s="65">
        <f t="shared" si="78"/>
        <v>49.999999999982947</v>
      </c>
      <c r="BI14" s="60">
        <v>301.7</v>
      </c>
      <c r="BJ14" s="65">
        <f t="shared" si="79"/>
        <v>39.99999999996362</v>
      </c>
      <c r="BK14" s="60">
        <v>249.44</v>
      </c>
      <c r="BL14" s="65">
        <f t="shared" si="80"/>
        <v>60.000000000002274</v>
      </c>
      <c r="BM14" s="60">
        <v>236.15</v>
      </c>
      <c r="BN14" s="65">
        <f t="shared" si="81"/>
        <v>50.000000000011369</v>
      </c>
      <c r="BO14" s="60">
        <v>303.14999999999998</v>
      </c>
      <c r="BP14" s="65">
        <f t="shared" si="82"/>
        <v>60.000000000002274</v>
      </c>
      <c r="BQ14" s="60">
        <v>54701</v>
      </c>
      <c r="BR14" s="65">
        <f t="shared" si="83"/>
        <v>51</v>
      </c>
      <c r="BS14" s="60">
        <v>213.44</v>
      </c>
      <c r="BT14" s="65">
        <f t="shared" si="84"/>
        <v>50.000000000011369</v>
      </c>
      <c r="BU14" s="60">
        <v>52116</v>
      </c>
      <c r="BV14" s="65">
        <f t="shared" si="85"/>
        <v>64</v>
      </c>
      <c r="BW14" s="60">
        <v>241.76</v>
      </c>
      <c r="BX14" s="65">
        <f t="shared" si="86"/>
        <v>69.999999999993179</v>
      </c>
      <c r="BY14" s="60">
        <v>71827</v>
      </c>
      <c r="BZ14" s="67">
        <f t="shared" si="87"/>
        <v>50</v>
      </c>
      <c r="CA14" s="60">
        <v>45644.9</v>
      </c>
      <c r="CB14" s="67">
        <f t="shared" si="88"/>
        <v>67.099999999998545</v>
      </c>
      <c r="CC14" s="60">
        <v>15186.6</v>
      </c>
      <c r="CD14" s="67">
        <f t="shared" si="89"/>
        <v>16.5</v>
      </c>
      <c r="CE14" s="60">
        <v>7893.6</v>
      </c>
      <c r="CF14" s="67">
        <f t="shared" si="90"/>
        <v>2.1000000000003638</v>
      </c>
      <c r="CG14" s="60">
        <v>72400</v>
      </c>
      <c r="CH14" s="67">
        <f t="shared" si="91"/>
        <v>78.19999999999709</v>
      </c>
      <c r="CI14" s="60">
        <v>1033702</v>
      </c>
      <c r="CJ14" s="67">
        <f t="shared" si="92"/>
        <v>403</v>
      </c>
      <c r="CK14" s="60">
        <v>955.18</v>
      </c>
      <c r="CL14" s="64">
        <f t="shared" si="93"/>
        <v>759.99999999999091</v>
      </c>
      <c r="CM14" s="65">
        <f t="shared" si="94"/>
        <v>131</v>
      </c>
      <c r="CN14" s="62">
        <v>35</v>
      </c>
      <c r="CO14" s="62">
        <v>102</v>
      </c>
      <c r="CP14" s="68">
        <v>26836</v>
      </c>
      <c r="CQ14" s="67">
        <f t="shared" si="95"/>
        <v>102</v>
      </c>
      <c r="CR14" s="68">
        <v>20483</v>
      </c>
      <c r="CS14" s="67">
        <f t="shared" si="96"/>
        <v>29</v>
      </c>
      <c r="CT14" s="75">
        <v>9633</v>
      </c>
      <c r="CU14" s="67">
        <f t="shared" si="97"/>
        <v>25</v>
      </c>
      <c r="CV14" s="68">
        <v>23566</v>
      </c>
      <c r="CW14" s="67">
        <f t="shared" si="98"/>
        <v>13</v>
      </c>
      <c r="CX14" s="58">
        <v>2501.6999999999998</v>
      </c>
      <c r="CY14" s="67">
        <f t="shared" si="99"/>
        <v>14</v>
      </c>
    </row>
    <row r="15" spans="1:103" ht="25.5" customHeight="1" thickBot="1" x14ac:dyDescent="0.45">
      <c r="A15" s="63">
        <v>44663</v>
      </c>
      <c r="B15" s="44"/>
      <c r="C15" s="58">
        <v>3.0811000000000002</v>
      </c>
      <c r="D15" s="64">
        <f t="shared" si="50"/>
        <v>2900.0000000003465</v>
      </c>
      <c r="E15" s="58">
        <v>4.1740000000000004</v>
      </c>
      <c r="F15" s="64">
        <f t="shared" si="51"/>
        <v>3700.0000000002588</v>
      </c>
      <c r="G15" s="58">
        <v>4.1353</v>
      </c>
      <c r="H15" s="64">
        <f t="shared" si="52"/>
        <v>3499.9999999998367</v>
      </c>
      <c r="I15" s="58">
        <v>2.0752000000000002</v>
      </c>
      <c r="J15" s="64">
        <f t="shared" si="53"/>
        <v>1600.0000000002678</v>
      </c>
      <c r="K15" s="58">
        <v>3.2505000000000002</v>
      </c>
      <c r="L15" s="64">
        <f t="shared" si="54"/>
        <v>2499.9999999999468</v>
      </c>
      <c r="M15" s="58">
        <v>1.8489</v>
      </c>
      <c r="N15" s="64">
        <f t="shared" si="55"/>
        <v>1700.0000000000348</v>
      </c>
      <c r="O15" s="58">
        <v>19565</v>
      </c>
      <c r="P15" s="67">
        <f t="shared" si="56"/>
        <v>34</v>
      </c>
      <c r="Q15" s="58">
        <v>2331</v>
      </c>
      <c r="R15" s="67">
        <f>IF((Q15-Q14&lt;0), "",Q15-Q14)</f>
        <v>4</v>
      </c>
      <c r="S15" s="58">
        <v>1293.5</v>
      </c>
      <c r="T15" s="67">
        <f t="shared" si="58"/>
        <v>1.4000000000000909</v>
      </c>
      <c r="U15" s="58">
        <v>530157.5</v>
      </c>
      <c r="V15" s="67">
        <f t="shared" si="59"/>
        <v>358.80000000004657</v>
      </c>
      <c r="W15" s="58">
        <v>494.99</v>
      </c>
      <c r="X15" s="65">
        <f t="shared" si="60"/>
        <v>360.00000000001364</v>
      </c>
      <c r="Y15" s="58">
        <v>3.6678999999999999</v>
      </c>
      <c r="Z15" s="65">
        <f t="shared" si="61"/>
        <v>3299.9999999998586</v>
      </c>
      <c r="AA15" s="58">
        <v>496.88</v>
      </c>
      <c r="AB15" s="65">
        <f t="shared" si="62"/>
        <v>459.99999999997954</v>
      </c>
      <c r="AC15" s="58">
        <v>486.61</v>
      </c>
      <c r="AD15" s="65">
        <f t="shared" si="63"/>
        <v>379.99999999999545</v>
      </c>
      <c r="AE15" s="58">
        <v>711.01</v>
      </c>
      <c r="AF15" s="65">
        <f t="shared" si="64"/>
        <v>789.99999999996362</v>
      </c>
      <c r="AG15" s="58">
        <v>15693</v>
      </c>
      <c r="AH15" s="67">
        <f t="shared" si="65"/>
        <v>54</v>
      </c>
      <c r="AI15" s="58">
        <v>819.39</v>
      </c>
      <c r="AJ15" s="65">
        <f t="shared" si="66"/>
        <v>699.99999999993179</v>
      </c>
      <c r="AK15" s="58">
        <v>274.58</v>
      </c>
      <c r="AL15" s="65">
        <f t="shared" si="67"/>
        <v>199.99999999998863</v>
      </c>
      <c r="AM15" s="58">
        <v>256.06</v>
      </c>
      <c r="AN15" s="65">
        <f t="shared" si="68"/>
        <v>229.99999999998977</v>
      </c>
      <c r="AO15" s="58">
        <v>247.69</v>
      </c>
      <c r="AP15" s="65">
        <f t="shared" si="69"/>
        <v>169.99999999998749</v>
      </c>
      <c r="AQ15" s="58">
        <v>304.2</v>
      </c>
      <c r="AR15" s="65">
        <f t="shared" si="70"/>
        <v>170.00000000001592</v>
      </c>
      <c r="AS15" s="58">
        <v>429.13</v>
      </c>
      <c r="AT15" s="65">
        <f t="shared" si="71"/>
        <v>209.99999999997954</v>
      </c>
      <c r="AU15" s="58">
        <v>336.99</v>
      </c>
      <c r="AV15" s="65">
        <f t="shared" si="72"/>
        <v>259.99999999999091</v>
      </c>
      <c r="AW15" s="58">
        <v>367.76</v>
      </c>
      <c r="AX15" s="65">
        <f t="shared" si="73"/>
        <v>149.99999999997726</v>
      </c>
      <c r="AY15" s="58">
        <v>402.18</v>
      </c>
      <c r="AZ15" s="65">
        <f t="shared" si="74"/>
        <v>240.00000000000909</v>
      </c>
      <c r="BA15" s="58">
        <v>422.22</v>
      </c>
      <c r="BB15" s="65">
        <f t="shared" si="75"/>
        <v>190.00000000005457</v>
      </c>
      <c r="BC15" s="58">
        <v>269.89999999999998</v>
      </c>
      <c r="BD15" s="65">
        <f t="shared" si="76"/>
        <v>179.99999999994998</v>
      </c>
      <c r="BE15" s="59">
        <v>49963</v>
      </c>
      <c r="BF15" s="67">
        <f t="shared" si="77"/>
        <v>36</v>
      </c>
      <c r="BG15" s="60">
        <v>246.61</v>
      </c>
      <c r="BH15" s="65">
        <f t="shared" si="78"/>
        <v>40.000000000020464</v>
      </c>
      <c r="BI15" s="60">
        <v>301.73</v>
      </c>
      <c r="BJ15" s="65">
        <f t="shared" si="79"/>
        <v>30.000000000029559</v>
      </c>
      <c r="BK15" s="60">
        <v>249.49</v>
      </c>
      <c r="BL15" s="65">
        <f t="shared" si="80"/>
        <v>50.000000000011369</v>
      </c>
      <c r="BM15" s="60">
        <v>236.19</v>
      </c>
      <c r="BN15" s="65">
        <f t="shared" si="81"/>
        <v>39.999999999992042</v>
      </c>
      <c r="BO15" s="60">
        <v>303.20999999999998</v>
      </c>
      <c r="BP15" s="65">
        <f t="shared" si="82"/>
        <v>60.000000000002274</v>
      </c>
      <c r="BQ15" s="60">
        <v>54738</v>
      </c>
      <c r="BR15" s="65">
        <f t="shared" si="83"/>
        <v>37</v>
      </c>
      <c r="BS15" s="60">
        <v>213.48</v>
      </c>
      <c r="BT15" s="65">
        <f t="shared" si="84"/>
        <v>39.999999999992042</v>
      </c>
      <c r="BU15" s="60">
        <v>52161</v>
      </c>
      <c r="BV15" s="65">
        <f t="shared" si="85"/>
        <v>45</v>
      </c>
      <c r="BW15" s="60">
        <v>241.81</v>
      </c>
      <c r="BX15" s="65">
        <f t="shared" si="86"/>
        <v>50.000000000011369</v>
      </c>
      <c r="BY15" s="60">
        <v>71867</v>
      </c>
      <c r="BZ15" s="67">
        <f t="shared" si="87"/>
        <v>40</v>
      </c>
      <c r="CA15" s="60">
        <v>45681.3</v>
      </c>
      <c r="CB15" s="67">
        <f t="shared" si="88"/>
        <v>36.400000000001455</v>
      </c>
      <c r="CC15" s="60">
        <v>15205</v>
      </c>
      <c r="CD15" s="67">
        <f t="shared" si="89"/>
        <v>18.399999999999636</v>
      </c>
      <c r="CE15" s="60">
        <v>7919.9</v>
      </c>
      <c r="CF15" s="67">
        <f t="shared" si="90"/>
        <v>26.299999999999272</v>
      </c>
      <c r="CG15" s="60">
        <v>72468</v>
      </c>
      <c r="CH15" s="67">
        <f t="shared" si="91"/>
        <v>68</v>
      </c>
      <c r="CI15" s="60">
        <v>1034019</v>
      </c>
      <c r="CJ15" s="67">
        <f t="shared" si="92"/>
        <v>317</v>
      </c>
      <c r="CK15" s="60">
        <v>955.96</v>
      </c>
      <c r="CL15" s="64">
        <f t="shared" si="93"/>
        <v>780.0000000000864</v>
      </c>
      <c r="CM15" s="65">
        <f t="shared" si="94"/>
        <v>111</v>
      </c>
      <c r="CN15" s="62">
        <v>37</v>
      </c>
      <c r="CO15" s="62">
        <v>106</v>
      </c>
      <c r="CP15" s="68">
        <v>26921</v>
      </c>
      <c r="CQ15" s="67">
        <f t="shared" si="95"/>
        <v>85</v>
      </c>
      <c r="CR15" s="68">
        <v>20509</v>
      </c>
      <c r="CS15" s="67">
        <f t="shared" si="96"/>
        <v>26</v>
      </c>
      <c r="CT15" s="75">
        <v>9650</v>
      </c>
      <c r="CU15" s="67">
        <f t="shared" si="97"/>
        <v>17</v>
      </c>
      <c r="CV15" s="68">
        <v>23582</v>
      </c>
      <c r="CW15" s="67">
        <f t="shared" si="98"/>
        <v>16</v>
      </c>
      <c r="CX15" s="58">
        <v>2511.1</v>
      </c>
      <c r="CY15" s="67">
        <f t="shared" si="99"/>
        <v>9.4000000000000909</v>
      </c>
    </row>
    <row r="16" spans="1:103" ht="25.5" customHeight="1" thickBot="1" x14ac:dyDescent="0.45">
      <c r="A16" s="63">
        <v>44664</v>
      </c>
      <c r="B16" s="44"/>
      <c r="C16" s="58">
        <v>3.0844</v>
      </c>
      <c r="D16" s="64">
        <f t="shared" si="50"/>
        <v>3299.9999999998586</v>
      </c>
      <c r="E16" s="58">
        <v>4.1776999999999997</v>
      </c>
      <c r="F16" s="64">
        <f t="shared" si="51"/>
        <v>3699.9999999993706</v>
      </c>
      <c r="G16" s="58">
        <v>4.1386000000000003</v>
      </c>
      <c r="H16" s="64">
        <f t="shared" si="52"/>
        <v>3300.0000000003029</v>
      </c>
      <c r="I16" s="58">
        <v>2.0771000000000002</v>
      </c>
      <c r="J16" s="64">
        <f>IF((I16-I15&lt;0), "0",(I16-I15)*1000000)</f>
        <v>1900.0000000000127</v>
      </c>
      <c r="K16" s="58">
        <v>3.2530000000000001</v>
      </c>
      <c r="L16" s="64">
        <f t="shared" si="54"/>
        <v>2499.9999999999468</v>
      </c>
      <c r="M16" s="58">
        <v>1.851</v>
      </c>
      <c r="N16" s="64">
        <f t="shared" si="55"/>
        <v>2099.9999999999909</v>
      </c>
      <c r="O16" s="58">
        <v>19601</v>
      </c>
      <c r="P16" s="67">
        <f t="shared" si="56"/>
        <v>36</v>
      </c>
      <c r="Q16" s="58">
        <v>2337</v>
      </c>
      <c r="R16" s="67">
        <f t="shared" si="57"/>
        <v>6</v>
      </c>
      <c r="S16" s="58">
        <v>1294.9000000000001</v>
      </c>
      <c r="T16" s="67">
        <f t="shared" si="58"/>
        <v>1.4000000000000909</v>
      </c>
      <c r="U16" s="58">
        <v>530635.69999999995</v>
      </c>
      <c r="V16" s="67">
        <f t="shared" si="59"/>
        <v>478.19999999995343</v>
      </c>
      <c r="W16" s="58">
        <v>495.39</v>
      </c>
      <c r="X16" s="65">
        <f t="shared" si="60"/>
        <v>399.99999999997726</v>
      </c>
      <c r="Y16" s="58">
        <v>3.6715</v>
      </c>
      <c r="Z16" s="65">
        <f t="shared" si="61"/>
        <v>3600.0000000000477</v>
      </c>
      <c r="AA16" s="58">
        <v>497.38</v>
      </c>
      <c r="AB16" s="65">
        <f t="shared" si="62"/>
        <v>500</v>
      </c>
      <c r="AC16" s="58">
        <v>487.06</v>
      </c>
      <c r="AD16" s="65">
        <f t="shared" si="63"/>
        <v>449.99999999998863</v>
      </c>
      <c r="AE16" s="58">
        <v>712.06</v>
      </c>
      <c r="AF16" s="65">
        <f t="shared" si="64"/>
        <v>1049.9999999999545</v>
      </c>
      <c r="AG16" s="58">
        <v>15758</v>
      </c>
      <c r="AH16" s="67">
        <f t="shared" si="65"/>
        <v>65</v>
      </c>
      <c r="AI16" s="58">
        <v>820.18</v>
      </c>
      <c r="AJ16" s="65">
        <f t="shared" si="66"/>
        <v>789.99999999996362</v>
      </c>
      <c r="AK16" s="58">
        <v>274.85000000000002</v>
      </c>
      <c r="AL16" s="65">
        <f t="shared" si="67"/>
        <v>270.00000000003865</v>
      </c>
      <c r="AM16" s="58">
        <v>256.35000000000002</v>
      </c>
      <c r="AN16" s="65">
        <f t="shared" si="68"/>
        <v>290.00000000002046</v>
      </c>
      <c r="AO16" s="58">
        <v>247.9</v>
      </c>
      <c r="AP16" s="65">
        <f t="shared" si="69"/>
        <v>210.00000000000796</v>
      </c>
      <c r="AQ16" s="58">
        <v>304.39999999999998</v>
      </c>
      <c r="AR16" s="65">
        <f t="shared" si="70"/>
        <v>199.99999999998863</v>
      </c>
      <c r="AS16" s="58">
        <v>429.33</v>
      </c>
      <c r="AT16" s="65">
        <f t="shared" si="71"/>
        <v>199.99999999998863</v>
      </c>
      <c r="AU16" s="58">
        <v>337.23</v>
      </c>
      <c r="AV16" s="65">
        <f t="shared" si="72"/>
        <v>240.00000000000909</v>
      </c>
      <c r="AW16" s="58">
        <v>367.93</v>
      </c>
      <c r="AX16" s="65">
        <f t="shared" si="73"/>
        <v>170.00000000001592</v>
      </c>
      <c r="AY16" s="58">
        <v>402.49</v>
      </c>
      <c r="AZ16" s="65">
        <f t="shared" si="74"/>
        <v>310.00000000000227</v>
      </c>
      <c r="BA16" s="58">
        <v>422.44</v>
      </c>
      <c r="BB16" s="65">
        <f t="shared" si="75"/>
        <v>219.99999999997044</v>
      </c>
      <c r="BC16" s="58">
        <v>270.10000000000002</v>
      </c>
      <c r="BD16" s="65">
        <f t="shared" si="76"/>
        <v>200.00000000004547</v>
      </c>
      <c r="BE16" s="59">
        <v>49999</v>
      </c>
      <c r="BF16" s="67">
        <f t="shared" si="77"/>
        <v>36</v>
      </c>
      <c r="BG16" s="60">
        <v>246.64</v>
      </c>
      <c r="BH16" s="65">
        <f t="shared" si="78"/>
        <v>29.999999999972715</v>
      </c>
      <c r="BI16" s="60">
        <v>301.76</v>
      </c>
      <c r="BJ16" s="65">
        <f t="shared" si="79"/>
        <v>29.999999999972715</v>
      </c>
      <c r="BK16" s="60">
        <v>249.54</v>
      </c>
      <c r="BL16" s="65">
        <f t="shared" si="80"/>
        <v>49.999999999982947</v>
      </c>
      <c r="BM16" s="60">
        <v>236.23</v>
      </c>
      <c r="BN16" s="65">
        <f t="shared" si="81"/>
        <v>39.999999999992042</v>
      </c>
      <c r="BO16" s="60">
        <v>303.26</v>
      </c>
      <c r="BP16" s="65">
        <f t="shared" si="82"/>
        <v>50.000000000011369</v>
      </c>
      <c r="BQ16" s="60">
        <v>54784</v>
      </c>
      <c r="BR16" s="65">
        <f t="shared" si="83"/>
        <v>46</v>
      </c>
      <c r="BS16" s="60">
        <v>213.53</v>
      </c>
      <c r="BT16" s="65">
        <f t="shared" si="84"/>
        <v>50.000000000011369</v>
      </c>
      <c r="BU16" s="60">
        <v>52202</v>
      </c>
      <c r="BV16" s="65">
        <f t="shared" si="85"/>
        <v>41</v>
      </c>
      <c r="BW16" s="60">
        <v>241.87</v>
      </c>
      <c r="BX16" s="65">
        <f t="shared" si="86"/>
        <v>60.000000000002274</v>
      </c>
      <c r="BY16" s="60">
        <v>71913</v>
      </c>
      <c r="BZ16" s="67">
        <f t="shared" si="87"/>
        <v>46</v>
      </c>
      <c r="CA16" s="60">
        <v>45753</v>
      </c>
      <c r="CB16" s="67">
        <f t="shared" si="88"/>
        <v>71.69999999999709</v>
      </c>
      <c r="CC16" s="60">
        <v>15218.7</v>
      </c>
      <c r="CD16" s="67">
        <f t="shared" si="89"/>
        <v>13.700000000000728</v>
      </c>
      <c r="CE16" s="60">
        <v>7923.1</v>
      </c>
      <c r="CF16" s="67">
        <f t="shared" si="90"/>
        <v>3.2000000000007276</v>
      </c>
      <c r="CG16" s="60">
        <v>72520.399999999994</v>
      </c>
      <c r="CH16" s="67">
        <f t="shared" si="91"/>
        <v>52.399999999994179</v>
      </c>
      <c r="CI16" s="60">
        <v>1034392</v>
      </c>
      <c r="CJ16" s="67">
        <f t="shared" si="92"/>
        <v>373</v>
      </c>
      <c r="CK16" s="60">
        <v>956.7</v>
      </c>
      <c r="CL16" s="64">
        <f t="shared" si="93"/>
        <v>740.00000000000909</v>
      </c>
      <c r="CM16" s="65">
        <f t="shared" si="94"/>
        <v>113</v>
      </c>
      <c r="CN16" s="62">
        <v>37</v>
      </c>
      <c r="CO16" s="62">
        <v>106</v>
      </c>
      <c r="CP16" s="68">
        <v>27014</v>
      </c>
      <c r="CQ16" s="67">
        <f t="shared" si="95"/>
        <v>93</v>
      </c>
      <c r="CR16" s="68">
        <v>20529</v>
      </c>
      <c r="CS16" s="67">
        <f t="shared" si="96"/>
        <v>20</v>
      </c>
      <c r="CT16" s="75">
        <v>9667</v>
      </c>
      <c r="CU16" s="67">
        <f t="shared" si="97"/>
        <v>17</v>
      </c>
      <c r="CV16" s="68">
        <v>23601</v>
      </c>
      <c r="CW16" s="67">
        <f t="shared" si="98"/>
        <v>19</v>
      </c>
      <c r="CX16" s="58">
        <v>2524.3000000000002</v>
      </c>
      <c r="CY16" s="67">
        <f t="shared" si="99"/>
        <v>13.200000000000273</v>
      </c>
    </row>
    <row r="17" spans="1:103" ht="25.5" customHeight="1" thickBot="1" x14ac:dyDescent="0.45">
      <c r="A17" s="63">
        <v>44665</v>
      </c>
      <c r="B17" s="44"/>
      <c r="C17" s="58">
        <v>3.0882000000000001</v>
      </c>
      <c r="D17" s="64">
        <f t="shared" si="50"/>
        <v>3800.0000000000255</v>
      </c>
      <c r="E17" s="58">
        <v>4.1816000000000004</v>
      </c>
      <c r="F17" s="64">
        <f t="shared" si="51"/>
        <v>3900.0000000006808</v>
      </c>
      <c r="G17" s="58">
        <v>4.1421000000000001</v>
      </c>
      <c r="H17" s="64">
        <f t="shared" si="52"/>
        <v>3499.9999999998367</v>
      </c>
      <c r="I17" s="58">
        <v>2.0790999999999999</v>
      </c>
      <c r="J17" s="64">
        <f t="shared" si="53"/>
        <v>1999.9999999997797</v>
      </c>
      <c r="K17" s="58">
        <v>3.2578999999999998</v>
      </c>
      <c r="L17" s="64">
        <f t="shared" si="54"/>
        <v>4899.9999999996826</v>
      </c>
      <c r="M17" s="58">
        <v>1.8532</v>
      </c>
      <c r="N17" s="64">
        <f t="shared" si="55"/>
        <v>2199.9999999999795</v>
      </c>
      <c r="O17" s="58">
        <v>19638</v>
      </c>
      <c r="P17" s="67">
        <f t="shared" si="56"/>
        <v>37</v>
      </c>
      <c r="Q17" s="58">
        <v>2344</v>
      </c>
      <c r="R17" s="67">
        <f t="shared" si="57"/>
        <v>7</v>
      </c>
      <c r="S17" s="58">
        <v>1296.2</v>
      </c>
      <c r="T17" s="67">
        <f t="shared" si="58"/>
        <v>1.2999999999999545</v>
      </c>
      <c r="U17" s="58">
        <v>531070.5</v>
      </c>
      <c r="V17" s="67">
        <f t="shared" si="59"/>
        <v>434.80000000004657</v>
      </c>
      <c r="W17" s="58">
        <v>495.8</v>
      </c>
      <c r="X17" s="65">
        <f t="shared" si="60"/>
        <v>410.00000000002501</v>
      </c>
      <c r="Y17" s="58">
        <v>3.6747000000000001</v>
      </c>
      <c r="Z17" s="65">
        <f t="shared" si="61"/>
        <v>3200.0000000000919</v>
      </c>
      <c r="AA17" s="58">
        <v>497.87</v>
      </c>
      <c r="AB17" s="65">
        <f t="shared" si="62"/>
        <v>490.00000000000909</v>
      </c>
      <c r="AC17" s="58">
        <v>487.5</v>
      </c>
      <c r="AD17" s="65">
        <f t="shared" si="63"/>
        <v>439.99999999999773</v>
      </c>
      <c r="AE17" s="58">
        <v>713.07</v>
      </c>
      <c r="AF17" s="65">
        <f t="shared" si="64"/>
        <v>1010.0000000001046</v>
      </c>
      <c r="AG17" s="58">
        <v>15802</v>
      </c>
      <c r="AH17" s="67">
        <f t="shared" si="65"/>
        <v>44</v>
      </c>
      <c r="AI17" s="58">
        <v>821.08</v>
      </c>
      <c r="AJ17" s="65">
        <f t="shared" si="66"/>
        <v>900.00000000009095</v>
      </c>
      <c r="AK17" s="58">
        <v>275.14</v>
      </c>
      <c r="AL17" s="65">
        <f t="shared" si="67"/>
        <v>289.99999999996362</v>
      </c>
      <c r="AM17" s="58">
        <v>256.64999999999998</v>
      </c>
      <c r="AN17" s="65">
        <f t="shared" si="68"/>
        <v>299.99999999995453</v>
      </c>
      <c r="AO17" s="58">
        <v>248.17</v>
      </c>
      <c r="AP17" s="65">
        <f t="shared" si="69"/>
        <v>269.99999999998181</v>
      </c>
      <c r="AQ17" s="58">
        <v>304.60000000000002</v>
      </c>
      <c r="AR17" s="65">
        <f t="shared" si="70"/>
        <v>200.00000000004547</v>
      </c>
      <c r="AS17" s="58">
        <v>429.56</v>
      </c>
      <c r="AT17" s="65">
        <f t="shared" si="71"/>
        <v>230.00000000001819</v>
      </c>
      <c r="AU17" s="58">
        <v>337.5</v>
      </c>
      <c r="AV17" s="65">
        <f t="shared" si="72"/>
        <v>269.99999999998181</v>
      </c>
      <c r="AW17" s="58">
        <v>368.18</v>
      </c>
      <c r="AX17" s="65">
        <f t="shared" si="73"/>
        <v>250</v>
      </c>
      <c r="AY17" s="58">
        <v>402.84</v>
      </c>
      <c r="AZ17" s="65">
        <f t="shared" si="74"/>
        <v>349.99999999996589</v>
      </c>
      <c r="BA17" s="58">
        <v>422.7</v>
      </c>
      <c r="BB17" s="65">
        <f t="shared" si="75"/>
        <v>259.99999999999091</v>
      </c>
      <c r="BC17" s="58">
        <v>270.35000000000002</v>
      </c>
      <c r="BD17" s="65">
        <f t="shared" si="76"/>
        <v>250</v>
      </c>
      <c r="BE17" s="59">
        <v>50039</v>
      </c>
      <c r="BF17" s="67">
        <f t="shared" si="77"/>
        <v>40</v>
      </c>
      <c r="BG17" s="60">
        <v>246.7</v>
      </c>
      <c r="BH17" s="65">
        <f t="shared" si="78"/>
        <v>60.000000000002274</v>
      </c>
      <c r="BI17" s="60">
        <v>301.79000000000002</v>
      </c>
      <c r="BJ17" s="65">
        <f t="shared" si="79"/>
        <v>30.000000000029559</v>
      </c>
      <c r="BK17" s="60">
        <v>249.6</v>
      </c>
      <c r="BL17" s="65">
        <f t="shared" si="80"/>
        <v>60.000000000002274</v>
      </c>
      <c r="BM17" s="60">
        <v>236.28</v>
      </c>
      <c r="BN17" s="65">
        <f t="shared" si="81"/>
        <v>50.000000000011369</v>
      </c>
      <c r="BO17" s="60">
        <v>303.33999999999997</v>
      </c>
      <c r="BP17" s="65">
        <f t="shared" si="82"/>
        <v>79.999999999984084</v>
      </c>
      <c r="BQ17" s="60">
        <v>54836</v>
      </c>
      <c r="BR17" s="65">
        <f t="shared" si="83"/>
        <v>52</v>
      </c>
      <c r="BS17" s="60">
        <v>213.59</v>
      </c>
      <c r="BT17" s="65">
        <f t="shared" si="84"/>
        <v>60.000000000002274</v>
      </c>
      <c r="BU17" s="60">
        <v>52263</v>
      </c>
      <c r="BV17" s="65">
        <f t="shared" si="85"/>
        <v>61</v>
      </c>
      <c r="BW17" s="60">
        <v>241.93</v>
      </c>
      <c r="BX17" s="65">
        <f t="shared" si="86"/>
        <v>60.000000000002274</v>
      </c>
      <c r="BY17" s="60">
        <v>71963</v>
      </c>
      <c r="BZ17" s="67">
        <f t="shared" si="87"/>
        <v>50</v>
      </c>
      <c r="CA17" s="60">
        <v>45829.599999999999</v>
      </c>
      <c r="CB17" s="67">
        <f t="shared" si="88"/>
        <v>76.599999999998545</v>
      </c>
      <c r="CC17" s="60">
        <v>15240.9</v>
      </c>
      <c r="CD17" s="67">
        <f t="shared" si="89"/>
        <v>22.199999999998909</v>
      </c>
      <c r="CE17" s="60">
        <v>7930.4</v>
      </c>
      <c r="CF17" s="67">
        <f t="shared" si="90"/>
        <v>7.2999999999992724</v>
      </c>
      <c r="CG17" s="60">
        <v>72583.199999999997</v>
      </c>
      <c r="CH17" s="67">
        <f t="shared" si="91"/>
        <v>62.80000000000291</v>
      </c>
      <c r="CI17" s="60">
        <v>1034722</v>
      </c>
      <c r="CJ17" s="67">
        <f t="shared" si="92"/>
        <v>330</v>
      </c>
      <c r="CK17" s="60">
        <v>957.51</v>
      </c>
      <c r="CL17" s="64">
        <f t="shared" si="93"/>
        <v>809.99999999994543</v>
      </c>
      <c r="CM17" s="65">
        <f t="shared" si="94"/>
        <v>123</v>
      </c>
      <c r="CN17" s="62">
        <v>40</v>
      </c>
      <c r="CO17" s="62">
        <v>112</v>
      </c>
      <c r="CP17" s="68">
        <v>27104</v>
      </c>
      <c r="CQ17" s="67">
        <f t="shared" si="95"/>
        <v>90</v>
      </c>
      <c r="CR17" s="68">
        <v>20562</v>
      </c>
      <c r="CS17" s="67">
        <f t="shared" si="96"/>
        <v>33</v>
      </c>
      <c r="CT17" s="75">
        <v>9685</v>
      </c>
      <c r="CU17" s="67">
        <f t="shared" si="97"/>
        <v>18</v>
      </c>
      <c r="CV17" s="68">
        <v>23644</v>
      </c>
      <c r="CW17" s="67">
        <f t="shared" si="98"/>
        <v>43</v>
      </c>
      <c r="CX17" s="58">
        <v>2538.1</v>
      </c>
      <c r="CY17" s="67">
        <f t="shared" si="99"/>
        <v>13.799999999999727</v>
      </c>
    </row>
    <row r="18" spans="1:103" ht="25.5" customHeight="1" thickBot="1" x14ac:dyDescent="0.45">
      <c r="A18" s="63">
        <v>44666</v>
      </c>
      <c r="B18" s="44"/>
      <c r="C18" s="58">
        <v>3.0922999999999998</v>
      </c>
      <c r="D18" s="64">
        <f t="shared" si="50"/>
        <v>4099.9999999997708</v>
      </c>
      <c r="E18" s="58">
        <v>4.1856</v>
      </c>
      <c r="F18" s="64">
        <f t="shared" si="51"/>
        <v>3999.9999999995593</v>
      </c>
      <c r="G18" s="58">
        <v>4.1456</v>
      </c>
      <c r="H18" s="64">
        <f t="shared" si="52"/>
        <v>3499.9999999998367</v>
      </c>
      <c r="I18" s="58">
        <v>2.0811000000000002</v>
      </c>
      <c r="J18" s="64">
        <f t="shared" si="53"/>
        <v>2000.0000000002237</v>
      </c>
      <c r="K18" s="58">
        <v>3.2589999999999999</v>
      </c>
      <c r="L18" s="64">
        <f t="shared" si="54"/>
        <v>1100.000000000101</v>
      </c>
      <c r="M18" s="58">
        <v>1.8554999999999999</v>
      </c>
      <c r="N18" s="64">
        <f t="shared" si="55"/>
        <v>2299.9999999999686</v>
      </c>
      <c r="O18" s="58">
        <v>19676</v>
      </c>
      <c r="P18" s="67">
        <f t="shared" si="56"/>
        <v>38</v>
      </c>
      <c r="Q18" s="58">
        <v>2352</v>
      </c>
      <c r="R18" s="67">
        <f t="shared" si="57"/>
        <v>8</v>
      </c>
      <c r="S18" s="58">
        <v>1297.9000000000001</v>
      </c>
      <c r="T18" s="67">
        <f t="shared" si="58"/>
        <v>1.7000000000000455</v>
      </c>
      <c r="U18" s="58">
        <v>531705.59999999998</v>
      </c>
      <c r="V18" s="67">
        <f t="shared" si="59"/>
        <v>635.09999999997672</v>
      </c>
      <c r="W18" s="58">
        <v>496.26</v>
      </c>
      <c r="X18" s="65">
        <f t="shared" si="60"/>
        <v>459.99999999997954</v>
      </c>
      <c r="Y18" s="58">
        <v>3.6783999999999999</v>
      </c>
      <c r="Z18" s="65">
        <f t="shared" si="61"/>
        <v>3699.9999999998145</v>
      </c>
      <c r="AA18" s="58">
        <v>498.4</v>
      </c>
      <c r="AB18" s="65">
        <f t="shared" si="62"/>
        <v>529.99999999997272</v>
      </c>
      <c r="AC18" s="58">
        <v>488.04</v>
      </c>
      <c r="AD18" s="65">
        <f t="shared" si="63"/>
        <v>540.00000000002046</v>
      </c>
      <c r="AE18" s="58">
        <v>714.43</v>
      </c>
      <c r="AF18" s="65">
        <f t="shared" si="64"/>
        <v>1359.9999999999</v>
      </c>
      <c r="AG18" s="58">
        <v>15866</v>
      </c>
      <c r="AH18" s="67">
        <f t="shared" si="65"/>
        <v>64</v>
      </c>
      <c r="AI18" s="58">
        <v>822.01</v>
      </c>
      <c r="AJ18" s="65">
        <f t="shared" si="66"/>
        <v>929.99999999994998</v>
      </c>
      <c r="AK18" s="58">
        <v>275.43</v>
      </c>
      <c r="AL18" s="65">
        <f t="shared" si="67"/>
        <v>290.00000000002046</v>
      </c>
      <c r="AM18" s="58">
        <v>256.95999999999998</v>
      </c>
      <c r="AN18" s="65">
        <f t="shared" si="68"/>
        <v>310.00000000000227</v>
      </c>
      <c r="AO18" s="58">
        <v>248.46</v>
      </c>
      <c r="AP18" s="65">
        <f t="shared" si="69"/>
        <v>290.00000000002046</v>
      </c>
      <c r="AQ18" s="58">
        <v>304.86</v>
      </c>
      <c r="AR18" s="65">
        <f t="shared" si="70"/>
        <v>259.99999999999091</v>
      </c>
      <c r="AS18" s="58">
        <v>429.76</v>
      </c>
      <c r="AT18" s="65">
        <f t="shared" si="71"/>
        <v>199.99999999998863</v>
      </c>
      <c r="AU18" s="58">
        <v>337.72</v>
      </c>
      <c r="AV18" s="65">
        <f t="shared" si="72"/>
        <v>220.00000000002728</v>
      </c>
      <c r="AW18" s="58">
        <v>368.51</v>
      </c>
      <c r="AX18" s="65">
        <f t="shared" si="73"/>
        <v>329.99999999998408</v>
      </c>
      <c r="AY18" s="58">
        <v>403.17</v>
      </c>
      <c r="AZ18" s="65">
        <f t="shared" si="74"/>
        <v>330.00000000004093</v>
      </c>
      <c r="BA18" s="58">
        <v>423</v>
      </c>
      <c r="BB18" s="65">
        <f t="shared" si="75"/>
        <v>300.00000000001137</v>
      </c>
      <c r="BC18" s="58">
        <v>270.60000000000002</v>
      </c>
      <c r="BD18" s="65">
        <f t="shared" si="76"/>
        <v>250</v>
      </c>
      <c r="BE18" s="59">
        <v>50084</v>
      </c>
      <c r="BF18" s="67">
        <f t="shared" si="77"/>
        <v>45</v>
      </c>
      <c r="BG18" s="60">
        <v>246.76</v>
      </c>
      <c r="BH18" s="65">
        <f t="shared" si="78"/>
        <v>60.000000000002274</v>
      </c>
      <c r="BI18" s="60">
        <v>301.83</v>
      </c>
      <c r="BJ18" s="65">
        <f t="shared" si="79"/>
        <v>39.99999999996362</v>
      </c>
      <c r="BK18" s="60">
        <v>249.67</v>
      </c>
      <c r="BL18" s="65">
        <f t="shared" si="80"/>
        <v>69.999999999993179</v>
      </c>
      <c r="BM18" s="60">
        <v>236.34</v>
      </c>
      <c r="BN18" s="65">
        <f t="shared" si="81"/>
        <v>60.000000000002274</v>
      </c>
      <c r="BO18" s="60">
        <v>303.42</v>
      </c>
      <c r="BP18" s="65">
        <f t="shared" si="82"/>
        <v>80.000000000040927</v>
      </c>
      <c r="BQ18" s="60">
        <v>54896</v>
      </c>
      <c r="BR18" s="65">
        <f t="shared" si="83"/>
        <v>60</v>
      </c>
      <c r="BS18" s="60">
        <v>213.67</v>
      </c>
      <c r="BT18" s="65">
        <f t="shared" si="84"/>
        <v>79.999999999984084</v>
      </c>
      <c r="BU18" s="60">
        <v>52328</v>
      </c>
      <c r="BV18" s="65">
        <f t="shared" si="85"/>
        <v>65</v>
      </c>
      <c r="BW18" s="60">
        <v>242.02</v>
      </c>
      <c r="BX18" s="65">
        <f t="shared" si="86"/>
        <v>90.000000000003411</v>
      </c>
      <c r="BY18" s="60">
        <v>72021</v>
      </c>
      <c r="BZ18" s="67">
        <f t="shared" si="87"/>
        <v>58</v>
      </c>
      <c r="CA18" s="60">
        <v>45905.9</v>
      </c>
      <c r="CB18" s="67">
        <f t="shared" si="88"/>
        <v>76.30000000000291</v>
      </c>
      <c r="CC18" s="60">
        <v>15263.9</v>
      </c>
      <c r="CD18" s="67">
        <f t="shared" si="89"/>
        <v>23</v>
      </c>
      <c r="CE18" s="60">
        <v>7938</v>
      </c>
      <c r="CF18" s="67">
        <f t="shared" si="90"/>
        <v>7.6000000000003638</v>
      </c>
      <c r="CG18" s="60">
        <v>72644.399999999994</v>
      </c>
      <c r="CH18" s="67">
        <f t="shared" si="91"/>
        <v>61.19999999999709</v>
      </c>
      <c r="CI18" s="60">
        <v>1035094</v>
      </c>
      <c r="CJ18" s="67">
        <f t="shared" si="92"/>
        <v>372</v>
      </c>
      <c r="CK18" s="60">
        <v>958.3</v>
      </c>
      <c r="CL18" s="64">
        <f t="shared" si="93"/>
        <v>789.99999999996362</v>
      </c>
      <c r="CM18" s="65">
        <f t="shared" si="94"/>
        <v>135</v>
      </c>
      <c r="CN18" s="62">
        <v>40</v>
      </c>
      <c r="CO18" s="62">
        <v>116</v>
      </c>
      <c r="CP18" s="68">
        <v>27215</v>
      </c>
      <c r="CQ18" s="67">
        <f t="shared" si="95"/>
        <v>111</v>
      </c>
      <c r="CR18" s="68">
        <v>20586</v>
      </c>
      <c r="CS18" s="67">
        <f t="shared" si="96"/>
        <v>24</v>
      </c>
      <c r="CT18" s="75">
        <v>9700</v>
      </c>
      <c r="CU18" s="67">
        <f t="shared" si="97"/>
        <v>15</v>
      </c>
      <c r="CV18" s="68">
        <v>23667</v>
      </c>
      <c r="CW18" s="67">
        <f t="shared" si="98"/>
        <v>23</v>
      </c>
      <c r="CX18" s="58">
        <v>2552.1</v>
      </c>
      <c r="CY18" s="67">
        <f t="shared" si="99"/>
        <v>14</v>
      </c>
    </row>
    <row r="19" spans="1:103" ht="25.5" customHeight="1" thickBot="1" x14ac:dyDescent="0.45">
      <c r="A19" s="63">
        <v>44667</v>
      </c>
      <c r="B19" s="44"/>
      <c r="C19" s="58">
        <v>3.0960000000000001</v>
      </c>
      <c r="D19" s="64">
        <f t="shared" si="50"/>
        <v>3700.0000000002588</v>
      </c>
      <c r="E19" s="58">
        <v>4.1897000000000002</v>
      </c>
      <c r="F19" s="64">
        <f t="shared" si="51"/>
        <v>4100.0000000002146</v>
      </c>
      <c r="G19" s="58">
        <v>4.1492000000000004</v>
      </c>
      <c r="H19" s="64">
        <f t="shared" si="52"/>
        <v>3600.0000000004916</v>
      </c>
      <c r="I19" s="58">
        <v>2.0831</v>
      </c>
      <c r="J19" s="64">
        <f t="shared" si="53"/>
        <v>1999.9999999997797</v>
      </c>
      <c r="K19" s="58">
        <v>3.2618999999999998</v>
      </c>
      <c r="L19" s="64">
        <f t="shared" si="54"/>
        <v>2899.9999999999027</v>
      </c>
      <c r="M19" s="58">
        <v>1.8576999999999999</v>
      </c>
      <c r="N19" s="64">
        <f t="shared" si="55"/>
        <v>2199.9999999999795</v>
      </c>
      <c r="O19" s="58">
        <v>19709</v>
      </c>
      <c r="P19" s="67">
        <f t="shared" si="56"/>
        <v>33</v>
      </c>
      <c r="Q19" s="58">
        <v>2357</v>
      </c>
      <c r="R19" s="67">
        <f t="shared" si="57"/>
        <v>5</v>
      </c>
      <c r="S19" s="58">
        <v>1299.0999999999999</v>
      </c>
      <c r="T19" s="67">
        <f t="shared" si="58"/>
        <v>1.1999999999998181</v>
      </c>
      <c r="U19" s="58">
        <v>532122.80000000005</v>
      </c>
      <c r="V19" s="67">
        <f t="shared" si="59"/>
        <v>417.20000000006985</v>
      </c>
      <c r="W19" s="58">
        <v>496.62</v>
      </c>
      <c r="X19" s="65">
        <f t="shared" si="60"/>
        <v>360.00000000001364</v>
      </c>
      <c r="Y19" s="58">
        <v>3.6819000000000002</v>
      </c>
      <c r="Z19" s="65">
        <f t="shared" si="61"/>
        <v>3500.0000000002806</v>
      </c>
      <c r="AA19" s="58">
        <v>498.86</v>
      </c>
      <c r="AB19" s="65">
        <f t="shared" si="62"/>
        <v>460.00000000003638</v>
      </c>
      <c r="AC19" s="58">
        <v>488.4</v>
      </c>
      <c r="AD19" s="65">
        <f t="shared" si="63"/>
        <v>359.9999999999568</v>
      </c>
      <c r="AE19" s="58">
        <v>715.49</v>
      </c>
      <c r="AF19" s="65">
        <f t="shared" si="64"/>
        <v>1060.0000000000591</v>
      </c>
      <c r="AG19" s="58">
        <v>15923</v>
      </c>
      <c r="AH19" s="67">
        <f t="shared" si="65"/>
        <v>57</v>
      </c>
      <c r="AI19" s="58">
        <v>822.77</v>
      </c>
      <c r="AJ19" s="65">
        <f t="shared" si="66"/>
        <v>759.99999999999091</v>
      </c>
      <c r="AK19" s="58">
        <v>275.7</v>
      </c>
      <c r="AL19" s="65">
        <f t="shared" si="67"/>
        <v>269.99999999998181</v>
      </c>
      <c r="AM19" s="58">
        <v>257.24</v>
      </c>
      <c r="AN19" s="65">
        <f t="shared" si="68"/>
        <v>280.00000000002956</v>
      </c>
      <c r="AO19" s="58">
        <v>248.72</v>
      </c>
      <c r="AP19" s="65">
        <f t="shared" si="69"/>
        <v>259.99999999999091</v>
      </c>
      <c r="AQ19" s="58">
        <v>305.06</v>
      </c>
      <c r="AR19" s="65">
        <f t="shared" si="70"/>
        <v>199.99999999998863</v>
      </c>
      <c r="AS19" s="58">
        <v>429.95</v>
      </c>
      <c r="AT19" s="65">
        <f t="shared" si="71"/>
        <v>189.99999999999773</v>
      </c>
      <c r="AU19" s="58">
        <v>337.96</v>
      </c>
      <c r="AV19" s="65">
        <f t="shared" si="72"/>
        <v>239.99999999995225</v>
      </c>
      <c r="AW19" s="58">
        <v>368.77</v>
      </c>
      <c r="AX19" s="65">
        <f t="shared" si="73"/>
        <v>259.99999999999091</v>
      </c>
      <c r="AY19" s="58">
        <v>403.5</v>
      </c>
      <c r="AZ19" s="65">
        <f t="shared" si="74"/>
        <v>329.99999999998408</v>
      </c>
      <c r="BA19" s="58">
        <v>423.25</v>
      </c>
      <c r="BB19" s="65">
        <f t="shared" si="75"/>
        <v>250</v>
      </c>
      <c r="BC19" s="58">
        <v>270.85000000000002</v>
      </c>
      <c r="BD19" s="65">
        <f t="shared" si="76"/>
        <v>250</v>
      </c>
      <c r="BE19" s="59">
        <v>50100</v>
      </c>
      <c r="BF19" s="67">
        <f t="shared" si="77"/>
        <v>16</v>
      </c>
      <c r="BG19" s="60">
        <v>246.81</v>
      </c>
      <c r="BH19" s="65">
        <f t="shared" si="78"/>
        <v>50.000000000011369</v>
      </c>
      <c r="BI19" s="60">
        <v>301.86</v>
      </c>
      <c r="BJ19" s="65">
        <f t="shared" si="79"/>
        <v>30.000000000029559</v>
      </c>
      <c r="BK19" s="60">
        <v>249.73</v>
      </c>
      <c r="BL19" s="65">
        <f t="shared" si="80"/>
        <v>60.000000000002274</v>
      </c>
      <c r="BM19" s="60">
        <v>236.38</v>
      </c>
      <c r="BN19" s="65">
        <f t="shared" si="81"/>
        <v>39.999999999992042</v>
      </c>
      <c r="BO19" s="60">
        <v>303.49</v>
      </c>
      <c r="BP19" s="65">
        <f t="shared" si="82"/>
        <v>69.999999999993179</v>
      </c>
      <c r="BQ19" s="60">
        <v>54937</v>
      </c>
      <c r="BR19" s="65">
        <f t="shared" si="83"/>
        <v>41</v>
      </c>
      <c r="BS19" s="60">
        <v>213.72</v>
      </c>
      <c r="BT19" s="65">
        <f t="shared" si="84"/>
        <v>50.000000000011369</v>
      </c>
      <c r="BU19" s="60">
        <v>52384</v>
      </c>
      <c r="BV19" s="65">
        <f t="shared" si="85"/>
        <v>56</v>
      </c>
      <c r="BW19" s="60">
        <v>242.09</v>
      </c>
      <c r="BX19" s="65">
        <f t="shared" si="86"/>
        <v>69.999999999993179</v>
      </c>
      <c r="BY19" s="60">
        <v>72068</v>
      </c>
      <c r="BZ19" s="67">
        <f t="shared" si="87"/>
        <v>47</v>
      </c>
      <c r="CA19" s="60">
        <v>45988.5</v>
      </c>
      <c r="CB19" s="67">
        <f t="shared" si="88"/>
        <v>82.599999999998545</v>
      </c>
      <c r="CC19" s="60">
        <v>15282.7</v>
      </c>
      <c r="CD19" s="67">
        <f t="shared" si="89"/>
        <v>18.800000000001091</v>
      </c>
      <c r="CE19" s="60">
        <v>7941.8</v>
      </c>
      <c r="CF19" s="67">
        <f t="shared" si="90"/>
        <v>3.8000000000001819</v>
      </c>
      <c r="CG19" s="60">
        <v>72675.7</v>
      </c>
      <c r="CH19" s="67">
        <f t="shared" si="91"/>
        <v>31.30000000000291</v>
      </c>
      <c r="CI19" s="60">
        <v>1035389</v>
      </c>
      <c r="CJ19" s="67">
        <f t="shared" si="92"/>
        <v>295</v>
      </c>
      <c r="CK19" s="60">
        <v>959.19</v>
      </c>
      <c r="CL19" s="64">
        <f t="shared" si="93"/>
        <v>890.00000000010004</v>
      </c>
      <c r="CM19" s="65">
        <f t="shared" si="94"/>
        <v>123</v>
      </c>
      <c r="CN19" s="62">
        <v>39</v>
      </c>
      <c r="CO19" s="62">
        <v>103</v>
      </c>
      <c r="CP19" s="68">
        <v>27300</v>
      </c>
      <c r="CQ19" s="67">
        <f t="shared" si="95"/>
        <v>85</v>
      </c>
      <c r="CR19" s="68">
        <v>20624</v>
      </c>
      <c r="CS19" s="67">
        <f t="shared" si="96"/>
        <v>38</v>
      </c>
      <c r="CT19" s="75">
        <v>9709</v>
      </c>
      <c r="CU19" s="67">
        <f t="shared" si="97"/>
        <v>9</v>
      </c>
      <c r="CV19" s="68">
        <v>23685</v>
      </c>
      <c r="CW19" s="67">
        <f t="shared" si="98"/>
        <v>18</v>
      </c>
      <c r="CX19" s="58">
        <v>2564.6999999999998</v>
      </c>
      <c r="CY19" s="67">
        <f t="shared" si="99"/>
        <v>12.599999999999909</v>
      </c>
    </row>
    <row r="20" spans="1:103" ht="25.5" customHeight="1" thickBot="1" x14ac:dyDescent="0.45">
      <c r="A20" s="63">
        <v>44668</v>
      </c>
      <c r="B20" s="44"/>
      <c r="C20" s="58">
        <v>3.0988000000000002</v>
      </c>
      <c r="D20" s="64">
        <f t="shared" si="50"/>
        <v>2800.0000000001355</v>
      </c>
      <c r="E20" s="58">
        <v>4.1932999999999998</v>
      </c>
      <c r="F20" s="64">
        <f t="shared" si="51"/>
        <v>3599.9999999996035</v>
      </c>
      <c r="G20" s="58">
        <v>4.1527000000000003</v>
      </c>
      <c r="H20" s="64">
        <f t="shared" si="52"/>
        <v>3499.9999999998367</v>
      </c>
      <c r="I20" s="58">
        <v>2.0847000000000002</v>
      </c>
      <c r="J20" s="64">
        <f t="shared" si="53"/>
        <v>1600.0000000002678</v>
      </c>
      <c r="K20" s="58">
        <v>3.2643</v>
      </c>
      <c r="L20" s="64">
        <f t="shared" si="54"/>
        <v>2400.0000000001796</v>
      </c>
      <c r="M20" s="58">
        <v>1.8593999999999999</v>
      </c>
      <c r="N20" s="64">
        <f t="shared" si="55"/>
        <v>1700.0000000000348</v>
      </c>
      <c r="O20" s="58">
        <v>19734</v>
      </c>
      <c r="P20" s="67">
        <f t="shared" si="56"/>
        <v>25</v>
      </c>
      <c r="Q20" s="58">
        <v>2361</v>
      </c>
      <c r="R20" s="67">
        <f t="shared" si="57"/>
        <v>4</v>
      </c>
      <c r="S20" s="58">
        <v>1300.5</v>
      </c>
      <c r="T20" s="67">
        <f t="shared" si="58"/>
        <v>1.4000000000000909</v>
      </c>
      <c r="U20" s="58">
        <v>532556</v>
      </c>
      <c r="V20" s="67">
        <f t="shared" si="59"/>
        <v>433.19999999995343</v>
      </c>
      <c r="W20" s="58">
        <v>496.95</v>
      </c>
      <c r="X20" s="65">
        <f t="shared" si="60"/>
        <v>329.99999999998408</v>
      </c>
      <c r="Y20" s="58">
        <v>3.6852</v>
      </c>
      <c r="Z20" s="65">
        <f t="shared" si="61"/>
        <v>3299.9999999998586</v>
      </c>
      <c r="AA20" s="58">
        <v>499.32</v>
      </c>
      <c r="AB20" s="65">
        <f t="shared" si="62"/>
        <v>459.99999999997954</v>
      </c>
      <c r="AC20" s="58">
        <v>488.72</v>
      </c>
      <c r="AD20" s="65">
        <f t="shared" si="63"/>
        <v>320.00000000005002</v>
      </c>
      <c r="AE20" s="58">
        <v>716.35</v>
      </c>
      <c r="AF20" s="65">
        <f t="shared" si="64"/>
        <v>860.00000000001364</v>
      </c>
      <c r="AG20" s="58">
        <v>15971</v>
      </c>
      <c r="AH20" s="67">
        <f t="shared" si="65"/>
        <v>48</v>
      </c>
      <c r="AI20" s="58">
        <v>823.36</v>
      </c>
      <c r="AJ20" s="65">
        <f t="shared" si="66"/>
        <v>590.00000000003183</v>
      </c>
      <c r="AK20" s="58">
        <v>275.91000000000003</v>
      </c>
      <c r="AL20" s="65">
        <f t="shared" si="67"/>
        <v>210.00000000003638</v>
      </c>
      <c r="AM20" s="58">
        <v>257.45999999999998</v>
      </c>
      <c r="AN20" s="65">
        <f t="shared" si="68"/>
        <v>219.99999999997044</v>
      </c>
      <c r="AO20" s="58">
        <v>248.89</v>
      </c>
      <c r="AP20" s="65">
        <f t="shared" si="69"/>
        <v>169.99999999998749</v>
      </c>
      <c r="AQ20" s="58">
        <v>305.20999999999998</v>
      </c>
      <c r="AR20" s="65">
        <f t="shared" si="70"/>
        <v>149.99999999997726</v>
      </c>
      <c r="AS20" s="58">
        <v>430.06</v>
      </c>
      <c r="AT20" s="65">
        <f t="shared" si="71"/>
        <v>110.00000000001364</v>
      </c>
      <c r="AU20" s="58">
        <v>338.23</v>
      </c>
      <c r="AV20" s="65">
        <f t="shared" si="72"/>
        <v>270.00000000003865</v>
      </c>
      <c r="AW20" s="58">
        <v>368.99</v>
      </c>
      <c r="AX20" s="65">
        <f t="shared" si="73"/>
        <v>220.00000000002728</v>
      </c>
      <c r="AY20" s="58">
        <v>403.76</v>
      </c>
      <c r="AZ20" s="65">
        <f t="shared" si="74"/>
        <v>259.99999999999091</v>
      </c>
      <c r="BA20" s="58">
        <v>423.44</v>
      </c>
      <c r="BB20" s="65">
        <f t="shared" si="75"/>
        <v>189.99999999999773</v>
      </c>
      <c r="BC20" s="58">
        <v>271.01</v>
      </c>
      <c r="BD20" s="65">
        <f t="shared" si="76"/>
        <v>159.99999999996817</v>
      </c>
      <c r="BE20" s="59">
        <v>50140</v>
      </c>
      <c r="BF20" s="67">
        <f t="shared" si="77"/>
        <v>40</v>
      </c>
      <c r="BG20" s="60">
        <v>246.85</v>
      </c>
      <c r="BH20" s="65">
        <f t="shared" si="78"/>
        <v>39.999999999992042</v>
      </c>
      <c r="BI20" s="60">
        <v>301.89</v>
      </c>
      <c r="BJ20" s="65">
        <f t="shared" si="79"/>
        <v>29.999999999972715</v>
      </c>
      <c r="BK20" s="60">
        <v>249.77</v>
      </c>
      <c r="BL20" s="65">
        <f t="shared" si="80"/>
        <v>40.000000000020464</v>
      </c>
      <c r="BM20" s="60">
        <v>236.41</v>
      </c>
      <c r="BN20" s="65">
        <f t="shared" si="81"/>
        <v>30.000000000001137</v>
      </c>
      <c r="BO20" s="60">
        <v>303.52999999999997</v>
      </c>
      <c r="BP20" s="65">
        <f t="shared" si="82"/>
        <v>39.99999999996362</v>
      </c>
      <c r="BQ20" s="60">
        <v>54973</v>
      </c>
      <c r="BR20" s="65">
        <f t="shared" si="83"/>
        <v>36</v>
      </c>
      <c r="BS20" s="60">
        <v>213.77</v>
      </c>
      <c r="BT20" s="65">
        <f t="shared" si="84"/>
        <v>50.000000000011369</v>
      </c>
      <c r="BU20" s="60">
        <v>52429</v>
      </c>
      <c r="BV20" s="65">
        <f t="shared" si="85"/>
        <v>45</v>
      </c>
      <c r="BW20" s="60">
        <v>242.14</v>
      </c>
      <c r="BX20" s="65">
        <f t="shared" si="86"/>
        <v>49.999999999982947</v>
      </c>
      <c r="BY20" s="60">
        <v>72109</v>
      </c>
      <c r="BZ20" s="67">
        <f t="shared" si="87"/>
        <v>41</v>
      </c>
      <c r="CA20" s="60">
        <v>46069</v>
      </c>
      <c r="CB20" s="67">
        <f t="shared" si="88"/>
        <v>80.5</v>
      </c>
      <c r="CC20" s="60">
        <v>15298.2</v>
      </c>
      <c r="CD20" s="67">
        <f t="shared" si="89"/>
        <v>15.5</v>
      </c>
      <c r="CE20" s="60">
        <v>7949.3</v>
      </c>
      <c r="CF20" s="67">
        <f t="shared" si="90"/>
        <v>7.5</v>
      </c>
      <c r="CG20" s="60">
        <v>72720.3</v>
      </c>
      <c r="CH20" s="67">
        <f t="shared" si="91"/>
        <v>44.600000000005821</v>
      </c>
      <c r="CI20" s="60">
        <v>1035699</v>
      </c>
      <c r="CJ20" s="67">
        <f t="shared" si="92"/>
        <v>310</v>
      </c>
      <c r="CK20" s="60">
        <v>960.12</v>
      </c>
      <c r="CL20" s="64">
        <f t="shared" si="93"/>
        <v>929.99999999994998</v>
      </c>
      <c r="CM20" s="65">
        <f t="shared" si="94"/>
        <v>93</v>
      </c>
      <c r="CN20" s="62">
        <v>41</v>
      </c>
      <c r="CO20" s="62">
        <v>111</v>
      </c>
      <c r="CP20" s="68">
        <v>27388</v>
      </c>
      <c r="CQ20" s="67">
        <f t="shared" si="95"/>
        <v>88</v>
      </c>
      <c r="CR20" s="68">
        <v>20629</v>
      </c>
      <c r="CS20" s="67">
        <f t="shared" si="96"/>
        <v>5</v>
      </c>
      <c r="CT20" s="75">
        <v>9719</v>
      </c>
      <c r="CU20" s="67">
        <f t="shared" si="97"/>
        <v>10</v>
      </c>
      <c r="CV20" s="68">
        <v>23703</v>
      </c>
      <c r="CW20" s="67">
        <f t="shared" si="98"/>
        <v>18</v>
      </c>
      <c r="CX20" s="58">
        <v>2569.8000000000002</v>
      </c>
      <c r="CY20" s="67">
        <f t="shared" si="99"/>
        <v>5.1000000000003638</v>
      </c>
    </row>
    <row r="21" spans="1:103" ht="25.5" customHeight="1" thickBot="1" x14ac:dyDescent="0.45">
      <c r="A21" s="63">
        <v>44669</v>
      </c>
      <c r="B21" s="44"/>
      <c r="C21" s="58">
        <v>3.1017999999999999</v>
      </c>
      <c r="D21" s="64">
        <f t="shared" si="50"/>
        <v>2999.9999999996694</v>
      </c>
      <c r="E21" s="58">
        <v>4.1970999999999998</v>
      </c>
      <c r="F21" s="64">
        <f t="shared" si="51"/>
        <v>3800.0000000000255</v>
      </c>
      <c r="G21" s="58">
        <v>4.1562999999999999</v>
      </c>
      <c r="H21" s="64">
        <f t="shared" si="52"/>
        <v>3599.9999999996035</v>
      </c>
      <c r="I21" s="58">
        <v>2.0865</v>
      </c>
      <c r="J21" s="64">
        <f t="shared" si="53"/>
        <v>1799.9999999998017</v>
      </c>
      <c r="K21" s="58">
        <v>3.2669000000000001</v>
      </c>
      <c r="L21" s="64">
        <f t="shared" si="54"/>
        <v>2600.0000000001578</v>
      </c>
      <c r="M21" s="58">
        <v>1.8613999999999999</v>
      </c>
      <c r="N21" s="64">
        <f t="shared" si="55"/>
        <v>2000.0000000000018</v>
      </c>
      <c r="O21" s="58">
        <v>19771</v>
      </c>
      <c r="P21" s="67">
        <f t="shared" si="56"/>
        <v>37</v>
      </c>
      <c r="Q21" s="58">
        <v>2367</v>
      </c>
      <c r="R21" s="67">
        <f t="shared" si="57"/>
        <v>6</v>
      </c>
      <c r="S21" s="58">
        <v>1302</v>
      </c>
      <c r="T21" s="67">
        <f t="shared" si="58"/>
        <v>1.5</v>
      </c>
      <c r="U21" s="58">
        <v>533037.9</v>
      </c>
      <c r="V21" s="67">
        <f t="shared" si="59"/>
        <v>481.90000000002328</v>
      </c>
      <c r="W21" s="58">
        <v>497.37</v>
      </c>
      <c r="X21" s="65">
        <f t="shared" si="60"/>
        <v>420.00000000001592</v>
      </c>
      <c r="Y21" s="58">
        <v>3.6886999999999999</v>
      </c>
      <c r="Z21" s="65">
        <f t="shared" si="61"/>
        <v>3499.9999999998367</v>
      </c>
      <c r="AA21" s="58">
        <v>499.87</v>
      </c>
      <c r="AB21" s="65">
        <f t="shared" si="62"/>
        <v>550.00000000001137</v>
      </c>
      <c r="AC21" s="58">
        <v>489.13</v>
      </c>
      <c r="AD21" s="65">
        <f t="shared" si="63"/>
        <v>409.99999999996817</v>
      </c>
      <c r="AE21" s="58">
        <v>717.28</v>
      </c>
      <c r="AF21" s="65">
        <f t="shared" si="64"/>
        <v>929.99999999994998</v>
      </c>
      <c r="AG21" s="58">
        <v>16024</v>
      </c>
      <c r="AH21" s="67">
        <f t="shared" si="65"/>
        <v>53</v>
      </c>
      <c r="AI21" s="58">
        <v>824.01</v>
      </c>
      <c r="AJ21" s="65">
        <f t="shared" si="66"/>
        <v>649.99999999997726</v>
      </c>
      <c r="AK21" s="58">
        <v>276.11</v>
      </c>
      <c r="AL21" s="65">
        <f t="shared" si="67"/>
        <v>199.99999999998863</v>
      </c>
      <c r="AM21" s="58">
        <v>257.73</v>
      </c>
      <c r="AN21" s="65">
        <f t="shared" si="68"/>
        <v>270.00000000003865</v>
      </c>
      <c r="AO21" s="58">
        <v>249.09</v>
      </c>
      <c r="AP21" s="65">
        <f t="shared" si="69"/>
        <v>200.00000000001705</v>
      </c>
      <c r="AQ21" s="58">
        <v>305.33999999999997</v>
      </c>
      <c r="AR21" s="65">
        <f t="shared" si="70"/>
        <v>129.99999999999545</v>
      </c>
      <c r="AS21" s="58">
        <v>430.2</v>
      </c>
      <c r="AT21" s="65">
        <f t="shared" si="71"/>
        <v>139.99999999998636</v>
      </c>
      <c r="AU21" s="58">
        <v>338.49</v>
      </c>
      <c r="AV21" s="65">
        <f t="shared" si="72"/>
        <v>259.99999999999091</v>
      </c>
      <c r="AW21" s="58">
        <v>369.21</v>
      </c>
      <c r="AX21" s="65">
        <f t="shared" si="73"/>
        <v>219.99999999997044</v>
      </c>
      <c r="AY21" s="58">
        <v>403.92</v>
      </c>
      <c r="AZ21" s="65">
        <f t="shared" si="74"/>
        <v>160.00000000002501</v>
      </c>
      <c r="BA21" s="58">
        <v>423.64</v>
      </c>
      <c r="BB21" s="65">
        <f t="shared" si="75"/>
        <v>199.99999999998863</v>
      </c>
      <c r="BC21" s="58">
        <v>271.25</v>
      </c>
      <c r="BD21" s="65">
        <f t="shared" si="76"/>
        <v>240.00000000000909</v>
      </c>
      <c r="BE21" s="59">
        <v>50174</v>
      </c>
      <c r="BF21" s="67">
        <f t="shared" si="77"/>
        <v>34</v>
      </c>
      <c r="BG21" s="60">
        <v>246.89</v>
      </c>
      <c r="BH21" s="65">
        <f t="shared" si="78"/>
        <v>39.999999999992042</v>
      </c>
      <c r="BI21" s="60">
        <v>301.92</v>
      </c>
      <c r="BJ21" s="65">
        <f t="shared" si="79"/>
        <v>30.000000000029559</v>
      </c>
      <c r="BK21" s="60">
        <v>249.83</v>
      </c>
      <c r="BL21" s="65">
        <f t="shared" si="80"/>
        <v>60.000000000002274</v>
      </c>
      <c r="BM21" s="60">
        <v>236.46</v>
      </c>
      <c r="BN21" s="65">
        <f t="shared" si="81"/>
        <v>50.000000000011369</v>
      </c>
      <c r="BO21" s="60">
        <v>303.60000000000002</v>
      </c>
      <c r="BP21" s="65">
        <f t="shared" si="82"/>
        <v>70.000000000050022</v>
      </c>
      <c r="BQ21" s="60">
        <v>55021</v>
      </c>
      <c r="BR21" s="65">
        <f t="shared" si="83"/>
        <v>48</v>
      </c>
      <c r="BS21" s="60">
        <v>213.82</v>
      </c>
      <c r="BT21" s="65">
        <f t="shared" si="84"/>
        <v>49.999999999982947</v>
      </c>
      <c r="BU21" s="60">
        <v>52477</v>
      </c>
      <c r="BV21" s="65">
        <f t="shared" si="85"/>
        <v>48</v>
      </c>
      <c r="BW21" s="60">
        <v>242.18</v>
      </c>
      <c r="BX21" s="65">
        <f t="shared" si="86"/>
        <v>40.000000000020464</v>
      </c>
      <c r="BY21" s="60">
        <v>72160</v>
      </c>
      <c r="BZ21" s="67">
        <f t="shared" si="87"/>
        <v>51</v>
      </c>
      <c r="CA21" s="60">
        <v>46158</v>
      </c>
      <c r="CB21" s="67">
        <f t="shared" si="88"/>
        <v>89</v>
      </c>
      <c r="CC21" s="60">
        <v>15309.3</v>
      </c>
      <c r="CD21" s="67">
        <f t="shared" si="89"/>
        <v>11.099999999998545</v>
      </c>
      <c r="CE21" s="60">
        <v>7952.1</v>
      </c>
      <c r="CF21" s="67">
        <f t="shared" si="90"/>
        <v>2.8000000000001819</v>
      </c>
      <c r="CG21" s="60">
        <v>72775</v>
      </c>
      <c r="CH21" s="67">
        <f t="shared" si="91"/>
        <v>54.69999999999709</v>
      </c>
      <c r="CI21" s="60">
        <v>1036034</v>
      </c>
      <c r="CJ21" s="67">
        <f t="shared" si="92"/>
        <v>335</v>
      </c>
      <c r="CK21" s="60">
        <v>961.04</v>
      </c>
      <c r="CL21" s="64">
        <f t="shared" si="93"/>
        <v>919.99999999995907</v>
      </c>
      <c r="CM21" s="65">
        <f t="shared" si="94"/>
        <v>120</v>
      </c>
      <c r="CN21" s="62">
        <v>41</v>
      </c>
      <c r="CO21" s="62">
        <v>111</v>
      </c>
      <c r="CP21" s="68">
        <v>27477</v>
      </c>
      <c r="CQ21" s="67">
        <f t="shared" si="95"/>
        <v>89</v>
      </c>
      <c r="CR21" s="68">
        <v>20660</v>
      </c>
      <c r="CS21" s="67">
        <f t="shared" si="96"/>
        <v>31</v>
      </c>
      <c r="CT21" s="75">
        <v>9729</v>
      </c>
      <c r="CU21" s="67">
        <f t="shared" si="97"/>
        <v>10</v>
      </c>
      <c r="CV21" s="68">
        <v>23720</v>
      </c>
      <c r="CW21" s="67">
        <f t="shared" si="98"/>
        <v>17</v>
      </c>
      <c r="CX21" s="58">
        <v>2581.5</v>
      </c>
      <c r="CY21" s="67">
        <f t="shared" si="99"/>
        <v>11.699999999999818</v>
      </c>
    </row>
    <row r="22" spans="1:103" ht="25.5" customHeight="1" thickBot="1" x14ac:dyDescent="0.45">
      <c r="A22" s="63">
        <v>44670</v>
      </c>
      <c r="B22" s="44"/>
      <c r="C22" s="58">
        <v>3.1053000000000002</v>
      </c>
      <c r="D22" s="64">
        <f t="shared" si="50"/>
        <v>3500.0000000002806</v>
      </c>
      <c r="E22" s="58">
        <v>4.2009999999999996</v>
      </c>
      <c r="F22" s="64">
        <f t="shared" si="51"/>
        <v>3899.9999999997926</v>
      </c>
      <c r="G22" s="58">
        <v>4.1600999999999999</v>
      </c>
      <c r="H22" s="64">
        <f t="shared" si="52"/>
        <v>3800.0000000000255</v>
      </c>
      <c r="I22" s="58">
        <v>2.0884</v>
      </c>
      <c r="J22" s="64">
        <f t="shared" si="53"/>
        <v>1900.0000000000127</v>
      </c>
      <c r="K22" s="58">
        <v>3.2696999999999998</v>
      </c>
      <c r="L22" s="64">
        <f t="shared" si="54"/>
        <v>2799.9999999996917</v>
      </c>
      <c r="M22" s="58">
        <v>1.8633999999999999</v>
      </c>
      <c r="N22" s="64">
        <f t="shared" si="55"/>
        <v>2000.0000000000018</v>
      </c>
      <c r="O22" s="58">
        <v>19806</v>
      </c>
      <c r="P22" s="67">
        <f t="shared" si="56"/>
        <v>35</v>
      </c>
      <c r="Q22" s="58">
        <v>2374</v>
      </c>
      <c r="R22" s="67">
        <f t="shared" si="57"/>
        <v>7</v>
      </c>
      <c r="S22" s="58">
        <v>1303.5999999999999</v>
      </c>
      <c r="T22" s="67">
        <f t="shared" si="58"/>
        <v>1.5999999999999091</v>
      </c>
      <c r="U22" s="58">
        <v>533679.4</v>
      </c>
      <c r="V22" s="67">
        <f t="shared" si="59"/>
        <v>641.5</v>
      </c>
      <c r="W22" s="58">
        <v>497.81</v>
      </c>
      <c r="X22" s="65">
        <f t="shared" si="60"/>
        <v>439.99999999999773</v>
      </c>
      <c r="Y22" s="58">
        <v>3.6922000000000001</v>
      </c>
      <c r="Z22" s="65">
        <f t="shared" si="61"/>
        <v>3500.0000000002806</v>
      </c>
      <c r="AA22" s="58">
        <v>500.25</v>
      </c>
      <c r="AB22" s="65">
        <f t="shared" si="62"/>
        <v>379.99999999999545</v>
      </c>
      <c r="AC22" s="58">
        <v>489.54</v>
      </c>
      <c r="AD22" s="65">
        <f t="shared" si="63"/>
        <v>410.00000000002501</v>
      </c>
      <c r="AE22" s="58">
        <v>718.41</v>
      </c>
      <c r="AF22" s="65">
        <f t="shared" si="64"/>
        <v>1129.9999999999955</v>
      </c>
      <c r="AG22" s="58">
        <v>16084</v>
      </c>
      <c r="AH22" s="67">
        <f t="shared" si="65"/>
        <v>60</v>
      </c>
      <c r="AI22" s="58">
        <v>824.82</v>
      </c>
      <c r="AJ22" s="65">
        <f t="shared" si="66"/>
        <v>810.00000000005912</v>
      </c>
      <c r="AK22" s="58">
        <v>276.39999999999998</v>
      </c>
      <c r="AL22" s="65">
        <f t="shared" si="67"/>
        <v>289.99999999996362</v>
      </c>
      <c r="AM22" s="58">
        <v>258.04000000000002</v>
      </c>
      <c r="AN22" s="65">
        <f t="shared" si="68"/>
        <v>310.00000000000227</v>
      </c>
      <c r="AO22" s="58">
        <v>249.29</v>
      </c>
      <c r="AP22" s="65">
        <f t="shared" si="69"/>
        <v>199.99999999998863</v>
      </c>
      <c r="AQ22" s="58">
        <v>305.52999999999997</v>
      </c>
      <c r="AR22" s="65">
        <f t="shared" si="70"/>
        <v>189.99999999999773</v>
      </c>
      <c r="AS22" s="58">
        <v>430.34</v>
      </c>
      <c r="AT22" s="65">
        <f t="shared" si="71"/>
        <v>139.99999999998636</v>
      </c>
      <c r="AU22" s="58">
        <v>338.76</v>
      </c>
      <c r="AV22" s="65">
        <f t="shared" si="72"/>
        <v>269.99999999998181</v>
      </c>
      <c r="AW22" s="58">
        <v>369.45</v>
      </c>
      <c r="AX22" s="65">
        <f t="shared" si="73"/>
        <v>240.00000000000909</v>
      </c>
      <c r="AY22" s="58">
        <v>404.17</v>
      </c>
      <c r="AZ22" s="65">
        <f t="shared" si="74"/>
        <v>250</v>
      </c>
      <c r="BA22" s="58">
        <v>423.87</v>
      </c>
      <c r="BB22" s="65">
        <f t="shared" si="75"/>
        <v>230.00000000001819</v>
      </c>
      <c r="BC22" s="58">
        <v>271.52</v>
      </c>
      <c r="BD22" s="65">
        <f t="shared" si="76"/>
        <v>269.99999999998181</v>
      </c>
      <c r="BE22" s="59">
        <v>50214</v>
      </c>
      <c r="BF22" s="67">
        <f t="shared" si="77"/>
        <v>40</v>
      </c>
      <c r="BG22" s="60">
        <v>246.94</v>
      </c>
      <c r="BH22" s="65">
        <f t="shared" si="78"/>
        <v>50.000000000011369</v>
      </c>
      <c r="BI22" s="60">
        <v>301.95999999999998</v>
      </c>
      <c r="BJ22" s="65">
        <f t="shared" si="79"/>
        <v>39.99999999996362</v>
      </c>
      <c r="BK22" s="60">
        <v>249.89</v>
      </c>
      <c r="BL22" s="65">
        <f t="shared" si="80"/>
        <v>59.999999999973852</v>
      </c>
      <c r="BM22" s="60">
        <v>236.51</v>
      </c>
      <c r="BN22" s="65">
        <f t="shared" si="81"/>
        <v>49.999999999982947</v>
      </c>
      <c r="BO22" s="60">
        <v>303.68</v>
      </c>
      <c r="BP22" s="65">
        <f t="shared" si="82"/>
        <v>79.999999999984084</v>
      </c>
      <c r="BQ22" s="60">
        <v>55070</v>
      </c>
      <c r="BR22" s="65">
        <f t="shared" si="83"/>
        <v>49</v>
      </c>
      <c r="BS22" s="60">
        <v>213.88</v>
      </c>
      <c r="BT22" s="65">
        <f t="shared" si="84"/>
        <v>60.000000000002274</v>
      </c>
      <c r="BU22" s="60">
        <v>52542</v>
      </c>
      <c r="BV22" s="65">
        <f t="shared" si="85"/>
        <v>65</v>
      </c>
      <c r="BW22" s="60">
        <v>242.24</v>
      </c>
      <c r="BX22" s="65">
        <f t="shared" si="86"/>
        <v>60.000000000002274</v>
      </c>
      <c r="BY22" s="60">
        <v>72216</v>
      </c>
      <c r="BZ22" s="67">
        <f t="shared" si="87"/>
        <v>56</v>
      </c>
      <c r="CA22" s="60">
        <v>46242.8</v>
      </c>
      <c r="CB22" s="67">
        <f t="shared" si="88"/>
        <v>84.80000000000291</v>
      </c>
      <c r="CC22" s="60">
        <v>15320.8</v>
      </c>
      <c r="CD22" s="67">
        <f t="shared" si="89"/>
        <v>11.5</v>
      </c>
      <c r="CE22" s="60">
        <v>7955.2</v>
      </c>
      <c r="CF22" s="67">
        <f t="shared" si="90"/>
        <v>3.0999999999994543</v>
      </c>
      <c r="CG22" s="60">
        <v>72825.8</v>
      </c>
      <c r="CH22" s="67">
        <f t="shared" si="91"/>
        <v>50.80000000000291</v>
      </c>
      <c r="CI22" s="60">
        <v>1036391</v>
      </c>
      <c r="CJ22" s="67">
        <f t="shared" si="92"/>
        <v>357</v>
      </c>
      <c r="CK22" s="60">
        <v>961.99</v>
      </c>
      <c r="CL22" s="64">
        <f t="shared" si="93"/>
        <v>950.00000000004547</v>
      </c>
      <c r="CM22" s="65">
        <f t="shared" si="94"/>
        <v>129.20000000000073</v>
      </c>
      <c r="CN22" s="62">
        <v>29</v>
      </c>
      <c r="CO22" s="62">
        <v>76</v>
      </c>
      <c r="CP22" s="68">
        <v>27572</v>
      </c>
      <c r="CQ22" s="67">
        <f t="shared" si="95"/>
        <v>95</v>
      </c>
      <c r="CR22" s="68">
        <v>20694.2</v>
      </c>
      <c r="CS22" s="67">
        <f t="shared" si="96"/>
        <v>34.200000000000728</v>
      </c>
      <c r="CT22" s="75">
        <v>9738</v>
      </c>
      <c r="CU22" s="67">
        <f t="shared" si="97"/>
        <v>9</v>
      </c>
      <c r="CV22" s="68">
        <v>23739</v>
      </c>
      <c r="CW22" s="67">
        <f t="shared" si="98"/>
        <v>19</v>
      </c>
      <c r="CX22" s="58">
        <v>2595.1</v>
      </c>
      <c r="CY22" s="67">
        <f t="shared" si="99"/>
        <v>13.599999999999909</v>
      </c>
    </row>
    <row r="23" spans="1:103" ht="25.5" customHeight="1" thickBot="1" x14ac:dyDescent="0.45">
      <c r="A23" s="63">
        <v>44671</v>
      </c>
      <c r="B23" s="44"/>
      <c r="C23" s="58">
        <v>3.1088</v>
      </c>
      <c r="D23" s="64">
        <f t="shared" si="50"/>
        <v>3499.9999999998367</v>
      </c>
      <c r="E23" s="58">
        <v>4.2049000000000003</v>
      </c>
      <c r="F23" s="64">
        <f t="shared" si="51"/>
        <v>3900.0000000006808</v>
      </c>
      <c r="G23" s="58">
        <v>4.1637000000000004</v>
      </c>
      <c r="H23" s="64">
        <f t="shared" si="52"/>
        <v>3600.0000000004916</v>
      </c>
      <c r="I23" s="58">
        <v>2.0903999999999998</v>
      </c>
      <c r="J23" s="64">
        <f t="shared" si="53"/>
        <v>1999.9999999997797</v>
      </c>
      <c r="K23" s="58">
        <v>3.2724000000000002</v>
      </c>
      <c r="L23" s="64">
        <f t="shared" si="54"/>
        <v>2700.0000000003688</v>
      </c>
      <c r="M23" s="58">
        <v>1.8654999999999999</v>
      </c>
      <c r="N23" s="64">
        <f t="shared" si="55"/>
        <v>2099.9999999999909</v>
      </c>
      <c r="O23" s="58">
        <v>19839</v>
      </c>
      <c r="P23" s="67">
        <f t="shared" si="56"/>
        <v>33</v>
      </c>
      <c r="Q23" s="58">
        <v>2380</v>
      </c>
      <c r="R23" s="67">
        <f t="shared" si="57"/>
        <v>6</v>
      </c>
      <c r="S23" s="58">
        <v>1304.9000000000001</v>
      </c>
      <c r="T23" s="67">
        <f t="shared" si="58"/>
        <v>1.3000000000001819</v>
      </c>
      <c r="U23" s="58">
        <v>534158.80000000005</v>
      </c>
      <c r="V23" s="67">
        <f t="shared" si="59"/>
        <v>479.40000000002328</v>
      </c>
      <c r="W23" s="58">
        <v>498.3</v>
      </c>
      <c r="X23" s="65">
        <f t="shared" si="60"/>
        <v>490.00000000000909</v>
      </c>
      <c r="Y23" s="58">
        <v>3.6955</v>
      </c>
      <c r="Z23" s="65">
        <f t="shared" si="61"/>
        <v>3299.9999999998586</v>
      </c>
      <c r="AA23" s="58">
        <v>500.69</v>
      </c>
      <c r="AB23" s="65">
        <f t="shared" si="62"/>
        <v>439.99999999999773</v>
      </c>
      <c r="AC23" s="58">
        <v>489.94</v>
      </c>
      <c r="AD23" s="65">
        <f t="shared" si="63"/>
        <v>399.99999999997726</v>
      </c>
      <c r="AE23" s="58">
        <v>719.46</v>
      </c>
      <c r="AF23" s="65">
        <f t="shared" si="64"/>
        <v>1050.0000000000682</v>
      </c>
      <c r="AG23" s="58">
        <v>16129</v>
      </c>
      <c r="AH23" s="67">
        <f t="shared" si="65"/>
        <v>45</v>
      </c>
      <c r="AI23" s="58">
        <v>825.67</v>
      </c>
      <c r="AJ23" s="65">
        <f t="shared" si="66"/>
        <v>849.99999999990905</v>
      </c>
      <c r="AK23" s="58">
        <v>276.66000000000003</v>
      </c>
      <c r="AL23" s="65">
        <f t="shared" si="67"/>
        <v>260.00000000004775</v>
      </c>
      <c r="AM23" s="58">
        <v>258.35000000000002</v>
      </c>
      <c r="AN23" s="65">
        <f t="shared" si="68"/>
        <v>310.00000000000227</v>
      </c>
      <c r="AO23" s="58">
        <v>249.47</v>
      </c>
      <c r="AP23" s="65">
        <f t="shared" si="69"/>
        <v>180.00000000000682</v>
      </c>
      <c r="AQ23" s="58">
        <v>305.83</v>
      </c>
      <c r="AR23" s="65">
        <f t="shared" si="70"/>
        <v>300.00000000001137</v>
      </c>
      <c r="AS23" s="58">
        <v>430.5</v>
      </c>
      <c r="AT23" s="65">
        <f t="shared" si="71"/>
        <v>160.00000000002501</v>
      </c>
      <c r="AU23" s="58">
        <v>339.03</v>
      </c>
      <c r="AV23" s="65">
        <f t="shared" si="72"/>
        <v>269.99999999998181</v>
      </c>
      <c r="AW23" s="58">
        <v>369.69</v>
      </c>
      <c r="AX23" s="65">
        <f t="shared" si="73"/>
        <v>240.00000000000909</v>
      </c>
      <c r="AY23" s="58">
        <v>404.35</v>
      </c>
      <c r="AZ23" s="65">
        <f t="shared" si="74"/>
        <v>180.00000000000682</v>
      </c>
      <c r="BA23" s="58">
        <v>424.08</v>
      </c>
      <c r="BB23" s="65">
        <f t="shared" si="75"/>
        <v>209.99999999997954</v>
      </c>
      <c r="BC23" s="58">
        <v>271.76</v>
      </c>
      <c r="BD23" s="65">
        <f t="shared" si="76"/>
        <v>240.00000000000909</v>
      </c>
      <c r="BE23" s="59">
        <v>50250</v>
      </c>
      <c r="BF23" s="67">
        <f t="shared" si="77"/>
        <v>36</v>
      </c>
      <c r="BG23" s="60">
        <v>246.99</v>
      </c>
      <c r="BH23" s="65">
        <f t="shared" si="78"/>
        <v>50.000000000011369</v>
      </c>
      <c r="BI23" s="60">
        <v>302</v>
      </c>
      <c r="BJ23" s="65">
        <f t="shared" si="79"/>
        <v>40.000000000020464</v>
      </c>
      <c r="BK23" s="60">
        <v>249.95</v>
      </c>
      <c r="BL23" s="65">
        <f t="shared" si="80"/>
        <v>60.000000000002274</v>
      </c>
      <c r="BM23" s="60">
        <v>236.56</v>
      </c>
      <c r="BN23" s="65">
        <f t="shared" si="81"/>
        <v>50.000000000011369</v>
      </c>
      <c r="BO23" s="60">
        <v>303.75</v>
      </c>
      <c r="BP23" s="65">
        <f t="shared" si="82"/>
        <v>69.999999999993179</v>
      </c>
      <c r="BQ23" s="60">
        <v>55117</v>
      </c>
      <c r="BR23" s="65">
        <f t="shared" si="83"/>
        <v>47</v>
      </c>
      <c r="BS23" s="60">
        <v>213.93</v>
      </c>
      <c r="BT23" s="65">
        <f t="shared" si="84"/>
        <v>50.000000000011369</v>
      </c>
      <c r="BU23" s="60">
        <v>52600</v>
      </c>
      <c r="BV23" s="65">
        <f t="shared" si="85"/>
        <v>58</v>
      </c>
      <c r="BW23" s="60">
        <v>242.3</v>
      </c>
      <c r="BX23" s="65">
        <f t="shared" si="86"/>
        <v>60.000000000002274</v>
      </c>
      <c r="BY23" s="60">
        <v>72269</v>
      </c>
      <c r="BZ23" s="67">
        <f t="shared" si="87"/>
        <v>53</v>
      </c>
      <c r="CA23" s="60">
        <v>46316.6</v>
      </c>
      <c r="CB23" s="67">
        <f t="shared" si="88"/>
        <v>73.799999999995634</v>
      </c>
      <c r="CC23" s="60">
        <v>15331.7</v>
      </c>
      <c r="CD23" s="67">
        <f t="shared" si="89"/>
        <v>10.900000000001455</v>
      </c>
      <c r="CE23" s="60">
        <v>7959.1</v>
      </c>
      <c r="CF23" s="67">
        <f t="shared" si="90"/>
        <v>3.9000000000005457</v>
      </c>
      <c r="CG23" s="60">
        <v>72877.899999999994</v>
      </c>
      <c r="CH23" s="67">
        <f t="shared" si="91"/>
        <v>52.099999999991269</v>
      </c>
      <c r="CI23" s="60">
        <v>1036731</v>
      </c>
      <c r="CJ23" s="67">
        <f t="shared" si="92"/>
        <v>340</v>
      </c>
      <c r="CK23" s="60">
        <v>963</v>
      </c>
      <c r="CL23" s="64">
        <f t="shared" si="93"/>
        <v>1009.9999999999909</v>
      </c>
      <c r="CM23" s="65">
        <f>CQ23+CS23</f>
        <v>107.79999999999927</v>
      </c>
      <c r="CN23" s="62">
        <v>28</v>
      </c>
      <c r="CO23" s="62">
        <v>76</v>
      </c>
      <c r="CP23" s="68">
        <v>27660</v>
      </c>
      <c r="CQ23" s="67">
        <f t="shared" si="95"/>
        <v>88</v>
      </c>
      <c r="CR23" s="68">
        <v>20714</v>
      </c>
      <c r="CS23" s="67">
        <f t="shared" si="96"/>
        <v>19.799999999999272</v>
      </c>
      <c r="CT23" s="75">
        <v>9747</v>
      </c>
      <c r="CU23" s="67">
        <f t="shared" si="97"/>
        <v>9</v>
      </c>
      <c r="CV23" s="68">
        <v>23763</v>
      </c>
      <c r="CW23" s="67">
        <f t="shared" si="98"/>
        <v>24</v>
      </c>
      <c r="CX23" s="58">
        <v>2608.6999999999998</v>
      </c>
      <c r="CY23" s="67">
        <f t="shared" si="99"/>
        <v>13.599999999999909</v>
      </c>
    </row>
    <row r="24" spans="1:103" ht="25.5" customHeight="1" thickBot="1" x14ac:dyDescent="0.45">
      <c r="A24" s="63">
        <v>44672</v>
      </c>
      <c r="B24" s="44"/>
      <c r="C24" s="58"/>
      <c r="D24" s="64" t="str">
        <f t="shared" si="50"/>
        <v>0</v>
      </c>
      <c r="E24" s="58"/>
      <c r="F24" s="64" t="str">
        <f t="shared" si="51"/>
        <v>0</v>
      </c>
      <c r="G24" s="58"/>
      <c r="H24" s="64" t="str">
        <f t="shared" si="52"/>
        <v>0</v>
      </c>
      <c r="I24" s="58"/>
      <c r="J24" s="64" t="str">
        <f t="shared" si="53"/>
        <v>0</v>
      </c>
      <c r="K24" s="58"/>
      <c r="L24" s="64" t="str">
        <f t="shared" si="54"/>
        <v>0</v>
      </c>
      <c r="M24" s="58"/>
      <c r="N24" s="64" t="str">
        <f t="shared" si="55"/>
        <v/>
      </c>
      <c r="O24" s="58"/>
      <c r="P24" s="67" t="str">
        <f t="shared" si="56"/>
        <v/>
      </c>
      <c r="Q24" s="58"/>
      <c r="R24" s="67" t="str">
        <f t="shared" si="57"/>
        <v/>
      </c>
      <c r="S24" s="58"/>
      <c r="T24" s="67" t="str">
        <f t="shared" si="58"/>
        <v/>
      </c>
      <c r="U24" s="58"/>
      <c r="V24" s="67" t="str">
        <f t="shared" si="59"/>
        <v/>
      </c>
      <c r="W24" s="58"/>
      <c r="X24" s="65" t="str">
        <f t="shared" si="60"/>
        <v/>
      </c>
      <c r="Y24" s="58"/>
      <c r="Z24" s="65" t="str">
        <f t="shared" si="61"/>
        <v/>
      </c>
      <c r="AA24" s="58"/>
      <c r="AB24" s="65" t="str">
        <f t="shared" si="62"/>
        <v/>
      </c>
      <c r="AC24" s="58"/>
      <c r="AD24" s="65" t="str">
        <f t="shared" si="63"/>
        <v/>
      </c>
      <c r="AE24" s="58"/>
      <c r="AF24" s="65" t="str">
        <f t="shared" si="64"/>
        <v/>
      </c>
      <c r="AG24" s="58"/>
      <c r="AH24" s="67" t="str">
        <f t="shared" si="65"/>
        <v/>
      </c>
      <c r="AI24" s="58"/>
      <c r="AJ24" s="65" t="str">
        <f t="shared" si="66"/>
        <v/>
      </c>
      <c r="AK24" s="58"/>
      <c r="AL24" s="65" t="str">
        <f t="shared" si="67"/>
        <v/>
      </c>
      <c r="AM24" s="58"/>
      <c r="AN24" s="65" t="str">
        <f t="shared" si="68"/>
        <v/>
      </c>
      <c r="AO24" s="58"/>
      <c r="AP24" s="65" t="str">
        <f t="shared" si="69"/>
        <v/>
      </c>
      <c r="AQ24" s="58"/>
      <c r="AR24" s="65" t="str">
        <f t="shared" si="70"/>
        <v/>
      </c>
      <c r="AS24" s="58"/>
      <c r="AT24" s="65" t="str">
        <f t="shared" si="71"/>
        <v/>
      </c>
      <c r="AU24" s="58"/>
      <c r="AV24" s="65" t="str">
        <f t="shared" si="72"/>
        <v/>
      </c>
      <c r="AW24" s="58"/>
      <c r="AX24" s="65" t="str">
        <f t="shared" si="73"/>
        <v/>
      </c>
      <c r="AY24" s="58"/>
      <c r="AZ24" s="65" t="str">
        <f t="shared" si="74"/>
        <v/>
      </c>
      <c r="BA24" s="58"/>
      <c r="BB24" s="65" t="str">
        <f t="shared" si="75"/>
        <v/>
      </c>
      <c r="BC24" s="58"/>
      <c r="BD24" s="65" t="str">
        <f t="shared" si="76"/>
        <v/>
      </c>
      <c r="BE24" s="59"/>
      <c r="BF24" s="67" t="str">
        <f t="shared" si="77"/>
        <v/>
      </c>
      <c r="BG24" s="60"/>
      <c r="BH24" s="65" t="str">
        <f t="shared" si="78"/>
        <v/>
      </c>
      <c r="BI24" s="60"/>
      <c r="BJ24" s="65" t="str">
        <f t="shared" si="79"/>
        <v/>
      </c>
      <c r="BK24" s="60"/>
      <c r="BL24" s="65" t="str">
        <f t="shared" si="80"/>
        <v/>
      </c>
      <c r="BM24" s="60"/>
      <c r="BN24" s="65" t="str">
        <f t="shared" si="81"/>
        <v/>
      </c>
      <c r="BO24" s="60"/>
      <c r="BP24" s="65" t="str">
        <f t="shared" si="82"/>
        <v/>
      </c>
      <c r="BQ24" s="60"/>
      <c r="BR24" s="65" t="str">
        <f t="shared" si="83"/>
        <v/>
      </c>
      <c r="BS24" s="60"/>
      <c r="BT24" s="65" t="str">
        <f t="shared" si="84"/>
        <v/>
      </c>
      <c r="BU24" s="60"/>
      <c r="BV24" s="65" t="str">
        <f t="shared" si="85"/>
        <v/>
      </c>
      <c r="BW24" s="60"/>
      <c r="BX24" s="65" t="str">
        <f t="shared" si="86"/>
        <v/>
      </c>
      <c r="BY24" s="60"/>
      <c r="BZ24" s="67" t="str">
        <f t="shared" si="87"/>
        <v/>
      </c>
      <c r="CA24" s="60"/>
      <c r="CB24" s="67" t="str">
        <f t="shared" si="88"/>
        <v/>
      </c>
      <c r="CC24" s="60"/>
      <c r="CD24" s="67" t="str">
        <f t="shared" si="89"/>
        <v/>
      </c>
      <c r="CE24" s="60"/>
      <c r="CF24" s="67" t="str">
        <f t="shared" si="90"/>
        <v/>
      </c>
      <c r="CG24" s="60"/>
      <c r="CH24" s="67" t="str">
        <f t="shared" si="91"/>
        <v/>
      </c>
      <c r="CI24" s="60"/>
      <c r="CJ24" s="67" t="str">
        <f t="shared" si="92"/>
        <v/>
      </c>
      <c r="CK24" s="60"/>
      <c r="CL24" s="64" t="str">
        <f t="shared" si="93"/>
        <v/>
      </c>
      <c r="CM24" s="65" t="e">
        <f t="shared" si="94"/>
        <v>#VALUE!</v>
      </c>
      <c r="CN24" s="62"/>
      <c r="CO24" s="62"/>
      <c r="CP24" s="68"/>
      <c r="CQ24" s="67" t="str">
        <f t="shared" si="95"/>
        <v/>
      </c>
      <c r="CR24" s="68"/>
      <c r="CS24" s="67" t="str">
        <f t="shared" si="96"/>
        <v/>
      </c>
      <c r="CT24" s="75"/>
      <c r="CU24" s="67" t="str">
        <f t="shared" si="97"/>
        <v/>
      </c>
      <c r="CV24" s="68"/>
      <c r="CW24" s="67" t="str">
        <f t="shared" si="98"/>
        <v/>
      </c>
      <c r="CX24" s="58"/>
      <c r="CY24" s="67" t="str">
        <f t="shared" si="99"/>
        <v/>
      </c>
    </row>
    <row r="25" spans="1:103" ht="25.5" customHeight="1" thickBot="1" x14ac:dyDescent="0.45">
      <c r="A25" s="63">
        <v>44673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5"/>
        <v>0</v>
      </c>
      <c r="CR25" s="68"/>
      <c r="CS25" s="67">
        <f t="shared" si="96"/>
        <v>0</v>
      </c>
      <c r="CT25" s="75"/>
      <c r="CU25" s="67">
        <f t="shared" si="97"/>
        <v>0</v>
      </c>
      <c r="CV25" s="68"/>
      <c r="CW25" s="67">
        <f t="shared" si="98"/>
        <v>0</v>
      </c>
      <c r="CX25" s="58"/>
      <c r="CY25" s="67">
        <f t="shared" si="99"/>
        <v>0</v>
      </c>
    </row>
    <row r="26" spans="1:103" ht="25.5" customHeight="1" thickBot="1" x14ac:dyDescent="0.45">
      <c r="A26" s="63">
        <v>44674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44675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44676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44677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44678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44679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44680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3" ht="25.5" customHeight="1" thickBot="1" x14ac:dyDescent="0.45">
      <c r="A33" s="63">
        <v>44681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3" ht="25.5" customHeight="1" thickBot="1" x14ac:dyDescent="0.45">
      <c r="A34" s="63">
        <v>44682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R37" s="57"/>
      <c r="S37" s="71"/>
      <c r="T37" s="57"/>
      <c r="U37" s="71"/>
      <c r="V37" s="57"/>
      <c r="W37" s="71"/>
      <c r="X37" s="57"/>
      <c r="Y37" s="71"/>
      <c r="Z37" s="57"/>
      <c r="AA37" s="71"/>
      <c r="AB37" s="57"/>
      <c r="AC37" s="71"/>
      <c r="AD37" s="57"/>
      <c r="AE37" s="71"/>
      <c r="AF37" s="57"/>
      <c r="AG37" s="71"/>
      <c r="AH37" s="57"/>
      <c r="AI37" s="71"/>
      <c r="AJ37" s="57"/>
      <c r="AK37" s="71"/>
      <c r="AL37" s="57"/>
      <c r="AM37" s="71"/>
      <c r="AN37" s="61"/>
      <c r="AO37" s="71"/>
      <c r="AP37" s="61"/>
      <c r="AQ37" s="71"/>
      <c r="AR37" s="61"/>
      <c r="AS37" s="71"/>
      <c r="AT37" s="61"/>
      <c r="AU37" s="71"/>
      <c r="AV37" s="61"/>
      <c r="AW37" s="71"/>
      <c r="AX37" s="61"/>
      <c r="AY37" s="65"/>
      <c r="AZ37" s="61"/>
      <c r="BA37" s="71"/>
      <c r="BB37" s="61"/>
      <c r="BC37" s="71"/>
      <c r="BD37" s="61"/>
      <c r="BE37" s="71"/>
      <c r="BF37" s="61"/>
      <c r="BG37" s="71"/>
      <c r="BH37" s="61"/>
      <c r="BI37" s="71"/>
      <c r="BJ37" s="61"/>
      <c r="BK37" s="71"/>
      <c r="BL37" s="61"/>
      <c r="BM37" s="71"/>
      <c r="BN37" s="61"/>
      <c r="BO37" s="71"/>
      <c r="BP37" s="61"/>
      <c r="BQ37" s="71"/>
      <c r="BR37" s="61"/>
      <c r="BS37" s="71"/>
      <c r="BT37" s="61"/>
      <c r="BU37" s="71"/>
      <c r="BV37" s="61"/>
      <c r="BW37" s="71"/>
      <c r="BX37" s="61"/>
      <c r="BY37" s="71"/>
      <c r="BZ37" s="61"/>
      <c r="CA37" s="71"/>
      <c r="CB37" s="61"/>
      <c r="CC37" s="71"/>
      <c r="CD37" s="61"/>
      <c r="CE37" s="71"/>
      <c r="CF37" s="61"/>
      <c r="CG37" s="71"/>
      <c r="CH37" s="61"/>
      <c r="CI37" s="71"/>
      <c r="CJ37" s="61"/>
      <c r="CK37" s="71"/>
      <c r="CN37" s="61"/>
      <c r="CP37" s="72"/>
      <c r="CX37" s="71"/>
      <c r="CY37" s="57"/>
    </row>
    <row r="38" spans="1:103" x14ac:dyDescent="0.3">
      <c r="Q38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0" zoomScaleNormal="100" workbookViewId="0">
      <selection activeCell="C28" sqref="C2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146</v>
      </c>
      <c r="S4" s="88"/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145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44651</v>
      </c>
      <c r="B7" s="40">
        <v>0</v>
      </c>
      <c r="C7" s="40">
        <v>30</v>
      </c>
      <c r="D7" s="40">
        <v>65</v>
      </c>
      <c r="E7" s="41">
        <v>0</v>
      </c>
      <c r="F7" s="41">
        <v>6772</v>
      </c>
      <c r="G7" s="41">
        <v>0</v>
      </c>
      <c r="H7" s="41">
        <v>2156</v>
      </c>
      <c r="I7" s="41">
        <v>75</v>
      </c>
      <c r="J7" s="41">
        <v>541</v>
      </c>
      <c r="K7" s="42">
        <v>85</v>
      </c>
      <c r="L7" s="42">
        <v>16</v>
      </c>
      <c r="M7" s="42">
        <v>1650</v>
      </c>
      <c r="N7" s="39">
        <v>85</v>
      </c>
      <c r="O7" s="39">
        <v>0</v>
      </c>
      <c r="P7" s="39">
        <v>55</v>
      </c>
      <c r="Q7" s="39">
        <v>4807</v>
      </c>
      <c r="R7" s="77">
        <v>80</v>
      </c>
      <c r="S7" s="77">
        <v>222</v>
      </c>
      <c r="T7" t="e">
        <f t="shared" ref="T7" si="0">S7-S6</f>
        <v>#VALUE!</v>
      </c>
    </row>
    <row r="8" spans="1:20" x14ac:dyDescent="0.25">
      <c r="A8" s="73">
        <v>44652</v>
      </c>
      <c r="B8" s="40">
        <v>0</v>
      </c>
      <c r="C8" s="40">
        <v>30</v>
      </c>
      <c r="D8" s="40">
        <v>65</v>
      </c>
      <c r="E8" s="41">
        <v>0</v>
      </c>
      <c r="F8" s="41">
        <v>6778</v>
      </c>
      <c r="G8" s="41">
        <v>0</v>
      </c>
      <c r="H8" s="41">
        <v>2159</v>
      </c>
      <c r="I8" s="41">
        <v>65</v>
      </c>
      <c r="J8" s="41">
        <v>541</v>
      </c>
      <c r="K8" s="42">
        <v>85</v>
      </c>
      <c r="L8" s="42">
        <v>16</v>
      </c>
      <c r="M8" s="42">
        <v>1650</v>
      </c>
      <c r="N8" s="39">
        <v>85</v>
      </c>
      <c r="O8" s="39">
        <v>0</v>
      </c>
      <c r="P8" s="39">
        <v>46</v>
      </c>
      <c r="Q8" s="39">
        <v>4812</v>
      </c>
      <c r="R8" s="77">
        <v>75</v>
      </c>
      <c r="S8" s="77">
        <v>226</v>
      </c>
      <c r="T8">
        <f>S8-S7</f>
        <v>4</v>
      </c>
    </row>
    <row r="9" spans="1:20" x14ac:dyDescent="0.25">
      <c r="A9" s="73">
        <v>44653</v>
      </c>
      <c r="B9" s="40">
        <v>0</v>
      </c>
      <c r="C9" s="40">
        <v>31</v>
      </c>
      <c r="D9" s="40">
        <v>71</v>
      </c>
      <c r="E9" s="41">
        <v>0</v>
      </c>
      <c r="F9" s="41">
        <v>6785</v>
      </c>
      <c r="G9" s="41">
        <v>0</v>
      </c>
      <c r="H9" s="41">
        <v>2162</v>
      </c>
      <c r="I9" s="41">
        <v>50</v>
      </c>
      <c r="J9" s="41">
        <v>541</v>
      </c>
      <c r="K9" s="42">
        <v>85</v>
      </c>
      <c r="L9" s="42">
        <v>15</v>
      </c>
      <c r="M9" s="42">
        <v>1650</v>
      </c>
      <c r="N9" s="39">
        <v>85</v>
      </c>
      <c r="O9" s="39">
        <v>0</v>
      </c>
      <c r="P9" s="39">
        <v>40</v>
      </c>
      <c r="Q9" s="39">
        <v>4817</v>
      </c>
      <c r="R9" s="77">
        <v>75</v>
      </c>
      <c r="S9" s="77">
        <v>227</v>
      </c>
      <c r="T9">
        <f t="shared" ref="T9:T39" si="1">S9-S8</f>
        <v>1</v>
      </c>
    </row>
    <row r="10" spans="1:20" x14ac:dyDescent="0.25">
      <c r="A10" s="73">
        <v>44654</v>
      </c>
      <c r="B10" s="40">
        <v>0</v>
      </c>
      <c r="C10" s="40">
        <v>34</v>
      </c>
      <c r="D10" s="40">
        <v>82</v>
      </c>
      <c r="E10" s="41">
        <v>0</v>
      </c>
      <c r="F10" s="41">
        <v>6791</v>
      </c>
      <c r="G10" s="41">
        <v>0</v>
      </c>
      <c r="H10" s="41">
        <v>2163</v>
      </c>
      <c r="I10" s="41">
        <v>45</v>
      </c>
      <c r="J10" s="41">
        <v>541</v>
      </c>
      <c r="K10" s="42">
        <v>85</v>
      </c>
      <c r="L10" s="42">
        <v>15</v>
      </c>
      <c r="M10" s="42">
        <v>1651</v>
      </c>
      <c r="N10" s="39">
        <v>85</v>
      </c>
      <c r="O10" s="39">
        <v>0</v>
      </c>
      <c r="P10" s="39">
        <v>40</v>
      </c>
      <c r="Q10" s="39">
        <v>4819</v>
      </c>
      <c r="R10" s="77">
        <v>75</v>
      </c>
      <c r="S10" s="77">
        <v>227</v>
      </c>
      <c r="T10">
        <f t="shared" si="1"/>
        <v>0</v>
      </c>
    </row>
    <row r="11" spans="1:20" x14ac:dyDescent="0.25">
      <c r="A11" s="73">
        <v>44655</v>
      </c>
      <c r="B11" s="40">
        <v>0</v>
      </c>
      <c r="C11" s="40">
        <v>34</v>
      </c>
      <c r="D11" s="40">
        <v>85</v>
      </c>
      <c r="E11" s="41">
        <v>85</v>
      </c>
      <c r="F11" s="41">
        <v>6798</v>
      </c>
      <c r="G11" s="41">
        <v>80</v>
      </c>
      <c r="H11" s="41">
        <v>2166</v>
      </c>
      <c r="I11" s="41">
        <v>85</v>
      </c>
      <c r="J11" s="41">
        <v>541</v>
      </c>
      <c r="K11" s="42">
        <v>85</v>
      </c>
      <c r="L11" s="42">
        <v>85</v>
      </c>
      <c r="M11" s="42">
        <v>1654</v>
      </c>
      <c r="N11" s="39">
        <v>85</v>
      </c>
      <c r="O11" s="39">
        <v>85</v>
      </c>
      <c r="P11" s="39">
        <v>85</v>
      </c>
      <c r="Q11" s="39">
        <v>4824</v>
      </c>
      <c r="R11" s="77">
        <v>75</v>
      </c>
      <c r="S11" s="77">
        <v>227</v>
      </c>
      <c r="T11">
        <f t="shared" si="1"/>
        <v>0</v>
      </c>
    </row>
    <row r="12" spans="1:20" x14ac:dyDescent="0.25">
      <c r="A12" s="73">
        <v>44656</v>
      </c>
      <c r="B12" s="40">
        <v>0</v>
      </c>
      <c r="C12" s="40">
        <v>34</v>
      </c>
      <c r="D12" s="40">
        <v>85</v>
      </c>
      <c r="E12" s="41">
        <v>85</v>
      </c>
      <c r="F12" s="41">
        <v>6804</v>
      </c>
      <c r="G12" s="41">
        <v>75</v>
      </c>
      <c r="H12" s="41">
        <v>2169</v>
      </c>
      <c r="I12" s="41">
        <v>85</v>
      </c>
      <c r="J12" s="41">
        <v>541</v>
      </c>
      <c r="K12" s="42">
        <v>85</v>
      </c>
      <c r="L12" s="42">
        <v>84</v>
      </c>
      <c r="M12" s="42">
        <v>1656</v>
      </c>
      <c r="N12" s="39">
        <v>85</v>
      </c>
      <c r="O12" s="39">
        <v>85</v>
      </c>
      <c r="P12" s="39">
        <v>80</v>
      </c>
      <c r="Q12" s="39">
        <v>4828</v>
      </c>
      <c r="R12" s="77">
        <v>75</v>
      </c>
      <c r="S12" s="77">
        <v>227</v>
      </c>
      <c r="T12">
        <f t="shared" si="1"/>
        <v>0</v>
      </c>
    </row>
    <row r="13" spans="1:20" x14ac:dyDescent="0.25">
      <c r="A13" s="73">
        <v>44657</v>
      </c>
      <c r="B13" s="40">
        <v>0</v>
      </c>
      <c r="C13" s="40">
        <v>33</v>
      </c>
      <c r="D13" s="40">
        <v>83</v>
      </c>
      <c r="E13" s="41">
        <v>85</v>
      </c>
      <c r="F13" s="41">
        <v>6810</v>
      </c>
      <c r="G13" s="41">
        <v>60</v>
      </c>
      <c r="H13" s="41">
        <v>2172</v>
      </c>
      <c r="I13" s="41">
        <v>85</v>
      </c>
      <c r="J13" s="41">
        <v>542</v>
      </c>
      <c r="K13" s="42">
        <v>85</v>
      </c>
      <c r="L13" s="42">
        <v>80</v>
      </c>
      <c r="M13" s="42">
        <v>1660</v>
      </c>
      <c r="N13" s="39">
        <v>85</v>
      </c>
      <c r="O13" s="39">
        <v>85</v>
      </c>
      <c r="P13" s="39">
        <v>75</v>
      </c>
      <c r="Q13" s="39">
        <v>4834</v>
      </c>
      <c r="R13" s="77">
        <v>75</v>
      </c>
      <c r="S13" s="77">
        <v>227</v>
      </c>
      <c r="T13">
        <f t="shared" si="1"/>
        <v>0</v>
      </c>
    </row>
    <row r="14" spans="1:20" ht="17.25" customHeight="1" x14ac:dyDescent="0.25">
      <c r="A14" s="73">
        <v>44658</v>
      </c>
      <c r="B14" s="40">
        <v>0</v>
      </c>
      <c r="C14" s="40">
        <v>28</v>
      </c>
      <c r="D14" s="40">
        <v>70</v>
      </c>
      <c r="E14" s="41">
        <v>85</v>
      </c>
      <c r="F14" s="41">
        <v>6816</v>
      </c>
      <c r="G14" s="41">
        <v>45</v>
      </c>
      <c r="H14" s="41">
        <v>2174</v>
      </c>
      <c r="I14" s="41">
        <v>85</v>
      </c>
      <c r="J14" s="41">
        <v>542</v>
      </c>
      <c r="K14" s="42">
        <v>85</v>
      </c>
      <c r="L14" s="42">
        <v>80</v>
      </c>
      <c r="M14" s="42">
        <v>1661</v>
      </c>
      <c r="N14" s="39">
        <v>85</v>
      </c>
      <c r="O14" s="39">
        <v>85</v>
      </c>
      <c r="P14" s="39">
        <v>70</v>
      </c>
      <c r="Q14" s="39">
        <v>4838</v>
      </c>
      <c r="R14" s="77">
        <v>75</v>
      </c>
      <c r="S14" s="77">
        <v>227</v>
      </c>
      <c r="T14">
        <f t="shared" si="1"/>
        <v>0</v>
      </c>
    </row>
    <row r="15" spans="1:20" x14ac:dyDescent="0.25">
      <c r="A15" s="73">
        <v>44659</v>
      </c>
      <c r="B15" s="40">
        <v>0</v>
      </c>
      <c r="C15" s="40">
        <v>28</v>
      </c>
      <c r="D15" s="40">
        <v>70</v>
      </c>
      <c r="E15" s="41">
        <v>85</v>
      </c>
      <c r="F15" s="41">
        <v>6822</v>
      </c>
      <c r="G15" s="41">
        <v>35</v>
      </c>
      <c r="H15" s="41">
        <v>2176</v>
      </c>
      <c r="I15" s="41">
        <v>85</v>
      </c>
      <c r="J15" s="41">
        <v>544</v>
      </c>
      <c r="K15" s="42">
        <v>85</v>
      </c>
      <c r="L15" s="42">
        <v>75</v>
      </c>
      <c r="M15" s="42">
        <v>1663</v>
      </c>
      <c r="N15" s="39">
        <v>85</v>
      </c>
      <c r="O15" s="39">
        <v>85</v>
      </c>
      <c r="P15" s="39">
        <v>65</v>
      </c>
      <c r="Q15" s="39">
        <v>4842</v>
      </c>
      <c r="R15" s="77">
        <v>75</v>
      </c>
      <c r="S15" s="77">
        <v>227</v>
      </c>
      <c r="T15">
        <f t="shared" si="1"/>
        <v>0</v>
      </c>
    </row>
    <row r="16" spans="1:20" x14ac:dyDescent="0.25">
      <c r="A16" s="73">
        <v>44660</v>
      </c>
      <c r="B16" s="40">
        <v>0</v>
      </c>
      <c r="C16" s="40">
        <v>28</v>
      </c>
      <c r="D16" s="40">
        <v>78</v>
      </c>
      <c r="E16" s="41">
        <v>85</v>
      </c>
      <c r="F16" s="41">
        <v>6829</v>
      </c>
      <c r="G16" s="41">
        <v>20</v>
      </c>
      <c r="H16" s="41">
        <v>2180</v>
      </c>
      <c r="I16" s="41">
        <v>85</v>
      </c>
      <c r="J16" s="41">
        <v>543</v>
      </c>
      <c r="K16" s="42">
        <v>85</v>
      </c>
      <c r="L16" s="42">
        <v>72</v>
      </c>
      <c r="M16" s="42">
        <v>1666</v>
      </c>
      <c r="N16" s="39">
        <v>85</v>
      </c>
      <c r="O16" s="39">
        <v>85</v>
      </c>
      <c r="P16" s="39">
        <v>60</v>
      </c>
      <c r="Q16" s="39">
        <v>4846</v>
      </c>
      <c r="R16" s="77">
        <v>75</v>
      </c>
      <c r="S16" s="77">
        <v>227</v>
      </c>
      <c r="T16">
        <f t="shared" si="1"/>
        <v>0</v>
      </c>
    </row>
    <row r="17" spans="1:20" x14ac:dyDescent="0.25">
      <c r="A17" s="73">
        <v>44661</v>
      </c>
      <c r="B17" s="40">
        <v>0</v>
      </c>
      <c r="C17" s="40">
        <v>33</v>
      </c>
      <c r="D17" s="40">
        <v>88</v>
      </c>
      <c r="E17" s="41">
        <v>85</v>
      </c>
      <c r="F17" s="41">
        <v>6834</v>
      </c>
      <c r="G17" s="41">
        <v>12</v>
      </c>
      <c r="H17" s="41">
        <v>2182</v>
      </c>
      <c r="I17" s="41">
        <v>85</v>
      </c>
      <c r="J17" s="41">
        <v>546</v>
      </c>
      <c r="K17" s="42">
        <v>85</v>
      </c>
      <c r="L17" s="42">
        <v>68</v>
      </c>
      <c r="M17" s="42">
        <v>1669</v>
      </c>
      <c r="N17" s="39">
        <v>85</v>
      </c>
      <c r="O17" s="39">
        <v>85</v>
      </c>
      <c r="P17" s="39">
        <v>57</v>
      </c>
      <c r="Q17" s="39">
        <v>4849</v>
      </c>
      <c r="R17" s="77">
        <v>75</v>
      </c>
      <c r="S17" s="77">
        <v>227</v>
      </c>
      <c r="T17">
        <f t="shared" si="1"/>
        <v>0</v>
      </c>
    </row>
    <row r="18" spans="1:20" x14ac:dyDescent="0.25">
      <c r="A18" s="73">
        <v>44662</v>
      </c>
      <c r="B18" s="40">
        <v>0</v>
      </c>
      <c r="C18" s="40">
        <v>35</v>
      </c>
      <c r="D18" s="40">
        <v>102</v>
      </c>
      <c r="E18" s="41">
        <v>85</v>
      </c>
      <c r="F18" s="41">
        <v>6834</v>
      </c>
      <c r="G18" s="41">
        <v>80</v>
      </c>
      <c r="H18" s="41">
        <v>2185</v>
      </c>
      <c r="I18" s="41">
        <v>85</v>
      </c>
      <c r="J18" s="41">
        <v>546</v>
      </c>
      <c r="K18" s="42">
        <v>85</v>
      </c>
      <c r="L18" s="42">
        <v>65</v>
      </c>
      <c r="M18" s="42">
        <v>1672</v>
      </c>
      <c r="N18" s="39">
        <v>85</v>
      </c>
      <c r="O18" s="39">
        <v>85</v>
      </c>
      <c r="P18" s="39">
        <v>83</v>
      </c>
      <c r="Q18" s="39">
        <v>4853</v>
      </c>
      <c r="R18" s="77">
        <v>75</v>
      </c>
      <c r="S18" s="77">
        <v>227</v>
      </c>
      <c r="T18">
        <f t="shared" si="1"/>
        <v>0</v>
      </c>
    </row>
    <row r="19" spans="1:20" x14ac:dyDescent="0.25">
      <c r="A19" s="73">
        <v>44663</v>
      </c>
      <c r="B19" s="40">
        <v>0</v>
      </c>
      <c r="C19" s="40">
        <v>37</v>
      </c>
      <c r="D19" s="40">
        <v>106</v>
      </c>
      <c r="E19" s="41">
        <v>85</v>
      </c>
      <c r="F19" s="41">
        <v>6834</v>
      </c>
      <c r="G19" s="41">
        <v>66</v>
      </c>
      <c r="H19" s="41">
        <v>2188</v>
      </c>
      <c r="I19" s="41">
        <v>85</v>
      </c>
      <c r="J19" s="41">
        <v>548</v>
      </c>
      <c r="K19" s="42">
        <v>85</v>
      </c>
      <c r="L19" s="42">
        <v>61</v>
      </c>
      <c r="M19" s="42">
        <v>1675</v>
      </c>
      <c r="N19" s="39">
        <v>85</v>
      </c>
      <c r="O19" s="39">
        <v>85</v>
      </c>
      <c r="P19" s="39">
        <v>79</v>
      </c>
      <c r="Q19" s="39">
        <v>4858</v>
      </c>
      <c r="R19" s="77">
        <v>75</v>
      </c>
      <c r="S19" s="77">
        <v>227</v>
      </c>
      <c r="T19">
        <f t="shared" si="1"/>
        <v>0</v>
      </c>
    </row>
    <row r="20" spans="1:20" x14ac:dyDescent="0.25">
      <c r="A20" s="73">
        <v>44664</v>
      </c>
      <c r="B20" s="40">
        <v>0</v>
      </c>
      <c r="C20" s="40">
        <v>37</v>
      </c>
      <c r="D20" s="40">
        <v>106</v>
      </c>
      <c r="E20" s="41">
        <v>85</v>
      </c>
      <c r="F20" s="41">
        <v>6834</v>
      </c>
      <c r="G20" s="41">
        <v>55</v>
      </c>
      <c r="H20" s="41">
        <v>2191</v>
      </c>
      <c r="I20" s="41">
        <v>85</v>
      </c>
      <c r="J20" s="41">
        <v>549</v>
      </c>
      <c r="K20" s="42">
        <v>85</v>
      </c>
      <c r="L20" s="42">
        <v>55</v>
      </c>
      <c r="M20" s="42">
        <v>1678</v>
      </c>
      <c r="N20" s="39">
        <v>85</v>
      </c>
      <c r="O20" s="39">
        <v>85</v>
      </c>
      <c r="P20" s="39">
        <v>75</v>
      </c>
      <c r="Q20" s="39">
        <v>4862</v>
      </c>
      <c r="R20" s="77">
        <v>75</v>
      </c>
      <c r="S20" s="77">
        <v>227</v>
      </c>
      <c r="T20">
        <f t="shared" si="1"/>
        <v>0</v>
      </c>
    </row>
    <row r="21" spans="1:20" x14ac:dyDescent="0.25">
      <c r="A21" s="73">
        <v>44665</v>
      </c>
      <c r="B21" s="40">
        <v>0</v>
      </c>
      <c r="C21" s="40">
        <v>40</v>
      </c>
      <c r="D21" s="40">
        <v>112</v>
      </c>
      <c r="E21" s="41">
        <v>85</v>
      </c>
      <c r="F21" s="41">
        <v>6834</v>
      </c>
      <c r="G21" s="41">
        <v>45</v>
      </c>
      <c r="H21" s="41">
        <v>2193</v>
      </c>
      <c r="I21" s="41">
        <v>85</v>
      </c>
      <c r="J21" s="41">
        <v>550</v>
      </c>
      <c r="K21" s="42">
        <v>85</v>
      </c>
      <c r="L21" s="42">
        <v>55</v>
      </c>
      <c r="M21" s="42">
        <v>1681</v>
      </c>
      <c r="N21" s="39">
        <v>85</v>
      </c>
      <c r="O21" s="39">
        <v>85</v>
      </c>
      <c r="P21" s="39">
        <v>65</v>
      </c>
      <c r="Q21" s="39">
        <v>4868</v>
      </c>
      <c r="R21" s="77">
        <v>75</v>
      </c>
      <c r="S21" s="77">
        <v>227</v>
      </c>
      <c r="T21">
        <f t="shared" si="1"/>
        <v>0</v>
      </c>
    </row>
    <row r="22" spans="1:20" x14ac:dyDescent="0.25">
      <c r="A22" s="73">
        <v>44666</v>
      </c>
      <c r="B22" s="40">
        <v>0</v>
      </c>
      <c r="C22" s="40">
        <v>40</v>
      </c>
      <c r="D22" s="40">
        <v>116</v>
      </c>
      <c r="E22" s="41">
        <v>85</v>
      </c>
      <c r="F22" s="41">
        <v>6834</v>
      </c>
      <c r="G22" s="41">
        <v>30</v>
      </c>
      <c r="H22" s="41">
        <v>2195</v>
      </c>
      <c r="I22" s="41">
        <v>85</v>
      </c>
      <c r="J22" s="41">
        <v>552</v>
      </c>
      <c r="K22" s="42">
        <v>85</v>
      </c>
      <c r="L22" s="42">
        <v>50</v>
      </c>
      <c r="M22" s="42">
        <v>1684</v>
      </c>
      <c r="N22" s="39">
        <v>85</v>
      </c>
      <c r="O22" s="39">
        <v>85</v>
      </c>
      <c r="P22" s="39">
        <v>64</v>
      </c>
      <c r="Q22" s="39">
        <v>4871</v>
      </c>
      <c r="R22" s="77">
        <v>75</v>
      </c>
      <c r="S22" s="77">
        <v>227</v>
      </c>
      <c r="T22">
        <f t="shared" si="1"/>
        <v>0</v>
      </c>
    </row>
    <row r="23" spans="1:20" x14ac:dyDescent="0.25">
      <c r="A23" s="73">
        <v>44667</v>
      </c>
      <c r="B23" s="40">
        <v>0</v>
      </c>
      <c r="C23" s="40">
        <v>39</v>
      </c>
      <c r="D23" s="40">
        <v>103</v>
      </c>
      <c r="E23" s="41">
        <v>85</v>
      </c>
      <c r="F23" s="41">
        <v>6834</v>
      </c>
      <c r="G23" s="41">
        <v>30</v>
      </c>
      <c r="H23" s="41">
        <v>2197</v>
      </c>
      <c r="I23" s="41">
        <v>85</v>
      </c>
      <c r="J23" s="41">
        <v>553</v>
      </c>
      <c r="K23" s="42">
        <v>85</v>
      </c>
      <c r="L23" s="42">
        <v>48</v>
      </c>
      <c r="M23" s="42">
        <v>1686</v>
      </c>
      <c r="N23" s="39">
        <v>85</v>
      </c>
      <c r="O23" s="39">
        <v>85</v>
      </c>
      <c r="P23" s="39">
        <v>63</v>
      </c>
      <c r="Q23" s="39">
        <v>4875</v>
      </c>
      <c r="R23" s="77">
        <v>75</v>
      </c>
      <c r="S23" s="77">
        <v>227</v>
      </c>
      <c r="T23">
        <f t="shared" si="1"/>
        <v>0</v>
      </c>
    </row>
    <row r="24" spans="1:20" x14ac:dyDescent="0.25">
      <c r="A24" s="73">
        <v>44668</v>
      </c>
      <c r="B24" s="40">
        <v>0</v>
      </c>
      <c r="C24" s="40">
        <v>41</v>
      </c>
      <c r="D24" s="40">
        <v>111</v>
      </c>
      <c r="E24" s="41">
        <v>85</v>
      </c>
      <c r="F24" s="41">
        <v>6834</v>
      </c>
      <c r="G24" s="41">
        <v>28</v>
      </c>
      <c r="H24" s="41">
        <v>2201</v>
      </c>
      <c r="I24" s="41">
        <v>70</v>
      </c>
      <c r="J24" s="41">
        <v>554</v>
      </c>
      <c r="K24" s="42">
        <v>85</v>
      </c>
      <c r="L24" s="42">
        <v>38</v>
      </c>
      <c r="M24" s="42">
        <v>1690</v>
      </c>
      <c r="N24" s="39">
        <v>85</v>
      </c>
      <c r="O24" s="39">
        <v>85</v>
      </c>
      <c r="P24" s="39">
        <v>55</v>
      </c>
      <c r="Q24" s="39">
        <v>4879</v>
      </c>
      <c r="R24" s="77">
        <v>75</v>
      </c>
      <c r="S24" s="77">
        <v>227</v>
      </c>
      <c r="T24">
        <f t="shared" si="1"/>
        <v>0</v>
      </c>
    </row>
    <row r="25" spans="1:20" x14ac:dyDescent="0.25">
      <c r="A25" s="73">
        <v>44669</v>
      </c>
      <c r="B25" s="40">
        <v>0</v>
      </c>
      <c r="C25" s="40">
        <v>41</v>
      </c>
      <c r="D25" s="40">
        <v>111</v>
      </c>
      <c r="E25" s="41">
        <v>85</v>
      </c>
      <c r="F25" s="41">
        <v>6834</v>
      </c>
      <c r="G25" s="41">
        <v>20</v>
      </c>
      <c r="H25" s="41">
        <v>2204</v>
      </c>
      <c r="I25" s="41">
        <v>65</v>
      </c>
      <c r="J25" s="41">
        <v>555</v>
      </c>
      <c r="K25" s="42">
        <v>85</v>
      </c>
      <c r="L25" s="42">
        <v>38</v>
      </c>
      <c r="M25" s="42">
        <v>1692</v>
      </c>
      <c r="N25" s="39">
        <v>85</v>
      </c>
      <c r="O25" s="39">
        <v>85</v>
      </c>
      <c r="P25" s="39">
        <v>49</v>
      </c>
      <c r="Q25" s="39">
        <v>4884</v>
      </c>
      <c r="R25" s="77">
        <v>70</v>
      </c>
      <c r="S25" s="77">
        <v>227</v>
      </c>
      <c r="T25">
        <f t="shared" si="1"/>
        <v>0</v>
      </c>
    </row>
    <row r="26" spans="1:20" x14ac:dyDescent="0.25">
      <c r="A26" s="73">
        <v>44670</v>
      </c>
      <c r="B26" s="40">
        <v>0</v>
      </c>
      <c r="C26" s="40">
        <v>29</v>
      </c>
      <c r="D26" s="40">
        <v>76</v>
      </c>
      <c r="E26" s="41">
        <v>85</v>
      </c>
      <c r="F26" s="41">
        <v>6834</v>
      </c>
      <c r="G26" s="41">
        <v>15</v>
      </c>
      <c r="H26" s="41">
        <v>2206</v>
      </c>
      <c r="I26" s="41">
        <v>64</v>
      </c>
      <c r="J26" s="41">
        <v>556</v>
      </c>
      <c r="K26" s="42">
        <v>85</v>
      </c>
      <c r="L26" s="42">
        <v>38</v>
      </c>
      <c r="M26" s="42">
        <v>1692</v>
      </c>
      <c r="N26" s="39">
        <v>85</v>
      </c>
      <c r="O26" s="39">
        <v>85</v>
      </c>
      <c r="P26" s="39">
        <v>45</v>
      </c>
      <c r="Q26" s="39">
        <v>4888</v>
      </c>
      <c r="R26" s="77">
        <v>70</v>
      </c>
      <c r="S26" s="77">
        <v>227</v>
      </c>
      <c r="T26">
        <f t="shared" si="1"/>
        <v>0</v>
      </c>
    </row>
    <row r="27" spans="1:20" x14ac:dyDescent="0.25">
      <c r="A27" s="73">
        <v>44671</v>
      </c>
      <c r="B27" s="40">
        <v>0</v>
      </c>
      <c r="C27" s="40">
        <v>28</v>
      </c>
      <c r="D27" s="40">
        <v>76</v>
      </c>
      <c r="E27" s="41">
        <v>85</v>
      </c>
      <c r="F27" s="41">
        <v>6834</v>
      </c>
      <c r="G27" s="41">
        <v>8</v>
      </c>
      <c r="H27" s="41">
        <v>2209</v>
      </c>
      <c r="I27" s="41">
        <v>64</v>
      </c>
      <c r="J27" s="41">
        <v>556</v>
      </c>
      <c r="K27" s="42">
        <v>85</v>
      </c>
      <c r="L27" s="42">
        <v>35</v>
      </c>
      <c r="M27" s="42">
        <v>1695</v>
      </c>
      <c r="N27" s="39">
        <v>85</v>
      </c>
      <c r="O27" s="39">
        <v>85</v>
      </c>
      <c r="P27" s="39">
        <v>40</v>
      </c>
      <c r="Q27" s="39">
        <v>4892</v>
      </c>
      <c r="R27" s="77">
        <v>70</v>
      </c>
      <c r="S27" s="77">
        <v>227</v>
      </c>
      <c r="T27">
        <f t="shared" si="1"/>
        <v>0</v>
      </c>
    </row>
    <row r="28" spans="1:20" x14ac:dyDescent="0.25">
      <c r="A28" s="73">
        <v>44672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-227</v>
      </c>
    </row>
    <row r="29" spans="1:20" x14ac:dyDescent="0.25">
      <c r="A29" s="73">
        <v>44673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44674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44675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44676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44677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44678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44679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44680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44681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44682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2022-04-21T14:23:57Z</dcterms:modified>
</cp:coreProperties>
</file>