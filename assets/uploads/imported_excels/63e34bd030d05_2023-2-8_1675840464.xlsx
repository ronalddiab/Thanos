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F9" i="3"/>
  <c r="E8" i="3"/>
  <c r="F8" i="3" l="1"/>
  <c r="E7" i="3"/>
  <c r="F7" i="3" l="1"/>
  <c r="F6" i="3"/>
  <c r="E6" i="3"/>
  <c r="E5" i="3"/>
  <c r="F5" i="3" l="1"/>
  <c r="E4" i="3"/>
  <c r="I3" i="3" l="1"/>
  <c r="J3" i="3"/>
  <c r="F4" i="3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BK4" i="3" s="1"/>
  <c r="FB13" i="4"/>
  <c r="FB14" i="4"/>
  <c r="FB15" i="4"/>
  <c r="BK7" i="3" s="1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BI5" i="3" s="1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BJ5" i="3" s="1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BH3" i="3" s="1"/>
  <c r="EV12" i="4"/>
  <c r="EV13" i="4"/>
  <c r="EV14" i="4"/>
  <c r="BH6" i="3" s="1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BG4" i="3" s="1"/>
  <c r="ET13" i="4"/>
  <c r="ET14" i="4"/>
  <c r="BG6" i="3" s="1"/>
  <c r="ET15" i="4"/>
  <c r="BG7" i="3" s="1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BC4" i="3" s="1"/>
  <c r="EQ13" i="4"/>
  <c r="BC5" i="3" s="1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BF3" i="3" s="1"/>
  <c r="EO12" i="4"/>
  <c r="EO13" i="4"/>
  <c r="EO14" i="4"/>
  <c r="BF6" i="3" s="1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BE4" i="3" s="1"/>
  <c r="EM13" i="4"/>
  <c r="EM14" i="4"/>
  <c r="BE6" i="3" s="1"/>
  <c r="EM15" i="4"/>
  <c r="BE7" i="3" s="1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BD4" i="3" s="1"/>
  <c r="EK13" i="4"/>
  <c r="BD5" i="3" s="1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BB3" i="3" s="1"/>
  <c r="EI12" i="4"/>
  <c r="EI13" i="4"/>
  <c r="EI14" i="4"/>
  <c r="BB6" i="3" s="1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BA4" i="3" s="1"/>
  <c r="EG13" i="4"/>
  <c r="EG14" i="4"/>
  <c r="BA6" i="3" s="1"/>
  <c r="EG15" i="4"/>
  <c r="BA7" i="3" s="1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AZ4" i="3" s="1"/>
  <c r="ED13" i="4"/>
  <c r="AZ5" i="3" s="1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AY3" i="3" s="1"/>
  <c r="EB12" i="4"/>
  <c r="EB13" i="4"/>
  <c r="EB14" i="4"/>
  <c r="AY6" i="3" s="1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AX4" i="3" s="1"/>
  <c r="DZ13" i="4"/>
  <c r="DZ14" i="4"/>
  <c r="AX6" i="3" s="1"/>
  <c r="DZ15" i="4"/>
  <c r="AX7" i="3" s="1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AW4" i="3" s="1"/>
  <c r="DX13" i="4"/>
  <c r="AW5" i="3" s="1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AU4" i="3" s="1"/>
  <c r="DT13" i="4"/>
  <c r="DT14" i="4"/>
  <c r="AU6" i="3" s="1"/>
  <c r="DT15" i="4"/>
  <c r="AU7" i="3" s="1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AT4" i="3" s="1"/>
  <c r="DQ13" i="4"/>
  <c r="AT5" i="3" s="1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AR3" i="3" s="1"/>
  <c r="DO12" i="4"/>
  <c r="DO13" i="4"/>
  <c r="DO14" i="4"/>
  <c r="AR6" i="3" s="1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AS4" i="3" s="1"/>
  <c r="DM13" i="4"/>
  <c r="DM14" i="4"/>
  <c r="AS6" i="3" s="1"/>
  <c r="DM15" i="4"/>
  <c r="AS7" i="3" s="1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AP4" i="3" s="1"/>
  <c r="DK13" i="4"/>
  <c r="AP5" i="3" s="1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AQ3" i="3" s="1"/>
  <c r="DI12" i="4"/>
  <c r="DI13" i="4"/>
  <c r="DI14" i="4"/>
  <c r="AQ6" i="3" s="1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AN4" i="3" s="1"/>
  <c r="DG13" i="4"/>
  <c r="DG14" i="4"/>
  <c r="AN6" i="3" s="1"/>
  <c r="DG15" i="4"/>
  <c r="AN7" i="3" s="1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AO4" i="3" s="1"/>
  <c r="DE13" i="4"/>
  <c r="AO5" i="3" s="1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AL6" i="3" s="1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AM4" i="3" s="1"/>
  <c r="DA13" i="4"/>
  <c r="DA14" i="4"/>
  <c r="AM6" i="3" s="1"/>
  <c r="DA15" i="4"/>
  <c r="AM7" i="3" s="1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AJ4" i="3" s="1"/>
  <c r="CY13" i="4"/>
  <c r="AJ5" i="3" s="1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AK6" i="3" s="1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AC4" i="3" s="1"/>
  <c r="CT13" i="4"/>
  <c r="CT14" i="4"/>
  <c r="AC6" i="3" s="1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AB7" i="3" s="1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AA4" i="3" s="1"/>
  <c r="CN13" i="4"/>
  <c r="CN14" i="4"/>
  <c r="CN15" i="4"/>
  <c r="AA7" i="3" s="1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Z7" i="3" s="1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AI5" i="3" s="1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AH3" i="3" s="1"/>
  <c r="CG12" i="4"/>
  <c r="CG13" i="4"/>
  <c r="CG14" i="4"/>
  <c r="AH6" i="3" s="1"/>
  <c r="CG15" i="4"/>
  <c r="AH7" i="3" s="1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AF5" i="3" s="1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AE3" i="3" s="1"/>
  <c r="CA12" i="4"/>
  <c r="CA13" i="4"/>
  <c r="CA14" i="4"/>
  <c r="AE6" i="3" s="1"/>
  <c r="CA15" i="4"/>
  <c r="AE7" i="3" s="1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AD7" i="3" s="1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Y5" i="3" s="1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X4" i="3" s="1"/>
  <c r="BC13" i="4"/>
  <c r="X5" i="3" s="1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W7" i="3" s="1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V5" i="3" s="1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U3" i="3" s="1"/>
  <c r="AS12" i="4"/>
  <c r="AS13" i="4"/>
  <c r="AS14" i="4"/>
  <c r="U6" i="3" s="1"/>
  <c r="AS15" i="4"/>
  <c r="U7" i="3" s="1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T4" i="3" s="1"/>
  <c r="AP13" i="4"/>
  <c r="AP14" i="4"/>
  <c r="AP15" i="4"/>
  <c r="T7" i="3" s="1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S5" i="3" s="1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R6" i="3" s="1"/>
  <c r="AJ15" i="4"/>
  <c r="R7" i="3" s="1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Q4" i="3" s="1"/>
  <c r="AG13" i="4"/>
  <c r="AG14" i="4"/>
  <c r="AG15" i="4"/>
  <c r="Q7" i="3" s="1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P5" i="3" s="1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O6" i="3" s="1"/>
  <c r="AA15" i="4"/>
  <c r="O7" i="3" s="1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J5" i="3" s="1"/>
  <c r="N13" i="4"/>
  <c r="J6" i="3" s="1"/>
  <c r="N14" i="4"/>
  <c r="J7" i="3" s="1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J4" i="3" s="1"/>
  <c r="L12" i="4"/>
  <c r="I5" i="3" s="1"/>
  <c r="L13" i="4"/>
  <c r="I6" i="3" s="1"/>
  <c r="L14" i="4"/>
  <c r="I7" i="3" s="1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I4" i="3" s="1"/>
  <c r="J12" i="4"/>
  <c r="BL4" i="3" s="1"/>
  <c r="J13" i="4"/>
  <c r="BL5" i="3" s="1"/>
  <c r="J14" i="4"/>
  <c r="BL6" i="3" s="1"/>
  <c r="J15" i="4"/>
  <c r="BL7" i="3" s="1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N5" i="3" s="1"/>
  <c r="X14" i="4"/>
  <c r="N6" i="3" s="1"/>
  <c r="X15" i="4"/>
  <c r="N7" i="3" s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M3" i="3" s="1"/>
  <c r="U12" i="4"/>
  <c r="M4" i="3" s="1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R12" i="4"/>
  <c r="R13" i="4"/>
  <c r="L5" i="3" s="1"/>
  <c r="R14" i="4"/>
  <c r="R15" i="4"/>
  <c r="L7" i="3" s="1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K5" i="3" s="1"/>
  <c r="O14" i="4"/>
  <c r="K6" i="3" s="1"/>
  <c r="O15" i="4"/>
  <c r="K7" i="3" s="1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H3" i="3" s="1"/>
  <c r="F12" i="4"/>
  <c r="H4" i="3" s="1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G7" i="3" s="1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AC7" i="3" l="1"/>
  <c r="O5" i="3"/>
  <c r="P7" i="3"/>
  <c r="R5" i="3"/>
  <c r="S7" i="3"/>
  <c r="V7" i="3"/>
  <c r="Y7" i="3"/>
  <c r="AE5" i="3"/>
  <c r="AF7" i="3"/>
  <c r="AH5" i="3"/>
  <c r="AI7" i="3"/>
  <c r="AA6" i="3"/>
  <c r="BI7" i="3"/>
  <c r="AK7" i="3"/>
  <c r="AL7" i="3"/>
  <c r="AQ7" i="3"/>
  <c r="AR7" i="3"/>
  <c r="AY7" i="3"/>
  <c r="BB7" i="3"/>
  <c r="BF7" i="3"/>
  <c r="BH7" i="3"/>
  <c r="G6" i="3"/>
  <c r="H7" i="3"/>
  <c r="M7" i="3"/>
  <c r="AG7" i="3"/>
  <c r="G5" i="3"/>
  <c r="H6" i="3"/>
  <c r="Q6" i="3"/>
  <c r="T6" i="3"/>
  <c r="W6" i="3"/>
  <c r="X7" i="3"/>
  <c r="AJ7" i="3"/>
  <c r="AO7" i="3"/>
  <c r="AP7" i="3"/>
  <c r="AT7" i="3"/>
  <c r="AW7" i="3"/>
  <c r="AZ7" i="3"/>
  <c r="BD7" i="3"/>
  <c r="BC7" i="3"/>
  <c r="BJ7" i="3"/>
  <c r="G4" i="3"/>
  <c r="H5" i="3"/>
  <c r="L3" i="3"/>
  <c r="M5" i="3"/>
  <c r="P3" i="3"/>
  <c r="Q5" i="3"/>
  <c r="S3" i="3"/>
  <c r="T5" i="3"/>
  <c r="V3" i="3"/>
  <c r="W5" i="3"/>
  <c r="X6" i="3"/>
  <c r="Y3" i="3"/>
  <c r="AD5" i="3"/>
  <c r="AF3" i="3"/>
  <c r="AG5" i="3"/>
  <c r="AI3" i="3"/>
  <c r="Z5" i="3"/>
  <c r="AB5" i="3"/>
  <c r="AK4" i="3"/>
  <c r="AJ6" i="3"/>
  <c r="AL4" i="3"/>
  <c r="AO6" i="3"/>
  <c r="AQ4" i="3"/>
  <c r="AP6" i="3"/>
  <c r="AR4" i="3"/>
  <c r="AT6" i="3"/>
  <c r="AW6" i="3"/>
  <c r="AY4" i="3"/>
  <c r="AZ6" i="3"/>
  <c r="BB4" i="3"/>
  <c r="BD6" i="3"/>
  <c r="BF4" i="3"/>
  <c r="BC6" i="3"/>
  <c r="BH4" i="3"/>
  <c r="BJ6" i="3"/>
  <c r="BI3" i="3"/>
  <c r="BK5" i="3"/>
  <c r="U5" i="3"/>
  <c r="K4" i="3"/>
  <c r="L6" i="3"/>
  <c r="N4" i="3"/>
  <c r="O4" i="3"/>
  <c r="P6" i="3"/>
  <c r="S6" i="3"/>
  <c r="V6" i="3"/>
  <c r="Y6" i="3"/>
  <c r="AF6" i="3"/>
  <c r="AI6" i="3"/>
  <c r="AA5" i="3"/>
  <c r="AC5" i="3"/>
  <c r="AM5" i="3"/>
  <c r="AN5" i="3"/>
  <c r="AS5" i="3"/>
  <c r="AU5" i="3"/>
  <c r="AX5" i="3"/>
  <c r="BA5" i="3"/>
  <c r="BE5" i="3"/>
  <c r="BG5" i="3"/>
  <c r="BJ3" i="3"/>
  <c r="BI6" i="3"/>
  <c r="M6" i="3"/>
  <c r="AD6" i="3"/>
  <c r="AG6" i="3"/>
  <c r="Z6" i="3"/>
  <c r="AB6" i="3"/>
  <c r="AK5" i="3"/>
  <c r="AL5" i="3"/>
  <c r="AQ5" i="3"/>
  <c r="AR5" i="3"/>
  <c r="AY5" i="3"/>
  <c r="BB5" i="3"/>
  <c r="BF5" i="3"/>
  <c r="BH5" i="3"/>
  <c r="BK6" i="3"/>
  <c r="W4" i="3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C44" i="4"/>
  <c r="AZ44" i="4"/>
  <c r="AA51" i="4" l="1"/>
  <c r="AM50" i="4"/>
  <c r="U49" i="4"/>
  <c r="AA49" i="4"/>
  <c r="AM51" i="4"/>
  <c r="CN44" i="4"/>
  <c r="CN47" i="4"/>
  <c r="CN49" i="4" s="1"/>
  <c r="CQ48" i="4"/>
  <c r="CQ49" i="4" s="1"/>
  <c r="CQ45" i="4"/>
  <c r="AA50" i="4"/>
  <c r="X49" i="4"/>
  <c r="AV50" i="4" l="1"/>
  <c r="AV51" i="4"/>
  <c r="P16" i="4" l="1"/>
  <c r="S16" i="4"/>
  <c r="R48" i="4" s="1"/>
  <c r="R49" i="4" s="1"/>
  <c r="BA16" i="4"/>
  <c r="BD16" i="4"/>
  <c r="BG16" i="4"/>
  <c r="P17" i="4"/>
  <c r="S17" i="4"/>
  <c r="BA17" i="4"/>
  <c r="BD17" i="4"/>
  <c r="BG17" i="4"/>
  <c r="BF45" i="4" l="1"/>
  <c r="BF46" i="4" s="1"/>
  <c r="BF48" i="4"/>
  <c r="BF49" i="4" s="1"/>
  <c r="BC45" i="4"/>
  <c r="BC46" i="4" s="1"/>
  <c r="BC48" i="4"/>
  <c r="BC49" i="4" s="1"/>
  <c r="AZ45" i="4"/>
  <c r="AZ46" i="4" s="1"/>
  <c r="AZ48" i="4"/>
  <c r="O45" i="4"/>
  <c r="O48" i="4"/>
  <c r="O49" i="4" s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<sst xmlns="http://schemas.openxmlformats.org/spreadsheetml/2006/main" count="407" uniqueCount="202">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</sst>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114743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43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115117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89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115539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40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116003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88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B14">
            <v>0.72</v>
          </cell>
          <cell r="E14">
            <v>246351</v>
          </cell>
          <cell r="F14">
            <v>518</v>
          </cell>
          <cell r="G14">
            <v>492</v>
          </cell>
          <cell r="H14">
            <v>267899</v>
          </cell>
          <cell r="I14">
            <v>385</v>
          </cell>
          <cell r="J14">
            <v>116374</v>
          </cell>
          <cell r="K14">
            <v>16824</v>
          </cell>
          <cell r="L14">
            <v>183</v>
          </cell>
          <cell r="N14">
            <v>930939</v>
          </cell>
          <cell r="O14">
            <v>152</v>
          </cell>
          <cell r="Q14">
            <v>245921</v>
          </cell>
          <cell r="R14">
            <v>16</v>
          </cell>
          <cell r="U14">
            <v>120701</v>
          </cell>
          <cell r="V14">
            <v>68</v>
          </cell>
          <cell r="W14">
            <v>257.80000000004657</v>
          </cell>
          <cell r="X14">
            <v>6767</v>
          </cell>
          <cell r="Y14">
            <v>7</v>
          </cell>
          <cell r="AE14">
            <v>8290243.919999999</v>
          </cell>
          <cell r="AF14">
            <v>1948.7999999998137</v>
          </cell>
          <cell r="AG14">
            <v>2046.2400000002235</v>
          </cell>
          <cell r="AH14">
            <v>15745719.359999999</v>
          </cell>
          <cell r="AI14">
            <v>4628.4000000003725</v>
          </cell>
          <cell r="AJ14">
            <v>4482.2400000002235</v>
          </cell>
          <cell r="AK14">
            <v>15929929.68</v>
          </cell>
          <cell r="AL14">
            <v>6333.5999999996275</v>
          </cell>
          <cell r="AM14">
            <v>0</v>
          </cell>
          <cell r="AN14">
            <v>19072418.399999999</v>
          </cell>
          <cell r="AO14">
            <v>1218</v>
          </cell>
          <cell r="AP14">
            <v>8379.839999999851</v>
          </cell>
          <cell r="AQ14">
            <v>19335506.399999999</v>
          </cell>
          <cell r="AR14">
            <v>1218</v>
          </cell>
          <cell r="AS14">
            <v>876.95999999716878</v>
          </cell>
          <cell r="AT14">
            <v>17884137.599999998</v>
          </cell>
          <cell r="AU14">
            <v>5554.0799999982119</v>
          </cell>
          <cell r="AV14">
            <v>5554.0800000019372</v>
          </cell>
          <cell r="AW14">
            <v>15032214.959999999</v>
          </cell>
          <cell r="AX14">
            <v>3654</v>
          </cell>
          <cell r="AY14">
            <v>4092.4800000023097</v>
          </cell>
          <cell r="AZ14">
            <v>14578290.719999999</v>
          </cell>
          <cell r="BA14">
            <v>4530.9599999990314</v>
          </cell>
          <cell r="BB14">
            <v>4043.7599999997765</v>
          </cell>
          <cell r="BC14">
            <v>11359701.359999999</v>
          </cell>
          <cell r="BD14">
            <v>3118.0799999982119</v>
          </cell>
          <cell r="BE14">
            <v>3751.4400000013411</v>
          </cell>
          <cell r="BF14">
            <v>18036338.879999999</v>
          </cell>
          <cell r="BG14">
            <v>5505.359999999404</v>
          </cell>
          <cell r="BH14">
            <v>5310.480000000447</v>
          </cell>
          <cell r="BM14">
            <v>78690800</v>
          </cell>
          <cell r="BN14">
            <v>34600</v>
          </cell>
          <cell r="BO14">
            <v>0</v>
          </cell>
          <cell r="BP14">
            <v>81612700</v>
          </cell>
          <cell r="BQ14">
            <v>0</v>
          </cell>
          <cell r="BR14">
            <v>37600</v>
          </cell>
          <cell r="BS14">
            <v>75562200</v>
          </cell>
          <cell r="BT14">
            <v>4000</v>
          </cell>
          <cell r="BU14">
            <v>0</v>
          </cell>
          <cell r="BV14">
            <v>10625860</v>
          </cell>
          <cell r="BW14">
            <v>5560</v>
          </cell>
          <cell r="BY14">
            <v>0.67</v>
          </cell>
          <cell r="BZ14">
            <v>-0.17000000000000004</v>
          </cell>
          <cell r="CA14">
            <v>8.0000000000000071E-2</v>
          </cell>
          <cell r="CB14">
            <v>65432</v>
          </cell>
          <cell r="CC14">
            <v>17</v>
          </cell>
          <cell r="CD14">
            <v>56578</v>
          </cell>
          <cell r="CE14">
            <v>21</v>
          </cell>
          <cell r="CF14">
            <v>19100</v>
          </cell>
          <cell r="CG14">
            <v>6</v>
          </cell>
          <cell r="CH14">
            <v>26170</v>
          </cell>
          <cell r="CI14">
            <v>9</v>
          </cell>
          <cell r="CJ14">
            <v>29350</v>
          </cell>
          <cell r="CK14">
            <v>16</v>
          </cell>
          <cell r="CL14">
            <v>64575</v>
          </cell>
          <cell r="CM14">
            <v>34</v>
          </cell>
          <cell r="CN14">
            <v>272496</v>
          </cell>
          <cell r="CO14">
            <v>74</v>
          </cell>
          <cell r="CP14">
            <v>103</v>
          </cell>
          <cell r="CQ14">
            <v>221815</v>
          </cell>
          <cell r="CR14">
            <v>120</v>
          </cell>
          <cell r="CT14">
            <v>371032</v>
          </cell>
          <cell r="CU14">
            <v>220</v>
          </cell>
          <cell r="CV14">
            <v>406</v>
          </cell>
          <cell r="CW14">
            <v>704859</v>
          </cell>
          <cell r="CX14">
            <v>173</v>
          </cell>
          <cell r="CZ14">
            <v>9356</v>
          </cell>
          <cell r="DA14">
            <v>4</v>
          </cell>
          <cell r="DB14">
            <v>6335</v>
          </cell>
          <cell r="DC14">
            <v>2</v>
          </cell>
          <cell r="DD14">
            <v>33071</v>
          </cell>
          <cell r="DE14">
            <v>14</v>
          </cell>
          <cell r="DF14">
            <v>33213</v>
          </cell>
          <cell r="DG14">
            <v>12</v>
          </cell>
          <cell r="DH14">
            <v>22459</v>
          </cell>
          <cell r="DI14">
            <v>7</v>
          </cell>
          <cell r="DJ14">
            <v>24380</v>
          </cell>
          <cell r="DK14">
            <v>5</v>
          </cell>
          <cell r="DL14">
            <v>7745</v>
          </cell>
          <cell r="DM14">
            <v>7</v>
          </cell>
          <cell r="DN14">
            <v>10250</v>
          </cell>
          <cell r="DO14">
            <v>9</v>
          </cell>
          <cell r="DP14">
            <v>3541</v>
          </cell>
          <cell r="DQ14">
            <v>6</v>
          </cell>
          <cell r="DR14">
            <v>6931</v>
          </cell>
          <cell r="DS14">
            <v>4</v>
          </cell>
          <cell r="DT14">
            <v>30525</v>
          </cell>
          <cell r="DU14">
            <v>7</v>
          </cell>
          <cell r="DW14">
            <v>6982.1</v>
          </cell>
          <cell r="DX14">
            <v>10.900000000000546</v>
          </cell>
          <cell r="DY14">
            <v>11743.1</v>
          </cell>
          <cell r="DZ14">
            <v>8</v>
          </cell>
          <cell r="EA14">
            <v>5177.7</v>
          </cell>
          <cell r="EB14">
            <v>5.6999999999998181</v>
          </cell>
          <cell r="EC14">
            <v>5776.3</v>
          </cell>
          <cell r="ED14">
            <v>6.3000000000001819</v>
          </cell>
          <cell r="EE14">
            <v>1159948</v>
          </cell>
          <cell r="EF14">
            <v>537</v>
          </cell>
          <cell r="EI14">
            <v>240082.8</v>
          </cell>
          <cell r="EJ14">
            <v>152.39999999999418</v>
          </cell>
          <cell r="EL14">
            <v>12304000</v>
          </cell>
          <cell r="EM14">
            <v>2700</v>
          </cell>
          <cell r="EN14">
            <v>947500</v>
          </cell>
          <cell r="EO14">
            <v>250</v>
          </cell>
          <cell r="EP14">
            <v>7301200</v>
          </cell>
          <cell r="EQ14">
            <v>900</v>
          </cell>
          <cell r="ER14">
            <v>2513200</v>
          </cell>
          <cell r="ES14">
            <v>400</v>
          </cell>
          <cell r="ET14">
            <v>1310790</v>
          </cell>
          <cell r="EU14">
            <v>690</v>
          </cell>
          <cell r="EV14">
            <v>16743500</v>
          </cell>
          <cell r="EW14">
            <v>1200</v>
          </cell>
          <cell r="EY14">
            <v>43060</v>
          </cell>
          <cell r="EZ14">
            <v>15</v>
          </cell>
          <cell r="FA14">
            <v>37537</v>
          </cell>
          <cell r="FB14">
            <v>11</v>
          </cell>
          <cell r="FC14">
            <v>8129</v>
          </cell>
          <cell r="FD14">
            <v>9</v>
          </cell>
          <cell r="FE14">
            <v>60120</v>
          </cell>
          <cell r="FF14">
            <v>13</v>
          </cell>
          <cell r="FG14">
            <v>51576</v>
          </cell>
          <cell r="FH14">
            <v>29</v>
          </cell>
        </row>
        <row r="15">
          <cell r="B15">
            <v>0.57999999999999996</v>
          </cell>
          <cell r="E15">
            <v>246939</v>
          </cell>
          <cell r="F15">
            <v>588</v>
          </cell>
          <cell r="G15">
            <v>518</v>
          </cell>
          <cell r="H15">
            <v>268280</v>
          </cell>
          <cell r="I15">
            <v>381</v>
          </cell>
          <cell r="J15">
            <v>116762</v>
          </cell>
          <cell r="K15">
            <v>17025</v>
          </cell>
          <cell r="L15">
            <v>201</v>
          </cell>
          <cell r="N15">
            <v>931159</v>
          </cell>
          <cell r="O15">
            <v>220</v>
          </cell>
          <cell r="Q15">
            <v>245994</v>
          </cell>
          <cell r="R15">
            <v>73</v>
          </cell>
          <cell r="U15">
            <v>120790</v>
          </cell>
          <cell r="V15">
            <v>89</v>
          </cell>
          <cell r="W15">
            <v>218.39999999990687</v>
          </cell>
          <cell r="X15">
            <v>6774</v>
          </cell>
          <cell r="Y15">
            <v>7</v>
          </cell>
          <cell r="AE15">
            <v>8292192.7199999988</v>
          </cell>
          <cell r="AF15">
            <v>1948.7999999998137</v>
          </cell>
          <cell r="AG15">
            <v>2874.4799999995157</v>
          </cell>
          <cell r="AH15">
            <v>15750396.48</v>
          </cell>
          <cell r="AI15">
            <v>4677.1200000010431</v>
          </cell>
          <cell r="AJ15">
            <v>4823.2799999993294</v>
          </cell>
          <cell r="AK15">
            <v>15929978.4</v>
          </cell>
          <cell r="AL15">
            <v>48.720000000670552</v>
          </cell>
          <cell r="AM15">
            <v>0</v>
          </cell>
          <cell r="AN15">
            <v>19074269.760000002</v>
          </cell>
          <cell r="AO15">
            <v>1851.3600000031292</v>
          </cell>
          <cell r="AP15">
            <v>7990.0799999982119</v>
          </cell>
          <cell r="AQ15">
            <v>19343301.599999998</v>
          </cell>
          <cell r="AR15">
            <v>7795.1999999992549</v>
          </cell>
          <cell r="AS15">
            <v>48.720000002533197</v>
          </cell>
          <cell r="AT15">
            <v>17889691.68</v>
          </cell>
          <cell r="AU15">
            <v>5554.0800000019372</v>
          </cell>
          <cell r="AV15">
            <v>5846.3999999985099</v>
          </cell>
          <cell r="AW15">
            <v>15036210</v>
          </cell>
          <cell r="AX15">
            <v>3995.0400000009686</v>
          </cell>
          <cell r="AY15">
            <v>4384.7999999988824</v>
          </cell>
          <cell r="AZ15">
            <v>14582480.640000001</v>
          </cell>
          <cell r="BA15">
            <v>4189.9200000017881</v>
          </cell>
          <cell r="BB15">
            <v>4238.640000000596</v>
          </cell>
          <cell r="BC15">
            <v>11362965.6</v>
          </cell>
          <cell r="BD15">
            <v>3264.2400000002235</v>
          </cell>
          <cell r="BE15">
            <v>3800.1599999982864</v>
          </cell>
          <cell r="BF15">
            <v>18041844.239999998</v>
          </cell>
          <cell r="BG15">
            <v>5505.359999999404</v>
          </cell>
          <cell r="BH15">
            <v>5359.1999999992549</v>
          </cell>
          <cell r="BM15">
            <v>78690800</v>
          </cell>
          <cell r="BN15">
            <v>0</v>
          </cell>
          <cell r="BO15">
            <v>0</v>
          </cell>
          <cell r="BP15">
            <v>81617000</v>
          </cell>
          <cell r="BQ15">
            <v>4300</v>
          </cell>
          <cell r="BR15">
            <v>32500</v>
          </cell>
          <cell r="BS15">
            <v>75602000</v>
          </cell>
          <cell r="BT15">
            <v>39800</v>
          </cell>
          <cell r="BU15">
            <v>0</v>
          </cell>
          <cell r="BV15">
            <v>10631870</v>
          </cell>
          <cell r="BW15">
            <v>6010</v>
          </cell>
          <cell r="BY15">
            <v>0.75</v>
          </cell>
          <cell r="BZ15">
            <v>-7.999999999999996E-2</v>
          </cell>
          <cell r="CA15">
            <v>-9.000000000000008E-2</v>
          </cell>
          <cell r="CB15">
            <v>65447</v>
          </cell>
          <cell r="CC15">
            <v>15</v>
          </cell>
          <cell r="CD15">
            <v>56597</v>
          </cell>
          <cell r="CE15">
            <v>19</v>
          </cell>
          <cell r="CF15">
            <v>19105</v>
          </cell>
          <cell r="CG15">
            <v>5</v>
          </cell>
          <cell r="CH15">
            <v>26179</v>
          </cell>
          <cell r="CI15">
            <v>9</v>
          </cell>
          <cell r="CJ15">
            <v>29365</v>
          </cell>
          <cell r="CK15">
            <v>15</v>
          </cell>
          <cell r="CL15">
            <v>64608</v>
          </cell>
          <cell r="CM15">
            <v>33</v>
          </cell>
          <cell r="CN15">
            <v>272572</v>
          </cell>
          <cell r="CO15">
            <v>76</v>
          </cell>
          <cell r="CP15">
            <v>108</v>
          </cell>
          <cell r="CQ15">
            <v>221928</v>
          </cell>
          <cell r="CR15">
            <v>113</v>
          </cell>
          <cell r="CT15">
            <v>371235</v>
          </cell>
          <cell r="CU15">
            <v>203</v>
          </cell>
          <cell r="CV15">
            <v>447</v>
          </cell>
          <cell r="CW15">
            <v>705036</v>
          </cell>
          <cell r="CX15">
            <v>177</v>
          </cell>
          <cell r="CZ15">
            <v>9361</v>
          </cell>
          <cell r="DA15">
            <v>5</v>
          </cell>
          <cell r="DB15">
            <v>6338</v>
          </cell>
          <cell r="DC15">
            <v>3</v>
          </cell>
          <cell r="DD15">
            <v>33084</v>
          </cell>
          <cell r="DE15">
            <v>13</v>
          </cell>
          <cell r="DF15">
            <v>33227</v>
          </cell>
          <cell r="DG15">
            <v>14</v>
          </cell>
          <cell r="DH15">
            <v>22466</v>
          </cell>
          <cell r="DI15">
            <v>7</v>
          </cell>
          <cell r="DJ15">
            <v>24384</v>
          </cell>
          <cell r="DK15">
            <v>4</v>
          </cell>
          <cell r="DL15">
            <v>7752</v>
          </cell>
          <cell r="DM15">
            <v>7</v>
          </cell>
          <cell r="DN15">
            <v>10260</v>
          </cell>
          <cell r="DO15">
            <v>10</v>
          </cell>
          <cell r="DP15">
            <v>3547</v>
          </cell>
          <cell r="DQ15">
            <v>6</v>
          </cell>
          <cell r="DR15">
            <v>6935</v>
          </cell>
          <cell r="DS15">
            <v>4</v>
          </cell>
          <cell r="DT15">
            <v>30525</v>
          </cell>
          <cell r="DU15">
            <v>0</v>
          </cell>
          <cell r="DW15">
            <v>6992.1</v>
          </cell>
          <cell r="DX15">
            <v>10</v>
          </cell>
          <cell r="DY15">
            <v>11751.1</v>
          </cell>
          <cell r="DZ15">
            <v>8</v>
          </cell>
          <cell r="EA15">
            <v>5183.6000000000004</v>
          </cell>
          <cell r="EB15">
            <v>5.9000000000005457</v>
          </cell>
          <cell r="EC15">
            <v>5782.9</v>
          </cell>
          <cell r="ED15">
            <v>6.5999999999994543</v>
          </cell>
          <cell r="EE15">
            <v>1160468</v>
          </cell>
          <cell r="EF15">
            <v>520</v>
          </cell>
          <cell r="EI15">
            <v>240234.6</v>
          </cell>
          <cell r="EJ15">
            <v>151.80000000001746</v>
          </cell>
          <cell r="EL15">
            <v>12307000</v>
          </cell>
          <cell r="EM15">
            <v>3000</v>
          </cell>
          <cell r="EN15">
            <v>947750</v>
          </cell>
          <cell r="EO15">
            <v>250</v>
          </cell>
          <cell r="EP15">
            <v>7302200</v>
          </cell>
          <cell r="EQ15">
            <v>1000</v>
          </cell>
          <cell r="ER15">
            <v>2513600</v>
          </cell>
          <cell r="ES15">
            <v>400</v>
          </cell>
          <cell r="ET15">
            <v>1311460</v>
          </cell>
          <cell r="EU15">
            <v>670</v>
          </cell>
          <cell r="EV15">
            <v>16745500</v>
          </cell>
          <cell r="EW15">
            <v>2000</v>
          </cell>
          <cell r="EY15">
            <v>43076</v>
          </cell>
          <cell r="EZ15">
            <v>16</v>
          </cell>
          <cell r="FA15">
            <v>37547</v>
          </cell>
          <cell r="FB15">
            <v>10</v>
          </cell>
          <cell r="FC15">
            <v>8138</v>
          </cell>
          <cell r="FD15">
            <v>9</v>
          </cell>
          <cell r="FE15">
            <v>60132</v>
          </cell>
          <cell r="FF15">
            <v>12</v>
          </cell>
          <cell r="FG15">
            <v>51608</v>
          </cell>
          <cell r="FH15">
            <v>32</v>
          </cell>
        </row>
        <row r="16">
          <cell r="F16">
            <v>-246939</v>
          </cell>
          <cell r="G16">
            <v>521</v>
          </cell>
          <cell r="I16">
            <v>-268280</v>
          </cell>
          <cell r="J16">
            <v>117183</v>
          </cell>
          <cell r="L16">
            <v>-17025</v>
          </cell>
          <cell r="O16">
            <v>-931159</v>
          </cell>
          <cell r="R16">
            <v>-245994</v>
          </cell>
          <cell r="V16">
            <v>-120790</v>
          </cell>
          <cell r="W16">
            <v>50.800000000046566</v>
          </cell>
          <cell r="Y16">
            <v>-6774</v>
          </cell>
          <cell r="AF16">
            <v>-8292192.7199999988</v>
          </cell>
          <cell r="AG16">
            <v>2874.480000000447</v>
          </cell>
          <cell r="AI16">
            <v>-15750396.48</v>
          </cell>
          <cell r="AJ16">
            <v>4774.5599999986589</v>
          </cell>
          <cell r="AL16">
            <v>-15929978.4</v>
          </cell>
          <cell r="AM16">
            <v>0</v>
          </cell>
          <cell r="AO16">
            <v>-19074269.760000002</v>
          </cell>
          <cell r="AP16">
            <v>2484.7200000025332</v>
          </cell>
          <cell r="AR16">
            <v>-19343301.599999998</v>
          </cell>
          <cell r="AS16">
            <v>4823.2799999974668</v>
          </cell>
          <cell r="AU16">
            <v>-17889691.68</v>
          </cell>
          <cell r="AV16">
            <v>5602.8000000007451</v>
          </cell>
          <cell r="AX16">
            <v>-15036210</v>
          </cell>
          <cell r="AY16">
            <v>4287.359999999404</v>
          </cell>
          <cell r="BA16">
            <v>-14582480.640000001</v>
          </cell>
          <cell r="BB16">
            <v>4287.359999999404</v>
          </cell>
          <cell r="BD16">
            <v>-11362965.6</v>
          </cell>
          <cell r="BE16">
            <v>3410.4000000003725</v>
          </cell>
          <cell r="BG16">
            <v>-18041844.239999998</v>
          </cell>
          <cell r="BH16">
            <v>5456.6399999987334</v>
          </cell>
          <cell r="BN16">
            <v>-78690800</v>
          </cell>
          <cell r="BO16">
            <v>0</v>
          </cell>
          <cell r="BQ16">
            <v>-81617000</v>
          </cell>
          <cell r="BR16">
            <v>10800</v>
          </cell>
          <cell r="BT16">
            <v>-75602000</v>
          </cell>
          <cell r="BU16">
            <v>21400</v>
          </cell>
          <cell r="BW16">
            <v>-10631870</v>
          </cell>
          <cell r="BZ16">
            <v>0.75</v>
          </cell>
          <cell r="CA16">
            <v>9.9999999999999978E-2</v>
          </cell>
          <cell r="CC16">
            <v>-65447</v>
          </cell>
          <cell r="CE16">
            <v>-56597</v>
          </cell>
          <cell r="CG16">
            <v>-19105</v>
          </cell>
          <cell r="CI16">
            <v>-26179</v>
          </cell>
          <cell r="CK16">
            <v>-29365</v>
          </cell>
          <cell r="CM16">
            <v>-64608</v>
          </cell>
          <cell r="CO16">
            <v>-272572</v>
          </cell>
          <cell r="CP16">
            <v>108</v>
          </cell>
          <cell r="CR16">
            <v>-221928</v>
          </cell>
          <cell r="CU16">
            <v>-371235</v>
          </cell>
          <cell r="CV16">
            <v>447</v>
          </cell>
          <cell r="CX16">
            <v>-705036</v>
          </cell>
          <cell r="DA16">
            <v>-9361</v>
          </cell>
          <cell r="DC16">
            <v>-6338</v>
          </cell>
          <cell r="DE16">
            <v>-33084</v>
          </cell>
          <cell r="DG16">
            <v>-33227</v>
          </cell>
          <cell r="DI16">
            <v>-22466</v>
          </cell>
          <cell r="DK16">
            <v>-24384</v>
          </cell>
          <cell r="DM16">
            <v>-7752</v>
          </cell>
          <cell r="DO16">
            <v>-10260</v>
          </cell>
          <cell r="DQ16">
            <v>-3547</v>
          </cell>
          <cell r="DS16">
            <v>-6935</v>
          </cell>
          <cell r="DU16">
            <v>-30525</v>
          </cell>
          <cell r="DX16">
            <v>-6992.1</v>
          </cell>
          <cell r="DZ16">
            <v>-11751.1</v>
          </cell>
          <cell r="EB16">
            <v>-5183.6000000000004</v>
          </cell>
          <cell r="ED16">
            <v>-5782.9</v>
          </cell>
          <cell r="EF16">
            <v>-1160468</v>
          </cell>
          <cell r="EJ16">
            <v>-240234.6</v>
          </cell>
          <cell r="EM16">
            <v>-12307000</v>
          </cell>
          <cell r="EO16">
            <v>-947750</v>
          </cell>
          <cell r="EQ16">
            <v>-7302200</v>
          </cell>
          <cell r="ES16">
            <v>-2513600</v>
          </cell>
          <cell r="EU16">
            <v>-1311460</v>
          </cell>
          <cell r="EW16">
            <v>-16745500</v>
          </cell>
          <cell r="EZ16">
            <v>-43076</v>
          </cell>
          <cell r="FB16">
            <v>-37547</v>
          </cell>
          <cell r="FD16">
            <v>-8138</v>
          </cell>
          <cell r="FF16">
            <v>-60132</v>
          </cell>
          <cell r="FH16">
            <v>-51608</v>
          </cell>
        </row>
        <row r="17">
          <cell r="F17">
            <v>0</v>
          </cell>
          <cell r="G17">
            <v>587</v>
          </cell>
          <cell r="I17">
            <v>0</v>
          </cell>
          <cell r="J17">
            <v>117634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97</v>
          </cell>
          <cell r="Y17">
            <v>0</v>
          </cell>
          <cell r="AF17">
            <v>0</v>
          </cell>
          <cell r="AG17">
            <v>2143.679999999702</v>
          </cell>
          <cell r="AI17">
            <v>0</v>
          </cell>
          <cell r="AJ17">
            <v>4628.4000000003725</v>
          </cell>
          <cell r="AL17">
            <v>0</v>
          </cell>
          <cell r="AM17">
            <v>1120.5599999986589</v>
          </cell>
          <cell r="AO17">
            <v>0</v>
          </cell>
          <cell r="AP17">
            <v>8087.519999999553</v>
          </cell>
          <cell r="AR17">
            <v>0</v>
          </cell>
          <cell r="AS17">
            <v>0</v>
          </cell>
          <cell r="AU17">
            <v>0</v>
          </cell>
          <cell r="AV17">
            <v>5748.9599999990314</v>
          </cell>
          <cell r="AX17">
            <v>0</v>
          </cell>
          <cell r="AY17">
            <v>4384.8000000007451</v>
          </cell>
          <cell r="BA17">
            <v>0</v>
          </cell>
          <cell r="BB17">
            <v>4530.9599999990314</v>
          </cell>
          <cell r="BD17">
            <v>0</v>
          </cell>
          <cell r="BE17">
            <v>3556.5600000005215</v>
          </cell>
          <cell r="BG17">
            <v>0</v>
          </cell>
          <cell r="BH17">
            <v>5359.2000000011176</v>
          </cell>
          <cell r="BN17">
            <v>0</v>
          </cell>
          <cell r="BO17">
            <v>0</v>
          </cell>
          <cell r="BQ17">
            <v>0</v>
          </cell>
          <cell r="BR17">
            <v>34600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8.0000000000000071E-2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107</v>
          </cell>
          <cell r="CR17">
            <v>0</v>
          </cell>
          <cell r="CU17">
            <v>0</v>
          </cell>
          <cell r="CV17">
            <v>318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557</v>
          </cell>
          <cell r="I18">
            <v>0</v>
          </cell>
          <cell r="J18">
            <v>118068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41.699999999953434</v>
          </cell>
          <cell r="Y18">
            <v>0</v>
          </cell>
          <cell r="AF18">
            <v>0</v>
          </cell>
          <cell r="AG18">
            <v>1997.5200000004843</v>
          </cell>
          <cell r="AI18">
            <v>0</v>
          </cell>
          <cell r="AJ18">
            <v>4579.679999999702</v>
          </cell>
          <cell r="AL18">
            <v>0</v>
          </cell>
          <cell r="AM18">
            <v>1364.160000000149</v>
          </cell>
          <cell r="AO18">
            <v>0</v>
          </cell>
          <cell r="AP18">
            <v>8720.8799999989569</v>
          </cell>
          <cell r="AR18">
            <v>0</v>
          </cell>
          <cell r="AS18">
            <v>0</v>
          </cell>
          <cell r="AU18">
            <v>0</v>
          </cell>
          <cell r="AV18">
            <v>5895.1200000010431</v>
          </cell>
          <cell r="AX18">
            <v>0</v>
          </cell>
          <cell r="AY18">
            <v>3848.8800000008196</v>
          </cell>
          <cell r="BA18">
            <v>0</v>
          </cell>
          <cell r="BB18">
            <v>4189.9199999999255</v>
          </cell>
          <cell r="BD18">
            <v>0</v>
          </cell>
          <cell r="BE18">
            <v>3069.359999999404</v>
          </cell>
          <cell r="BG18">
            <v>0</v>
          </cell>
          <cell r="BH18">
            <v>5554.0800000000745</v>
          </cell>
          <cell r="BN18">
            <v>0</v>
          </cell>
          <cell r="BO18">
            <v>0</v>
          </cell>
          <cell r="BQ18">
            <v>0</v>
          </cell>
          <cell r="BR18">
            <v>38100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9.9999999999999978E-2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108</v>
          </cell>
          <cell r="CR18">
            <v>0</v>
          </cell>
          <cell r="CU18">
            <v>0</v>
          </cell>
          <cell r="CV18">
            <v>226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568</v>
          </cell>
          <cell r="I19">
            <v>0</v>
          </cell>
          <cell r="J19">
            <v>118505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57.300000000046566</v>
          </cell>
          <cell r="Y19">
            <v>0</v>
          </cell>
          <cell r="AF19">
            <v>0</v>
          </cell>
          <cell r="AG19">
            <v>2094.9599999999627</v>
          </cell>
          <cell r="AI19">
            <v>0</v>
          </cell>
          <cell r="AJ19">
            <v>4482.2400000002235</v>
          </cell>
          <cell r="AL19">
            <v>0</v>
          </cell>
          <cell r="AM19">
            <v>1364.160000000149</v>
          </cell>
          <cell r="AO19">
            <v>0</v>
          </cell>
          <cell r="AP19">
            <v>8769.6000000014901</v>
          </cell>
          <cell r="AR19">
            <v>0</v>
          </cell>
          <cell r="AS19">
            <v>0</v>
          </cell>
          <cell r="AU19">
            <v>0</v>
          </cell>
          <cell r="AV19">
            <v>5943.839999999851</v>
          </cell>
          <cell r="AX19">
            <v>0</v>
          </cell>
          <cell r="AY19">
            <v>4238.6399999987334</v>
          </cell>
          <cell r="BA19">
            <v>0</v>
          </cell>
          <cell r="BB19">
            <v>4482.2400000002235</v>
          </cell>
          <cell r="BD19">
            <v>0</v>
          </cell>
          <cell r="BE19">
            <v>3069.3600000012666</v>
          </cell>
          <cell r="BG19">
            <v>0</v>
          </cell>
          <cell r="BH19">
            <v>5602.8000000007451</v>
          </cell>
          <cell r="BN19">
            <v>0</v>
          </cell>
          <cell r="BO19">
            <v>0</v>
          </cell>
          <cell r="BQ19">
            <v>0</v>
          </cell>
          <cell r="BR19">
            <v>39200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-0.13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105</v>
          </cell>
          <cell r="CR19">
            <v>0</v>
          </cell>
          <cell r="CU19">
            <v>0</v>
          </cell>
          <cell r="CV19">
            <v>266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614</v>
          </cell>
          <cell r="I20">
            <v>0</v>
          </cell>
          <cell r="J20">
            <v>118989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207</v>
          </cell>
          <cell r="Y20">
            <v>0</v>
          </cell>
          <cell r="AF20">
            <v>0</v>
          </cell>
          <cell r="AG20">
            <v>2241.1200000001118</v>
          </cell>
          <cell r="AI20">
            <v>0</v>
          </cell>
          <cell r="AJ20">
            <v>4677.1200000010431</v>
          </cell>
          <cell r="AL20">
            <v>0</v>
          </cell>
          <cell r="AM20">
            <v>0</v>
          </cell>
          <cell r="AO20">
            <v>0</v>
          </cell>
          <cell r="AP20">
            <v>10913.279999997467</v>
          </cell>
          <cell r="AR20">
            <v>0</v>
          </cell>
          <cell r="AS20">
            <v>0</v>
          </cell>
          <cell r="AU20">
            <v>0</v>
          </cell>
          <cell r="AV20">
            <v>6236.160000000149</v>
          </cell>
          <cell r="AX20">
            <v>0</v>
          </cell>
          <cell r="AY20">
            <v>4433.5200000014156</v>
          </cell>
          <cell r="BA20">
            <v>0</v>
          </cell>
          <cell r="BB20">
            <v>4628.4000000003725</v>
          </cell>
          <cell r="BD20">
            <v>0</v>
          </cell>
          <cell r="BE20">
            <v>3264.2399999983609</v>
          </cell>
          <cell r="BG20">
            <v>0</v>
          </cell>
          <cell r="BH20">
            <v>5602.7999999988824</v>
          </cell>
          <cell r="BN20">
            <v>0</v>
          </cell>
          <cell r="BO20">
            <v>0</v>
          </cell>
          <cell r="BQ20">
            <v>0</v>
          </cell>
          <cell r="BR20">
            <v>42300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0.12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100</v>
          </cell>
          <cell r="CR20">
            <v>0</v>
          </cell>
          <cell r="CU20">
            <v>0</v>
          </cell>
          <cell r="CV20">
            <v>290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601</v>
          </cell>
          <cell r="I21">
            <v>0</v>
          </cell>
          <cell r="J21">
            <v>119457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93</v>
          </cell>
          <cell r="Y21">
            <v>0</v>
          </cell>
          <cell r="AF21">
            <v>0</v>
          </cell>
          <cell r="AG21">
            <v>2046.2399999992922</v>
          </cell>
          <cell r="AI21">
            <v>0</v>
          </cell>
          <cell r="AJ21">
            <v>4384.7999999988824</v>
          </cell>
          <cell r="AL21">
            <v>0</v>
          </cell>
          <cell r="AM21">
            <v>48.720000000670552</v>
          </cell>
          <cell r="AO21">
            <v>0</v>
          </cell>
          <cell r="AP21">
            <v>8769.6000000014901</v>
          </cell>
          <cell r="AR21">
            <v>0</v>
          </cell>
          <cell r="AS21">
            <v>0</v>
          </cell>
          <cell r="AU21">
            <v>0</v>
          </cell>
          <cell r="AV21">
            <v>6090</v>
          </cell>
          <cell r="AX21">
            <v>0</v>
          </cell>
          <cell r="AY21">
            <v>4092.4799999985844</v>
          </cell>
          <cell r="BA21">
            <v>0</v>
          </cell>
          <cell r="BB21">
            <v>4189.9199999999255</v>
          </cell>
          <cell r="BD21">
            <v>0</v>
          </cell>
          <cell r="BE21">
            <v>2874.480000000447</v>
          </cell>
          <cell r="BG21">
            <v>0</v>
          </cell>
          <cell r="BH21">
            <v>5359.2000000011176</v>
          </cell>
          <cell r="BN21">
            <v>0</v>
          </cell>
          <cell r="BO21">
            <v>0</v>
          </cell>
          <cell r="BQ21">
            <v>0</v>
          </cell>
          <cell r="BR21">
            <v>33100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-0.10999999999999999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96</v>
          </cell>
          <cell r="CR21">
            <v>0</v>
          </cell>
          <cell r="CU21">
            <v>0</v>
          </cell>
          <cell r="CV21">
            <v>365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545</v>
          </cell>
          <cell r="I22">
            <v>0</v>
          </cell>
          <cell r="J22">
            <v>119868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-212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4530.9599999990314</v>
          </cell>
          <cell r="AL22">
            <v>0</v>
          </cell>
          <cell r="AM22">
            <v>0</v>
          </cell>
          <cell r="AO22">
            <v>0</v>
          </cell>
          <cell r="AP22">
            <v>8477.2800000011921</v>
          </cell>
          <cell r="AR22">
            <v>0</v>
          </cell>
          <cell r="AS22">
            <v>1120.5600000023842</v>
          </cell>
          <cell r="AU22">
            <v>0</v>
          </cell>
          <cell r="AV22">
            <v>5797.679999999702</v>
          </cell>
          <cell r="AX22">
            <v>0</v>
          </cell>
          <cell r="AY22">
            <v>3897.5999999996275</v>
          </cell>
          <cell r="BA22">
            <v>0</v>
          </cell>
          <cell r="BB22">
            <v>4189.9199999999255</v>
          </cell>
          <cell r="BD22">
            <v>0</v>
          </cell>
          <cell r="BE22">
            <v>2874.480000000447</v>
          </cell>
          <cell r="BG22">
            <v>0</v>
          </cell>
          <cell r="BH22">
            <v>5164.3199999984354</v>
          </cell>
          <cell r="BN22">
            <v>0</v>
          </cell>
          <cell r="BO22">
            <v>0</v>
          </cell>
          <cell r="BQ22">
            <v>0</v>
          </cell>
          <cell r="BR22">
            <v>35900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-0.19999999999999996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101</v>
          </cell>
          <cell r="CR22">
            <v>0</v>
          </cell>
          <cell r="CU22">
            <v>0</v>
          </cell>
          <cell r="CV22">
            <v>326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562</v>
          </cell>
          <cell r="I23">
            <v>0</v>
          </cell>
          <cell r="J23">
            <v>120301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329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4530.9600000027567</v>
          </cell>
          <cell r="AL23">
            <v>0</v>
          </cell>
          <cell r="AM23">
            <v>48.719999998807907</v>
          </cell>
          <cell r="AO23">
            <v>0</v>
          </cell>
          <cell r="AP23">
            <v>9549.1199999973178</v>
          </cell>
          <cell r="AR23">
            <v>0</v>
          </cell>
          <cell r="AS23">
            <v>1364.160000000149</v>
          </cell>
          <cell r="AU23">
            <v>0</v>
          </cell>
          <cell r="AV23">
            <v>5651.5200000014156</v>
          </cell>
          <cell r="AX23">
            <v>0</v>
          </cell>
          <cell r="AY23">
            <v>4141.1999999992549</v>
          </cell>
          <cell r="BA23">
            <v>0</v>
          </cell>
          <cell r="BB23">
            <v>4287.359999999404</v>
          </cell>
          <cell r="BD23">
            <v>0</v>
          </cell>
          <cell r="BE23">
            <v>2777.0399999991059</v>
          </cell>
          <cell r="BG23">
            <v>0</v>
          </cell>
          <cell r="BH23">
            <v>5700.2399999983609</v>
          </cell>
          <cell r="BN23">
            <v>0</v>
          </cell>
          <cell r="BO23">
            <v>0</v>
          </cell>
          <cell r="BQ23">
            <v>0</v>
          </cell>
          <cell r="BR23">
            <v>43200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7.999999999999996E-2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100</v>
          </cell>
          <cell r="CR23">
            <v>0</v>
          </cell>
          <cell r="CU23">
            <v>0</v>
          </cell>
          <cell r="CV23">
            <v>257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574</v>
          </cell>
          <cell r="I24">
            <v>0</v>
          </cell>
          <cell r="J24">
            <v>120746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16</v>
          </cell>
          <cell r="Y24">
            <v>0</v>
          </cell>
          <cell r="AF24">
            <v>0</v>
          </cell>
          <cell r="AG24">
            <v>2143.679999999702</v>
          </cell>
          <cell r="AI24">
            <v>0</v>
          </cell>
          <cell r="AJ24">
            <v>4774.5599999986589</v>
          </cell>
          <cell r="AL24">
            <v>0</v>
          </cell>
          <cell r="AM24">
            <v>146.16000000014901</v>
          </cell>
          <cell r="AO24">
            <v>0</v>
          </cell>
          <cell r="AP24">
            <v>8964.480000000447</v>
          </cell>
          <cell r="AR24">
            <v>0</v>
          </cell>
          <cell r="AS24">
            <v>1461.6000000014901</v>
          </cell>
          <cell r="AU24">
            <v>0</v>
          </cell>
          <cell r="AV24">
            <v>5700.2399999983609</v>
          </cell>
          <cell r="AX24">
            <v>0</v>
          </cell>
          <cell r="AY24">
            <v>4433.5200000014156</v>
          </cell>
          <cell r="BA24">
            <v>0</v>
          </cell>
          <cell r="BB24">
            <v>4482.2400000002235</v>
          </cell>
          <cell r="BD24">
            <v>0</v>
          </cell>
          <cell r="BE24">
            <v>2971.9200000017881</v>
          </cell>
          <cell r="BG24">
            <v>0</v>
          </cell>
          <cell r="BH24">
            <v>5602.8000000007451</v>
          </cell>
          <cell r="BN24">
            <v>0</v>
          </cell>
          <cell r="BO24">
            <v>0</v>
          </cell>
          <cell r="BQ24">
            <v>0</v>
          </cell>
          <cell r="BR24">
            <v>42500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5.9999999999999942E-2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100</v>
          </cell>
          <cell r="CR24">
            <v>0</v>
          </cell>
          <cell r="CU24">
            <v>0</v>
          </cell>
          <cell r="CV24">
            <v>303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613</v>
          </cell>
          <cell r="I25">
            <v>0</v>
          </cell>
          <cell r="J25">
            <v>121240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-26</v>
          </cell>
          <cell r="Y25">
            <v>0</v>
          </cell>
          <cell r="AF25">
            <v>0</v>
          </cell>
          <cell r="AG25">
            <v>2192.4000000003725</v>
          </cell>
          <cell r="AI25">
            <v>0</v>
          </cell>
          <cell r="AJ25">
            <v>4774.5600000005215</v>
          </cell>
          <cell r="AL25">
            <v>0</v>
          </cell>
          <cell r="AM25">
            <v>194.88000000081956</v>
          </cell>
          <cell r="AO25">
            <v>0</v>
          </cell>
          <cell r="AP25">
            <v>8038.8000000007451</v>
          </cell>
          <cell r="AR25">
            <v>0</v>
          </cell>
          <cell r="AS25">
            <v>1510.320000000298</v>
          </cell>
          <cell r="AU25">
            <v>0</v>
          </cell>
          <cell r="AV25">
            <v>6041.2800000011921</v>
          </cell>
          <cell r="AX25">
            <v>0</v>
          </cell>
          <cell r="AY25">
            <v>4579.679999999702</v>
          </cell>
          <cell r="BA25">
            <v>0</v>
          </cell>
          <cell r="BB25">
            <v>4433.519999999553</v>
          </cell>
          <cell r="BD25">
            <v>0</v>
          </cell>
          <cell r="BE25">
            <v>3312.9599999990314</v>
          </cell>
          <cell r="BG25">
            <v>0</v>
          </cell>
          <cell r="BH25">
            <v>5651.5200000014156</v>
          </cell>
          <cell r="BN25">
            <v>0</v>
          </cell>
          <cell r="BO25">
            <v>0</v>
          </cell>
          <cell r="BQ25">
            <v>0</v>
          </cell>
          <cell r="BR25">
            <v>40900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-4.9999999999999933E-2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99</v>
          </cell>
          <cell r="CR25">
            <v>0</v>
          </cell>
          <cell r="CU25">
            <v>0</v>
          </cell>
          <cell r="CV25">
            <v>353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643</v>
          </cell>
          <cell r="I26">
            <v>0</v>
          </cell>
          <cell r="J26">
            <v>121742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5</v>
          </cell>
          <cell r="Y26">
            <v>0</v>
          </cell>
          <cell r="AF26">
            <v>0</v>
          </cell>
          <cell r="AG26">
            <v>2094.9599999990314</v>
          </cell>
          <cell r="AI26">
            <v>0</v>
          </cell>
          <cell r="AJ26">
            <v>4823.2800000011921</v>
          </cell>
          <cell r="AL26">
            <v>0</v>
          </cell>
          <cell r="AM26">
            <v>194.88000000081956</v>
          </cell>
          <cell r="AO26">
            <v>0</v>
          </cell>
          <cell r="AP26">
            <v>8428.5600000023842</v>
          </cell>
          <cell r="AR26">
            <v>0</v>
          </cell>
          <cell r="AS26">
            <v>1364.1599999964237</v>
          </cell>
          <cell r="AU26">
            <v>0</v>
          </cell>
          <cell r="AV26">
            <v>6138.7199999988079</v>
          </cell>
          <cell r="AX26">
            <v>0</v>
          </cell>
          <cell r="AY26">
            <v>4384.7999999988824</v>
          </cell>
          <cell r="BA26">
            <v>0</v>
          </cell>
          <cell r="BB26">
            <v>4628.4000000003725</v>
          </cell>
          <cell r="BD26">
            <v>0</v>
          </cell>
          <cell r="BE26">
            <v>3069.359999999404</v>
          </cell>
          <cell r="BG26">
            <v>0</v>
          </cell>
          <cell r="BH26">
            <v>5554.0799999982119</v>
          </cell>
          <cell r="BN26">
            <v>0</v>
          </cell>
          <cell r="BO26">
            <v>0</v>
          </cell>
          <cell r="BQ26">
            <v>0</v>
          </cell>
          <cell r="BR26">
            <v>41000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7.999999999999996E-2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99</v>
          </cell>
          <cell r="CR26">
            <v>0</v>
          </cell>
          <cell r="CU26">
            <v>0</v>
          </cell>
          <cell r="CV26">
            <v>289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643</v>
          </cell>
          <cell r="I27">
            <v>0</v>
          </cell>
          <cell r="J27">
            <v>122247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89</v>
          </cell>
          <cell r="Y27">
            <v>0</v>
          </cell>
          <cell r="AF27">
            <v>0</v>
          </cell>
          <cell r="AG27">
            <v>3312.9600000008941</v>
          </cell>
          <cell r="AI27">
            <v>0</v>
          </cell>
          <cell r="AJ27">
            <v>5310.4799999985844</v>
          </cell>
          <cell r="AL27">
            <v>0</v>
          </cell>
          <cell r="AM27">
            <v>7941.359999999404</v>
          </cell>
          <cell r="AO27">
            <v>0</v>
          </cell>
          <cell r="AP27">
            <v>779.51999999955297</v>
          </cell>
          <cell r="AR27">
            <v>0</v>
          </cell>
          <cell r="AS27">
            <v>48.720000002533197</v>
          </cell>
          <cell r="AU27">
            <v>0</v>
          </cell>
          <cell r="AV27">
            <v>5943.839999999851</v>
          </cell>
          <cell r="AX27">
            <v>0</v>
          </cell>
          <cell r="AY27">
            <v>4336.0800000019372</v>
          </cell>
          <cell r="BA27">
            <v>0</v>
          </cell>
          <cell r="BB27">
            <v>4628.4000000003725</v>
          </cell>
          <cell r="BD27">
            <v>0</v>
          </cell>
          <cell r="BE27">
            <v>2971.9200000017881</v>
          </cell>
          <cell r="BG27">
            <v>0</v>
          </cell>
          <cell r="BH27">
            <v>5943.8400000017136</v>
          </cell>
          <cell r="BN27">
            <v>0</v>
          </cell>
          <cell r="BO27">
            <v>38900</v>
          </cell>
          <cell r="BQ27">
            <v>0</v>
          </cell>
          <cell r="BR27">
            <v>4000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-9.9999999999999978E-2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101</v>
          </cell>
          <cell r="CR27">
            <v>0</v>
          </cell>
          <cell r="CU27">
            <v>0</v>
          </cell>
          <cell r="CV27">
            <v>268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628</v>
          </cell>
          <cell r="I28">
            <v>0</v>
          </cell>
          <cell r="J28">
            <v>122700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3</v>
          </cell>
          <cell r="Y28">
            <v>0</v>
          </cell>
          <cell r="AF28">
            <v>0</v>
          </cell>
          <cell r="AG28">
            <v>3410.4000000003725</v>
          </cell>
          <cell r="AI28">
            <v>0</v>
          </cell>
          <cell r="AJ28">
            <v>4384.7999999988824</v>
          </cell>
          <cell r="AL28">
            <v>0</v>
          </cell>
          <cell r="AM28">
            <v>8428.5600000005215</v>
          </cell>
          <cell r="AO28">
            <v>0</v>
          </cell>
          <cell r="AP28">
            <v>194.87999999895692</v>
          </cell>
          <cell r="AR28">
            <v>0</v>
          </cell>
          <cell r="AS28">
            <v>0</v>
          </cell>
          <cell r="AU28">
            <v>0</v>
          </cell>
          <cell r="AV28">
            <v>5895.1200000010431</v>
          </cell>
          <cell r="AX28">
            <v>0</v>
          </cell>
          <cell r="AY28">
            <v>4336.0800000000745</v>
          </cell>
          <cell r="BA28">
            <v>0</v>
          </cell>
          <cell r="BB28">
            <v>4433.5200000014156</v>
          </cell>
          <cell r="BD28">
            <v>0</v>
          </cell>
          <cell r="BE28">
            <v>3166.7999999988824</v>
          </cell>
          <cell r="BG28">
            <v>0</v>
          </cell>
          <cell r="BH28">
            <v>5700.2399999983609</v>
          </cell>
          <cell r="BN28">
            <v>0</v>
          </cell>
          <cell r="BO28">
            <v>44100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6.9999999999999951E-2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98</v>
          </cell>
          <cell r="CR28">
            <v>0</v>
          </cell>
          <cell r="CU28">
            <v>0</v>
          </cell>
          <cell r="CV28">
            <v>231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49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33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25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-25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84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182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-53.699999999953434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1923.3000000000466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Q13" sqref="Q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Submetering!Z3+Submetering!AA3+Submetering!AB3</f>
        <v>814.58999999999992</v>
      </c>
      <c r="H3" s="216">
        <f t="shared" ref="H3:H29" si="0">1.62/0.52</f>
        <v>3.1153846153846154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Submetering!Z4+Submetering!AA4+Submetering!AB4</f>
        <v>791.90999999999985</v>
      </c>
      <c r="H4" s="216">
        <f t="shared" si="0"/>
        <v>3.1153846153846154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Submetering!Z5+Submetering!AA5+Submetering!AB5</f>
        <v>871.29</v>
      </c>
      <c r="H5" s="216">
        <f t="shared" si="0"/>
        <v>3.1153846153846154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Submetering!Z6+Submetering!AA6+Submetering!AB6</f>
        <v>875.06999999999994</v>
      </c>
      <c r="H6" s="216">
        <f t="shared" si="0"/>
        <v>3.1153846153846154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37709.279999994673</v>
      </c>
      <c r="F7">
        <v>0.44447999999999999</v>
      </c>
      <c r="G7" s="3">
        <f>Submetering!Z7+Submetering!AA7+Submetering!AB7</f>
        <v>782.45999999999992</v>
      </c>
      <c r="H7" s="216">
        <f t="shared" si="0"/>
        <v>3.1153846153846154</v>
      </c>
      <c r="I7" s="3">
        <f>Submetering!G7</f>
        <v>518</v>
      </c>
      <c r="J7">
        <v>13.83</v>
      </c>
      <c r="K7" s="3">
        <f>Submetering!BL7</f>
        <v>183</v>
      </c>
      <c r="L7">
        <v>1.2</v>
      </c>
      <c r="M7" s="216">
        <f>Submetering!E7</f>
        <v>170.64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38829.840000008233</v>
      </c>
      <c r="F8">
        <v>0.44447999999999999</v>
      </c>
      <c r="G8" s="3">
        <f>Submetering!Z8+Submetering!AA8+Submetering!AB8</f>
        <v>740.87999999999988</v>
      </c>
      <c r="H8" s="216">
        <f t="shared" si="0"/>
        <v>3.1153846153846154</v>
      </c>
      <c r="I8" s="3">
        <f>Submetering!G8</f>
        <v>588</v>
      </c>
      <c r="J8">
        <v>13.83</v>
      </c>
      <c r="K8" s="3">
        <f>Submetering!BL8</f>
        <v>201</v>
      </c>
      <c r="L8">
        <v>1.2</v>
      </c>
      <c r="M8" s="216">
        <f>Submetering!E8</f>
        <v>137.45999999999998</v>
      </c>
      <c r="N8">
        <f>Submetering!F8</f>
        <v>241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16">
        <f t="shared" si="0"/>
        <v>3.1153846153846154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16">
        <f>Submetering!E9</f>
        <v>0</v>
      </c>
      <c r="N9">
        <f>Submetering!F9</f>
        <v>268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16">
        <f t="shared" si="0"/>
        <v>3.1153846153846154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16">
        <f>Submetering!E10</f>
        <v>0</v>
      </c>
      <c r="N10">
        <f>Submetering!F10</f>
        <v>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16">
        <f t="shared" si="0"/>
        <v>3.1153846153846154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16">
        <f>Submetering!E11</f>
        <v>0</v>
      </c>
      <c r="N11">
        <f>Submetering!F11</f>
        <v>0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16">
        <f t="shared" si="0"/>
        <v>3.1153846153846154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16">
        <f>Submetering!E12</f>
        <v>0</v>
      </c>
      <c r="N12">
        <f>Submetering!F12</f>
        <v>0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16">
        <f t="shared" si="0"/>
        <v>3.1153846153846154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16">
        <f>Submetering!E13</f>
        <v>0</v>
      </c>
      <c r="N13">
        <f>Submetering!F13</f>
        <v>0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16">
        <f t="shared" si="0"/>
        <v>3.1153846153846154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16">
        <f>Submetering!E14</f>
        <v>0</v>
      </c>
      <c r="N14">
        <f>Submetering!F14</f>
        <v>0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16">
        <f t="shared" si="0"/>
        <v>3.1153846153846154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16">
        <f>Submetering!E15</f>
        <v>0</v>
      </c>
      <c r="N15">
        <f>Submetering!F15</f>
        <v>0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16">
        <f t="shared" si="0"/>
        <v>3.1153846153846154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16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16">
        <f t="shared" si="0"/>
        <v>3.1153846153846154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16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6">
        <f t="shared" si="0"/>
        <v>3.1153846153846154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6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6">
        <f t="shared" si="0"/>
        <v>3.1153846153846154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6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6">
        <f t="shared" si="0"/>
        <v>3.1153846153846154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6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1" sqref="B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Readings'!L11</f>
        <v>272</v>
      </c>
      <c r="J4" s="3">
        <f>'DJB Daily Readings'!N11</f>
        <v>0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Readings'!L12</f>
        <v>260</v>
      </c>
      <c r="J5" s="3">
        <f>'DJB Daily Readings'!N12</f>
        <v>14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Readings'!L13</f>
        <v>120</v>
      </c>
      <c r="J6" s="3">
        <f>'DJB Daily Readings'!N13</f>
        <v>16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>
        <f>237*0.72</f>
        <v>170.64</v>
      </c>
      <c r="F7" s="75">
        <f>273+17</f>
        <v>290</v>
      </c>
      <c r="G7" s="3">
        <f>'DJB Daily Readings'!C15-'DJB Daily Readings'!C14</f>
        <v>518</v>
      </c>
      <c r="H7" s="3">
        <f>'DJB Daily Readings'!F15-'DJB Daily Readings'!F14</f>
        <v>385</v>
      </c>
      <c r="I7" s="3">
        <f>'DJB Daily Readings'!L14</f>
        <v>224</v>
      </c>
      <c r="J7" s="3">
        <f>'DJB Daily Readings'!N14</f>
        <v>5</v>
      </c>
      <c r="K7" s="3">
        <f>'DJB Daily Readings'!O15-'DJB Daily Readings'!O14</f>
        <v>68</v>
      </c>
      <c r="L7" s="3">
        <f>'DJB Daily Readings'!R15-'DJB Daily Readings'!R14</f>
        <v>7</v>
      </c>
      <c r="M7" s="3">
        <f>'DJB Daily Readings'!U15-'DJB Daily Readings'!U14</f>
        <v>1948.7999999998137</v>
      </c>
      <c r="N7" s="3">
        <f>'DJB Daily Readings'!X15-'DJB Daily Readings'!X14</f>
        <v>4628.4000000003725</v>
      </c>
      <c r="O7" s="3">
        <f>'DJB Daily Readings'!AA15-'DJB Daily Readings'!AA14</f>
        <v>6333.5999999996275</v>
      </c>
      <c r="P7" s="3">
        <f>'DJB Daily Readings'!AD15-'DJB Daily Readings'!AD14</f>
        <v>1218</v>
      </c>
      <c r="Q7" s="3">
        <f>'DJB Daily Readings'!AG15-'DJB Daily Readings'!AG14</f>
        <v>1218</v>
      </c>
      <c r="R7" s="3">
        <f>'DJB Daily Readings'!AJ15-'DJB Daily Readings'!AJ14</f>
        <v>5554.0799999982119</v>
      </c>
      <c r="S7" s="3">
        <f>'DJB Daily Readings'!AM15-'DJB Daily Readings'!AM14</f>
        <v>3654</v>
      </c>
      <c r="T7" s="3">
        <f>'DJB Daily Readings'!AP15-'DJB Daily Readings'!AP14</f>
        <v>4530.9599999990314</v>
      </c>
      <c r="U7" s="3">
        <f>'DJB Daily Readings'!AS15-'DJB Daily Readings'!AS14</f>
        <v>3118.0799999982119</v>
      </c>
      <c r="V7" s="3">
        <f>'DJB Daily Readings'!AV15-'DJB Daily Readings'!AV14</f>
        <v>5505.359999999404</v>
      </c>
      <c r="W7" s="3">
        <f>'DJB Daily Readings'!AZ15-'DJB Daily Readings'!AZ14</f>
        <v>34600</v>
      </c>
      <c r="X7" s="3">
        <f>'DJB Daily Readings'!BC15-'DJB Daily Readings'!BC14</f>
        <v>0</v>
      </c>
      <c r="Y7" s="3">
        <f>'DJB Daily Readings'!BF15-'DJB Daily Readings'!BF14</f>
        <v>4000</v>
      </c>
      <c r="Z7" s="3">
        <f>('DJB Daily Readings'!CK15-'DJB Daily Readings'!CK14)*1.89</f>
        <v>139.85999999999999</v>
      </c>
      <c r="AA7" s="3">
        <f>('DJB Daily Readings'!CN15-'DJB Daily Readings'!CN14)*1.89</f>
        <v>226.79999999999998</v>
      </c>
      <c r="AB7" s="3">
        <f>('DJB Daily Readings'!CQ15-'DJB Daily Readings'!CQ14)*1.89</f>
        <v>415.79999999999995</v>
      </c>
      <c r="AC7" s="3">
        <f>'DJB Daily Readings'!CT15-'DJB Daily Readings'!CT14</f>
        <v>173</v>
      </c>
      <c r="AD7" s="80">
        <f>('DJB Daily Readings'!BY15-'DJB Daily Readings'!BY14)*1.89</f>
        <v>32.129999999999995</v>
      </c>
      <c r="AE7" s="80">
        <f>('DJB Daily Readings'!CA15-'DJB Daily Readings'!CA14)*1.89</f>
        <v>39.69</v>
      </c>
      <c r="AF7" s="80">
        <f>('DJB Daily Readings'!CC15-'DJB Daily Readings'!CC14)*1.89</f>
        <v>11.34</v>
      </c>
      <c r="AG7" s="80">
        <f>('DJB Daily Readings'!CE15-'DJB Daily Readings'!CE14)*1.89</f>
        <v>17.009999999999998</v>
      </c>
      <c r="AH7" s="80">
        <f>('DJB Daily Readings'!CG15-'DJB Daily Readings'!CG14)*1.89</f>
        <v>30.24</v>
      </c>
      <c r="AI7" s="80">
        <f>('DJB Daily Readings'!CI15-'DJB Daily Readings'!CI14)*1.89</f>
        <v>64.259999999999991</v>
      </c>
      <c r="AJ7" s="77">
        <f>'DJB Daily Readings'!CY15-'DJB Daily Readings'!CY14</f>
        <v>2</v>
      </c>
      <c r="AK7" s="77">
        <f>'DJB Daily Readings'!CW15-'DJB Daily Readings'!CW14</f>
        <v>4</v>
      </c>
      <c r="AL7" s="78">
        <f>'DJB Daily Readings'!DC15-'DJB Daily Readings'!DC14</f>
        <v>12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7</v>
      </c>
      <c r="AP7" s="78">
        <f>'DJB Daily Readings'!DK15-'DJB Daily Readings'!DK14</f>
        <v>9</v>
      </c>
      <c r="AQ7" s="78">
        <f>'DJB Daily Readings'!DI15-'DJB Daily Readings'!DI14</f>
        <v>7</v>
      </c>
      <c r="AR7" s="78">
        <f>'DJB Daily Readings'!DO15-'DJB Daily Readings'!DO14</f>
        <v>4</v>
      </c>
      <c r="AS7" s="78">
        <f>'DJB Daily Readings'!DM15-'DJB Daily Readings'!DM14</f>
        <v>6</v>
      </c>
      <c r="AT7" s="78">
        <f>'DJB Daily Readings'!DQ15-'DJB Daily Readings'!DQ14</f>
        <v>7</v>
      </c>
      <c r="AU7" s="78">
        <f>'DJB Daily Readings'!DT15-'DJB Daily Readings'!DT14</f>
        <v>10.900000000000546</v>
      </c>
      <c r="AW7" s="78">
        <f>'DJB Daily Readings'!DX15-'DJB Daily Readings'!DX14</f>
        <v>5.6999999999998181</v>
      </c>
      <c r="AX7" s="78">
        <f>'DJB Daily Readings'!DZ15-'DJB Daily Readings'!DZ14</f>
        <v>6.3000000000001819</v>
      </c>
      <c r="AY7" s="78">
        <f>'DJB Daily Readings'!EB15-'DJB Daily Readings'!EB14</f>
        <v>537</v>
      </c>
      <c r="AZ7" s="78">
        <f>'DJB Daily Readings'!ED15-'DJB Daily Readings'!ED14</f>
        <v>152.39999999999418</v>
      </c>
      <c r="BA7" s="78">
        <f>'DJB Daily Readings'!EG15-'DJB Daily Readings'!EG14</f>
        <v>2700</v>
      </c>
      <c r="BB7" s="78">
        <f>'DJB Daily Readings'!EI15-'DJB Daily Readings'!EI14</f>
        <v>250</v>
      </c>
      <c r="BC7" s="78">
        <f>'DJB Daily Readings'!EQ15-'DJB Daily Readings'!EQ14</f>
        <v>1200</v>
      </c>
      <c r="BD7" s="78">
        <f>'DJB Daily Readings'!EK15-'DJB Daily Readings'!EK14</f>
        <v>900</v>
      </c>
      <c r="BE7" s="78">
        <f>'DJB Daily Readings'!EM15-'DJB Daily Readings'!EM14</f>
        <v>400</v>
      </c>
      <c r="BF7" s="78">
        <f>'DJB Daily Readings'!EO15-'DJB Daily Readings'!EO14</f>
        <v>690</v>
      </c>
      <c r="BG7" s="78">
        <f>('DJB Daily Readings'!ET15-'DJB Daily Readings'!ET14)*1.89</f>
        <v>28.349999999999998</v>
      </c>
      <c r="BH7" s="78">
        <f>('DJB Daily Readings'!EV15-'DJB Daily Readings'!EV14)*1.89</f>
        <v>20.79</v>
      </c>
      <c r="BI7" s="78">
        <f>('DJB Daily Readings'!EZ15-'DJB Daily Readings'!EZ14)*1.89</f>
        <v>24.57</v>
      </c>
      <c r="BJ7" s="78">
        <f>('DJB Daily Readings'!EX15-'DJB Daily Readings'!EX14)*1.89</f>
        <v>17.009999999999998</v>
      </c>
      <c r="BK7" s="78">
        <f>('DJB Daily Readings'!FB15-'DJB Daily Readings'!FB14)*1.89</f>
        <v>54.809999999999995</v>
      </c>
      <c r="BL7" s="78">
        <f>'DJB Daily Readings'!J15</f>
        <v>183</v>
      </c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>
        <f>237*0.58</f>
        <v>137.45999999999998</v>
      </c>
      <c r="F8" s="75">
        <f>223+18</f>
        <v>241</v>
      </c>
      <c r="G8" s="3">
        <f>'DJB Daily Readings'!C16-'DJB Daily Readings'!C15</f>
        <v>588</v>
      </c>
      <c r="H8" s="3">
        <f>'DJB Daily Readings'!F16-'DJB Daily Readings'!F15</f>
        <v>381</v>
      </c>
      <c r="I8" s="3">
        <f>'DJB Daily Readings'!L15</f>
        <v>152</v>
      </c>
      <c r="J8" s="3">
        <f>'DJB Daily Readings'!N15</f>
        <v>16</v>
      </c>
      <c r="K8" s="3">
        <f>'DJB Daily Readings'!O16-'DJB Daily Readings'!O15</f>
        <v>89</v>
      </c>
      <c r="L8" s="3">
        <f>'DJB Daily Readings'!R16-'DJB Daily Readings'!R15</f>
        <v>7</v>
      </c>
      <c r="M8" s="3">
        <f>'DJB Daily Readings'!U16-'DJB Daily Readings'!U15</f>
        <v>1948.7999999998137</v>
      </c>
      <c r="N8" s="3">
        <f>'DJB Daily Readings'!X16-'DJB Daily Readings'!X15</f>
        <v>4677.1200000010431</v>
      </c>
      <c r="O8" s="3">
        <f>'DJB Daily Readings'!AA16-'DJB Daily Readings'!AA15</f>
        <v>48.720000000670552</v>
      </c>
      <c r="P8" s="3">
        <f>'DJB Daily Readings'!AD16-'DJB Daily Readings'!AD15</f>
        <v>1851.3600000031292</v>
      </c>
      <c r="Q8" s="3">
        <f>'DJB Daily Readings'!AG16-'DJB Daily Readings'!AG15</f>
        <v>7795.1999999992549</v>
      </c>
      <c r="R8" s="3">
        <f>'DJB Daily Readings'!AJ16-'DJB Daily Readings'!AJ15</f>
        <v>5554.0800000019372</v>
      </c>
      <c r="S8" s="3">
        <f>'DJB Daily Readings'!AM16-'DJB Daily Readings'!AM15</f>
        <v>3995.0400000009686</v>
      </c>
      <c r="T8" s="3">
        <f>'DJB Daily Readings'!AP16-'DJB Daily Readings'!AP15</f>
        <v>4189.9200000017881</v>
      </c>
      <c r="U8" s="3">
        <f>'DJB Daily Readings'!AS16-'DJB Daily Readings'!AS15</f>
        <v>3264.2400000002235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4300</v>
      </c>
      <c r="Y8" s="3">
        <f>'DJB Daily Readings'!BF16-'DJB Daily Readings'!BF15</f>
        <v>39800</v>
      </c>
      <c r="Z8" s="3">
        <f>('DJB Daily Readings'!CK16-'DJB Daily Readings'!CK15)*1.89</f>
        <v>143.63999999999999</v>
      </c>
      <c r="AA8" s="3">
        <f>('DJB Daily Readings'!CN16-'DJB Daily Readings'!CN15)*1.89</f>
        <v>213.57</v>
      </c>
      <c r="AB8" s="3">
        <f>('DJB Daily Readings'!CQ16-'DJB Daily Readings'!CQ15)*1.89</f>
        <v>383.66999999999996</v>
      </c>
      <c r="AC8" s="3">
        <f>'DJB Daily Readings'!CT16-'DJB Daily Readings'!CT15</f>
        <v>177</v>
      </c>
      <c r="AD8" s="80">
        <f>('DJB Daily Readings'!BY16-'DJB Daily Readings'!BY15)*1.89</f>
        <v>28.349999999999998</v>
      </c>
      <c r="AE8" s="80">
        <f>('DJB Daily Readings'!CA16-'DJB Daily Readings'!CA15)*1.89</f>
        <v>35.909999999999997</v>
      </c>
      <c r="AF8" s="80">
        <f>('DJB Daily Readings'!CC16-'DJB Daily Readings'!CC15)*1.89</f>
        <v>9.4499999999999993</v>
      </c>
      <c r="AG8" s="80">
        <f>('DJB Daily Readings'!CE16-'DJB Daily Readings'!CE15)*1.89</f>
        <v>17.009999999999998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3</v>
      </c>
      <c r="AK8" s="77">
        <f>'DJB Daily Readings'!CW16-'DJB Daily Readings'!CW15</f>
        <v>5</v>
      </c>
      <c r="AL8" s="78">
        <f>'DJB Daily Readings'!DC16-'DJB Daily Readings'!DC15</f>
        <v>14</v>
      </c>
      <c r="AM8" s="78">
        <f>'DJB Daily Readings'!DA16-'DJB Daily Readings'!DA15</f>
        <v>13</v>
      </c>
      <c r="AN8" s="78">
        <f>'DJB Daily Readings'!DG16-'DJB Daily Readings'!DG15</f>
        <v>4</v>
      </c>
      <c r="AO8" s="78">
        <f>'DJB Daily Readings'!DE16-'DJB Daily Readings'!DE15</f>
        <v>7</v>
      </c>
      <c r="AP8" s="78">
        <f>'DJB Daily Readings'!DK16-'DJB Daily Readings'!DK15</f>
        <v>10</v>
      </c>
      <c r="AQ8" s="78">
        <f>'DJB Daily Readings'!DI16-'DJB Daily Readings'!DI15</f>
        <v>7</v>
      </c>
      <c r="AR8" s="78">
        <f>'DJB Daily Readings'!DO16-'DJB Daily Readings'!DO15</f>
        <v>4</v>
      </c>
      <c r="AS8" s="78">
        <f>'DJB Daily Readings'!DM16-'DJB Daily Readings'!DM15</f>
        <v>6</v>
      </c>
      <c r="AT8" s="78">
        <f>'DJB Daily Readings'!DQ16-'DJB Daily Readings'!DQ15</f>
        <v>0</v>
      </c>
      <c r="AU8" s="78">
        <f>'DJB Daily Readings'!DT16-'DJB Daily Readings'!DT15</f>
        <v>10</v>
      </c>
      <c r="AW8" s="78">
        <f>'DJB Daily Readings'!DX16-'DJB Daily Readings'!DX15</f>
        <v>5.9000000000005457</v>
      </c>
      <c r="AX8" s="78">
        <f>'DJB Daily Readings'!DZ16-'DJB Daily Readings'!DZ15</f>
        <v>6.5999999999994543</v>
      </c>
      <c r="AY8" s="78">
        <f>'DJB Daily Readings'!EB16-'DJB Daily Readings'!EB15</f>
        <v>520</v>
      </c>
      <c r="AZ8" s="78">
        <f>'DJB Daily Readings'!ED16-'DJB Daily Readings'!ED15</f>
        <v>151.80000000001746</v>
      </c>
      <c r="BA8" s="78">
        <f>'DJB Daily Readings'!EG16-'DJB Daily Readings'!EG15</f>
        <v>3000</v>
      </c>
      <c r="BB8" s="78">
        <f>'DJB Daily Readings'!EI16-'DJB Daily Readings'!EI15</f>
        <v>250</v>
      </c>
      <c r="BC8" s="78">
        <f>'DJB Daily Readings'!EQ16-'DJB Daily Readings'!EQ15</f>
        <v>2000</v>
      </c>
      <c r="BD8" s="78">
        <f>'DJB Daily Readings'!EK16-'DJB Daily Readings'!EK15</f>
        <v>1000</v>
      </c>
      <c r="BE8" s="78">
        <f>'DJB Daily Readings'!EM16-'DJB Daily Readings'!EM15</f>
        <v>400</v>
      </c>
      <c r="BF8" s="78">
        <f>'DJB Daily Readings'!EO16-'DJB Daily Readings'!EO15</f>
        <v>670</v>
      </c>
      <c r="BG8" s="78">
        <f>('DJB Daily Readings'!ET16-'DJB Daily Readings'!ET15)*1.89</f>
        <v>30.24</v>
      </c>
      <c r="BH8" s="78">
        <f>('DJB Daily Readings'!EV16-'DJB Daily Readings'!EV15)*1.89</f>
        <v>18.899999999999999</v>
      </c>
      <c r="BI8" s="78">
        <f>('DJB Daily Readings'!EZ16-'DJB Daily Readings'!EZ15)*1.89</f>
        <v>22.68</v>
      </c>
      <c r="BJ8" s="78">
        <f>('DJB Daily Readings'!EX16-'DJB Daily Readings'!EX15)*1.89</f>
        <v>17.009999999999998</v>
      </c>
      <c r="BK8" s="78">
        <f>('DJB Daily Readings'!FB16-'DJB Daily Readings'!FB15)*1.89</f>
        <v>60.48</v>
      </c>
      <c r="BL8" s="78">
        <f>'DJB Daily Readings'!J16</f>
        <v>201</v>
      </c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/>
      <c r="F9" s="75">
        <f>245+23</f>
        <v>268</v>
      </c>
      <c r="AJ9" s="77"/>
      <c r="AK9" s="77"/>
      <c r="BL9" s="78"/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/>
      <c r="AJ10" s="77"/>
      <c r="AK10" s="77"/>
      <c r="BL10" s="78"/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/>
      <c r="AJ11" s="77"/>
      <c r="AK11" s="77"/>
      <c r="BL11" s="78"/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/>
      <c r="AJ12" s="77"/>
      <c r="AK12" s="77"/>
      <c r="BL12" s="78"/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/>
      <c r="AJ13" s="77"/>
      <c r="AK13" s="77"/>
      <c r="BL13" s="78"/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/>
      <c r="AJ14" s="77"/>
      <c r="AK14" s="77"/>
      <c r="BL14" s="78"/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/>
      <c r="AJ15" s="77"/>
      <c r="AK15" s="77"/>
      <c r="BL15" s="78"/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/>
      <c r="AJ16" s="77"/>
      <c r="AK16" s="77"/>
      <c r="BL16" s="78"/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/>
      <c r="AJ17" s="77"/>
      <c r="AK17" s="77"/>
      <c r="BL17" s="78"/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/>
      <c r="AJ18" s="77"/>
      <c r="AK18" s="77"/>
      <c r="BL18" s="78"/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/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11" sqref="L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114355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114743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43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115117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89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115539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40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518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385</v>
      </c>
      <c r="H14" s="150">
        <f>'[1]February - 2023'!J13</f>
        <v>116003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88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0.72</v>
      </c>
      <c r="C15" s="228">
        <f>'[1]February - 2023'!E14</f>
        <v>246351</v>
      </c>
      <c r="D15" s="151">
        <f>'[1]February - 2023'!F15</f>
        <v>588</v>
      </c>
      <c r="E15" s="150">
        <f>'[1]February - 2023'!G14</f>
        <v>492</v>
      </c>
      <c r="F15" s="150">
        <f>'[1]February - 2023'!H14</f>
        <v>267899</v>
      </c>
      <c r="G15" s="151">
        <f>'[1]February - 2023'!I15</f>
        <v>381</v>
      </c>
      <c r="H15" s="150">
        <f>'[1]February - 2023'!J14</f>
        <v>116374</v>
      </c>
      <c r="I15" s="239">
        <f>'[1]February - 2023'!K14</f>
        <v>16824</v>
      </c>
      <c r="J15" s="151">
        <f>'[1]February - 2023'!L14</f>
        <v>183</v>
      </c>
      <c r="K15" s="239">
        <f>'[1]February - 2023'!N14</f>
        <v>930939</v>
      </c>
      <c r="L15" s="151">
        <f>'[1]February - 2023'!O14</f>
        <v>152</v>
      </c>
      <c r="M15" s="239">
        <f>'[1]February - 2023'!Q14</f>
        <v>245921</v>
      </c>
      <c r="N15" s="151">
        <f>'[1]February - 2023'!R14</f>
        <v>16</v>
      </c>
      <c r="O15" s="239">
        <f>'[1]February - 2023'!U14</f>
        <v>120701</v>
      </c>
      <c r="P15" s="151">
        <f>'[1]February - 2023'!V14</f>
        <v>68</v>
      </c>
      <c r="Q15" s="150">
        <f>'[1]February - 2023'!W14</f>
        <v>257.80000000004657</v>
      </c>
      <c r="R15" s="239">
        <f>'[1]February - 2023'!X14</f>
        <v>6767</v>
      </c>
      <c r="S15" s="187">
        <f>'[1]February - 2023'!Y14</f>
        <v>7</v>
      </c>
      <c r="T15" s="444"/>
      <c r="U15" s="244">
        <f>'[1]February - 2023'!AE14</f>
        <v>8290243.919999999</v>
      </c>
      <c r="V15" s="265">
        <f>'[1]February - 2023'!AF14</f>
        <v>1948.7999999998137</v>
      </c>
      <c r="W15" s="88">
        <f>'[1]February - 2023'!AG14</f>
        <v>2046.2400000002235</v>
      </c>
      <c r="X15" s="261">
        <f>'[1]February - 2023'!AH14</f>
        <v>15745719.359999999</v>
      </c>
      <c r="Y15" s="265">
        <f>'[1]February - 2023'!AI14</f>
        <v>4628.4000000003725</v>
      </c>
      <c r="Z15" s="88">
        <f>'[1]February - 2023'!AJ14</f>
        <v>4482.2400000002235</v>
      </c>
      <c r="AA15" s="261">
        <f>'[1]February - 2023'!AK14</f>
        <v>15929929.68</v>
      </c>
      <c r="AB15" s="265">
        <f>'[1]February - 2023'!AL14</f>
        <v>6333.5999999996275</v>
      </c>
      <c r="AC15" s="88">
        <f>'[1]February - 2023'!AM14</f>
        <v>0</v>
      </c>
      <c r="AD15" s="261">
        <f>'[1]February - 2023'!AN14</f>
        <v>19072418.399999999</v>
      </c>
      <c r="AE15" s="265">
        <f>'[1]February - 2023'!AO14</f>
        <v>1218</v>
      </c>
      <c r="AF15" s="88">
        <f>'[1]February - 2023'!AP14</f>
        <v>8379.839999999851</v>
      </c>
      <c r="AG15" s="261">
        <f>'[1]February - 2023'!AQ14</f>
        <v>19335506.399999999</v>
      </c>
      <c r="AH15" s="265">
        <f>'[1]February - 2023'!AR14</f>
        <v>1218</v>
      </c>
      <c r="AI15" s="88">
        <f>'[1]February - 2023'!AS14</f>
        <v>876.95999999716878</v>
      </c>
      <c r="AJ15" s="261">
        <f>'[1]February - 2023'!AT14</f>
        <v>17884137.599999998</v>
      </c>
      <c r="AK15" s="265">
        <f>'[1]February - 2023'!AU14</f>
        <v>5554.0799999982119</v>
      </c>
      <c r="AL15" s="88">
        <f>'[1]February - 2023'!AV14</f>
        <v>5554.0800000019372</v>
      </c>
      <c r="AM15" s="261">
        <f>'[1]February - 2023'!AW14</f>
        <v>15032214.959999999</v>
      </c>
      <c r="AN15" s="265">
        <f>'[1]February - 2023'!AX14</f>
        <v>3654</v>
      </c>
      <c r="AO15" s="88">
        <f>'[1]February - 2023'!AY14</f>
        <v>4092.4800000023097</v>
      </c>
      <c r="AP15" s="261">
        <f>'[1]February - 2023'!AZ14</f>
        <v>14578290.719999999</v>
      </c>
      <c r="AQ15" s="265">
        <f>'[1]February - 2023'!BA14</f>
        <v>4530.9599999990314</v>
      </c>
      <c r="AR15" s="88">
        <f>'[1]February - 2023'!BB14</f>
        <v>4043.7599999997765</v>
      </c>
      <c r="AS15" s="261">
        <f>'[1]February - 2023'!BC14</f>
        <v>11359701.359999999</v>
      </c>
      <c r="AT15" s="265">
        <f>'[1]February - 2023'!BD14</f>
        <v>3118.0799999982119</v>
      </c>
      <c r="AU15" s="88">
        <f>'[1]February - 2023'!BE14</f>
        <v>3751.4400000013411</v>
      </c>
      <c r="AV15" s="261">
        <f>'[1]February - 2023'!BF14</f>
        <v>18036338.879999999</v>
      </c>
      <c r="AW15" s="229">
        <f>'[1]February - 2023'!BG14</f>
        <v>5505.359999999404</v>
      </c>
      <c r="AX15" s="230">
        <f>'[1]February - 2023'!BH14</f>
        <v>5310.480000000447</v>
      </c>
      <c r="AY15" s="461"/>
      <c r="AZ15" s="247">
        <f>'[1]February - 2023'!BM14</f>
        <v>78690800</v>
      </c>
      <c r="BA15" s="160">
        <f>'[1]February - 2023'!BN14</f>
        <v>34600</v>
      </c>
      <c r="BB15" s="89">
        <f>'[1]February - 2023'!BO15</f>
        <v>0</v>
      </c>
      <c r="BC15" s="247">
        <f>'[1]February - 2023'!BP14</f>
        <v>81612700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75562200</v>
      </c>
      <c r="BG15" s="223">
        <f>'[1]February - 2023'!BT14</f>
        <v>4000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10625860</v>
      </c>
      <c r="BT15" s="165">
        <f>'[1]February - 2023'!BW14</f>
        <v>5560</v>
      </c>
      <c r="BU15" s="557"/>
      <c r="BV15" s="84">
        <f>'[1]February - 2023'!BY14</f>
        <v>0.67</v>
      </c>
      <c r="BW15" s="219">
        <f>'[1]February - 2023'!BZ14</f>
        <v>-0.17000000000000004</v>
      </c>
      <c r="BX15" s="84">
        <f>'[1]February - 2023'!CA14</f>
        <v>8.0000000000000071E-2</v>
      </c>
      <c r="BY15" s="85">
        <f>'[1]February - 2023'!CB14</f>
        <v>65432</v>
      </c>
      <c r="BZ15" s="171">
        <f>'[1]February - 2023'!CC14</f>
        <v>17</v>
      </c>
      <c r="CA15" s="85">
        <f>'[1]February - 2023'!CD14</f>
        <v>56578</v>
      </c>
      <c r="CB15" s="171">
        <f>'[1]February - 2023'!CE14</f>
        <v>21</v>
      </c>
      <c r="CC15" s="85">
        <f>'[1]February - 2023'!CF14</f>
        <v>19100</v>
      </c>
      <c r="CD15" s="171">
        <f>'[1]February - 2023'!CG14</f>
        <v>6</v>
      </c>
      <c r="CE15" s="85">
        <f>'[1]February - 2023'!CH14</f>
        <v>26170</v>
      </c>
      <c r="CF15" s="171">
        <f>'[1]February - 2023'!CI14</f>
        <v>9</v>
      </c>
      <c r="CG15" s="85">
        <f>'[1]February - 2023'!CJ14</f>
        <v>29350</v>
      </c>
      <c r="CH15" s="171">
        <f>'[1]February - 2023'!CK14</f>
        <v>16</v>
      </c>
      <c r="CI15" s="85">
        <f>'[1]February - 2023'!CL14</f>
        <v>64575</v>
      </c>
      <c r="CJ15" s="171">
        <f>'[1]February - 2023'!CM14</f>
        <v>34</v>
      </c>
      <c r="CK15" s="85">
        <f>'[1]February - 2023'!CN14</f>
        <v>272496</v>
      </c>
      <c r="CL15" s="224">
        <f>'[1]February - 2023'!CO14</f>
        <v>74</v>
      </c>
      <c r="CM15" s="85">
        <f>'[1]February - 2023'!CP14</f>
        <v>103</v>
      </c>
      <c r="CN15" s="85">
        <f>'[1]February - 2023'!CQ14</f>
        <v>221815</v>
      </c>
      <c r="CO15" s="224">
        <f>'[1]February - 2023'!CR14</f>
        <v>120</v>
      </c>
      <c r="CP15" s="85">
        <f>'[1]February - 2023'!CV14</f>
        <v>406</v>
      </c>
      <c r="CQ15" s="85">
        <f>'[1]February - 2023'!CT14</f>
        <v>371032</v>
      </c>
      <c r="CR15" s="224">
        <f>'[1]February - 2023'!CU14</f>
        <v>220</v>
      </c>
      <c r="CS15" s="85">
        <f>'[1]February - 2023'!CV14</f>
        <v>406</v>
      </c>
      <c r="CT15" s="85">
        <f>'[1]February - 2023'!CW14</f>
        <v>704859</v>
      </c>
      <c r="CU15" s="171">
        <f>'[1]February - 2023'!CX14</f>
        <v>173</v>
      </c>
      <c r="CV15" s="485"/>
      <c r="CW15" s="259">
        <f>'[1]February - 2023'!CZ14</f>
        <v>9356</v>
      </c>
      <c r="CX15" s="262">
        <f>'[1]February - 2023'!DA14</f>
        <v>4</v>
      </c>
      <c r="CY15" s="260">
        <f>'[1]February - 2023'!DB14</f>
        <v>6335</v>
      </c>
      <c r="CZ15" s="262">
        <f>'[1]February - 2023'!DC14</f>
        <v>2</v>
      </c>
      <c r="DA15" s="260">
        <f>'[1]February - 2023'!DD14</f>
        <v>33071</v>
      </c>
      <c r="DB15" s="262">
        <f>'[1]February - 2023'!DE14</f>
        <v>14</v>
      </c>
      <c r="DC15" s="260">
        <f>'[1]February - 2023'!DF14</f>
        <v>33213</v>
      </c>
      <c r="DD15" s="262">
        <f>'[1]February - 2023'!DG14</f>
        <v>12</v>
      </c>
      <c r="DE15" s="260">
        <f>'[1]February - 2023'!DH14</f>
        <v>22459</v>
      </c>
      <c r="DF15" s="262">
        <f>'[1]February - 2023'!DI14</f>
        <v>7</v>
      </c>
      <c r="DG15" s="260">
        <f>'[1]February - 2023'!DJ14</f>
        <v>24380</v>
      </c>
      <c r="DH15" s="262">
        <f>'[1]February - 2023'!DK14</f>
        <v>5</v>
      </c>
      <c r="DI15" s="260">
        <f>'[1]February - 2023'!DL14</f>
        <v>7745</v>
      </c>
      <c r="DJ15" s="262">
        <f>'[1]February - 2023'!DM14</f>
        <v>7</v>
      </c>
      <c r="DK15" s="260">
        <f>'[1]February - 2023'!DN14</f>
        <v>10250</v>
      </c>
      <c r="DL15" s="262">
        <f>'[1]February - 2023'!DO14</f>
        <v>9</v>
      </c>
      <c r="DM15" s="260">
        <f>'[1]February - 2023'!DP14</f>
        <v>3541</v>
      </c>
      <c r="DN15" s="262">
        <f>'[1]February - 2023'!DQ14</f>
        <v>6</v>
      </c>
      <c r="DO15" s="260">
        <f>'[1]February - 2023'!DR14</f>
        <v>6931</v>
      </c>
      <c r="DP15" s="262">
        <f>'[1]February - 2023'!DS14</f>
        <v>4</v>
      </c>
      <c r="DQ15" s="260">
        <f>'[1]February - 2023'!DT14</f>
        <v>30525</v>
      </c>
      <c r="DR15" s="263">
        <f>'[1]February - 2023'!DU14</f>
        <v>7</v>
      </c>
      <c r="DS15" s="501"/>
      <c r="DT15" s="189">
        <f>'[1]February - 2023'!DW14</f>
        <v>6982.1</v>
      </c>
      <c r="DU15" s="200">
        <f>'[1]February - 2023'!DX14</f>
        <v>10.900000000000546</v>
      </c>
      <c r="DV15" s="87">
        <f>'[1]February - 2023'!DY14</f>
        <v>11743.1</v>
      </c>
      <c r="DW15" s="194">
        <f>'[1]February - 2023'!DZ14</f>
        <v>8</v>
      </c>
      <c r="DX15" s="87">
        <f>'[1]February - 2023'!EA14</f>
        <v>5177.7</v>
      </c>
      <c r="DY15" s="194">
        <f>'[1]February - 2023'!EB14</f>
        <v>5.6999999999998181</v>
      </c>
      <c r="DZ15" s="87">
        <f>'[1]February - 2023'!EC14</f>
        <v>5776.3</v>
      </c>
      <c r="EA15" s="194">
        <f>'[1]February - 2023'!ED14</f>
        <v>6.3000000000001819</v>
      </c>
      <c r="EB15" s="87">
        <f>'[1]February - 2023'!EE14</f>
        <v>1159948</v>
      </c>
      <c r="EC15" s="194">
        <f>'[1]February - 2023'!EF14</f>
        <v>537</v>
      </c>
      <c r="ED15" s="87">
        <f>'[1]February - 2023'!EI14</f>
        <v>240082.8</v>
      </c>
      <c r="EE15" s="207">
        <f>'[1]February - 2023'!EJ14</f>
        <v>152.39999999999418</v>
      </c>
      <c r="EF15" s="548"/>
      <c r="EG15" s="213">
        <f>'[1]February - 2023'!EL14</f>
        <v>12304000</v>
      </c>
      <c r="EH15" s="208">
        <f>'[1]February - 2023'!EM14</f>
        <v>2700</v>
      </c>
      <c r="EI15" s="86">
        <f>'[1]February - 2023'!EN14</f>
        <v>947500</v>
      </c>
      <c r="EJ15" s="208">
        <f>'[1]February - 2023'!EO14</f>
        <v>250</v>
      </c>
      <c r="EK15" s="86">
        <f>'[1]February - 2023'!EP14</f>
        <v>7301200</v>
      </c>
      <c r="EL15" s="208">
        <f>'[1]February - 2023'!EQ14</f>
        <v>900</v>
      </c>
      <c r="EM15" s="86">
        <f>'[1]February - 2023'!ER14</f>
        <v>2513200</v>
      </c>
      <c r="EN15" s="208">
        <f>'[1]February - 2023'!ES14</f>
        <v>400</v>
      </c>
      <c r="EO15" s="86">
        <f>'[1]February - 2023'!ET14</f>
        <v>1310790</v>
      </c>
      <c r="EP15" s="208">
        <f>'[1]February - 2023'!EU14</f>
        <v>690</v>
      </c>
      <c r="EQ15" s="86">
        <f>'[1]February - 2023'!EV14</f>
        <v>16743500</v>
      </c>
      <c r="ER15" s="208">
        <f>'[1]February - 2023'!EW14</f>
        <v>1200</v>
      </c>
      <c r="ES15" s="523"/>
      <c r="ET15" s="253">
        <f>'[1]February - 2023'!EY14</f>
        <v>43060</v>
      </c>
      <c r="EU15" s="266">
        <f>'[1]February - 2023'!EZ14</f>
        <v>15</v>
      </c>
      <c r="EV15" s="254">
        <f>'[1]February - 2023'!FA14</f>
        <v>37537</v>
      </c>
      <c r="EW15" s="266">
        <f>'[1]February - 2023'!FB14</f>
        <v>11</v>
      </c>
      <c r="EX15" s="254">
        <f>'[1]February - 2023'!FC14</f>
        <v>8129</v>
      </c>
      <c r="EY15" s="266">
        <f>'[1]February - 2023'!FD14</f>
        <v>9</v>
      </c>
      <c r="EZ15" s="254">
        <f>'[1]February - 2023'!FE14</f>
        <v>60120</v>
      </c>
      <c r="FA15" s="266">
        <f>'[1]February - 2023'!FF14</f>
        <v>13</v>
      </c>
      <c r="FB15" s="254">
        <f>'[1]February - 2023'!FG14</f>
        <v>51576</v>
      </c>
      <c r="FC15" s="264">
        <f>'[1]February - 2023'!FH14</f>
        <v>29</v>
      </c>
    </row>
    <row r="16" spans="1:159" ht="30" customHeight="1" x14ac:dyDescent="0.25">
      <c r="A16" s="186">
        <v>44964</v>
      </c>
      <c r="B16" s="188">
        <f>'[1]February - 2023'!B15</f>
        <v>0.57999999999999996</v>
      </c>
      <c r="C16" s="228">
        <f>'[1]February - 2023'!E15</f>
        <v>246939</v>
      </c>
      <c r="D16" s="151">
        <f>'[1]February - 2023'!F16</f>
        <v>-246939</v>
      </c>
      <c r="E16" s="150">
        <f>'[1]February - 2023'!G15</f>
        <v>518</v>
      </c>
      <c r="F16" s="150">
        <f>'[1]February - 2023'!H15</f>
        <v>268280</v>
      </c>
      <c r="G16" s="151">
        <f>'[1]February - 2023'!I16</f>
        <v>-268280</v>
      </c>
      <c r="H16" s="150">
        <f>'[1]February - 2023'!J15</f>
        <v>116762</v>
      </c>
      <c r="I16" s="239">
        <f>'[1]February - 2023'!K15</f>
        <v>17025</v>
      </c>
      <c r="J16" s="151">
        <f>'[1]February - 2023'!L15</f>
        <v>201</v>
      </c>
      <c r="K16" s="239">
        <f>'[1]February - 2023'!N15</f>
        <v>931159</v>
      </c>
      <c r="L16" s="151">
        <f>'[1]February - 2023'!O15</f>
        <v>220</v>
      </c>
      <c r="M16" s="239">
        <f>'[1]February - 2023'!Q15</f>
        <v>245994</v>
      </c>
      <c r="N16" s="151">
        <f>'[1]February - 2023'!R15</f>
        <v>73</v>
      </c>
      <c r="O16" s="239">
        <f>'[1]February - 2023'!U15</f>
        <v>120790</v>
      </c>
      <c r="P16" s="151">
        <f>'[1]February - 2023'!V15</f>
        <v>89</v>
      </c>
      <c r="Q16" s="150">
        <f>'[1]February - 2023'!W15</f>
        <v>218.39999999990687</v>
      </c>
      <c r="R16" s="239">
        <f>'[1]February - 2023'!X15</f>
        <v>6774</v>
      </c>
      <c r="S16" s="187">
        <f>'[1]February - 2023'!Y15</f>
        <v>7</v>
      </c>
      <c r="T16" s="444"/>
      <c r="U16" s="244">
        <f>'[1]February - 2023'!AE15</f>
        <v>8292192.7199999988</v>
      </c>
      <c r="V16" s="265">
        <f>'[1]February - 2023'!AF15</f>
        <v>1948.7999999998137</v>
      </c>
      <c r="W16" s="88">
        <f>'[1]February - 2023'!AG15</f>
        <v>2874.4799999995157</v>
      </c>
      <c r="X16" s="261">
        <f>'[1]February - 2023'!AH15</f>
        <v>15750396.48</v>
      </c>
      <c r="Y16" s="265">
        <f>'[1]February - 2023'!AI15</f>
        <v>4677.1200000010431</v>
      </c>
      <c r="Z16" s="88">
        <f>'[1]February - 2023'!AJ15</f>
        <v>4823.2799999993294</v>
      </c>
      <c r="AA16" s="261">
        <f>'[1]February - 2023'!AK15</f>
        <v>15929978.4</v>
      </c>
      <c r="AB16" s="265">
        <f>'[1]February - 2023'!AL15</f>
        <v>48.720000000670552</v>
      </c>
      <c r="AC16" s="88">
        <f>'[1]February - 2023'!AM15</f>
        <v>0</v>
      </c>
      <c r="AD16" s="261">
        <f>'[1]February - 2023'!AN15</f>
        <v>19074269.760000002</v>
      </c>
      <c r="AE16" s="265">
        <f>'[1]February - 2023'!AO15</f>
        <v>1851.3600000031292</v>
      </c>
      <c r="AF16" s="88">
        <f>'[1]February - 2023'!AP15</f>
        <v>7990.0799999982119</v>
      </c>
      <c r="AG16" s="261">
        <f>'[1]February - 2023'!AQ15</f>
        <v>19343301.599999998</v>
      </c>
      <c r="AH16" s="265">
        <f>'[1]February - 2023'!AR15</f>
        <v>7795.1999999992549</v>
      </c>
      <c r="AI16" s="88">
        <f>'[1]February - 2023'!AS15</f>
        <v>48.720000002533197</v>
      </c>
      <c r="AJ16" s="261">
        <f>'[1]February - 2023'!AT15</f>
        <v>17889691.68</v>
      </c>
      <c r="AK16" s="265">
        <f>'[1]February - 2023'!AU15</f>
        <v>5554.0800000019372</v>
      </c>
      <c r="AL16" s="88">
        <f>'[1]February - 2023'!AV15</f>
        <v>5846.3999999985099</v>
      </c>
      <c r="AM16" s="261">
        <f>'[1]February - 2023'!AW15</f>
        <v>15036210</v>
      </c>
      <c r="AN16" s="265">
        <f>'[1]February - 2023'!AX15</f>
        <v>3995.0400000009686</v>
      </c>
      <c r="AO16" s="88">
        <f>'[1]February - 2023'!AY15</f>
        <v>4384.7999999988824</v>
      </c>
      <c r="AP16" s="261">
        <f>'[1]February - 2023'!AZ15</f>
        <v>14582480.640000001</v>
      </c>
      <c r="AQ16" s="265">
        <f>'[1]February - 2023'!BA15</f>
        <v>4189.9200000017881</v>
      </c>
      <c r="AR16" s="88">
        <f>'[1]February - 2023'!BB15</f>
        <v>4238.640000000596</v>
      </c>
      <c r="AS16" s="261">
        <f>'[1]February - 2023'!BC15</f>
        <v>11362965.6</v>
      </c>
      <c r="AT16" s="265">
        <f>'[1]February - 2023'!BD15</f>
        <v>3264.2400000002235</v>
      </c>
      <c r="AU16" s="88">
        <f>'[1]February - 2023'!BE15</f>
        <v>3800.1599999982864</v>
      </c>
      <c r="AV16" s="261">
        <f>'[1]February - 2023'!BF15</f>
        <v>18041844.239999998</v>
      </c>
      <c r="AW16" s="229">
        <f>'[1]February - 2023'!BG15</f>
        <v>5505.359999999404</v>
      </c>
      <c r="AX16" s="230">
        <f>'[1]February - 2023'!BH15</f>
        <v>5359.1999999992549</v>
      </c>
      <c r="AY16" s="461"/>
      <c r="AZ16" s="247">
        <f>'[1]February - 2023'!BM15</f>
        <v>78690800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81617000</v>
      </c>
      <c r="BD16" s="223">
        <f>'[1]February - 2023'!BQ15</f>
        <v>4300</v>
      </c>
      <c r="BE16" s="89">
        <f>'[1]February - 2023'!BR15</f>
        <v>32500</v>
      </c>
      <c r="BF16" s="247">
        <f>'[1]February - 2023'!BS15</f>
        <v>75602000</v>
      </c>
      <c r="BG16" s="223">
        <f>'[1]February - 2023'!BT15</f>
        <v>39800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10631870</v>
      </c>
      <c r="BT16" s="165">
        <f>'[1]February - 2023'!BW15</f>
        <v>6010</v>
      </c>
      <c r="BU16" s="557"/>
      <c r="BV16" s="84">
        <f>'[1]February - 2023'!BY15</f>
        <v>0.75</v>
      </c>
      <c r="BW16" s="219">
        <f>'[1]February - 2023'!BZ15</f>
        <v>-7.999999999999996E-2</v>
      </c>
      <c r="BX16" s="84">
        <f>'[1]February - 2023'!CA15</f>
        <v>-9.000000000000008E-2</v>
      </c>
      <c r="BY16" s="85">
        <f>'[1]February - 2023'!CB15</f>
        <v>65447</v>
      </c>
      <c r="BZ16" s="171">
        <f>'[1]February - 2023'!CC15</f>
        <v>15</v>
      </c>
      <c r="CA16" s="85">
        <f>'[1]February - 2023'!CD15</f>
        <v>56597</v>
      </c>
      <c r="CB16" s="171">
        <f>'[1]February - 2023'!CE15</f>
        <v>19</v>
      </c>
      <c r="CC16" s="85">
        <f>'[1]February - 2023'!CF15</f>
        <v>19105</v>
      </c>
      <c r="CD16" s="171">
        <f>'[1]February - 2023'!CG15</f>
        <v>5</v>
      </c>
      <c r="CE16" s="85">
        <f>'[1]February - 2023'!CH15</f>
        <v>26179</v>
      </c>
      <c r="CF16" s="171">
        <f>'[1]February - 2023'!CI15</f>
        <v>9</v>
      </c>
      <c r="CG16" s="85">
        <f>'[1]February - 2023'!CJ15</f>
        <v>29365</v>
      </c>
      <c r="CH16" s="171">
        <f>'[1]February - 2023'!CK15</f>
        <v>15</v>
      </c>
      <c r="CI16" s="85">
        <f>'[1]February - 2023'!CL15</f>
        <v>64608</v>
      </c>
      <c r="CJ16" s="171">
        <f>'[1]February - 2023'!CM15</f>
        <v>33</v>
      </c>
      <c r="CK16" s="85">
        <f>'[1]February - 2023'!CN15</f>
        <v>272572</v>
      </c>
      <c r="CL16" s="224">
        <f>'[1]February - 2023'!CO15</f>
        <v>76</v>
      </c>
      <c r="CM16" s="85">
        <f>'[1]February - 2023'!CP15</f>
        <v>108</v>
      </c>
      <c r="CN16" s="85">
        <f>'[1]February - 2023'!CQ15</f>
        <v>221928</v>
      </c>
      <c r="CO16" s="224">
        <f>'[1]February - 2023'!CR15</f>
        <v>113</v>
      </c>
      <c r="CP16" s="85">
        <f>'[1]February - 2023'!CV15</f>
        <v>447</v>
      </c>
      <c r="CQ16" s="85">
        <f>'[1]February - 2023'!CT15</f>
        <v>371235</v>
      </c>
      <c r="CR16" s="224">
        <f>'[1]February - 2023'!CU15</f>
        <v>203</v>
      </c>
      <c r="CS16" s="85">
        <f>'[1]February - 2023'!CV15</f>
        <v>447</v>
      </c>
      <c r="CT16" s="85">
        <f>'[1]February - 2023'!CW15</f>
        <v>705036</v>
      </c>
      <c r="CU16" s="171">
        <f>'[1]February - 2023'!CX15</f>
        <v>177</v>
      </c>
      <c r="CV16" s="485"/>
      <c r="CW16" s="259">
        <f>'[1]February - 2023'!CZ15</f>
        <v>9361</v>
      </c>
      <c r="CX16" s="262">
        <f>'[1]February - 2023'!DA15</f>
        <v>5</v>
      </c>
      <c r="CY16" s="260">
        <f>'[1]February - 2023'!DB15</f>
        <v>6338</v>
      </c>
      <c r="CZ16" s="262">
        <f>'[1]February - 2023'!DC15</f>
        <v>3</v>
      </c>
      <c r="DA16" s="260">
        <f>'[1]February - 2023'!DD15</f>
        <v>33084</v>
      </c>
      <c r="DB16" s="262">
        <f>'[1]February - 2023'!DE15</f>
        <v>13</v>
      </c>
      <c r="DC16" s="260">
        <f>'[1]February - 2023'!DF15</f>
        <v>33227</v>
      </c>
      <c r="DD16" s="262">
        <f>'[1]February - 2023'!DG15</f>
        <v>14</v>
      </c>
      <c r="DE16" s="260">
        <f>'[1]February - 2023'!DH15</f>
        <v>22466</v>
      </c>
      <c r="DF16" s="262">
        <f>'[1]February - 2023'!DI15</f>
        <v>7</v>
      </c>
      <c r="DG16" s="260">
        <f>'[1]February - 2023'!DJ15</f>
        <v>24384</v>
      </c>
      <c r="DH16" s="262">
        <f>'[1]February - 2023'!DK15</f>
        <v>4</v>
      </c>
      <c r="DI16" s="260">
        <f>'[1]February - 2023'!DL15</f>
        <v>7752</v>
      </c>
      <c r="DJ16" s="262">
        <f>'[1]February - 2023'!DM15</f>
        <v>7</v>
      </c>
      <c r="DK16" s="260">
        <f>'[1]February - 2023'!DN15</f>
        <v>10260</v>
      </c>
      <c r="DL16" s="262">
        <f>'[1]February - 2023'!DO15</f>
        <v>10</v>
      </c>
      <c r="DM16" s="260">
        <f>'[1]February - 2023'!DP15</f>
        <v>3547</v>
      </c>
      <c r="DN16" s="262">
        <f>'[1]February - 2023'!DQ15</f>
        <v>6</v>
      </c>
      <c r="DO16" s="260">
        <f>'[1]February - 2023'!DR15</f>
        <v>6935</v>
      </c>
      <c r="DP16" s="262">
        <f>'[1]February - 2023'!DS15</f>
        <v>4</v>
      </c>
      <c r="DQ16" s="260">
        <f>'[1]February - 2023'!DT15</f>
        <v>30525</v>
      </c>
      <c r="DR16" s="263">
        <f>'[1]February - 2023'!DU15</f>
        <v>0</v>
      </c>
      <c r="DS16" s="501"/>
      <c r="DT16" s="189">
        <f>'[1]February - 2023'!DW15</f>
        <v>6992.1</v>
      </c>
      <c r="DU16" s="200">
        <f>'[1]February - 2023'!DX15</f>
        <v>10</v>
      </c>
      <c r="DV16" s="87">
        <f>'[1]February - 2023'!DY15</f>
        <v>11751.1</v>
      </c>
      <c r="DW16" s="194">
        <f>'[1]February - 2023'!DZ15</f>
        <v>8</v>
      </c>
      <c r="DX16" s="87">
        <f>'[1]February - 2023'!EA15</f>
        <v>5183.6000000000004</v>
      </c>
      <c r="DY16" s="194">
        <f>'[1]February - 2023'!EB15</f>
        <v>5.9000000000005457</v>
      </c>
      <c r="DZ16" s="87">
        <f>'[1]February - 2023'!EC15</f>
        <v>5782.9</v>
      </c>
      <c r="EA16" s="194">
        <f>'[1]February - 2023'!ED15</f>
        <v>6.5999999999994543</v>
      </c>
      <c r="EB16" s="87">
        <f>'[1]February - 2023'!EE15</f>
        <v>1160468</v>
      </c>
      <c r="EC16" s="194">
        <f>'[1]February - 2023'!EF15</f>
        <v>520</v>
      </c>
      <c r="ED16" s="87">
        <f>'[1]February - 2023'!EI15</f>
        <v>240234.6</v>
      </c>
      <c r="EE16" s="207">
        <f>'[1]February - 2023'!EJ15</f>
        <v>151.80000000001746</v>
      </c>
      <c r="EF16" s="548"/>
      <c r="EG16" s="213">
        <f>'[1]February - 2023'!EL15</f>
        <v>12307000</v>
      </c>
      <c r="EH16" s="208">
        <f>'[1]February - 2023'!EM15</f>
        <v>3000</v>
      </c>
      <c r="EI16" s="86">
        <f>'[1]February - 2023'!EN15</f>
        <v>947750</v>
      </c>
      <c r="EJ16" s="208">
        <f>'[1]February - 2023'!EO15</f>
        <v>250</v>
      </c>
      <c r="EK16" s="86">
        <f>'[1]February - 2023'!EP15</f>
        <v>7302200</v>
      </c>
      <c r="EL16" s="208">
        <f>'[1]February - 2023'!EQ15</f>
        <v>1000</v>
      </c>
      <c r="EM16" s="86">
        <f>'[1]February - 2023'!ER15</f>
        <v>2513600</v>
      </c>
      <c r="EN16" s="208">
        <f>'[1]February - 2023'!ES15</f>
        <v>400</v>
      </c>
      <c r="EO16" s="86">
        <f>'[1]February - 2023'!ET15</f>
        <v>1311460</v>
      </c>
      <c r="EP16" s="208">
        <f>'[1]February - 2023'!EU15</f>
        <v>670</v>
      </c>
      <c r="EQ16" s="86">
        <f>'[1]February - 2023'!EV15</f>
        <v>16745500</v>
      </c>
      <c r="ER16" s="208">
        <f>'[1]February - 2023'!EW15</f>
        <v>2000</v>
      </c>
      <c r="ES16" s="523"/>
      <c r="ET16" s="253">
        <f>'[1]February - 2023'!EY15</f>
        <v>43076</v>
      </c>
      <c r="EU16" s="266">
        <f>'[1]February - 2023'!EZ15</f>
        <v>16</v>
      </c>
      <c r="EV16" s="254">
        <f>'[1]February - 2023'!FA15</f>
        <v>37547</v>
      </c>
      <c r="EW16" s="266">
        <f>'[1]February - 2023'!FB15</f>
        <v>10</v>
      </c>
      <c r="EX16" s="254">
        <f>'[1]February - 2023'!FC15</f>
        <v>8138</v>
      </c>
      <c r="EY16" s="266">
        <f>'[1]February - 2023'!FD15</f>
        <v>9</v>
      </c>
      <c r="EZ16" s="254">
        <f>'[1]February - 2023'!FE15</f>
        <v>60132</v>
      </c>
      <c r="FA16" s="266">
        <f>'[1]February - 2023'!FF15</f>
        <v>12</v>
      </c>
      <c r="FB16" s="254">
        <f>'[1]February - 2023'!FG15</f>
        <v>51608</v>
      </c>
      <c r="FC16" s="264">
        <f>'[1]February - 2023'!FH15</f>
        <v>32</v>
      </c>
    </row>
    <row r="17" spans="1:159" ht="30" customHeight="1" x14ac:dyDescent="0.25">
      <c r="A17" s="186">
        <v>44965</v>
      </c>
      <c r="B17" s="188">
        <f>'[1]February - 2023'!B16</f>
        <v>0</v>
      </c>
      <c r="C17" s="228">
        <f>'[1]February - 2023'!E16</f>
        <v>0</v>
      </c>
      <c r="D17" s="151">
        <f>'[1]February - 2023'!F17</f>
        <v>0</v>
      </c>
      <c r="E17" s="150">
        <f>'[1]February - 2023'!G16</f>
        <v>521</v>
      </c>
      <c r="F17" s="150">
        <f>'[1]February - 2023'!H16</f>
        <v>0</v>
      </c>
      <c r="G17" s="151">
        <f>'[1]February - 2023'!I17</f>
        <v>0</v>
      </c>
      <c r="H17" s="150">
        <f>'[1]February - 2023'!J16</f>
        <v>117183</v>
      </c>
      <c r="I17" s="239">
        <f>'[1]February - 2023'!K16</f>
        <v>0</v>
      </c>
      <c r="J17" s="151">
        <f>'[1]February - 2023'!L16</f>
        <v>-17025</v>
      </c>
      <c r="K17" s="239">
        <f>'[1]February - 2023'!N16</f>
        <v>0</v>
      </c>
      <c r="L17" s="151">
        <f>'[1]February - 2023'!O16</f>
        <v>-931159</v>
      </c>
      <c r="M17" s="239">
        <f>'[1]February - 2023'!Q16</f>
        <v>0</v>
      </c>
      <c r="N17" s="151">
        <f>'[1]February - 2023'!R16</f>
        <v>-245994</v>
      </c>
      <c r="O17" s="239">
        <f>'[1]February - 2023'!U16</f>
        <v>0</v>
      </c>
      <c r="P17" s="151">
        <f>'[1]February - 2023'!V16</f>
        <v>-120790</v>
      </c>
      <c r="Q17" s="150">
        <f>'[1]February - 2023'!W16</f>
        <v>50.800000000046566</v>
      </c>
      <c r="R17" s="239">
        <f>'[1]February - 2023'!X16</f>
        <v>0</v>
      </c>
      <c r="S17" s="187">
        <f>'[1]February - 2023'!Y16</f>
        <v>-6774</v>
      </c>
      <c r="T17" s="444"/>
      <c r="U17" s="244">
        <f>'[1]February - 2023'!AE16</f>
        <v>0</v>
      </c>
      <c r="V17" s="265">
        <f>'[1]February - 2023'!AF16</f>
        <v>-8292192.7199999988</v>
      </c>
      <c r="W17" s="88">
        <f>'[1]February - 2023'!AG16</f>
        <v>2874.480000000447</v>
      </c>
      <c r="X17" s="261">
        <f>'[1]February - 2023'!AH16</f>
        <v>0</v>
      </c>
      <c r="Y17" s="265">
        <f>'[1]February - 2023'!AI16</f>
        <v>-15750396.48</v>
      </c>
      <c r="Z17" s="88">
        <f>'[1]February - 2023'!AJ16</f>
        <v>4774.5599999986589</v>
      </c>
      <c r="AA17" s="261">
        <f>'[1]February - 2023'!AK16</f>
        <v>0</v>
      </c>
      <c r="AB17" s="265">
        <f>'[1]February - 2023'!AL16</f>
        <v>-15929978.4</v>
      </c>
      <c r="AC17" s="88">
        <f>'[1]February - 2023'!AM16</f>
        <v>0</v>
      </c>
      <c r="AD17" s="261">
        <f>'[1]February - 2023'!AN16</f>
        <v>0</v>
      </c>
      <c r="AE17" s="265">
        <f>'[1]February - 2023'!AO16</f>
        <v>-19074269.760000002</v>
      </c>
      <c r="AF17" s="88">
        <f>'[1]February - 2023'!AP16</f>
        <v>2484.7200000025332</v>
      </c>
      <c r="AG17" s="261">
        <f>'[1]February - 2023'!AQ16</f>
        <v>0</v>
      </c>
      <c r="AH17" s="265">
        <f>'[1]February - 2023'!AR16</f>
        <v>-19343301.599999998</v>
      </c>
      <c r="AI17" s="88">
        <f>'[1]February - 2023'!AS16</f>
        <v>4823.2799999974668</v>
      </c>
      <c r="AJ17" s="261">
        <f>'[1]February - 2023'!AT16</f>
        <v>0</v>
      </c>
      <c r="AK17" s="265">
        <f>'[1]February - 2023'!AU16</f>
        <v>-17889691.68</v>
      </c>
      <c r="AL17" s="88">
        <f>'[1]February - 2023'!AV16</f>
        <v>5602.8000000007451</v>
      </c>
      <c r="AM17" s="261">
        <f>'[1]February - 2023'!AW16</f>
        <v>0</v>
      </c>
      <c r="AN17" s="265">
        <f>'[1]February - 2023'!AX16</f>
        <v>-15036210</v>
      </c>
      <c r="AO17" s="88">
        <f>'[1]February - 2023'!AY16</f>
        <v>4287.359999999404</v>
      </c>
      <c r="AP17" s="261">
        <f>'[1]February - 2023'!AZ16</f>
        <v>0</v>
      </c>
      <c r="AQ17" s="265">
        <f>'[1]February - 2023'!BA16</f>
        <v>-14582480.640000001</v>
      </c>
      <c r="AR17" s="88">
        <f>'[1]February - 2023'!BB16</f>
        <v>4287.359999999404</v>
      </c>
      <c r="AS17" s="261">
        <f>'[1]February - 2023'!BC16</f>
        <v>0</v>
      </c>
      <c r="AT17" s="265">
        <f>'[1]February - 2023'!BD16</f>
        <v>-11362965.6</v>
      </c>
      <c r="AU17" s="88">
        <f>'[1]February - 2023'!BE16</f>
        <v>3410.4000000003725</v>
      </c>
      <c r="AV17" s="261">
        <f>'[1]February - 2023'!BF16</f>
        <v>0</v>
      </c>
      <c r="AW17" s="229">
        <f>'[1]February - 2023'!BG16</f>
        <v>-18041844.239999998</v>
      </c>
      <c r="AX17" s="230">
        <f>'[1]February - 2023'!BH16</f>
        <v>5456.6399999987334</v>
      </c>
      <c r="AY17" s="461"/>
      <c r="AZ17" s="247">
        <f>'[1]February - 2023'!BM16</f>
        <v>0</v>
      </c>
      <c r="BA17" s="160">
        <f>'[1]February - 2023'!BN16</f>
        <v>-78690800</v>
      </c>
      <c r="BB17" s="89">
        <f>'[1]February - 2023'!BO17</f>
        <v>0</v>
      </c>
      <c r="BC17" s="247">
        <f>'[1]February - 2023'!BP16</f>
        <v>0</v>
      </c>
      <c r="BD17" s="223">
        <f>'[1]February - 2023'!BQ16</f>
        <v>-81617000</v>
      </c>
      <c r="BE17" s="89">
        <f>'[1]February - 2023'!BR16</f>
        <v>10800</v>
      </c>
      <c r="BF17" s="247">
        <f>'[1]February - 2023'!BS16</f>
        <v>0</v>
      </c>
      <c r="BG17" s="223">
        <f>'[1]February - 2023'!BT16</f>
        <v>-75602000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0</v>
      </c>
      <c r="BT17" s="165">
        <f>'[1]February - 2023'!BW16</f>
        <v>-10631870</v>
      </c>
      <c r="BU17" s="557"/>
      <c r="BV17" s="84">
        <f>'[1]February - 2023'!BY16</f>
        <v>0</v>
      </c>
      <c r="BW17" s="219">
        <f>'[1]February - 2023'!BZ16</f>
        <v>0.75</v>
      </c>
      <c r="BX17" s="84">
        <f>'[1]February - 2023'!CA16</f>
        <v>9.9999999999999978E-2</v>
      </c>
      <c r="BY17" s="85">
        <f>'[1]February - 2023'!CB16</f>
        <v>0</v>
      </c>
      <c r="BZ17" s="171">
        <f>'[1]February - 2023'!CC16</f>
        <v>-65447</v>
      </c>
      <c r="CA17" s="85">
        <f>'[1]February - 2023'!CD16</f>
        <v>0</v>
      </c>
      <c r="CB17" s="171">
        <f>'[1]February - 2023'!CE16</f>
        <v>-56597</v>
      </c>
      <c r="CC17" s="85">
        <f>'[1]February - 2023'!CF16</f>
        <v>0</v>
      </c>
      <c r="CD17" s="171">
        <f>'[1]February - 2023'!CG16</f>
        <v>-19105</v>
      </c>
      <c r="CE17" s="85">
        <f>'[1]February - 2023'!CH16</f>
        <v>0</v>
      </c>
      <c r="CF17" s="171">
        <f>'[1]February - 2023'!CI16</f>
        <v>-26179</v>
      </c>
      <c r="CG17" s="85">
        <f>'[1]February - 2023'!CJ16</f>
        <v>0</v>
      </c>
      <c r="CH17" s="171">
        <f>'[1]February - 2023'!CK16</f>
        <v>-29365</v>
      </c>
      <c r="CI17" s="85">
        <f>'[1]February - 2023'!CL16</f>
        <v>0</v>
      </c>
      <c r="CJ17" s="171">
        <f>'[1]February - 2023'!CM16</f>
        <v>-64608</v>
      </c>
      <c r="CK17" s="85">
        <f>'[1]February - 2023'!CN16</f>
        <v>0</v>
      </c>
      <c r="CL17" s="224">
        <f>'[1]February - 2023'!CO16</f>
        <v>-272572</v>
      </c>
      <c r="CM17" s="85">
        <f>'[1]February - 2023'!CP16</f>
        <v>108</v>
      </c>
      <c r="CN17" s="85">
        <f>'[1]February - 2023'!CQ16</f>
        <v>0</v>
      </c>
      <c r="CO17" s="224">
        <f>'[1]February - 2023'!CR16</f>
        <v>-221928</v>
      </c>
      <c r="CP17" s="85">
        <f>'[1]February - 2023'!CV16</f>
        <v>447</v>
      </c>
      <c r="CQ17" s="85">
        <f>'[1]February - 2023'!CT16</f>
        <v>0</v>
      </c>
      <c r="CR17" s="224">
        <f>'[1]February - 2023'!CU16</f>
        <v>-371235</v>
      </c>
      <c r="CS17" s="85">
        <f>'[1]February - 2023'!CV16</f>
        <v>447</v>
      </c>
      <c r="CT17" s="85">
        <f>'[1]February - 2023'!CW16</f>
        <v>0</v>
      </c>
      <c r="CU17" s="171">
        <f>'[1]February - 2023'!CX16</f>
        <v>-705036</v>
      </c>
      <c r="CV17" s="485"/>
      <c r="CW17" s="259">
        <f>'[1]February - 2023'!CZ16</f>
        <v>0</v>
      </c>
      <c r="CX17" s="262">
        <f>'[1]February - 2023'!DA16</f>
        <v>-9361</v>
      </c>
      <c r="CY17" s="260">
        <f>'[1]February - 2023'!DB16</f>
        <v>0</v>
      </c>
      <c r="CZ17" s="262">
        <f>'[1]February - 2023'!DC16</f>
        <v>-6338</v>
      </c>
      <c r="DA17" s="260">
        <f>'[1]February - 2023'!DD16</f>
        <v>0</v>
      </c>
      <c r="DB17" s="262">
        <f>'[1]February - 2023'!DE16</f>
        <v>-33084</v>
      </c>
      <c r="DC17" s="260">
        <f>'[1]February - 2023'!DF16</f>
        <v>0</v>
      </c>
      <c r="DD17" s="262">
        <f>'[1]February - 2023'!DG16</f>
        <v>-33227</v>
      </c>
      <c r="DE17" s="260">
        <f>'[1]February - 2023'!DH16</f>
        <v>0</v>
      </c>
      <c r="DF17" s="262">
        <f>'[1]February - 2023'!DI16</f>
        <v>-22466</v>
      </c>
      <c r="DG17" s="260">
        <f>'[1]February - 2023'!DJ16</f>
        <v>0</v>
      </c>
      <c r="DH17" s="262">
        <f>'[1]February - 2023'!DK16</f>
        <v>-24384</v>
      </c>
      <c r="DI17" s="260">
        <f>'[1]February - 2023'!DL16</f>
        <v>0</v>
      </c>
      <c r="DJ17" s="262">
        <f>'[1]February - 2023'!DM16</f>
        <v>-7752</v>
      </c>
      <c r="DK17" s="260">
        <f>'[1]February - 2023'!DN16</f>
        <v>0</v>
      </c>
      <c r="DL17" s="262">
        <f>'[1]February - 2023'!DO16</f>
        <v>-10260</v>
      </c>
      <c r="DM17" s="260">
        <f>'[1]February - 2023'!DP16</f>
        <v>0</v>
      </c>
      <c r="DN17" s="262">
        <f>'[1]February - 2023'!DQ16</f>
        <v>-3547</v>
      </c>
      <c r="DO17" s="260">
        <f>'[1]February - 2023'!DR16</f>
        <v>0</v>
      </c>
      <c r="DP17" s="262">
        <f>'[1]February - 2023'!DS16</f>
        <v>-6935</v>
      </c>
      <c r="DQ17" s="260">
        <f>'[1]February - 2023'!DT16</f>
        <v>0</v>
      </c>
      <c r="DR17" s="263">
        <f>'[1]February - 2023'!DU16</f>
        <v>-30525</v>
      </c>
      <c r="DS17" s="501"/>
      <c r="DT17" s="189">
        <f>'[1]February - 2023'!DW16</f>
        <v>0</v>
      </c>
      <c r="DU17" s="200">
        <f>'[1]February - 2023'!DX16</f>
        <v>-6992.1</v>
      </c>
      <c r="DV17" s="87">
        <f>'[1]February - 2023'!DY16</f>
        <v>0</v>
      </c>
      <c r="DW17" s="194">
        <f>'[1]February - 2023'!DZ16</f>
        <v>-11751.1</v>
      </c>
      <c r="DX17" s="87">
        <f>'[1]February - 2023'!EA16</f>
        <v>0</v>
      </c>
      <c r="DY17" s="194">
        <f>'[1]February - 2023'!EB16</f>
        <v>-5183.6000000000004</v>
      </c>
      <c r="DZ17" s="87">
        <f>'[1]February - 2023'!EC16</f>
        <v>0</v>
      </c>
      <c r="EA17" s="194">
        <f>'[1]February - 2023'!ED16</f>
        <v>-5782.9</v>
      </c>
      <c r="EB17" s="87">
        <f>'[1]February - 2023'!EE16</f>
        <v>0</v>
      </c>
      <c r="EC17" s="194">
        <f>'[1]February - 2023'!EF16</f>
        <v>-1160468</v>
      </c>
      <c r="ED17" s="87">
        <f>'[1]February - 2023'!EI16</f>
        <v>0</v>
      </c>
      <c r="EE17" s="207">
        <f>'[1]February - 2023'!EJ16</f>
        <v>-240234.6</v>
      </c>
      <c r="EF17" s="548"/>
      <c r="EG17" s="213">
        <f>'[1]February - 2023'!EL16</f>
        <v>0</v>
      </c>
      <c r="EH17" s="208">
        <f>'[1]February - 2023'!EM16</f>
        <v>-12307000</v>
      </c>
      <c r="EI17" s="86">
        <f>'[1]February - 2023'!EN16</f>
        <v>0</v>
      </c>
      <c r="EJ17" s="208">
        <f>'[1]February - 2023'!EO16</f>
        <v>-947750</v>
      </c>
      <c r="EK17" s="86">
        <f>'[1]February - 2023'!EP16</f>
        <v>0</v>
      </c>
      <c r="EL17" s="208">
        <f>'[1]February - 2023'!EQ16</f>
        <v>-7302200</v>
      </c>
      <c r="EM17" s="86">
        <f>'[1]February - 2023'!ER16</f>
        <v>0</v>
      </c>
      <c r="EN17" s="208">
        <f>'[1]February - 2023'!ES16</f>
        <v>-2513600</v>
      </c>
      <c r="EO17" s="86">
        <f>'[1]February - 2023'!ET16</f>
        <v>0</v>
      </c>
      <c r="EP17" s="208">
        <f>'[1]February - 2023'!EU16</f>
        <v>-1311460</v>
      </c>
      <c r="EQ17" s="86">
        <f>'[1]February - 2023'!EV16</f>
        <v>0</v>
      </c>
      <c r="ER17" s="208">
        <f>'[1]February - 2023'!EW16</f>
        <v>-16745500</v>
      </c>
      <c r="ES17" s="523"/>
      <c r="ET17" s="253">
        <f>'[1]February - 2023'!EY16</f>
        <v>0</v>
      </c>
      <c r="EU17" s="266">
        <f>'[1]February - 2023'!EZ16</f>
        <v>-43076</v>
      </c>
      <c r="EV17" s="254">
        <f>'[1]February - 2023'!FA16</f>
        <v>0</v>
      </c>
      <c r="EW17" s="266">
        <f>'[1]February - 2023'!FB16</f>
        <v>-37547</v>
      </c>
      <c r="EX17" s="254">
        <f>'[1]February - 2023'!FC16</f>
        <v>0</v>
      </c>
      <c r="EY17" s="266">
        <f>'[1]February - 2023'!FD16</f>
        <v>-8138</v>
      </c>
      <c r="EZ17" s="254">
        <f>'[1]February - 2023'!FE16</f>
        <v>0</v>
      </c>
      <c r="FA17" s="266">
        <f>'[1]February - 2023'!FF16</f>
        <v>-60132</v>
      </c>
      <c r="FB17" s="254">
        <f>'[1]February - 2023'!FG16</f>
        <v>0</v>
      </c>
      <c r="FC17" s="264">
        <f>'[1]February - 2023'!FH16</f>
        <v>-51608</v>
      </c>
    </row>
    <row r="18" spans="1:159" ht="30" customHeight="1" x14ac:dyDescent="0.25">
      <c r="A18" s="186">
        <v>44966</v>
      </c>
      <c r="B18" s="188">
        <f>'[1]February - 2023'!B17</f>
        <v>0</v>
      </c>
      <c r="C18" s="228">
        <f>'[1]February - 2023'!E17</f>
        <v>0</v>
      </c>
      <c r="D18" s="151">
        <f>'[1]February - 2023'!F18</f>
        <v>0</v>
      </c>
      <c r="E18" s="150">
        <f>'[1]February - 2023'!G17</f>
        <v>587</v>
      </c>
      <c r="F18" s="150">
        <f>'[1]February - 2023'!H17</f>
        <v>0</v>
      </c>
      <c r="G18" s="151">
        <f>'[1]February - 2023'!I18</f>
        <v>0</v>
      </c>
      <c r="H18" s="150">
        <f>'[1]February - 2023'!J17</f>
        <v>117634</v>
      </c>
      <c r="I18" s="239">
        <f>'[1]February - 2023'!K17</f>
        <v>0</v>
      </c>
      <c r="J18" s="151">
        <f>'[1]February - 2023'!L17</f>
        <v>0</v>
      </c>
      <c r="K18" s="239">
        <f>'[1]February - 2023'!N17</f>
        <v>0</v>
      </c>
      <c r="L18" s="151">
        <f>'[1]February - 2023'!O17</f>
        <v>0</v>
      </c>
      <c r="M18" s="239">
        <f>'[1]February - 2023'!Q17</f>
        <v>0</v>
      </c>
      <c r="N18" s="151">
        <f>'[1]February - 2023'!R17</f>
        <v>0</v>
      </c>
      <c r="O18" s="239">
        <f>'[1]February - 2023'!U17</f>
        <v>0</v>
      </c>
      <c r="P18" s="151">
        <f>'[1]February - 2023'!V17</f>
        <v>0</v>
      </c>
      <c r="Q18" s="150">
        <f>'[1]February - 2023'!W17</f>
        <v>97</v>
      </c>
      <c r="R18" s="239">
        <f>'[1]February - 2023'!X17</f>
        <v>0</v>
      </c>
      <c r="S18" s="187">
        <f>'[1]February - 2023'!Y17</f>
        <v>0</v>
      </c>
      <c r="T18" s="444"/>
      <c r="U18" s="244">
        <f>'[1]February - 2023'!AE17</f>
        <v>0</v>
      </c>
      <c r="V18" s="265">
        <f>'[1]February - 2023'!AF17</f>
        <v>0</v>
      </c>
      <c r="W18" s="88">
        <f>'[1]February - 2023'!AG17</f>
        <v>2143.679999999702</v>
      </c>
      <c r="X18" s="261">
        <f>'[1]February - 2023'!AH17</f>
        <v>0</v>
      </c>
      <c r="Y18" s="265">
        <f>'[1]February - 2023'!AI17</f>
        <v>0</v>
      </c>
      <c r="Z18" s="88">
        <f>'[1]February - 2023'!AJ17</f>
        <v>4628.4000000003725</v>
      </c>
      <c r="AA18" s="261">
        <f>'[1]February - 2023'!AK17</f>
        <v>0</v>
      </c>
      <c r="AB18" s="265">
        <f>'[1]February - 2023'!AL17</f>
        <v>0</v>
      </c>
      <c r="AC18" s="88">
        <f>'[1]February - 2023'!AM17</f>
        <v>1120.5599999986589</v>
      </c>
      <c r="AD18" s="261">
        <f>'[1]February - 2023'!AN17</f>
        <v>0</v>
      </c>
      <c r="AE18" s="265">
        <f>'[1]February - 2023'!AO17</f>
        <v>0</v>
      </c>
      <c r="AF18" s="88">
        <f>'[1]February - 2023'!AP17</f>
        <v>8087.519999999553</v>
      </c>
      <c r="AG18" s="261">
        <f>'[1]February - 2023'!AQ17</f>
        <v>0</v>
      </c>
      <c r="AH18" s="265">
        <f>'[1]February - 2023'!AR17</f>
        <v>0</v>
      </c>
      <c r="AI18" s="88">
        <f>'[1]February - 2023'!AS17</f>
        <v>0</v>
      </c>
      <c r="AJ18" s="261">
        <f>'[1]February - 2023'!AT17</f>
        <v>0</v>
      </c>
      <c r="AK18" s="265">
        <f>'[1]February - 2023'!AU17</f>
        <v>0</v>
      </c>
      <c r="AL18" s="88">
        <f>'[1]February - 2023'!AV17</f>
        <v>5748.9599999990314</v>
      </c>
      <c r="AM18" s="261">
        <f>'[1]February - 2023'!AW17</f>
        <v>0</v>
      </c>
      <c r="AN18" s="265">
        <f>'[1]February - 2023'!AX17</f>
        <v>0</v>
      </c>
      <c r="AO18" s="88">
        <f>'[1]February - 2023'!AY17</f>
        <v>4384.8000000007451</v>
      </c>
      <c r="AP18" s="261">
        <f>'[1]February - 2023'!AZ17</f>
        <v>0</v>
      </c>
      <c r="AQ18" s="265">
        <f>'[1]February - 2023'!BA17</f>
        <v>0</v>
      </c>
      <c r="AR18" s="88">
        <f>'[1]February - 2023'!BB17</f>
        <v>4530.9599999990314</v>
      </c>
      <c r="AS18" s="261">
        <f>'[1]February - 2023'!BC17</f>
        <v>0</v>
      </c>
      <c r="AT18" s="265">
        <f>'[1]February - 2023'!BD17</f>
        <v>0</v>
      </c>
      <c r="AU18" s="88">
        <f>'[1]February - 2023'!BE17</f>
        <v>3556.5600000005215</v>
      </c>
      <c r="AV18" s="261">
        <f>'[1]February - 2023'!BF17</f>
        <v>0</v>
      </c>
      <c r="AW18" s="229">
        <f>'[1]February - 2023'!BG17</f>
        <v>0</v>
      </c>
      <c r="AX18" s="230">
        <f>'[1]February - 2023'!BH17</f>
        <v>5359.2000000011176</v>
      </c>
      <c r="AY18" s="461"/>
      <c r="AZ18" s="247">
        <f>'[1]February - 2023'!BM17</f>
        <v>0</v>
      </c>
      <c r="BA18" s="160">
        <f>'[1]February - 2023'!BN17</f>
        <v>0</v>
      </c>
      <c r="BB18" s="89">
        <f>'[1]February - 2023'!BO18</f>
        <v>0</v>
      </c>
      <c r="BC18" s="247">
        <f>'[1]February - 2023'!BP17</f>
        <v>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0</v>
      </c>
      <c r="BG18" s="223">
        <f>'[1]February - 2023'!BT17</f>
        <v>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0</v>
      </c>
      <c r="BT18" s="165">
        <f>'[1]February - 2023'!BW17</f>
        <v>0</v>
      </c>
      <c r="BU18" s="557"/>
      <c r="BV18" s="84">
        <f>'[1]February - 2023'!BY17</f>
        <v>0</v>
      </c>
      <c r="BW18" s="219">
        <f>'[1]February - 2023'!BZ17</f>
        <v>0</v>
      </c>
      <c r="BX18" s="84">
        <f>'[1]February - 2023'!CA17</f>
        <v>8.0000000000000071E-2</v>
      </c>
      <c r="BY18" s="85">
        <f>'[1]February - 2023'!CB17</f>
        <v>0</v>
      </c>
      <c r="BZ18" s="171">
        <f>'[1]February - 2023'!CC17</f>
        <v>0</v>
      </c>
      <c r="CA18" s="85">
        <f>'[1]February - 2023'!CD17</f>
        <v>0</v>
      </c>
      <c r="CB18" s="171">
        <f>'[1]February - 2023'!CE17</f>
        <v>0</v>
      </c>
      <c r="CC18" s="85">
        <f>'[1]February - 2023'!CF17</f>
        <v>0</v>
      </c>
      <c r="CD18" s="171">
        <f>'[1]February - 2023'!CG17</f>
        <v>0</v>
      </c>
      <c r="CE18" s="85">
        <f>'[1]February - 2023'!CH17</f>
        <v>0</v>
      </c>
      <c r="CF18" s="171">
        <f>'[1]February - 2023'!CI17</f>
        <v>0</v>
      </c>
      <c r="CG18" s="85">
        <f>'[1]February - 2023'!CJ17</f>
        <v>0</v>
      </c>
      <c r="CH18" s="171">
        <f>'[1]February - 2023'!CK17</f>
        <v>0</v>
      </c>
      <c r="CI18" s="85">
        <f>'[1]February - 2023'!CL17</f>
        <v>0</v>
      </c>
      <c r="CJ18" s="171">
        <f>'[1]February - 2023'!CM17</f>
        <v>0</v>
      </c>
      <c r="CK18" s="85">
        <f>'[1]February - 2023'!CN17</f>
        <v>0</v>
      </c>
      <c r="CL18" s="224">
        <f>'[1]February - 2023'!CO17</f>
        <v>0</v>
      </c>
      <c r="CM18" s="85">
        <f>'[1]February - 2023'!CP17</f>
        <v>107</v>
      </c>
      <c r="CN18" s="85">
        <f>'[1]February - 2023'!CQ17</f>
        <v>0</v>
      </c>
      <c r="CO18" s="224">
        <f>'[1]February - 2023'!CR17</f>
        <v>0</v>
      </c>
      <c r="CP18" s="85">
        <f>'[1]February - 2023'!CV17</f>
        <v>318</v>
      </c>
      <c r="CQ18" s="85">
        <f>'[1]February - 2023'!CT17</f>
        <v>0</v>
      </c>
      <c r="CR18" s="224">
        <f>'[1]February - 2023'!CU17</f>
        <v>0</v>
      </c>
      <c r="CS18" s="85">
        <f>'[1]February - 2023'!CV17</f>
        <v>318</v>
      </c>
      <c r="CT18" s="85">
        <f>'[1]February - 2023'!CW17</f>
        <v>0</v>
      </c>
      <c r="CU18" s="171">
        <f>'[1]February - 2023'!CX17</f>
        <v>0</v>
      </c>
      <c r="CV18" s="485"/>
      <c r="CW18" s="259">
        <f>'[1]February - 2023'!CZ17</f>
        <v>0</v>
      </c>
      <c r="CX18" s="262">
        <f>'[1]February - 2023'!DA17</f>
        <v>0</v>
      </c>
      <c r="CY18" s="260">
        <f>'[1]February - 2023'!DB17</f>
        <v>0</v>
      </c>
      <c r="CZ18" s="262">
        <f>'[1]February - 2023'!DC17</f>
        <v>0</v>
      </c>
      <c r="DA18" s="260">
        <f>'[1]February - 2023'!DD17</f>
        <v>0</v>
      </c>
      <c r="DB18" s="262">
        <f>'[1]February - 2023'!DE17</f>
        <v>0</v>
      </c>
      <c r="DC18" s="260">
        <f>'[1]February - 2023'!DF17</f>
        <v>0</v>
      </c>
      <c r="DD18" s="262">
        <f>'[1]February - 2023'!DG17</f>
        <v>0</v>
      </c>
      <c r="DE18" s="260">
        <f>'[1]February - 2023'!DH17</f>
        <v>0</v>
      </c>
      <c r="DF18" s="262">
        <f>'[1]February - 2023'!DI17</f>
        <v>0</v>
      </c>
      <c r="DG18" s="260">
        <f>'[1]February - 2023'!DJ17</f>
        <v>0</v>
      </c>
      <c r="DH18" s="262">
        <f>'[1]February - 2023'!DK17</f>
        <v>0</v>
      </c>
      <c r="DI18" s="260">
        <f>'[1]February - 2023'!DL17</f>
        <v>0</v>
      </c>
      <c r="DJ18" s="262">
        <f>'[1]February - 2023'!DM17</f>
        <v>0</v>
      </c>
      <c r="DK18" s="260">
        <f>'[1]February - 2023'!DN17</f>
        <v>0</v>
      </c>
      <c r="DL18" s="262">
        <f>'[1]February - 2023'!DO17</f>
        <v>0</v>
      </c>
      <c r="DM18" s="260">
        <f>'[1]February - 2023'!DP17</f>
        <v>0</v>
      </c>
      <c r="DN18" s="262">
        <f>'[1]February - 2023'!DQ17</f>
        <v>0</v>
      </c>
      <c r="DO18" s="260">
        <f>'[1]February - 2023'!DR17</f>
        <v>0</v>
      </c>
      <c r="DP18" s="262">
        <f>'[1]February - 2023'!DS17</f>
        <v>0</v>
      </c>
      <c r="DQ18" s="260">
        <f>'[1]February - 2023'!DT17</f>
        <v>0</v>
      </c>
      <c r="DR18" s="263">
        <f>'[1]February - 2023'!DU17</f>
        <v>0</v>
      </c>
      <c r="DS18" s="501"/>
      <c r="DT18" s="189">
        <f>'[1]February - 2023'!DW17</f>
        <v>0</v>
      </c>
      <c r="DU18" s="200">
        <f>'[1]February - 2023'!DX17</f>
        <v>0</v>
      </c>
      <c r="DV18" s="87">
        <f>'[1]February - 2023'!DY17</f>
        <v>0</v>
      </c>
      <c r="DW18" s="194">
        <f>'[1]February - 2023'!DZ17</f>
        <v>0</v>
      </c>
      <c r="DX18" s="87">
        <f>'[1]February - 2023'!EA17</f>
        <v>0</v>
      </c>
      <c r="DY18" s="194">
        <f>'[1]February - 2023'!EB17</f>
        <v>0</v>
      </c>
      <c r="DZ18" s="87">
        <f>'[1]February - 2023'!EC17</f>
        <v>0</v>
      </c>
      <c r="EA18" s="194">
        <f>'[1]February - 2023'!ED17</f>
        <v>0</v>
      </c>
      <c r="EB18" s="87">
        <f>'[1]February - 2023'!EE17</f>
        <v>0</v>
      </c>
      <c r="EC18" s="194">
        <f>'[1]February - 2023'!EF17</f>
        <v>0</v>
      </c>
      <c r="ED18" s="87">
        <f>'[1]February - 2023'!EI17</f>
        <v>0</v>
      </c>
      <c r="EE18" s="207">
        <f>'[1]February - 2023'!EJ17</f>
        <v>0</v>
      </c>
      <c r="EF18" s="548"/>
      <c r="EG18" s="213">
        <f>'[1]February - 2023'!EL17</f>
        <v>0</v>
      </c>
      <c r="EH18" s="208">
        <f>'[1]February - 2023'!EM17</f>
        <v>0</v>
      </c>
      <c r="EI18" s="86">
        <f>'[1]February - 2023'!EN17</f>
        <v>0</v>
      </c>
      <c r="EJ18" s="208">
        <f>'[1]February - 2023'!EO17</f>
        <v>0</v>
      </c>
      <c r="EK18" s="86">
        <f>'[1]February - 2023'!EP17</f>
        <v>0</v>
      </c>
      <c r="EL18" s="208">
        <f>'[1]February - 2023'!EQ17</f>
        <v>0</v>
      </c>
      <c r="EM18" s="86">
        <f>'[1]February - 2023'!ER17</f>
        <v>0</v>
      </c>
      <c r="EN18" s="208">
        <f>'[1]February - 2023'!ES17</f>
        <v>0</v>
      </c>
      <c r="EO18" s="86">
        <f>'[1]February - 2023'!ET17</f>
        <v>0</v>
      </c>
      <c r="EP18" s="208">
        <f>'[1]February - 2023'!EU17</f>
        <v>0</v>
      </c>
      <c r="EQ18" s="86">
        <f>'[1]February - 2023'!EV17</f>
        <v>0</v>
      </c>
      <c r="ER18" s="208">
        <f>'[1]February - 2023'!EW17</f>
        <v>0</v>
      </c>
      <c r="ES18" s="523"/>
      <c r="ET18" s="253">
        <f>'[1]February - 2023'!EY17</f>
        <v>0</v>
      </c>
      <c r="EU18" s="266">
        <f>'[1]February - 2023'!EZ17</f>
        <v>0</v>
      </c>
      <c r="EV18" s="254">
        <f>'[1]February - 2023'!FA17</f>
        <v>0</v>
      </c>
      <c r="EW18" s="266">
        <f>'[1]February - 2023'!FB17</f>
        <v>0</v>
      </c>
      <c r="EX18" s="254">
        <f>'[1]February - 2023'!FC17</f>
        <v>0</v>
      </c>
      <c r="EY18" s="266">
        <f>'[1]February - 2023'!FD17</f>
        <v>0</v>
      </c>
      <c r="EZ18" s="254">
        <f>'[1]February - 2023'!FE17</f>
        <v>0</v>
      </c>
      <c r="FA18" s="266">
        <f>'[1]February - 2023'!FF17</f>
        <v>0</v>
      </c>
      <c r="FB18" s="254">
        <f>'[1]February - 2023'!FG17</f>
        <v>0</v>
      </c>
      <c r="FC18" s="264">
        <f>'[1]February - 2023'!FH17</f>
        <v>0</v>
      </c>
    </row>
    <row r="19" spans="1:159" ht="30" customHeight="1" x14ac:dyDescent="0.25">
      <c r="A19" s="186">
        <v>44967</v>
      </c>
      <c r="B19" s="188">
        <f>'[1]February - 2023'!B18</f>
        <v>0</v>
      </c>
      <c r="C19" s="228">
        <f>'[1]February - 2023'!E18</f>
        <v>0</v>
      </c>
      <c r="D19" s="151">
        <f>'[1]February - 2023'!F19</f>
        <v>0</v>
      </c>
      <c r="E19" s="150">
        <f>'[1]February - 2023'!G18</f>
        <v>557</v>
      </c>
      <c r="F19" s="150">
        <f>'[1]February - 2023'!H18</f>
        <v>0</v>
      </c>
      <c r="G19" s="151">
        <f>'[1]February - 2023'!I19</f>
        <v>0</v>
      </c>
      <c r="H19" s="150">
        <f>'[1]February - 2023'!J18</f>
        <v>118068</v>
      </c>
      <c r="I19" s="239">
        <f>'[1]February - 2023'!K18</f>
        <v>0</v>
      </c>
      <c r="J19" s="151">
        <f>'[1]February - 2023'!L18</f>
        <v>0</v>
      </c>
      <c r="K19" s="239">
        <f>'[1]February - 2023'!N18</f>
        <v>0</v>
      </c>
      <c r="L19" s="151">
        <f>'[1]February - 2023'!O18</f>
        <v>0</v>
      </c>
      <c r="M19" s="239">
        <f>'[1]February - 2023'!Q18</f>
        <v>0</v>
      </c>
      <c r="N19" s="151">
        <f>'[1]February - 2023'!R18</f>
        <v>0</v>
      </c>
      <c r="O19" s="239">
        <f>'[1]February - 2023'!U18</f>
        <v>0</v>
      </c>
      <c r="P19" s="151">
        <f>'[1]February - 2023'!V18</f>
        <v>0</v>
      </c>
      <c r="Q19" s="150">
        <f>'[1]February - 2023'!W18</f>
        <v>41.699999999953434</v>
      </c>
      <c r="R19" s="239">
        <f>'[1]February - 2023'!X18</f>
        <v>0</v>
      </c>
      <c r="S19" s="187">
        <f>'[1]February - 2023'!Y18</f>
        <v>0</v>
      </c>
      <c r="T19" s="444"/>
      <c r="U19" s="244">
        <f>'[1]February - 2023'!AE18</f>
        <v>0</v>
      </c>
      <c r="V19" s="265">
        <f>'[1]February - 2023'!AF18</f>
        <v>0</v>
      </c>
      <c r="W19" s="88">
        <f>'[1]February - 2023'!AG18</f>
        <v>1997.5200000004843</v>
      </c>
      <c r="X19" s="261">
        <f>'[1]February - 2023'!AH18</f>
        <v>0</v>
      </c>
      <c r="Y19" s="265">
        <f>'[1]February - 2023'!AI18</f>
        <v>0</v>
      </c>
      <c r="Z19" s="88">
        <f>'[1]February - 2023'!AJ18</f>
        <v>4579.679999999702</v>
      </c>
      <c r="AA19" s="261">
        <f>'[1]February - 2023'!AK18</f>
        <v>0</v>
      </c>
      <c r="AB19" s="265">
        <f>'[1]February - 2023'!AL18</f>
        <v>0</v>
      </c>
      <c r="AC19" s="88">
        <f>'[1]February - 2023'!AM18</f>
        <v>1364.160000000149</v>
      </c>
      <c r="AD19" s="261">
        <f>'[1]February - 2023'!AN18</f>
        <v>0</v>
      </c>
      <c r="AE19" s="265">
        <f>'[1]February - 2023'!AO18</f>
        <v>0</v>
      </c>
      <c r="AF19" s="88">
        <f>'[1]February - 2023'!AP18</f>
        <v>8720.8799999989569</v>
      </c>
      <c r="AG19" s="261">
        <f>'[1]February - 2023'!AQ18</f>
        <v>0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0</v>
      </c>
      <c r="AK19" s="265">
        <f>'[1]February - 2023'!AU18</f>
        <v>0</v>
      </c>
      <c r="AL19" s="88">
        <f>'[1]February - 2023'!AV18</f>
        <v>5895.1200000010431</v>
      </c>
      <c r="AM19" s="261">
        <f>'[1]February - 2023'!AW18</f>
        <v>0</v>
      </c>
      <c r="AN19" s="265">
        <f>'[1]February - 2023'!AX18</f>
        <v>0</v>
      </c>
      <c r="AO19" s="88">
        <f>'[1]February - 2023'!AY18</f>
        <v>3848.8800000008196</v>
      </c>
      <c r="AP19" s="261">
        <f>'[1]February - 2023'!AZ18</f>
        <v>0</v>
      </c>
      <c r="AQ19" s="265">
        <f>'[1]February - 2023'!BA18</f>
        <v>0</v>
      </c>
      <c r="AR19" s="88">
        <f>'[1]February - 2023'!BB18</f>
        <v>4189.9199999999255</v>
      </c>
      <c r="AS19" s="261">
        <f>'[1]February - 2023'!BC18</f>
        <v>0</v>
      </c>
      <c r="AT19" s="265">
        <f>'[1]February - 2023'!BD18</f>
        <v>0</v>
      </c>
      <c r="AU19" s="88">
        <f>'[1]February - 2023'!BE18</f>
        <v>3069.359999999404</v>
      </c>
      <c r="AV19" s="261">
        <f>'[1]February - 2023'!BF18</f>
        <v>0</v>
      </c>
      <c r="AW19" s="229">
        <f>'[1]February - 2023'!BG18</f>
        <v>0</v>
      </c>
      <c r="AX19" s="230">
        <f>'[1]February - 2023'!BH18</f>
        <v>5554.0800000000745</v>
      </c>
      <c r="AY19" s="461"/>
      <c r="AZ19" s="247">
        <f>'[1]February - 2023'!BM18</f>
        <v>0</v>
      </c>
      <c r="BA19" s="160">
        <f>'[1]February - 2023'!BN18</f>
        <v>0</v>
      </c>
      <c r="BB19" s="89">
        <f>'[1]February - 2023'!BO19</f>
        <v>0</v>
      </c>
      <c r="BC19" s="247">
        <f>'[1]February - 2023'!BP18</f>
        <v>0</v>
      </c>
      <c r="BD19" s="223">
        <f>'[1]February - 2023'!BQ18</f>
        <v>0</v>
      </c>
      <c r="BE19" s="89">
        <f>'[1]February - 2023'!BR18</f>
        <v>38100</v>
      </c>
      <c r="BF19" s="247">
        <f>'[1]February - 2023'!BS18</f>
        <v>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0</v>
      </c>
      <c r="BT19" s="165">
        <f>'[1]February - 2023'!BW18</f>
        <v>0</v>
      </c>
      <c r="BU19" s="557"/>
      <c r="BV19" s="84">
        <f>'[1]February - 2023'!BY18</f>
        <v>0</v>
      </c>
      <c r="BW19" s="219">
        <f>'[1]February - 2023'!BZ18</f>
        <v>0</v>
      </c>
      <c r="BX19" s="84">
        <f>'[1]February - 2023'!CA18</f>
        <v>9.9999999999999978E-2</v>
      </c>
      <c r="BY19" s="85">
        <f>'[1]February - 2023'!CB18</f>
        <v>0</v>
      </c>
      <c r="BZ19" s="171">
        <f>'[1]February - 2023'!CC18</f>
        <v>0</v>
      </c>
      <c r="CA19" s="85">
        <f>'[1]February - 2023'!CD18</f>
        <v>0</v>
      </c>
      <c r="CB19" s="171">
        <f>'[1]February - 2023'!CE18</f>
        <v>0</v>
      </c>
      <c r="CC19" s="85">
        <f>'[1]February - 2023'!CF18</f>
        <v>0</v>
      </c>
      <c r="CD19" s="171">
        <f>'[1]February - 2023'!CG18</f>
        <v>0</v>
      </c>
      <c r="CE19" s="85">
        <f>'[1]February - 2023'!CH18</f>
        <v>0</v>
      </c>
      <c r="CF19" s="171">
        <f>'[1]February - 2023'!CI18</f>
        <v>0</v>
      </c>
      <c r="CG19" s="85">
        <f>'[1]February - 2023'!CJ18</f>
        <v>0</v>
      </c>
      <c r="CH19" s="171">
        <f>'[1]February - 2023'!CK18</f>
        <v>0</v>
      </c>
      <c r="CI19" s="85">
        <f>'[1]February - 2023'!CL18</f>
        <v>0</v>
      </c>
      <c r="CJ19" s="171">
        <f>'[1]February - 2023'!CM18</f>
        <v>0</v>
      </c>
      <c r="CK19" s="85">
        <f>'[1]February - 2023'!CN18</f>
        <v>0</v>
      </c>
      <c r="CL19" s="224">
        <f>'[1]February - 2023'!CO18</f>
        <v>0</v>
      </c>
      <c r="CM19" s="85">
        <f>'[1]February - 2023'!CP18</f>
        <v>108</v>
      </c>
      <c r="CN19" s="85">
        <f>'[1]February - 2023'!CQ18</f>
        <v>0</v>
      </c>
      <c r="CO19" s="224">
        <f>'[1]February - 2023'!CR18</f>
        <v>0</v>
      </c>
      <c r="CP19" s="85">
        <f>'[1]February - 2023'!CV18</f>
        <v>226</v>
      </c>
      <c r="CQ19" s="85">
        <f>'[1]February - 2023'!CT18</f>
        <v>0</v>
      </c>
      <c r="CR19" s="224">
        <f>'[1]February - 2023'!CU18</f>
        <v>0</v>
      </c>
      <c r="CS19" s="85">
        <f>'[1]February - 2023'!CV18</f>
        <v>226</v>
      </c>
      <c r="CT19" s="85">
        <f>'[1]February - 2023'!CW18</f>
        <v>0</v>
      </c>
      <c r="CU19" s="171">
        <f>'[1]February - 2023'!CX18</f>
        <v>0</v>
      </c>
      <c r="CV19" s="485"/>
      <c r="CW19" s="259">
        <f>'[1]February - 2023'!CZ18</f>
        <v>0</v>
      </c>
      <c r="CX19" s="262">
        <f>'[1]February - 2023'!DA18</f>
        <v>0</v>
      </c>
      <c r="CY19" s="260">
        <f>'[1]February - 2023'!DB18</f>
        <v>0</v>
      </c>
      <c r="CZ19" s="262">
        <f>'[1]February - 2023'!DC18</f>
        <v>0</v>
      </c>
      <c r="DA19" s="260">
        <f>'[1]February - 2023'!DD18</f>
        <v>0</v>
      </c>
      <c r="DB19" s="262">
        <f>'[1]February - 2023'!DE18</f>
        <v>0</v>
      </c>
      <c r="DC19" s="260">
        <f>'[1]February - 2023'!DF18</f>
        <v>0</v>
      </c>
      <c r="DD19" s="262">
        <f>'[1]February - 2023'!DG18</f>
        <v>0</v>
      </c>
      <c r="DE19" s="260">
        <f>'[1]February - 2023'!DH18</f>
        <v>0</v>
      </c>
      <c r="DF19" s="262">
        <f>'[1]February - 2023'!DI18</f>
        <v>0</v>
      </c>
      <c r="DG19" s="260">
        <f>'[1]February - 2023'!DJ18</f>
        <v>0</v>
      </c>
      <c r="DH19" s="262">
        <f>'[1]February - 2023'!DK18</f>
        <v>0</v>
      </c>
      <c r="DI19" s="260">
        <f>'[1]February - 2023'!DL18</f>
        <v>0</v>
      </c>
      <c r="DJ19" s="262">
        <f>'[1]February - 2023'!DM18</f>
        <v>0</v>
      </c>
      <c r="DK19" s="260">
        <f>'[1]February - 2023'!DN18</f>
        <v>0</v>
      </c>
      <c r="DL19" s="262">
        <f>'[1]February - 2023'!DO18</f>
        <v>0</v>
      </c>
      <c r="DM19" s="260">
        <f>'[1]February - 2023'!DP18</f>
        <v>0</v>
      </c>
      <c r="DN19" s="262">
        <f>'[1]February - 2023'!DQ18</f>
        <v>0</v>
      </c>
      <c r="DO19" s="260">
        <f>'[1]February - 2023'!DR18</f>
        <v>0</v>
      </c>
      <c r="DP19" s="262">
        <f>'[1]February - 2023'!DS18</f>
        <v>0</v>
      </c>
      <c r="DQ19" s="260">
        <f>'[1]February - 2023'!DT18</f>
        <v>0</v>
      </c>
      <c r="DR19" s="263">
        <f>'[1]February - 2023'!DU18</f>
        <v>0</v>
      </c>
      <c r="DS19" s="501"/>
      <c r="DT19" s="189">
        <f>'[1]February - 2023'!DW18</f>
        <v>0</v>
      </c>
      <c r="DU19" s="200">
        <f>'[1]February - 2023'!DX18</f>
        <v>0</v>
      </c>
      <c r="DV19" s="87">
        <f>'[1]February - 2023'!DY18</f>
        <v>0</v>
      </c>
      <c r="DW19" s="194">
        <f>'[1]February - 2023'!DZ18</f>
        <v>0</v>
      </c>
      <c r="DX19" s="87">
        <f>'[1]February - 2023'!EA18</f>
        <v>0</v>
      </c>
      <c r="DY19" s="194">
        <f>'[1]February - 2023'!EB18</f>
        <v>0</v>
      </c>
      <c r="DZ19" s="87">
        <f>'[1]February - 2023'!EC18</f>
        <v>0</v>
      </c>
      <c r="EA19" s="194">
        <f>'[1]February - 2023'!ED18</f>
        <v>0</v>
      </c>
      <c r="EB19" s="87">
        <f>'[1]February - 2023'!EE18</f>
        <v>0</v>
      </c>
      <c r="EC19" s="194">
        <f>'[1]February - 2023'!EF18</f>
        <v>0</v>
      </c>
      <c r="ED19" s="87">
        <f>'[1]February - 2023'!EI18</f>
        <v>0</v>
      </c>
      <c r="EE19" s="207">
        <f>'[1]February - 2023'!EJ18</f>
        <v>0</v>
      </c>
      <c r="EF19" s="548"/>
      <c r="EG19" s="213">
        <f>'[1]February - 2023'!EL18</f>
        <v>0</v>
      </c>
      <c r="EH19" s="208">
        <f>'[1]February - 2023'!EM18</f>
        <v>0</v>
      </c>
      <c r="EI19" s="86">
        <f>'[1]February - 2023'!EN18</f>
        <v>0</v>
      </c>
      <c r="EJ19" s="208">
        <f>'[1]February - 2023'!EO18</f>
        <v>0</v>
      </c>
      <c r="EK19" s="86">
        <f>'[1]February - 2023'!EP18</f>
        <v>0</v>
      </c>
      <c r="EL19" s="208">
        <f>'[1]February - 2023'!EQ18</f>
        <v>0</v>
      </c>
      <c r="EM19" s="86">
        <f>'[1]February - 2023'!ER18</f>
        <v>0</v>
      </c>
      <c r="EN19" s="208">
        <f>'[1]February - 2023'!ES18</f>
        <v>0</v>
      </c>
      <c r="EO19" s="86">
        <f>'[1]February - 2023'!ET18</f>
        <v>0</v>
      </c>
      <c r="EP19" s="208">
        <f>'[1]February - 2023'!EU18</f>
        <v>0</v>
      </c>
      <c r="EQ19" s="86">
        <f>'[1]February - 2023'!EV18</f>
        <v>0</v>
      </c>
      <c r="ER19" s="208">
        <f>'[1]February - 2023'!EW18</f>
        <v>0</v>
      </c>
      <c r="ES19" s="523"/>
      <c r="ET19" s="253">
        <f>'[1]February - 2023'!EY18</f>
        <v>0</v>
      </c>
      <c r="EU19" s="266">
        <f>'[1]February - 2023'!EZ18</f>
        <v>0</v>
      </c>
      <c r="EV19" s="254">
        <f>'[1]February - 2023'!FA18</f>
        <v>0</v>
      </c>
      <c r="EW19" s="266">
        <f>'[1]February - 2023'!FB18</f>
        <v>0</v>
      </c>
      <c r="EX19" s="254">
        <f>'[1]February - 2023'!FC18</f>
        <v>0</v>
      </c>
      <c r="EY19" s="266">
        <f>'[1]February - 2023'!FD18</f>
        <v>0</v>
      </c>
      <c r="EZ19" s="254">
        <f>'[1]February - 2023'!FE18</f>
        <v>0</v>
      </c>
      <c r="FA19" s="266">
        <f>'[1]February - 2023'!FF18</f>
        <v>0</v>
      </c>
      <c r="FB19" s="254">
        <f>'[1]February - 2023'!FG18</f>
        <v>0</v>
      </c>
      <c r="FC19" s="264">
        <f>'[1]February - 2023'!FH18</f>
        <v>0</v>
      </c>
    </row>
    <row r="20" spans="1:159" ht="30" customHeight="1" x14ac:dyDescent="0.25">
      <c r="A20" s="186">
        <v>44968</v>
      </c>
      <c r="B20" s="188">
        <f>'[1]February - 2023'!B19</f>
        <v>0</v>
      </c>
      <c r="C20" s="228">
        <f>'[1]February - 2023'!E19</f>
        <v>0</v>
      </c>
      <c r="D20" s="151">
        <f>'[1]February - 2023'!F20</f>
        <v>0</v>
      </c>
      <c r="E20" s="150">
        <f>'[1]February - 2023'!G19</f>
        <v>568</v>
      </c>
      <c r="F20" s="150">
        <f>'[1]February - 2023'!H19</f>
        <v>0</v>
      </c>
      <c r="G20" s="151">
        <f>'[1]February - 2023'!I20</f>
        <v>0</v>
      </c>
      <c r="H20" s="150">
        <f>'[1]February - 2023'!J19</f>
        <v>118505</v>
      </c>
      <c r="I20" s="239">
        <f>'[1]February - 2023'!K19</f>
        <v>0</v>
      </c>
      <c r="J20" s="151">
        <f>'[1]February - 2023'!L19</f>
        <v>0</v>
      </c>
      <c r="K20" s="239">
        <f>'[1]February - 2023'!N19</f>
        <v>0</v>
      </c>
      <c r="L20" s="151">
        <f>'[1]February - 2023'!O19</f>
        <v>0</v>
      </c>
      <c r="M20" s="239">
        <f>'[1]February - 2023'!Q19</f>
        <v>0</v>
      </c>
      <c r="N20" s="151">
        <f>'[1]February - 2023'!R19</f>
        <v>0</v>
      </c>
      <c r="O20" s="239">
        <f>'[1]February - 2023'!U19</f>
        <v>0</v>
      </c>
      <c r="P20" s="151">
        <f>'[1]February - 2023'!V19</f>
        <v>0</v>
      </c>
      <c r="Q20" s="150">
        <f>'[1]February - 2023'!W19</f>
        <v>57.300000000046566</v>
      </c>
      <c r="R20" s="239">
        <f>'[1]February - 2023'!X19</f>
        <v>0</v>
      </c>
      <c r="S20" s="187">
        <f>'[1]February - 2023'!Y19</f>
        <v>0</v>
      </c>
      <c r="T20" s="444"/>
      <c r="U20" s="244">
        <f>'[1]February - 2023'!AE19</f>
        <v>0</v>
      </c>
      <c r="V20" s="265">
        <f>'[1]February - 2023'!AF19</f>
        <v>0</v>
      </c>
      <c r="W20" s="88">
        <f>'[1]February - 2023'!AG19</f>
        <v>2094.9599999999627</v>
      </c>
      <c r="X20" s="261">
        <f>'[1]February - 2023'!AH19</f>
        <v>0</v>
      </c>
      <c r="Y20" s="265">
        <f>'[1]February - 2023'!AI19</f>
        <v>0</v>
      </c>
      <c r="Z20" s="88">
        <f>'[1]February - 2023'!AJ19</f>
        <v>4482.2400000002235</v>
      </c>
      <c r="AA20" s="261">
        <f>'[1]February - 2023'!AK19</f>
        <v>0</v>
      </c>
      <c r="AB20" s="265">
        <f>'[1]February - 2023'!AL19</f>
        <v>0</v>
      </c>
      <c r="AC20" s="88">
        <f>'[1]February - 2023'!AM19</f>
        <v>1364.160000000149</v>
      </c>
      <c r="AD20" s="261">
        <f>'[1]February - 2023'!AN19</f>
        <v>0</v>
      </c>
      <c r="AE20" s="265">
        <f>'[1]February - 2023'!AO19</f>
        <v>0</v>
      </c>
      <c r="AF20" s="88">
        <f>'[1]February - 2023'!AP19</f>
        <v>8769.6000000014901</v>
      </c>
      <c r="AG20" s="261">
        <f>'[1]February - 2023'!AQ19</f>
        <v>0</v>
      </c>
      <c r="AH20" s="265">
        <f>'[1]February - 2023'!AR19</f>
        <v>0</v>
      </c>
      <c r="AI20" s="88">
        <f>'[1]February - 2023'!AS19</f>
        <v>0</v>
      </c>
      <c r="AJ20" s="261">
        <f>'[1]February - 2023'!AT19</f>
        <v>0</v>
      </c>
      <c r="AK20" s="265">
        <f>'[1]February - 2023'!AU19</f>
        <v>0</v>
      </c>
      <c r="AL20" s="88">
        <f>'[1]February - 2023'!AV19</f>
        <v>5943.839999999851</v>
      </c>
      <c r="AM20" s="261">
        <f>'[1]February - 2023'!AW19</f>
        <v>0</v>
      </c>
      <c r="AN20" s="265">
        <f>'[1]February - 2023'!AX19</f>
        <v>0</v>
      </c>
      <c r="AO20" s="88">
        <f>'[1]February - 2023'!AY19</f>
        <v>4238.6399999987334</v>
      </c>
      <c r="AP20" s="261">
        <f>'[1]February - 2023'!AZ19</f>
        <v>0</v>
      </c>
      <c r="AQ20" s="265">
        <f>'[1]February - 2023'!BA19</f>
        <v>0</v>
      </c>
      <c r="AR20" s="88">
        <f>'[1]February - 2023'!BB19</f>
        <v>4482.2400000002235</v>
      </c>
      <c r="AS20" s="261">
        <f>'[1]February - 2023'!BC19</f>
        <v>0</v>
      </c>
      <c r="AT20" s="265">
        <f>'[1]February - 2023'!BD19</f>
        <v>0</v>
      </c>
      <c r="AU20" s="88">
        <f>'[1]February - 2023'!BE19</f>
        <v>3069.3600000012666</v>
      </c>
      <c r="AV20" s="261">
        <f>'[1]February - 2023'!BF19</f>
        <v>0</v>
      </c>
      <c r="AW20" s="229">
        <f>'[1]February - 2023'!BG19</f>
        <v>0</v>
      </c>
      <c r="AX20" s="230">
        <f>'[1]February - 2023'!BH19</f>
        <v>5602.8000000007451</v>
      </c>
      <c r="AY20" s="461"/>
      <c r="AZ20" s="247">
        <f>'[1]February - 2023'!BM19</f>
        <v>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0</v>
      </c>
      <c r="BD20" s="223">
        <f>'[1]February - 2023'!BQ19</f>
        <v>0</v>
      </c>
      <c r="BE20" s="89">
        <f>'[1]February - 2023'!BR19</f>
        <v>39200</v>
      </c>
      <c r="BF20" s="247">
        <f>'[1]February - 2023'!BS19</f>
        <v>0</v>
      </c>
      <c r="BG20" s="223">
        <f>'[1]February - 2023'!BT19</f>
        <v>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0</v>
      </c>
      <c r="BT20" s="165">
        <f>'[1]February - 2023'!BW19</f>
        <v>0</v>
      </c>
      <c r="BU20" s="557"/>
      <c r="BV20" s="84">
        <f>'[1]February - 2023'!BY19</f>
        <v>0</v>
      </c>
      <c r="BW20" s="219">
        <f>'[1]February - 2023'!BZ19</f>
        <v>0</v>
      </c>
      <c r="BX20" s="84">
        <f>'[1]February - 2023'!CA19</f>
        <v>-0.13</v>
      </c>
      <c r="BY20" s="85">
        <f>'[1]February - 2023'!CB19</f>
        <v>0</v>
      </c>
      <c r="BZ20" s="171">
        <f>'[1]February - 2023'!CC19</f>
        <v>0</v>
      </c>
      <c r="CA20" s="85">
        <f>'[1]February - 2023'!CD19</f>
        <v>0</v>
      </c>
      <c r="CB20" s="171">
        <f>'[1]February - 2023'!CE19</f>
        <v>0</v>
      </c>
      <c r="CC20" s="85">
        <f>'[1]February - 2023'!CF19</f>
        <v>0</v>
      </c>
      <c r="CD20" s="171">
        <f>'[1]February - 2023'!CG19</f>
        <v>0</v>
      </c>
      <c r="CE20" s="85">
        <f>'[1]February - 2023'!CH19</f>
        <v>0</v>
      </c>
      <c r="CF20" s="171">
        <f>'[1]February - 2023'!CI19</f>
        <v>0</v>
      </c>
      <c r="CG20" s="85">
        <f>'[1]February - 2023'!CJ19</f>
        <v>0</v>
      </c>
      <c r="CH20" s="171">
        <f>'[1]February - 2023'!CK19</f>
        <v>0</v>
      </c>
      <c r="CI20" s="85">
        <f>'[1]February - 2023'!CL19</f>
        <v>0</v>
      </c>
      <c r="CJ20" s="171">
        <f>'[1]February - 2023'!CM19</f>
        <v>0</v>
      </c>
      <c r="CK20" s="85">
        <f>'[1]February - 2023'!CN19</f>
        <v>0</v>
      </c>
      <c r="CL20" s="224">
        <f>'[1]February - 2023'!CO19</f>
        <v>0</v>
      </c>
      <c r="CM20" s="85">
        <f>'[1]February - 2023'!CP19</f>
        <v>105</v>
      </c>
      <c r="CN20" s="85">
        <f>'[1]February - 2023'!CQ19</f>
        <v>0</v>
      </c>
      <c r="CO20" s="224">
        <f>'[1]February - 2023'!CR19</f>
        <v>0</v>
      </c>
      <c r="CP20" s="85">
        <f>'[1]February - 2023'!CV19</f>
        <v>266</v>
      </c>
      <c r="CQ20" s="85">
        <f>'[1]February - 2023'!CT19</f>
        <v>0</v>
      </c>
      <c r="CR20" s="224">
        <f>'[1]February - 2023'!CU19</f>
        <v>0</v>
      </c>
      <c r="CS20" s="85">
        <f>'[1]February - 2023'!CV19</f>
        <v>266</v>
      </c>
      <c r="CT20" s="85">
        <f>'[1]February - 2023'!CW19</f>
        <v>0</v>
      </c>
      <c r="CU20" s="171">
        <f>'[1]February - 2023'!CX19</f>
        <v>0</v>
      </c>
      <c r="CV20" s="485"/>
      <c r="CW20" s="259">
        <f>'[1]February - 2023'!CZ19</f>
        <v>0</v>
      </c>
      <c r="CX20" s="262">
        <f>'[1]February - 2023'!DA19</f>
        <v>0</v>
      </c>
      <c r="CY20" s="260">
        <f>'[1]February - 2023'!DB19</f>
        <v>0</v>
      </c>
      <c r="CZ20" s="262">
        <f>'[1]February - 2023'!DC19</f>
        <v>0</v>
      </c>
      <c r="DA20" s="260">
        <f>'[1]February - 2023'!DD19</f>
        <v>0</v>
      </c>
      <c r="DB20" s="262">
        <f>'[1]February - 2023'!DE19</f>
        <v>0</v>
      </c>
      <c r="DC20" s="260">
        <f>'[1]February - 2023'!DF19</f>
        <v>0</v>
      </c>
      <c r="DD20" s="262">
        <f>'[1]February - 2023'!DG19</f>
        <v>0</v>
      </c>
      <c r="DE20" s="260">
        <f>'[1]February - 2023'!DH19</f>
        <v>0</v>
      </c>
      <c r="DF20" s="262">
        <f>'[1]February - 2023'!DI19</f>
        <v>0</v>
      </c>
      <c r="DG20" s="260">
        <f>'[1]February - 2023'!DJ19</f>
        <v>0</v>
      </c>
      <c r="DH20" s="262">
        <f>'[1]February - 2023'!DK19</f>
        <v>0</v>
      </c>
      <c r="DI20" s="260">
        <f>'[1]February - 2023'!DL19</f>
        <v>0</v>
      </c>
      <c r="DJ20" s="262">
        <f>'[1]February - 2023'!DM19</f>
        <v>0</v>
      </c>
      <c r="DK20" s="260">
        <f>'[1]February - 2023'!DN19</f>
        <v>0</v>
      </c>
      <c r="DL20" s="262">
        <f>'[1]February - 2023'!DO19</f>
        <v>0</v>
      </c>
      <c r="DM20" s="260">
        <f>'[1]February - 2023'!DP19</f>
        <v>0</v>
      </c>
      <c r="DN20" s="262">
        <f>'[1]February - 2023'!DQ19</f>
        <v>0</v>
      </c>
      <c r="DO20" s="260">
        <f>'[1]February - 2023'!DR19</f>
        <v>0</v>
      </c>
      <c r="DP20" s="262">
        <f>'[1]February - 2023'!DS19</f>
        <v>0</v>
      </c>
      <c r="DQ20" s="260">
        <f>'[1]February - 2023'!DT19</f>
        <v>0</v>
      </c>
      <c r="DR20" s="263">
        <f>'[1]February - 2023'!DU19</f>
        <v>0</v>
      </c>
      <c r="DS20" s="501"/>
      <c r="DT20" s="189">
        <f>'[1]February - 2023'!DW19</f>
        <v>0</v>
      </c>
      <c r="DU20" s="200">
        <f>'[1]February - 2023'!DX19</f>
        <v>0</v>
      </c>
      <c r="DV20" s="87">
        <f>'[1]February - 2023'!DY19</f>
        <v>0</v>
      </c>
      <c r="DW20" s="194">
        <f>'[1]February - 2023'!DZ19</f>
        <v>0</v>
      </c>
      <c r="DX20" s="87">
        <f>'[1]February - 2023'!EA19</f>
        <v>0</v>
      </c>
      <c r="DY20" s="194">
        <f>'[1]February - 2023'!EB19</f>
        <v>0</v>
      </c>
      <c r="DZ20" s="87">
        <f>'[1]February - 2023'!EC19</f>
        <v>0</v>
      </c>
      <c r="EA20" s="194">
        <f>'[1]February - 2023'!ED19</f>
        <v>0</v>
      </c>
      <c r="EB20" s="87">
        <f>'[1]February - 2023'!EE19</f>
        <v>0</v>
      </c>
      <c r="EC20" s="194">
        <f>'[1]February - 2023'!EF19</f>
        <v>0</v>
      </c>
      <c r="ED20" s="87">
        <f>'[1]February - 2023'!EI19</f>
        <v>0</v>
      </c>
      <c r="EE20" s="207">
        <f>'[1]February - 2023'!EJ19</f>
        <v>0</v>
      </c>
      <c r="EF20" s="548"/>
      <c r="EG20" s="213">
        <f>'[1]February - 2023'!EL19</f>
        <v>0</v>
      </c>
      <c r="EH20" s="208">
        <f>'[1]February - 2023'!EM19</f>
        <v>0</v>
      </c>
      <c r="EI20" s="86">
        <f>'[1]February - 2023'!EN19</f>
        <v>0</v>
      </c>
      <c r="EJ20" s="208">
        <f>'[1]February - 2023'!EO19</f>
        <v>0</v>
      </c>
      <c r="EK20" s="86">
        <f>'[1]February - 2023'!EP19</f>
        <v>0</v>
      </c>
      <c r="EL20" s="208">
        <f>'[1]February - 2023'!EQ19</f>
        <v>0</v>
      </c>
      <c r="EM20" s="86">
        <f>'[1]February - 2023'!ER19</f>
        <v>0</v>
      </c>
      <c r="EN20" s="208">
        <f>'[1]February - 2023'!ES19</f>
        <v>0</v>
      </c>
      <c r="EO20" s="86">
        <f>'[1]February - 2023'!ET19</f>
        <v>0</v>
      </c>
      <c r="EP20" s="208">
        <f>'[1]February - 2023'!EU19</f>
        <v>0</v>
      </c>
      <c r="EQ20" s="86">
        <f>'[1]February - 2023'!EV19</f>
        <v>0</v>
      </c>
      <c r="ER20" s="208">
        <f>'[1]February - 2023'!EW19</f>
        <v>0</v>
      </c>
      <c r="ES20" s="523"/>
      <c r="ET20" s="253">
        <f>'[1]February - 2023'!EY19</f>
        <v>0</v>
      </c>
      <c r="EU20" s="266">
        <f>'[1]February - 2023'!EZ19</f>
        <v>0</v>
      </c>
      <c r="EV20" s="254">
        <f>'[1]February - 2023'!FA19</f>
        <v>0</v>
      </c>
      <c r="EW20" s="266">
        <f>'[1]February - 2023'!FB19</f>
        <v>0</v>
      </c>
      <c r="EX20" s="254">
        <f>'[1]February - 2023'!FC19</f>
        <v>0</v>
      </c>
      <c r="EY20" s="266">
        <f>'[1]February - 2023'!FD19</f>
        <v>0</v>
      </c>
      <c r="EZ20" s="254">
        <f>'[1]February - 2023'!FE19</f>
        <v>0</v>
      </c>
      <c r="FA20" s="266">
        <f>'[1]February - 2023'!FF19</f>
        <v>0</v>
      </c>
      <c r="FB20" s="254">
        <f>'[1]February - 2023'!FG19</f>
        <v>0</v>
      </c>
      <c r="FC20" s="264">
        <f>'[1]February - 2023'!FH19</f>
        <v>0</v>
      </c>
    </row>
    <row r="21" spans="1:159" ht="30" customHeight="1" x14ac:dyDescent="0.25">
      <c r="A21" s="186">
        <v>44969</v>
      </c>
      <c r="B21" s="188">
        <f>'[1]February - 2023'!B20</f>
        <v>0</v>
      </c>
      <c r="C21" s="228">
        <f>'[1]February - 2023'!E20</f>
        <v>0</v>
      </c>
      <c r="D21" s="151">
        <f>'[1]February - 2023'!F21</f>
        <v>0</v>
      </c>
      <c r="E21" s="150">
        <f>'[1]February - 2023'!G20</f>
        <v>614</v>
      </c>
      <c r="F21" s="150">
        <f>'[1]February - 2023'!H20</f>
        <v>0</v>
      </c>
      <c r="G21" s="151">
        <f>'[1]February - 2023'!I21</f>
        <v>0</v>
      </c>
      <c r="H21" s="150">
        <f>'[1]February - 2023'!J20</f>
        <v>118989</v>
      </c>
      <c r="I21" s="239">
        <f>'[1]February - 2023'!K20</f>
        <v>0</v>
      </c>
      <c r="J21" s="151">
        <f>'[1]February - 2023'!L20</f>
        <v>0</v>
      </c>
      <c r="K21" s="239">
        <f>'[1]February - 2023'!N20</f>
        <v>0</v>
      </c>
      <c r="L21" s="151">
        <f>'[1]February - 2023'!O20</f>
        <v>0</v>
      </c>
      <c r="M21" s="239">
        <f>'[1]February - 2023'!Q20</f>
        <v>0</v>
      </c>
      <c r="N21" s="151">
        <f>'[1]February - 2023'!R20</f>
        <v>0</v>
      </c>
      <c r="O21" s="239">
        <f>'[1]February - 2023'!U20</f>
        <v>0</v>
      </c>
      <c r="P21" s="151">
        <f>'[1]February - 2023'!V20</f>
        <v>0</v>
      </c>
      <c r="Q21" s="150">
        <f>'[1]February - 2023'!W20</f>
        <v>207</v>
      </c>
      <c r="R21" s="239">
        <f>'[1]February - 2023'!X20</f>
        <v>0</v>
      </c>
      <c r="S21" s="187">
        <f>'[1]February - 2023'!Y20</f>
        <v>0</v>
      </c>
      <c r="T21" s="444"/>
      <c r="U21" s="244">
        <f>'[1]February - 2023'!AE20</f>
        <v>0</v>
      </c>
      <c r="V21" s="265">
        <f>'[1]February - 2023'!AF20</f>
        <v>0</v>
      </c>
      <c r="W21" s="88">
        <f>'[1]February - 2023'!AG20</f>
        <v>2241.1200000001118</v>
      </c>
      <c r="X21" s="261">
        <f>'[1]February - 2023'!AH20</f>
        <v>0</v>
      </c>
      <c r="Y21" s="265">
        <f>'[1]February - 2023'!AI20</f>
        <v>0</v>
      </c>
      <c r="Z21" s="88">
        <f>'[1]February - 2023'!AJ20</f>
        <v>4677.1200000010431</v>
      </c>
      <c r="AA21" s="261">
        <f>'[1]February - 2023'!AK20</f>
        <v>0</v>
      </c>
      <c r="AB21" s="265">
        <f>'[1]February - 2023'!AL20</f>
        <v>0</v>
      </c>
      <c r="AC21" s="88">
        <f>'[1]February - 2023'!AM20</f>
        <v>0</v>
      </c>
      <c r="AD21" s="261">
        <f>'[1]February - 2023'!AN20</f>
        <v>0</v>
      </c>
      <c r="AE21" s="265">
        <f>'[1]February - 2023'!AO20</f>
        <v>0</v>
      </c>
      <c r="AF21" s="88">
        <f>'[1]February - 2023'!AP20</f>
        <v>10913.279999997467</v>
      </c>
      <c r="AG21" s="261">
        <f>'[1]February - 2023'!AQ20</f>
        <v>0</v>
      </c>
      <c r="AH21" s="265">
        <f>'[1]February - 2023'!AR20</f>
        <v>0</v>
      </c>
      <c r="AI21" s="88">
        <f>'[1]February - 2023'!AS20</f>
        <v>0</v>
      </c>
      <c r="AJ21" s="261">
        <f>'[1]February - 2023'!AT20</f>
        <v>0</v>
      </c>
      <c r="AK21" s="265">
        <f>'[1]February - 2023'!AU20</f>
        <v>0</v>
      </c>
      <c r="AL21" s="88">
        <f>'[1]February - 2023'!AV20</f>
        <v>6236.160000000149</v>
      </c>
      <c r="AM21" s="261">
        <f>'[1]February - 2023'!AW20</f>
        <v>0</v>
      </c>
      <c r="AN21" s="265">
        <f>'[1]February - 2023'!AX20</f>
        <v>0</v>
      </c>
      <c r="AO21" s="88">
        <f>'[1]February - 2023'!AY20</f>
        <v>4433.5200000014156</v>
      </c>
      <c r="AP21" s="261">
        <f>'[1]February - 2023'!AZ20</f>
        <v>0</v>
      </c>
      <c r="AQ21" s="265">
        <f>'[1]February - 2023'!BA20</f>
        <v>0</v>
      </c>
      <c r="AR21" s="88">
        <f>'[1]February - 2023'!BB20</f>
        <v>4628.4000000003725</v>
      </c>
      <c r="AS21" s="261">
        <f>'[1]February - 2023'!BC20</f>
        <v>0</v>
      </c>
      <c r="AT21" s="265">
        <f>'[1]February - 2023'!BD20</f>
        <v>0</v>
      </c>
      <c r="AU21" s="88">
        <f>'[1]February - 2023'!BE20</f>
        <v>3264.2399999983609</v>
      </c>
      <c r="AV21" s="261">
        <f>'[1]February - 2023'!BF20</f>
        <v>0</v>
      </c>
      <c r="AW21" s="229">
        <f>'[1]February - 2023'!BG20</f>
        <v>0</v>
      </c>
      <c r="AX21" s="230">
        <f>'[1]February - 2023'!BH20</f>
        <v>5602.7999999988824</v>
      </c>
      <c r="AY21" s="461"/>
      <c r="AZ21" s="247">
        <f>'[1]February - 2023'!BM20</f>
        <v>0</v>
      </c>
      <c r="BA21" s="160">
        <f>'[1]February - 2023'!BN20</f>
        <v>0</v>
      </c>
      <c r="BB21" s="89">
        <f>'[1]February - 2023'!BO21</f>
        <v>0</v>
      </c>
      <c r="BC21" s="247">
        <f>'[1]February - 2023'!BP20</f>
        <v>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0</v>
      </c>
      <c r="BG21" s="223">
        <f>'[1]February - 2023'!BT20</f>
        <v>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0</v>
      </c>
      <c r="BT21" s="165">
        <f>'[1]February - 2023'!BW20</f>
        <v>0</v>
      </c>
      <c r="BU21" s="557"/>
      <c r="BV21" s="84">
        <f>'[1]February - 2023'!BY20</f>
        <v>0</v>
      </c>
      <c r="BW21" s="219">
        <f>'[1]February - 2023'!BZ20</f>
        <v>0</v>
      </c>
      <c r="BX21" s="84">
        <f>'[1]February - 2023'!CA20</f>
        <v>0.12</v>
      </c>
      <c r="BY21" s="85">
        <f>'[1]February - 2023'!CB20</f>
        <v>0</v>
      </c>
      <c r="BZ21" s="171">
        <f>'[1]February - 2023'!CC20</f>
        <v>0</v>
      </c>
      <c r="CA21" s="85">
        <f>'[1]February - 2023'!CD20</f>
        <v>0</v>
      </c>
      <c r="CB21" s="171">
        <f>'[1]February - 2023'!CE20</f>
        <v>0</v>
      </c>
      <c r="CC21" s="85">
        <f>'[1]February - 2023'!CF20</f>
        <v>0</v>
      </c>
      <c r="CD21" s="171">
        <f>'[1]February - 2023'!CG20</f>
        <v>0</v>
      </c>
      <c r="CE21" s="85">
        <f>'[1]February - 2023'!CH20</f>
        <v>0</v>
      </c>
      <c r="CF21" s="171">
        <f>'[1]February - 2023'!CI20</f>
        <v>0</v>
      </c>
      <c r="CG21" s="85">
        <f>'[1]February - 2023'!CJ20</f>
        <v>0</v>
      </c>
      <c r="CH21" s="171">
        <f>'[1]February - 2023'!CK20</f>
        <v>0</v>
      </c>
      <c r="CI21" s="85">
        <f>'[1]February - 2023'!CL20</f>
        <v>0</v>
      </c>
      <c r="CJ21" s="171">
        <f>'[1]February - 2023'!CM20</f>
        <v>0</v>
      </c>
      <c r="CK21" s="85">
        <f>'[1]February - 2023'!CN20</f>
        <v>0</v>
      </c>
      <c r="CL21" s="224">
        <f>'[1]February - 2023'!CO20</f>
        <v>0</v>
      </c>
      <c r="CM21" s="85">
        <f>'[1]February - 2023'!CP20</f>
        <v>100</v>
      </c>
      <c r="CN21" s="85">
        <f>'[1]February - 2023'!CQ20</f>
        <v>0</v>
      </c>
      <c r="CO21" s="224">
        <f>'[1]February - 2023'!CR20</f>
        <v>0</v>
      </c>
      <c r="CP21" s="85">
        <f>'[1]February - 2023'!CV20</f>
        <v>290</v>
      </c>
      <c r="CQ21" s="85">
        <f>'[1]February - 2023'!CT20</f>
        <v>0</v>
      </c>
      <c r="CR21" s="224">
        <f>'[1]February - 2023'!CU20</f>
        <v>0</v>
      </c>
      <c r="CS21" s="85">
        <f>'[1]February - 2023'!CV20</f>
        <v>290</v>
      </c>
      <c r="CT21" s="85">
        <f>'[1]February - 2023'!CW20</f>
        <v>0</v>
      </c>
      <c r="CU21" s="171">
        <f>'[1]February - 2023'!CX20</f>
        <v>0</v>
      </c>
      <c r="CV21" s="485"/>
      <c r="CW21" s="259">
        <f>'[1]February - 2023'!CZ20</f>
        <v>0</v>
      </c>
      <c r="CX21" s="262">
        <f>'[1]February - 2023'!DA20</f>
        <v>0</v>
      </c>
      <c r="CY21" s="260">
        <f>'[1]February - 2023'!DB20</f>
        <v>0</v>
      </c>
      <c r="CZ21" s="262">
        <f>'[1]February - 2023'!DC20</f>
        <v>0</v>
      </c>
      <c r="DA21" s="260">
        <f>'[1]February - 2023'!DD20</f>
        <v>0</v>
      </c>
      <c r="DB21" s="262">
        <f>'[1]February - 2023'!DE20</f>
        <v>0</v>
      </c>
      <c r="DC21" s="260">
        <f>'[1]February - 2023'!DF20</f>
        <v>0</v>
      </c>
      <c r="DD21" s="262">
        <f>'[1]February - 2023'!DG20</f>
        <v>0</v>
      </c>
      <c r="DE21" s="260">
        <f>'[1]February - 2023'!DH20</f>
        <v>0</v>
      </c>
      <c r="DF21" s="262">
        <f>'[1]February - 2023'!DI20</f>
        <v>0</v>
      </c>
      <c r="DG21" s="260">
        <f>'[1]February - 2023'!DJ20</f>
        <v>0</v>
      </c>
      <c r="DH21" s="262">
        <f>'[1]February - 2023'!DK20</f>
        <v>0</v>
      </c>
      <c r="DI21" s="260">
        <f>'[1]February - 2023'!DL20</f>
        <v>0</v>
      </c>
      <c r="DJ21" s="262">
        <f>'[1]February - 2023'!DM20</f>
        <v>0</v>
      </c>
      <c r="DK21" s="260">
        <f>'[1]February - 2023'!DN20</f>
        <v>0</v>
      </c>
      <c r="DL21" s="262">
        <f>'[1]February - 2023'!DO20</f>
        <v>0</v>
      </c>
      <c r="DM21" s="260">
        <f>'[1]February - 2023'!DP20</f>
        <v>0</v>
      </c>
      <c r="DN21" s="262">
        <f>'[1]February - 2023'!DQ20</f>
        <v>0</v>
      </c>
      <c r="DO21" s="260">
        <f>'[1]February - 2023'!DR20</f>
        <v>0</v>
      </c>
      <c r="DP21" s="262">
        <f>'[1]February - 2023'!DS20</f>
        <v>0</v>
      </c>
      <c r="DQ21" s="260">
        <f>'[1]February - 2023'!DT20</f>
        <v>0</v>
      </c>
      <c r="DR21" s="263">
        <f>'[1]February - 2023'!DU20</f>
        <v>0</v>
      </c>
      <c r="DS21" s="501"/>
      <c r="DT21" s="189">
        <f>'[1]February - 2023'!DW20</f>
        <v>0</v>
      </c>
      <c r="DU21" s="200">
        <f>'[1]February - 2023'!DX20</f>
        <v>0</v>
      </c>
      <c r="DV21" s="87">
        <f>'[1]February - 2023'!DY20</f>
        <v>0</v>
      </c>
      <c r="DW21" s="194">
        <f>'[1]February - 2023'!DZ20</f>
        <v>0</v>
      </c>
      <c r="DX21" s="87">
        <f>'[1]February - 2023'!EA20</f>
        <v>0</v>
      </c>
      <c r="DY21" s="194">
        <f>'[1]February - 2023'!EB20</f>
        <v>0</v>
      </c>
      <c r="DZ21" s="87">
        <f>'[1]February - 2023'!EC20</f>
        <v>0</v>
      </c>
      <c r="EA21" s="194">
        <f>'[1]February - 2023'!ED20</f>
        <v>0</v>
      </c>
      <c r="EB21" s="87">
        <f>'[1]February - 2023'!EE20</f>
        <v>0</v>
      </c>
      <c r="EC21" s="194">
        <f>'[1]February - 2023'!EF20</f>
        <v>0</v>
      </c>
      <c r="ED21" s="87">
        <f>'[1]February - 2023'!EI20</f>
        <v>0</v>
      </c>
      <c r="EE21" s="207">
        <f>'[1]February - 2023'!EJ20</f>
        <v>0</v>
      </c>
      <c r="EF21" s="548"/>
      <c r="EG21" s="213">
        <f>'[1]February - 2023'!EL20</f>
        <v>0</v>
      </c>
      <c r="EH21" s="208">
        <f>'[1]February - 2023'!EM20</f>
        <v>0</v>
      </c>
      <c r="EI21" s="86">
        <f>'[1]February - 2023'!EN20</f>
        <v>0</v>
      </c>
      <c r="EJ21" s="208">
        <f>'[1]February - 2023'!EO20</f>
        <v>0</v>
      </c>
      <c r="EK21" s="86">
        <f>'[1]February - 2023'!EP20</f>
        <v>0</v>
      </c>
      <c r="EL21" s="208">
        <f>'[1]February - 2023'!EQ20</f>
        <v>0</v>
      </c>
      <c r="EM21" s="86">
        <f>'[1]February - 2023'!ER20</f>
        <v>0</v>
      </c>
      <c r="EN21" s="208">
        <f>'[1]February - 2023'!ES20</f>
        <v>0</v>
      </c>
      <c r="EO21" s="86">
        <f>'[1]February - 2023'!ET20</f>
        <v>0</v>
      </c>
      <c r="EP21" s="208">
        <f>'[1]February - 2023'!EU20</f>
        <v>0</v>
      </c>
      <c r="EQ21" s="86">
        <f>'[1]February - 2023'!EV20</f>
        <v>0</v>
      </c>
      <c r="ER21" s="208">
        <f>'[1]February - 2023'!EW20</f>
        <v>0</v>
      </c>
      <c r="ES21" s="523"/>
      <c r="ET21" s="253">
        <f>'[1]February - 2023'!EY20</f>
        <v>0</v>
      </c>
      <c r="EU21" s="266">
        <f>'[1]February - 2023'!EZ20</f>
        <v>0</v>
      </c>
      <c r="EV21" s="254">
        <f>'[1]February - 2023'!FA20</f>
        <v>0</v>
      </c>
      <c r="EW21" s="266">
        <f>'[1]February - 2023'!FB20</f>
        <v>0</v>
      </c>
      <c r="EX21" s="254">
        <f>'[1]February - 2023'!FC20</f>
        <v>0</v>
      </c>
      <c r="EY21" s="266">
        <f>'[1]February - 2023'!FD20</f>
        <v>0</v>
      </c>
      <c r="EZ21" s="254">
        <f>'[1]February - 2023'!FE20</f>
        <v>0</v>
      </c>
      <c r="FA21" s="266">
        <f>'[1]February - 2023'!FF20</f>
        <v>0</v>
      </c>
      <c r="FB21" s="254">
        <f>'[1]February - 2023'!FG20</f>
        <v>0</v>
      </c>
      <c r="FC21" s="264">
        <f>'[1]February - 2023'!FH20</f>
        <v>0</v>
      </c>
    </row>
    <row r="22" spans="1:159" ht="30" customHeight="1" x14ac:dyDescent="0.25">
      <c r="A22" s="186">
        <v>44970</v>
      </c>
      <c r="B22" s="188">
        <f>'[1]February - 2023'!B21</f>
        <v>0</v>
      </c>
      <c r="C22" s="228">
        <f>'[1]February - 2023'!E21</f>
        <v>0</v>
      </c>
      <c r="D22" s="151">
        <f>'[1]February - 2023'!F22</f>
        <v>0</v>
      </c>
      <c r="E22" s="150">
        <f>'[1]February - 2023'!G21</f>
        <v>601</v>
      </c>
      <c r="F22" s="150">
        <f>'[1]February - 2023'!H21</f>
        <v>0</v>
      </c>
      <c r="G22" s="151">
        <f>'[1]February - 2023'!I22</f>
        <v>0</v>
      </c>
      <c r="H22" s="150">
        <f>'[1]February - 2023'!J21</f>
        <v>119457</v>
      </c>
      <c r="I22" s="239">
        <f>'[1]February - 2023'!K21</f>
        <v>0</v>
      </c>
      <c r="J22" s="151">
        <f>'[1]February - 2023'!L21</f>
        <v>0</v>
      </c>
      <c r="K22" s="239">
        <f>'[1]February - 2023'!N21</f>
        <v>0</v>
      </c>
      <c r="L22" s="151">
        <f>'[1]February - 2023'!O21</f>
        <v>0</v>
      </c>
      <c r="M22" s="239">
        <f>'[1]February - 2023'!Q21</f>
        <v>0</v>
      </c>
      <c r="N22" s="151">
        <f>'[1]February - 2023'!R21</f>
        <v>0</v>
      </c>
      <c r="O22" s="239">
        <f>'[1]February - 2023'!U21</f>
        <v>0</v>
      </c>
      <c r="P22" s="151">
        <f>'[1]February - 2023'!V21</f>
        <v>0</v>
      </c>
      <c r="Q22" s="150">
        <f>'[1]February - 2023'!W21</f>
        <v>93</v>
      </c>
      <c r="R22" s="239">
        <f>'[1]February - 2023'!X21</f>
        <v>0</v>
      </c>
      <c r="S22" s="187">
        <f>'[1]February - 2023'!Y21</f>
        <v>0</v>
      </c>
      <c r="T22" s="444"/>
      <c r="U22" s="244">
        <f>'[1]February - 2023'!AE21</f>
        <v>0</v>
      </c>
      <c r="V22" s="265">
        <f>'[1]February - 2023'!AF21</f>
        <v>0</v>
      </c>
      <c r="W22" s="88">
        <f>'[1]February - 2023'!AG21</f>
        <v>2046.2399999992922</v>
      </c>
      <c r="X22" s="261">
        <f>'[1]February - 2023'!AH21</f>
        <v>0</v>
      </c>
      <c r="Y22" s="265">
        <f>'[1]February - 2023'!AI21</f>
        <v>0</v>
      </c>
      <c r="Z22" s="88">
        <f>'[1]February - 2023'!AJ21</f>
        <v>4384.7999999988824</v>
      </c>
      <c r="AA22" s="261">
        <f>'[1]February - 2023'!AK21</f>
        <v>0</v>
      </c>
      <c r="AB22" s="265">
        <f>'[1]February - 2023'!AL21</f>
        <v>0</v>
      </c>
      <c r="AC22" s="88">
        <f>'[1]February - 2023'!AM21</f>
        <v>48.720000000670552</v>
      </c>
      <c r="AD22" s="261">
        <f>'[1]February - 2023'!AN21</f>
        <v>0</v>
      </c>
      <c r="AE22" s="265">
        <f>'[1]February - 2023'!AO21</f>
        <v>0</v>
      </c>
      <c r="AF22" s="88">
        <f>'[1]February - 2023'!AP21</f>
        <v>8769.6000000014901</v>
      </c>
      <c r="AG22" s="261">
        <f>'[1]February - 2023'!AQ21</f>
        <v>0</v>
      </c>
      <c r="AH22" s="265">
        <f>'[1]February - 2023'!AR21</f>
        <v>0</v>
      </c>
      <c r="AI22" s="88">
        <f>'[1]February - 2023'!AS21</f>
        <v>0</v>
      </c>
      <c r="AJ22" s="261">
        <f>'[1]February - 2023'!AT21</f>
        <v>0</v>
      </c>
      <c r="AK22" s="265">
        <f>'[1]February - 2023'!AU21</f>
        <v>0</v>
      </c>
      <c r="AL22" s="88">
        <f>'[1]February - 2023'!AV21</f>
        <v>6090</v>
      </c>
      <c r="AM22" s="261">
        <f>'[1]February - 2023'!AW21</f>
        <v>0</v>
      </c>
      <c r="AN22" s="265">
        <f>'[1]February - 2023'!AX21</f>
        <v>0</v>
      </c>
      <c r="AO22" s="88">
        <f>'[1]February - 2023'!AY21</f>
        <v>4092.4799999985844</v>
      </c>
      <c r="AP22" s="261">
        <f>'[1]February - 2023'!AZ21</f>
        <v>0</v>
      </c>
      <c r="AQ22" s="265">
        <f>'[1]February - 2023'!BA21</f>
        <v>0</v>
      </c>
      <c r="AR22" s="88">
        <f>'[1]February - 2023'!BB21</f>
        <v>4189.9199999999255</v>
      </c>
      <c r="AS22" s="261">
        <f>'[1]February - 2023'!BC21</f>
        <v>0</v>
      </c>
      <c r="AT22" s="265">
        <f>'[1]February - 2023'!BD21</f>
        <v>0</v>
      </c>
      <c r="AU22" s="88">
        <f>'[1]February - 2023'!BE21</f>
        <v>2874.480000000447</v>
      </c>
      <c r="AV22" s="261">
        <f>'[1]February - 2023'!BF21</f>
        <v>0</v>
      </c>
      <c r="AW22" s="229">
        <f>'[1]February - 2023'!BG21</f>
        <v>0</v>
      </c>
      <c r="AX22" s="230">
        <f>'[1]February - 2023'!BH21</f>
        <v>5359.2000000011176</v>
      </c>
      <c r="AY22" s="461"/>
      <c r="AZ22" s="247">
        <f>'[1]February - 2023'!BM21</f>
        <v>0</v>
      </c>
      <c r="BA22" s="160">
        <f>'[1]February - 2023'!BN21</f>
        <v>0</v>
      </c>
      <c r="BB22" s="89">
        <f>'[1]February - 2023'!BO22</f>
        <v>0</v>
      </c>
      <c r="BC22" s="247">
        <f>'[1]February - 2023'!BP21</f>
        <v>0</v>
      </c>
      <c r="BD22" s="223">
        <f>'[1]February - 2023'!BQ21</f>
        <v>0</v>
      </c>
      <c r="BE22" s="89">
        <f>'[1]February - 2023'!BR21</f>
        <v>33100</v>
      </c>
      <c r="BF22" s="247">
        <f>'[1]February - 2023'!BS21</f>
        <v>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0</v>
      </c>
      <c r="BT22" s="165">
        <f>'[1]February - 2023'!BW21</f>
        <v>0</v>
      </c>
      <c r="BU22" s="557"/>
      <c r="BV22" s="84">
        <f>'[1]February - 2023'!BY21</f>
        <v>0</v>
      </c>
      <c r="BW22" s="219">
        <f>'[1]February - 2023'!BZ21</f>
        <v>0</v>
      </c>
      <c r="BX22" s="84">
        <f>'[1]February - 2023'!CA21</f>
        <v>-0.10999999999999999</v>
      </c>
      <c r="BY22" s="85">
        <f>'[1]February - 2023'!CB21</f>
        <v>0</v>
      </c>
      <c r="BZ22" s="171">
        <f>'[1]February - 2023'!CC21</f>
        <v>0</v>
      </c>
      <c r="CA22" s="85">
        <f>'[1]February - 2023'!CD21</f>
        <v>0</v>
      </c>
      <c r="CB22" s="171">
        <f>'[1]February - 2023'!CE21</f>
        <v>0</v>
      </c>
      <c r="CC22" s="85">
        <f>'[1]February - 2023'!CF21</f>
        <v>0</v>
      </c>
      <c r="CD22" s="171">
        <f>'[1]February - 2023'!CG21</f>
        <v>0</v>
      </c>
      <c r="CE22" s="85">
        <f>'[1]February - 2023'!CH21</f>
        <v>0</v>
      </c>
      <c r="CF22" s="171">
        <f>'[1]February - 2023'!CI21</f>
        <v>0</v>
      </c>
      <c r="CG22" s="85">
        <f>'[1]February - 2023'!CJ21</f>
        <v>0</v>
      </c>
      <c r="CH22" s="171">
        <f>'[1]February - 2023'!CK21</f>
        <v>0</v>
      </c>
      <c r="CI22" s="85">
        <f>'[1]February - 2023'!CL21</f>
        <v>0</v>
      </c>
      <c r="CJ22" s="171">
        <f>'[1]February - 2023'!CM21</f>
        <v>0</v>
      </c>
      <c r="CK22" s="85">
        <f>'[1]February - 2023'!CN21</f>
        <v>0</v>
      </c>
      <c r="CL22" s="224">
        <f>'[1]February - 2023'!CO21</f>
        <v>0</v>
      </c>
      <c r="CM22" s="85">
        <f>'[1]February - 2023'!CP21</f>
        <v>96</v>
      </c>
      <c r="CN22" s="85">
        <f>'[1]February - 2023'!CQ21</f>
        <v>0</v>
      </c>
      <c r="CO22" s="224">
        <f>'[1]February - 2023'!CR21</f>
        <v>0</v>
      </c>
      <c r="CP22" s="85">
        <f>'[1]February - 2023'!CV21</f>
        <v>365</v>
      </c>
      <c r="CQ22" s="85">
        <f>'[1]February - 2023'!CT21</f>
        <v>0</v>
      </c>
      <c r="CR22" s="224">
        <f>'[1]February - 2023'!CU21</f>
        <v>0</v>
      </c>
      <c r="CS22" s="85">
        <f>'[1]February - 2023'!CV21</f>
        <v>365</v>
      </c>
      <c r="CT22" s="85">
        <f>'[1]February - 2023'!CW21</f>
        <v>0</v>
      </c>
      <c r="CU22" s="171">
        <f>'[1]February - 2023'!CX21</f>
        <v>0</v>
      </c>
      <c r="CV22" s="485"/>
      <c r="CW22" s="259">
        <f>'[1]February - 2023'!CZ21</f>
        <v>0</v>
      </c>
      <c r="CX22" s="262">
        <f>'[1]February - 2023'!DA21</f>
        <v>0</v>
      </c>
      <c r="CY22" s="260">
        <f>'[1]February - 2023'!DB21</f>
        <v>0</v>
      </c>
      <c r="CZ22" s="262">
        <f>'[1]February - 2023'!DC21</f>
        <v>0</v>
      </c>
      <c r="DA22" s="260">
        <f>'[1]February - 2023'!DD21</f>
        <v>0</v>
      </c>
      <c r="DB22" s="262">
        <f>'[1]February - 2023'!DE21</f>
        <v>0</v>
      </c>
      <c r="DC22" s="260">
        <f>'[1]February - 2023'!DF21</f>
        <v>0</v>
      </c>
      <c r="DD22" s="262">
        <f>'[1]February - 2023'!DG21</f>
        <v>0</v>
      </c>
      <c r="DE22" s="260">
        <f>'[1]February - 2023'!DH21</f>
        <v>0</v>
      </c>
      <c r="DF22" s="262">
        <f>'[1]February - 2023'!DI21</f>
        <v>0</v>
      </c>
      <c r="DG22" s="260">
        <f>'[1]February - 2023'!DJ21</f>
        <v>0</v>
      </c>
      <c r="DH22" s="262">
        <f>'[1]February - 2023'!DK21</f>
        <v>0</v>
      </c>
      <c r="DI22" s="260">
        <f>'[1]February - 2023'!DL21</f>
        <v>0</v>
      </c>
      <c r="DJ22" s="262">
        <f>'[1]February - 2023'!DM21</f>
        <v>0</v>
      </c>
      <c r="DK22" s="260">
        <f>'[1]February - 2023'!DN21</f>
        <v>0</v>
      </c>
      <c r="DL22" s="262">
        <f>'[1]February - 2023'!DO21</f>
        <v>0</v>
      </c>
      <c r="DM22" s="260">
        <f>'[1]February - 2023'!DP21</f>
        <v>0</v>
      </c>
      <c r="DN22" s="262">
        <f>'[1]February - 2023'!DQ21</f>
        <v>0</v>
      </c>
      <c r="DO22" s="260">
        <f>'[1]February - 2023'!DR21</f>
        <v>0</v>
      </c>
      <c r="DP22" s="262">
        <f>'[1]February - 2023'!DS21</f>
        <v>0</v>
      </c>
      <c r="DQ22" s="260">
        <f>'[1]February - 2023'!DT21</f>
        <v>0</v>
      </c>
      <c r="DR22" s="263">
        <f>'[1]February - 2023'!DU21</f>
        <v>0</v>
      </c>
      <c r="DS22" s="501"/>
      <c r="DT22" s="189">
        <f>'[1]February - 2023'!DW21</f>
        <v>0</v>
      </c>
      <c r="DU22" s="200">
        <f>'[1]February - 2023'!DX21</f>
        <v>0</v>
      </c>
      <c r="DV22" s="87">
        <f>'[1]February - 2023'!DY21</f>
        <v>0</v>
      </c>
      <c r="DW22" s="194">
        <f>'[1]February - 2023'!DZ21</f>
        <v>0</v>
      </c>
      <c r="DX22" s="87">
        <f>'[1]February - 2023'!EA21</f>
        <v>0</v>
      </c>
      <c r="DY22" s="194">
        <f>'[1]February - 2023'!EB21</f>
        <v>0</v>
      </c>
      <c r="DZ22" s="87">
        <f>'[1]February - 2023'!EC21</f>
        <v>0</v>
      </c>
      <c r="EA22" s="194">
        <f>'[1]February - 2023'!ED21</f>
        <v>0</v>
      </c>
      <c r="EB22" s="87">
        <f>'[1]February - 2023'!EE21</f>
        <v>0</v>
      </c>
      <c r="EC22" s="194">
        <f>'[1]February - 2023'!EF21</f>
        <v>0</v>
      </c>
      <c r="ED22" s="87">
        <f>'[1]February - 2023'!EI21</f>
        <v>0</v>
      </c>
      <c r="EE22" s="207">
        <f>'[1]February - 2023'!EJ21</f>
        <v>0</v>
      </c>
      <c r="EF22" s="548"/>
      <c r="EG22" s="213">
        <f>'[1]February - 2023'!EL21</f>
        <v>0</v>
      </c>
      <c r="EH22" s="208">
        <f>'[1]February - 2023'!EM21</f>
        <v>0</v>
      </c>
      <c r="EI22" s="86">
        <f>'[1]February - 2023'!EN21</f>
        <v>0</v>
      </c>
      <c r="EJ22" s="208">
        <f>'[1]February - 2023'!EO21</f>
        <v>0</v>
      </c>
      <c r="EK22" s="86">
        <f>'[1]February - 2023'!EP21</f>
        <v>0</v>
      </c>
      <c r="EL22" s="208">
        <f>'[1]February - 2023'!EQ21</f>
        <v>0</v>
      </c>
      <c r="EM22" s="86">
        <f>'[1]February - 2023'!ER21</f>
        <v>0</v>
      </c>
      <c r="EN22" s="208">
        <f>'[1]February - 2023'!ES21</f>
        <v>0</v>
      </c>
      <c r="EO22" s="86">
        <f>'[1]February - 2023'!ET21</f>
        <v>0</v>
      </c>
      <c r="EP22" s="208">
        <f>'[1]February - 2023'!EU21</f>
        <v>0</v>
      </c>
      <c r="EQ22" s="86">
        <f>'[1]February - 2023'!EV21</f>
        <v>0</v>
      </c>
      <c r="ER22" s="208">
        <f>'[1]February - 2023'!EW21</f>
        <v>0</v>
      </c>
      <c r="ES22" s="523"/>
      <c r="ET22" s="253">
        <f>'[1]February - 2023'!EY21</f>
        <v>0</v>
      </c>
      <c r="EU22" s="266">
        <f>'[1]February - 2023'!EZ21</f>
        <v>0</v>
      </c>
      <c r="EV22" s="254">
        <f>'[1]February - 2023'!FA21</f>
        <v>0</v>
      </c>
      <c r="EW22" s="266">
        <f>'[1]February - 2023'!FB21</f>
        <v>0</v>
      </c>
      <c r="EX22" s="254">
        <f>'[1]February - 2023'!FC21</f>
        <v>0</v>
      </c>
      <c r="EY22" s="266">
        <f>'[1]February - 2023'!FD21</f>
        <v>0</v>
      </c>
      <c r="EZ22" s="254">
        <f>'[1]February - 2023'!FE21</f>
        <v>0</v>
      </c>
      <c r="FA22" s="266">
        <f>'[1]February - 2023'!FF21</f>
        <v>0</v>
      </c>
      <c r="FB22" s="254">
        <f>'[1]February - 2023'!FG21</f>
        <v>0</v>
      </c>
      <c r="FC22" s="264">
        <f>'[1]February - 2023'!FH21</f>
        <v>0</v>
      </c>
    </row>
    <row r="23" spans="1:159" ht="30" customHeight="1" x14ac:dyDescent="0.25">
      <c r="A23" s="186">
        <v>44971</v>
      </c>
      <c r="B23" s="188">
        <f>'[1]February - 2023'!B22</f>
        <v>0</v>
      </c>
      <c r="C23" s="228">
        <f>'[1]February - 2023'!E22</f>
        <v>0</v>
      </c>
      <c r="D23" s="151">
        <f>'[1]February - 2023'!F23</f>
        <v>0</v>
      </c>
      <c r="E23" s="150">
        <f>'[1]February - 2023'!G22</f>
        <v>545</v>
      </c>
      <c r="F23" s="150">
        <f>'[1]February - 2023'!H22</f>
        <v>0</v>
      </c>
      <c r="G23" s="151">
        <f>'[1]February - 2023'!I23</f>
        <v>0</v>
      </c>
      <c r="H23" s="150">
        <f>'[1]February - 2023'!J22</f>
        <v>119868</v>
      </c>
      <c r="I23" s="239">
        <f>'[1]February - 2023'!K22</f>
        <v>0</v>
      </c>
      <c r="J23" s="151">
        <f>'[1]February - 2023'!L22</f>
        <v>0</v>
      </c>
      <c r="K23" s="239">
        <f>'[1]February - 2023'!N22</f>
        <v>0</v>
      </c>
      <c r="L23" s="151">
        <f>'[1]February - 2023'!O22</f>
        <v>0</v>
      </c>
      <c r="M23" s="239">
        <f>'[1]February - 2023'!Q22</f>
        <v>0</v>
      </c>
      <c r="N23" s="151">
        <f>'[1]February - 2023'!R22</f>
        <v>0</v>
      </c>
      <c r="O23" s="239">
        <f>'[1]February - 2023'!U22</f>
        <v>0</v>
      </c>
      <c r="P23" s="151">
        <f>'[1]February - 2023'!V22</f>
        <v>0</v>
      </c>
      <c r="Q23" s="150">
        <f>'[1]February - 2023'!W22</f>
        <v>-212</v>
      </c>
      <c r="R23" s="239">
        <f>'[1]February - 2023'!X22</f>
        <v>0</v>
      </c>
      <c r="S23" s="187">
        <f>'[1]February - 2023'!Y22</f>
        <v>0</v>
      </c>
      <c r="T23" s="444"/>
      <c r="U23" s="244">
        <f>'[1]February - 2023'!AE22</f>
        <v>0</v>
      </c>
      <c r="V23" s="265">
        <f>'[1]February - 2023'!AF22</f>
        <v>0</v>
      </c>
      <c r="W23" s="88">
        <f>'[1]February - 2023'!AG22</f>
        <v>2143.6800000006333</v>
      </c>
      <c r="X23" s="261">
        <f>'[1]February - 2023'!AH22</f>
        <v>0</v>
      </c>
      <c r="Y23" s="265">
        <f>'[1]February - 2023'!AI22</f>
        <v>0</v>
      </c>
      <c r="Z23" s="88">
        <f>'[1]February - 2023'!AJ22</f>
        <v>4530.9599999990314</v>
      </c>
      <c r="AA23" s="261">
        <f>'[1]February - 2023'!AK22</f>
        <v>0</v>
      </c>
      <c r="AB23" s="265">
        <f>'[1]February - 2023'!AL22</f>
        <v>0</v>
      </c>
      <c r="AC23" s="88">
        <f>'[1]February - 2023'!AM22</f>
        <v>0</v>
      </c>
      <c r="AD23" s="261">
        <f>'[1]February - 2023'!AN22</f>
        <v>0</v>
      </c>
      <c r="AE23" s="265">
        <f>'[1]February - 2023'!AO22</f>
        <v>0</v>
      </c>
      <c r="AF23" s="88">
        <f>'[1]February - 2023'!AP22</f>
        <v>8477.2800000011921</v>
      </c>
      <c r="AG23" s="261">
        <f>'[1]February - 2023'!AQ22</f>
        <v>0</v>
      </c>
      <c r="AH23" s="265">
        <f>'[1]February - 2023'!AR22</f>
        <v>0</v>
      </c>
      <c r="AI23" s="88">
        <f>'[1]February - 2023'!AS22</f>
        <v>1120.5600000023842</v>
      </c>
      <c r="AJ23" s="261">
        <f>'[1]February - 2023'!AT22</f>
        <v>0</v>
      </c>
      <c r="AK23" s="265">
        <f>'[1]February - 2023'!AU22</f>
        <v>0</v>
      </c>
      <c r="AL23" s="88">
        <f>'[1]February - 2023'!AV22</f>
        <v>5797.679999999702</v>
      </c>
      <c r="AM23" s="261">
        <f>'[1]February - 2023'!AW22</f>
        <v>0</v>
      </c>
      <c r="AN23" s="265">
        <f>'[1]February - 2023'!AX22</f>
        <v>0</v>
      </c>
      <c r="AO23" s="88">
        <f>'[1]February - 2023'!AY22</f>
        <v>3897.5999999996275</v>
      </c>
      <c r="AP23" s="261">
        <f>'[1]February - 2023'!AZ22</f>
        <v>0</v>
      </c>
      <c r="AQ23" s="265">
        <f>'[1]February - 2023'!BA22</f>
        <v>0</v>
      </c>
      <c r="AR23" s="88">
        <f>'[1]February - 2023'!BB22</f>
        <v>4189.9199999999255</v>
      </c>
      <c r="AS23" s="261">
        <f>'[1]February - 2023'!BC22</f>
        <v>0</v>
      </c>
      <c r="AT23" s="265">
        <f>'[1]February - 2023'!BD22</f>
        <v>0</v>
      </c>
      <c r="AU23" s="88">
        <f>'[1]February - 2023'!BE22</f>
        <v>2874.480000000447</v>
      </c>
      <c r="AV23" s="261">
        <f>'[1]February - 2023'!BF22</f>
        <v>0</v>
      </c>
      <c r="AW23" s="229">
        <f>'[1]February - 2023'!BG22</f>
        <v>0</v>
      </c>
      <c r="AX23" s="230">
        <f>'[1]February - 2023'!BH22</f>
        <v>5164.3199999984354</v>
      </c>
      <c r="AY23" s="461"/>
      <c r="AZ23" s="247">
        <f>'[1]February - 2023'!BM22</f>
        <v>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0</v>
      </c>
      <c r="BD23" s="223">
        <f>'[1]February - 2023'!BQ22</f>
        <v>0</v>
      </c>
      <c r="BE23" s="89">
        <f>'[1]February - 2023'!BR22</f>
        <v>35900</v>
      </c>
      <c r="BF23" s="247">
        <f>'[1]February - 2023'!BS22</f>
        <v>0</v>
      </c>
      <c r="BG23" s="223">
        <f>'[1]February - 2023'!BT22</f>
        <v>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0</v>
      </c>
      <c r="BT23" s="165">
        <f>'[1]February - 2023'!BW22</f>
        <v>0</v>
      </c>
      <c r="BU23" s="557"/>
      <c r="BV23" s="84">
        <f>'[1]February - 2023'!BY22</f>
        <v>0</v>
      </c>
      <c r="BW23" s="219">
        <f>'[1]February - 2023'!BZ22</f>
        <v>0</v>
      </c>
      <c r="BX23" s="84">
        <f>'[1]February - 2023'!CA22</f>
        <v>-0.19999999999999996</v>
      </c>
      <c r="BY23" s="85">
        <f>'[1]February - 2023'!CB22</f>
        <v>0</v>
      </c>
      <c r="BZ23" s="171">
        <f>'[1]February - 2023'!CC22</f>
        <v>0</v>
      </c>
      <c r="CA23" s="85">
        <f>'[1]February - 2023'!CD22</f>
        <v>0</v>
      </c>
      <c r="CB23" s="171">
        <f>'[1]February - 2023'!CE22</f>
        <v>0</v>
      </c>
      <c r="CC23" s="85">
        <f>'[1]February - 2023'!CF22</f>
        <v>0</v>
      </c>
      <c r="CD23" s="171">
        <f>'[1]February - 2023'!CG22</f>
        <v>0</v>
      </c>
      <c r="CE23" s="85">
        <f>'[1]February - 2023'!CH22</f>
        <v>0</v>
      </c>
      <c r="CF23" s="171">
        <f>'[1]February - 2023'!CI22</f>
        <v>0</v>
      </c>
      <c r="CG23" s="85">
        <f>'[1]February - 2023'!CJ22</f>
        <v>0</v>
      </c>
      <c r="CH23" s="171">
        <f>'[1]February - 2023'!CK22</f>
        <v>0</v>
      </c>
      <c r="CI23" s="85">
        <f>'[1]February - 2023'!CL22</f>
        <v>0</v>
      </c>
      <c r="CJ23" s="171">
        <f>'[1]February - 2023'!CM22</f>
        <v>0</v>
      </c>
      <c r="CK23" s="85">
        <f>'[1]February - 2023'!CN22</f>
        <v>0</v>
      </c>
      <c r="CL23" s="224">
        <f>'[1]February - 2023'!CO22</f>
        <v>0</v>
      </c>
      <c r="CM23" s="85">
        <f>'[1]February - 2023'!CP22</f>
        <v>101</v>
      </c>
      <c r="CN23" s="85">
        <f>'[1]February - 2023'!CQ22</f>
        <v>0</v>
      </c>
      <c r="CO23" s="224">
        <f>'[1]February - 2023'!CR22</f>
        <v>0</v>
      </c>
      <c r="CP23" s="85">
        <f>'[1]February - 2023'!CV22</f>
        <v>326</v>
      </c>
      <c r="CQ23" s="85">
        <f>'[1]February - 2023'!CT22</f>
        <v>0</v>
      </c>
      <c r="CR23" s="224">
        <f>'[1]February - 2023'!CU22</f>
        <v>0</v>
      </c>
      <c r="CS23" s="85">
        <f>'[1]February - 2023'!CV22</f>
        <v>326</v>
      </c>
      <c r="CT23" s="85">
        <f>'[1]February - 2023'!CW22</f>
        <v>0</v>
      </c>
      <c r="CU23" s="171">
        <f>'[1]February - 2023'!CX22</f>
        <v>0</v>
      </c>
      <c r="CV23" s="485"/>
      <c r="CW23" s="259">
        <f>'[1]February - 2023'!CZ22</f>
        <v>0</v>
      </c>
      <c r="CX23" s="262">
        <f>'[1]February - 2023'!DA22</f>
        <v>0</v>
      </c>
      <c r="CY23" s="260">
        <f>'[1]February - 2023'!DB22</f>
        <v>0</v>
      </c>
      <c r="CZ23" s="262">
        <f>'[1]February - 2023'!DC22</f>
        <v>0</v>
      </c>
      <c r="DA23" s="260">
        <f>'[1]February - 2023'!DD22</f>
        <v>0</v>
      </c>
      <c r="DB23" s="262">
        <f>'[1]February - 2023'!DE22</f>
        <v>0</v>
      </c>
      <c r="DC23" s="260">
        <f>'[1]February - 2023'!DF22</f>
        <v>0</v>
      </c>
      <c r="DD23" s="262">
        <f>'[1]February - 2023'!DG22</f>
        <v>0</v>
      </c>
      <c r="DE23" s="260">
        <f>'[1]February - 2023'!DH22</f>
        <v>0</v>
      </c>
      <c r="DF23" s="262">
        <f>'[1]February - 2023'!DI22</f>
        <v>0</v>
      </c>
      <c r="DG23" s="260">
        <f>'[1]February - 2023'!DJ22</f>
        <v>0</v>
      </c>
      <c r="DH23" s="262">
        <f>'[1]February - 2023'!DK22</f>
        <v>0</v>
      </c>
      <c r="DI23" s="260">
        <f>'[1]February - 2023'!DL22</f>
        <v>0</v>
      </c>
      <c r="DJ23" s="262">
        <f>'[1]February - 2023'!DM22</f>
        <v>0</v>
      </c>
      <c r="DK23" s="260">
        <f>'[1]February - 2023'!DN22</f>
        <v>0</v>
      </c>
      <c r="DL23" s="262">
        <f>'[1]February - 2023'!DO22</f>
        <v>0</v>
      </c>
      <c r="DM23" s="260">
        <f>'[1]February - 2023'!DP22</f>
        <v>0</v>
      </c>
      <c r="DN23" s="262">
        <f>'[1]February - 2023'!DQ22</f>
        <v>0</v>
      </c>
      <c r="DO23" s="260">
        <f>'[1]February - 2023'!DR22</f>
        <v>0</v>
      </c>
      <c r="DP23" s="262">
        <f>'[1]February - 2023'!DS22</f>
        <v>0</v>
      </c>
      <c r="DQ23" s="260">
        <f>'[1]February - 2023'!DT22</f>
        <v>0</v>
      </c>
      <c r="DR23" s="263">
        <f>'[1]February - 2023'!DU22</f>
        <v>0</v>
      </c>
      <c r="DS23" s="501"/>
      <c r="DT23" s="189">
        <f>'[1]February - 2023'!DW22</f>
        <v>0</v>
      </c>
      <c r="DU23" s="200">
        <f>'[1]February - 2023'!DX22</f>
        <v>0</v>
      </c>
      <c r="DV23" s="87">
        <f>'[1]February - 2023'!DY22</f>
        <v>0</v>
      </c>
      <c r="DW23" s="194">
        <f>'[1]February - 2023'!DZ22</f>
        <v>0</v>
      </c>
      <c r="DX23" s="87">
        <f>'[1]February - 2023'!EA22</f>
        <v>0</v>
      </c>
      <c r="DY23" s="194">
        <f>'[1]February - 2023'!EB22</f>
        <v>0</v>
      </c>
      <c r="DZ23" s="87">
        <f>'[1]February - 2023'!EC22</f>
        <v>0</v>
      </c>
      <c r="EA23" s="194">
        <f>'[1]February - 2023'!ED22</f>
        <v>0</v>
      </c>
      <c r="EB23" s="87">
        <f>'[1]February - 2023'!EE22</f>
        <v>0</v>
      </c>
      <c r="EC23" s="194">
        <f>'[1]February - 2023'!EF22</f>
        <v>0</v>
      </c>
      <c r="ED23" s="87">
        <f>'[1]February - 2023'!EI22</f>
        <v>0</v>
      </c>
      <c r="EE23" s="207">
        <f>'[1]February - 2023'!EJ22</f>
        <v>0</v>
      </c>
      <c r="EF23" s="548"/>
      <c r="EG23" s="213">
        <f>'[1]February - 2023'!EL22</f>
        <v>0</v>
      </c>
      <c r="EH23" s="208">
        <f>'[1]February - 2023'!EM22</f>
        <v>0</v>
      </c>
      <c r="EI23" s="86">
        <f>'[1]February - 2023'!EN22</f>
        <v>0</v>
      </c>
      <c r="EJ23" s="208">
        <f>'[1]February - 2023'!EO22</f>
        <v>0</v>
      </c>
      <c r="EK23" s="86">
        <f>'[1]February - 2023'!EP22</f>
        <v>0</v>
      </c>
      <c r="EL23" s="208">
        <f>'[1]February - 2023'!EQ22</f>
        <v>0</v>
      </c>
      <c r="EM23" s="86">
        <f>'[1]February - 2023'!ER22</f>
        <v>0</v>
      </c>
      <c r="EN23" s="208">
        <f>'[1]February - 2023'!ES22</f>
        <v>0</v>
      </c>
      <c r="EO23" s="86">
        <f>'[1]February - 2023'!ET22</f>
        <v>0</v>
      </c>
      <c r="EP23" s="208">
        <f>'[1]February - 2023'!EU22</f>
        <v>0</v>
      </c>
      <c r="EQ23" s="86">
        <f>'[1]February - 2023'!EV22</f>
        <v>0</v>
      </c>
      <c r="ER23" s="208">
        <f>'[1]February - 2023'!EW22</f>
        <v>0</v>
      </c>
      <c r="ES23" s="523"/>
      <c r="ET23" s="253">
        <f>'[1]February - 2023'!EY22</f>
        <v>0</v>
      </c>
      <c r="EU23" s="266">
        <f>'[1]February - 2023'!EZ22</f>
        <v>0</v>
      </c>
      <c r="EV23" s="254">
        <f>'[1]February - 2023'!FA22</f>
        <v>0</v>
      </c>
      <c r="EW23" s="266">
        <f>'[1]February - 2023'!FB22</f>
        <v>0</v>
      </c>
      <c r="EX23" s="254">
        <f>'[1]February - 2023'!FC22</f>
        <v>0</v>
      </c>
      <c r="EY23" s="266">
        <f>'[1]February - 2023'!FD22</f>
        <v>0</v>
      </c>
      <c r="EZ23" s="254">
        <f>'[1]February - 2023'!FE22</f>
        <v>0</v>
      </c>
      <c r="FA23" s="266">
        <f>'[1]February - 2023'!FF22</f>
        <v>0</v>
      </c>
      <c r="FB23" s="254">
        <f>'[1]February - 2023'!FG22</f>
        <v>0</v>
      </c>
      <c r="FC23" s="264">
        <f>'[1]February - 2023'!FH22</f>
        <v>0</v>
      </c>
    </row>
    <row r="24" spans="1:159" ht="30" customHeight="1" x14ac:dyDescent="0.25">
      <c r="A24" s="186">
        <v>44972</v>
      </c>
      <c r="B24" s="188">
        <f>'[1]February - 2023'!B23</f>
        <v>0</v>
      </c>
      <c r="C24" s="228">
        <f>'[1]February - 2023'!E23</f>
        <v>0</v>
      </c>
      <c r="D24" s="151">
        <f>'[1]February - 2023'!F24</f>
        <v>0</v>
      </c>
      <c r="E24" s="150">
        <f>'[1]February - 2023'!G23</f>
        <v>562</v>
      </c>
      <c r="F24" s="150">
        <f>'[1]February - 2023'!H23</f>
        <v>0</v>
      </c>
      <c r="G24" s="151">
        <f>'[1]February - 2023'!I24</f>
        <v>0</v>
      </c>
      <c r="H24" s="150">
        <f>'[1]February - 2023'!J23</f>
        <v>120301</v>
      </c>
      <c r="I24" s="239">
        <f>'[1]February - 2023'!K23</f>
        <v>0</v>
      </c>
      <c r="J24" s="151">
        <f>'[1]February - 2023'!L23</f>
        <v>0</v>
      </c>
      <c r="K24" s="239">
        <f>'[1]February - 2023'!N23</f>
        <v>0</v>
      </c>
      <c r="L24" s="151">
        <f>'[1]February - 2023'!O23</f>
        <v>0</v>
      </c>
      <c r="M24" s="239">
        <f>'[1]February - 2023'!Q23</f>
        <v>0</v>
      </c>
      <c r="N24" s="151">
        <f>'[1]February - 2023'!R23</f>
        <v>0</v>
      </c>
      <c r="O24" s="239">
        <f>'[1]February - 2023'!U23</f>
        <v>0</v>
      </c>
      <c r="P24" s="151">
        <f>'[1]February - 2023'!V23</f>
        <v>0</v>
      </c>
      <c r="Q24" s="150">
        <f>'[1]February - 2023'!W23</f>
        <v>329</v>
      </c>
      <c r="R24" s="239">
        <f>'[1]February - 2023'!X23</f>
        <v>0</v>
      </c>
      <c r="S24" s="187">
        <f>'[1]February - 2023'!Y23</f>
        <v>0</v>
      </c>
      <c r="T24" s="444"/>
      <c r="U24" s="244">
        <f>'[1]February - 2023'!AE23</f>
        <v>0</v>
      </c>
      <c r="V24" s="265">
        <f>'[1]February - 2023'!AF23</f>
        <v>0</v>
      </c>
      <c r="W24" s="88">
        <f>'[1]February - 2023'!AG23</f>
        <v>2143.679999999702</v>
      </c>
      <c r="X24" s="261">
        <f>'[1]February - 2023'!AH23</f>
        <v>0</v>
      </c>
      <c r="Y24" s="265">
        <f>'[1]February - 2023'!AI23</f>
        <v>0</v>
      </c>
      <c r="Z24" s="88">
        <f>'[1]February - 2023'!AJ23</f>
        <v>4530.9600000027567</v>
      </c>
      <c r="AA24" s="261">
        <f>'[1]February - 2023'!AK23</f>
        <v>0</v>
      </c>
      <c r="AB24" s="265">
        <f>'[1]February - 2023'!AL23</f>
        <v>0</v>
      </c>
      <c r="AC24" s="88">
        <f>'[1]February - 2023'!AM23</f>
        <v>48.719999998807907</v>
      </c>
      <c r="AD24" s="261">
        <f>'[1]February - 2023'!AN23</f>
        <v>0</v>
      </c>
      <c r="AE24" s="265">
        <f>'[1]February - 2023'!AO23</f>
        <v>0</v>
      </c>
      <c r="AF24" s="88">
        <f>'[1]February - 2023'!AP23</f>
        <v>9549.1199999973178</v>
      </c>
      <c r="AG24" s="261">
        <f>'[1]February - 2023'!AQ23</f>
        <v>0</v>
      </c>
      <c r="AH24" s="265">
        <f>'[1]February - 2023'!AR23</f>
        <v>0</v>
      </c>
      <c r="AI24" s="88">
        <f>'[1]February - 2023'!AS23</f>
        <v>1364.160000000149</v>
      </c>
      <c r="AJ24" s="261">
        <f>'[1]February - 2023'!AT23</f>
        <v>0</v>
      </c>
      <c r="AK24" s="265">
        <f>'[1]February - 2023'!AU23</f>
        <v>0</v>
      </c>
      <c r="AL24" s="88">
        <f>'[1]February - 2023'!AV23</f>
        <v>5651.5200000014156</v>
      </c>
      <c r="AM24" s="261">
        <f>'[1]February - 2023'!AW23</f>
        <v>0</v>
      </c>
      <c r="AN24" s="265">
        <f>'[1]February - 2023'!AX23</f>
        <v>0</v>
      </c>
      <c r="AO24" s="88">
        <f>'[1]February - 2023'!AY23</f>
        <v>4141.1999999992549</v>
      </c>
      <c r="AP24" s="261">
        <f>'[1]February - 2023'!AZ23</f>
        <v>0</v>
      </c>
      <c r="AQ24" s="265">
        <f>'[1]February - 2023'!BA23</f>
        <v>0</v>
      </c>
      <c r="AR24" s="88">
        <f>'[1]February - 2023'!BB23</f>
        <v>4287.359999999404</v>
      </c>
      <c r="AS24" s="261">
        <f>'[1]February - 2023'!BC23</f>
        <v>0</v>
      </c>
      <c r="AT24" s="265">
        <f>'[1]February - 2023'!BD23</f>
        <v>0</v>
      </c>
      <c r="AU24" s="88">
        <f>'[1]February - 2023'!BE23</f>
        <v>2777.0399999991059</v>
      </c>
      <c r="AV24" s="261">
        <f>'[1]February - 2023'!BF23</f>
        <v>0</v>
      </c>
      <c r="AW24" s="229">
        <f>'[1]February - 2023'!BG23</f>
        <v>0</v>
      </c>
      <c r="AX24" s="230">
        <f>'[1]February - 2023'!BH23</f>
        <v>5700.2399999983609</v>
      </c>
      <c r="AY24" s="461"/>
      <c r="AZ24" s="247">
        <f>'[1]February - 2023'!BM23</f>
        <v>0</v>
      </c>
      <c r="BA24" s="160">
        <f>'[1]February - 2023'!BN23</f>
        <v>0</v>
      </c>
      <c r="BB24" s="89">
        <f>'[1]February - 2023'!BO24</f>
        <v>0</v>
      </c>
      <c r="BC24" s="247">
        <f>'[1]February - 2023'!BP23</f>
        <v>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0</v>
      </c>
      <c r="BG24" s="223">
        <f>'[1]February - 2023'!BT23</f>
        <v>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0</v>
      </c>
      <c r="BT24" s="165">
        <f>'[1]February - 2023'!BW23</f>
        <v>0</v>
      </c>
      <c r="BU24" s="557"/>
      <c r="BV24" s="84">
        <f>'[1]February - 2023'!BY23</f>
        <v>0</v>
      </c>
      <c r="BW24" s="219">
        <f>'[1]February - 2023'!BZ23</f>
        <v>0</v>
      </c>
      <c r="BX24" s="84">
        <f>'[1]February - 2023'!CA23</f>
        <v>7.999999999999996E-2</v>
      </c>
      <c r="BY24" s="85">
        <f>'[1]February - 2023'!CB23</f>
        <v>0</v>
      </c>
      <c r="BZ24" s="171">
        <f>'[1]February - 2023'!CC23</f>
        <v>0</v>
      </c>
      <c r="CA24" s="85">
        <f>'[1]February - 2023'!CD23</f>
        <v>0</v>
      </c>
      <c r="CB24" s="171">
        <f>'[1]February - 2023'!CE23</f>
        <v>0</v>
      </c>
      <c r="CC24" s="85">
        <f>'[1]February - 2023'!CF23</f>
        <v>0</v>
      </c>
      <c r="CD24" s="171">
        <f>'[1]February - 2023'!CG23</f>
        <v>0</v>
      </c>
      <c r="CE24" s="85">
        <f>'[1]February - 2023'!CH23</f>
        <v>0</v>
      </c>
      <c r="CF24" s="171">
        <f>'[1]February - 2023'!CI23</f>
        <v>0</v>
      </c>
      <c r="CG24" s="85">
        <f>'[1]February - 2023'!CJ23</f>
        <v>0</v>
      </c>
      <c r="CH24" s="171">
        <f>'[1]February - 2023'!CK23</f>
        <v>0</v>
      </c>
      <c r="CI24" s="85">
        <f>'[1]February - 2023'!CL23</f>
        <v>0</v>
      </c>
      <c r="CJ24" s="171">
        <f>'[1]February - 2023'!CM23</f>
        <v>0</v>
      </c>
      <c r="CK24" s="85">
        <f>'[1]February - 2023'!CN23</f>
        <v>0</v>
      </c>
      <c r="CL24" s="224">
        <f>'[1]February - 2023'!CO23</f>
        <v>0</v>
      </c>
      <c r="CM24" s="85">
        <f>'[1]February - 2023'!CP23</f>
        <v>100</v>
      </c>
      <c r="CN24" s="85">
        <f>'[1]February - 2023'!CQ23</f>
        <v>0</v>
      </c>
      <c r="CO24" s="224">
        <f>'[1]February - 2023'!CR23</f>
        <v>0</v>
      </c>
      <c r="CP24" s="85">
        <f>'[1]February - 2023'!CV23</f>
        <v>257</v>
      </c>
      <c r="CQ24" s="85">
        <f>'[1]February - 2023'!CT23</f>
        <v>0</v>
      </c>
      <c r="CR24" s="224">
        <f>'[1]February - 2023'!CU23</f>
        <v>0</v>
      </c>
      <c r="CS24" s="85">
        <f>'[1]February - 2023'!CV23</f>
        <v>257</v>
      </c>
      <c r="CT24" s="85">
        <f>'[1]February - 2023'!CW23</f>
        <v>0</v>
      </c>
      <c r="CU24" s="171">
        <f>'[1]February - 2023'!CX23</f>
        <v>0</v>
      </c>
      <c r="CV24" s="485"/>
      <c r="CW24" s="259">
        <f>'[1]February - 2023'!CZ23</f>
        <v>0</v>
      </c>
      <c r="CX24" s="262">
        <f>'[1]February - 2023'!DA23</f>
        <v>0</v>
      </c>
      <c r="CY24" s="260">
        <f>'[1]February - 2023'!DB23</f>
        <v>0</v>
      </c>
      <c r="CZ24" s="262">
        <f>'[1]February - 2023'!DC23</f>
        <v>0</v>
      </c>
      <c r="DA24" s="260">
        <f>'[1]February - 2023'!DD23</f>
        <v>0</v>
      </c>
      <c r="DB24" s="262">
        <f>'[1]February - 2023'!DE23</f>
        <v>0</v>
      </c>
      <c r="DC24" s="260">
        <f>'[1]February - 2023'!DF23</f>
        <v>0</v>
      </c>
      <c r="DD24" s="262">
        <f>'[1]February - 2023'!DG23</f>
        <v>0</v>
      </c>
      <c r="DE24" s="260">
        <f>'[1]February - 2023'!DH23</f>
        <v>0</v>
      </c>
      <c r="DF24" s="262">
        <f>'[1]February - 2023'!DI23</f>
        <v>0</v>
      </c>
      <c r="DG24" s="260">
        <f>'[1]February - 2023'!DJ23</f>
        <v>0</v>
      </c>
      <c r="DH24" s="262">
        <f>'[1]February - 2023'!DK23</f>
        <v>0</v>
      </c>
      <c r="DI24" s="260">
        <f>'[1]February - 2023'!DL23</f>
        <v>0</v>
      </c>
      <c r="DJ24" s="262">
        <f>'[1]February - 2023'!DM23</f>
        <v>0</v>
      </c>
      <c r="DK24" s="260">
        <f>'[1]February - 2023'!DN23</f>
        <v>0</v>
      </c>
      <c r="DL24" s="262">
        <f>'[1]February - 2023'!DO23</f>
        <v>0</v>
      </c>
      <c r="DM24" s="260">
        <f>'[1]February - 2023'!DP23</f>
        <v>0</v>
      </c>
      <c r="DN24" s="262">
        <f>'[1]February - 2023'!DQ23</f>
        <v>0</v>
      </c>
      <c r="DO24" s="260">
        <f>'[1]February - 2023'!DR23</f>
        <v>0</v>
      </c>
      <c r="DP24" s="262">
        <f>'[1]February - 2023'!DS23</f>
        <v>0</v>
      </c>
      <c r="DQ24" s="260">
        <f>'[1]February - 2023'!DT23</f>
        <v>0</v>
      </c>
      <c r="DR24" s="263">
        <f>'[1]February - 2023'!DU23</f>
        <v>0</v>
      </c>
      <c r="DS24" s="501"/>
      <c r="DT24" s="189">
        <f>'[1]February - 2023'!DW23</f>
        <v>0</v>
      </c>
      <c r="DU24" s="200">
        <f>'[1]February - 2023'!DX23</f>
        <v>0</v>
      </c>
      <c r="DV24" s="87">
        <f>'[1]February - 2023'!DY23</f>
        <v>0</v>
      </c>
      <c r="DW24" s="194">
        <f>'[1]February - 2023'!DZ23</f>
        <v>0</v>
      </c>
      <c r="DX24" s="87">
        <f>'[1]February - 2023'!EA23</f>
        <v>0</v>
      </c>
      <c r="DY24" s="194">
        <f>'[1]February - 2023'!EB23</f>
        <v>0</v>
      </c>
      <c r="DZ24" s="87">
        <f>'[1]February - 2023'!EC23</f>
        <v>0</v>
      </c>
      <c r="EA24" s="194">
        <f>'[1]February - 2023'!ED23</f>
        <v>0</v>
      </c>
      <c r="EB24" s="87">
        <f>'[1]February - 2023'!EE23</f>
        <v>0</v>
      </c>
      <c r="EC24" s="194">
        <f>'[1]February - 2023'!EF23</f>
        <v>0</v>
      </c>
      <c r="ED24" s="87">
        <f>'[1]February - 2023'!EI23</f>
        <v>0</v>
      </c>
      <c r="EE24" s="207">
        <f>'[1]February - 2023'!EJ23</f>
        <v>0</v>
      </c>
      <c r="EF24" s="548"/>
      <c r="EG24" s="213">
        <f>'[1]February - 2023'!EL23</f>
        <v>0</v>
      </c>
      <c r="EH24" s="208">
        <f>'[1]February - 2023'!EM23</f>
        <v>0</v>
      </c>
      <c r="EI24" s="86">
        <f>'[1]February - 2023'!EN23</f>
        <v>0</v>
      </c>
      <c r="EJ24" s="208">
        <f>'[1]February - 2023'!EO23</f>
        <v>0</v>
      </c>
      <c r="EK24" s="86">
        <f>'[1]February - 2023'!EP23</f>
        <v>0</v>
      </c>
      <c r="EL24" s="208">
        <f>'[1]February - 2023'!EQ23</f>
        <v>0</v>
      </c>
      <c r="EM24" s="86">
        <f>'[1]February - 2023'!ER23</f>
        <v>0</v>
      </c>
      <c r="EN24" s="208">
        <f>'[1]February - 2023'!ES23</f>
        <v>0</v>
      </c>
      <c r="EO24" s="86">
        <f>'[1]February - 2023'!ET23</f>
        <v>0</v>
      </c>
      <c r="EP24" s="208">
        <f>'[1]February - 2023'!EU23</f>
        <v>0</v>
      </c>
      <c r="EQ24" s="86">
        <f>'[1]February - 2023'!EV23</f>
        <v>0</v>
      </c>
      <c r="ER24" s="208">
        <f>'[1]February - 2023'!EW23</f>
        <v>0</v>
      </c>
      <c r="ES24" s="523"/>
      <c r="ET24" s="253">
        <f>'[1]February - 2023'!EY23</f>
        <v>0</v>
      </c>
      <c r="EU24" s="266">
        <f>'[1]February - 2023'!EZ23</f>
        <v>0</v>
      </c>
      <c r="EV24" s="254">
        <f>'[1]February - 2023'!FA23</f>
        <v>0</v>
      </c>
      <c r="EW24" s="266">
        <f>'[1]February - 2023'!FB23</f>
        <v>0</v>
      </c>
      <c r="EX24" s="254">
        <f>'[1]February - 2023'!FC23</f>
        <v>0</v>
      </c>
      <c r="EY24" s="266">
        <f>'[1]February - 2023'!FD23</f>
        <v>0</v>
      </c>
      <c r="EZ24" s="254">
        <f>'[1]February - 2023'!FE23</f>
        <v>0</v>
      </c>
      <c r="FA24" s="266">
        <f>'[1]February - 2023'!FF23</f>
        <v>0</v>
      </c>
      <c r="FB24" s="254">
        <f>'[1]February - 2023'!FG23</f>
        <v>0</v>
      </c>
      <c r="FC24" s="264">
        <f>'[1]February - 2023'!FH23</f>
        <v>0</v>
      </c>
    </row>
    <row r="25" spans="1:159" ht="30" customHeight="1" x14ac:dyDescent="0.25">
      <c r="A25" s="186">
        <v>44973</v>
      </c>
      <c r="B25" s="188">
        <f>'[1]February - 2023'!B24</f>
        <v>0</v>
      </c>
      <c r="C25" s="228">
        <f>'[1]February - 2023'!E24</f>
        <v>0</v>
      </c>
      <c r="D25" s="151">
        <f>'[1]February - 2023'!F25</f>
        <v>0</v>
      </c>
      <c r="E25" s="150">
        <f>'[1]February - 2023'!G24</f>
        <v>574</v>
      </c>
      <c r="F25" s="150">
        <f>'[1]February - 2023'!H24</f>
        <v>0</v>
      </c>
      <c r="G25" s="151">
        <f>'[1]February - 2023'!I25</f>
        <v>0</v>
      </c>
      <c r="H25" s="150">
        <f>'[1]February - 2023'!J24</f>
        <v>120746</v>
      </c>
      <c r="I25" s="239">
        <f>'[1]February - 2023'!K24</f>
        <v>0</v>
      </c>
      <c r="J25" s="151">
        <f>'[1]February - 2023'!L24</f>
        <v>0</v>
      </c>
      <c r="K25" s="239">
        <f>'[1]February - 2023'!N24</f>
        <v>0</v>
      </c>
      <c r="L25" s="151">
        <f>'[1]February - 2023'!O24</f>
        <v>0</v>
      </c>
      <c r="M25" s="239">
        <f>'[1]February - 2023'!Q24</f>
        <v>0</v>
      </c>
      <c r="N25" s="151">
        <f>'[1]February - 2023'!R24</f>
        <v>0</v>
      </c>
      <c r="O25" s="239">
        <f>'[1]February - 2023'!U24</f>
        <v>0</v>
      </c>
      <c r="P25" s="151">
        <f>'[1]February - 2023'!V24</f>
        <v>0</v>
      </c>
      <c r="Q25" s="150">
        <f>'[1]February - 2023'!W24</f>
        <v>16</v>
      </c>
      <c r="R25" s="239">
        <f>'[1]February - 2023'!X24</f>
        <v>0</v>
      </c>
      <c r="S25" s="187">
        <f>'[1]February - 2023'!Y24</f>
        <v>0</v>
      </c>
      <c r="T25" s="444"/>
      <c r="U25" s="244">
        <f>'[1]February - 2023'!AE24</f>
        <v>0</v>
      </c>
      <c r="V25" s="265">
        <f>'[1]February - 2023'!AF24</f>
        <v>0</v>
      </c>
      <c r="W25" s="88">
        <f>'[1]February - 2023'!AG24</f>
        <v>2143.679999999702</v>
      </c>
      <c r="X25" s="261">
        <f>'[1]February - 2023'!AH24</f>
        <v>0</v>
      </c>
      <c r="Y25" s="265">
        <f>'[1]February - 2023'!AI24</f>
        <v>0</v>
      </c>
      <c r="Z25" s="88">
        <f>'[1]February - 2023'!AJ24</f>
        <v>4774.5599999986589</v>
      </c>
      <c r="AA25" s="261">
        <f>'[1]February - 2023'!AK24</f>
        <v>0</v>
      </c>
      <c r="AB25" s="265">
        <f>'[1]February - 2023'!AL24</f>
        <v>0</v>
      </c>
      <c r="AC25" s="88">
        <f>'[1]February - 2023'!AM24</f>
        <v>146.16000000014901</v>
      </c>
      <c r="AD25" s="261">
        <f>'[1]February - 2023'!AN24</f>
        <v>0</v>
      </c>
      <c r="AE25" s="265">
        <f>'[1]February - 2023'!AO24</f>
        <v>0</v>
      </c>
      <c r="AF25" s="88">
        <f>'[1]February - 2023'!AP24</f>
        <v>8964.480000000447</v>
      </c>
      <c r="AG25" s="261">
        <f>'[1]February - 2023'!AQ24</f>
        <v>0</v>
      </c>
      <c r="AH25" s="265">
        <f>'[1]February - 2023'!AR24</f>
        <v>0</v>
      </c>
      <c r="AI25" s="88">
        <f>'[1]February - 2023'!AS24</f>
        <v>1461.6000000014901</v>
      </c>
      <c r="AJ25" s="261">
        <f>'[1]February - 2023'!AT24</f>
        <v>0</v>
      </c>
      <c r="AK25" s="265">
        <f>'[1]February - 2023'!AU24</f>
        <v>0</v>
      </c>
      <c r="AL25" s="88">
        <f>'[1]February - 2023'!AV24</f>
        <v>5700.2399999983609</v>
      </c>
      <c r="AM25" s="261">
        <f>'[1]February - 2023'!AW24</f>
        <v>0</v>
      </c>
      <c r="AN25" s="265">
        <f>'[1]February - 2023'!AX24</f>
        <v>0</v>
      </c>
      <c r="AO25" s="88">
        <f>'[1]February - 2023'!AY24</f>
        <v>4433.5200000014156</v>
      </c>
      <c r="AP25" s="261">
        <f>'[1]February - 2023'!AZ24</f>
        <v>0</v>
      </c>
      <c r="AQ25" s="265">
        <f>'[1]February - 2023'!BA24</f>
        <v>0</v>
      </c>
      <c r="AR25" s="88">
        <f>'[1]February - 2023'!BB24</f>
        <v>4482.2400000002235</v>
      </c>
      <c r="AS25" s="261">
        <f>'[1]February - 2023'!BC24</f>
        <v>0</v>
      </c>
      <c r="AT25" s="265">
        <f>'[1]February - 2023'!BD24</f>
        <v>0</v>
      </c>
      <c r="AU25" s="88">
        <f>'[1]February - 2023'!BE24</f>
        <v>2971.9200000017881</v>
      </c>
      <c r="AV25" s="261">
        <f>'[1]February - 2023'!BF24</f>
        <v>0</v>
      </c>
      <c r="AW25" s="229">
        <f>'[1]February - 2023'!BG24</f>
        <v>0</v>
      </c>
      <c r="AX25" s="230">
        <f>'[1]February - 2023'!BH24</f>
        <v>5602.8000000007451</v>
      </c>
      <c r="AY25" s="461"/>
      <c r="AZ25" s="247">
        <f>'[1]February - 2023'!BM24</f>
        <v>0</v>
      </c>
      <c r="BA25" s="160">
        <f>'[1]February - 2023'!BN24</f>
        <v>0</v>
      </c>
      <c r="BB25" s="89">
        <f>'[1]February - 2023'!BO25</f>
        <v>0</v>
      </c>
      <c r="BC25" s="247">
        <f>'[1]February - 2023'!BP24</f>
        <v>0</v>
      </c>
      <c r="BD25" s="223">
        <f>'[1]February - 2023'!BQ24</f>
        <v>0</v>
      </c>
      <c r="BE25" s="89">
        <f>'[1]February - 2023'!BR24</f>
        <v>42500</v>
      </c>
      <c r="BF25" s="247">
        <f>'[1]February - 2023'!BS24</f>
        <v>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0</v>
      </c>
      <c r="BT25" s="165">
        <f>'[1]February - 2023'!BW24</f>
        <v>0</v>
      </c>
      <c r="BU25" s="557"/>
      <c r="BV25" s="84">
        <f>'[1]February - 2023'!BY24</f>
        <v>0</v>
      </c>
      <c r="BW25" s="219">
        <f>'[1]February - 2023'!BZ24</f>
        <v>0</v>
      </c>
      <c r="BX25" s="84">
        <f>'[1]February - 2023'!CA24</f>
        <v>5.9999999999999942E-2</v>
      </c>
      <c r="BY25" s="85">
        <f>'[1]February - 2023'!CB24</f>
        <v>0</v>
      </c>
      <c r="BZ25" s="171">
        <f>'[1]February - 2023'!CC24</f>
        <v>0</v>
      </c>
      <c r="CA25" s="85">
        <f>'[1]February - 2023'!CD24</f>
        <v>0</v>
      </c>
      <c r="CB25" s="171">
        <f>'[1]February - 2023'!CE24</f>
        <v>0</v>
      </c>
      <c r="CC25" s="85">
        <f>'[1]February - 2023'!CF24</f>
        <v>0</v>
      </c>
      <c r="CD25" s="171">
        <f>'[1]February - 2023'!CG24</f>
        <v>0</v>
      </c>
      <c r="CE25" s="85">
        <f>'[1]February - 2023'!CH24</f>
        <v>0</v>
      </c>
      <c r="CF25" s="171">
        <f>'[1]February - 2023'!CI24</f>
        <v>0</v>
      </c>
      <c r="CG25" s="85">
        <f>'[1]February - 2023'!CJ24</f>
        <v>0</v>
      </c>
      <c r="CH25" s="171">
        <f>'[1]February - 2023'!CK24</f>
        <v>0</v>
      </c>
      <c r="CI25" s="85">
        <f>'[1]February - 2023'!CL24</f>
        <v>0</v>
      </c>
      <c r="CJ25" s="171">
        <f>'[1]February - 2023'!CM24</f>
        <v>0</v>
      </c>
      <c r="CK25" s="85">
        <f>'[1]February - 2023'!CN24</f>
        <v>0</v>
      </c>
      <c r="CL25" s="224">
        <f>'[1]February - 2023'!CO24</f>
        <v>0</v>
      </c>
      <c r="CM25" s="85">
        <f>'[1]February - 2023'!CP24</f>
        <v>100</v>
      </c>
      <c r="CN25" s="85">
        <f>'[1]February - 2023'!CQ24</f>
        <v>0</v>
      </c>
      <c r="CO25" s="224">
        <f>'[1]February - 2023'!CR24</f>
        <v>0</v>
      </c>
      <c r="CP25" s="85">
        <f>'[1]February - 2023'!CV24</f>
        <v>303</v>
      </c>
      <c r="CQ25" s="85">
        <f>'[1]February - 2023'!CT24</f>
        <v>0</v>
      </c>
      <c r="CR25" s="224">
        <f>'[1]February - 2023'!CU24</f>
        <v>0</v>
      </c>
      <c r="CS25" s="85">
        <f>'[1]February - 2023'!CV24</f>
        <v>303</v>
      </c>
      <c r="CT25" s="85">
        <f>'[1]February - 2023'!CW24</f>
        <v>0</v>
      </c>
      <c r="CU25" s="171">
        <f>'[1]February - 2023'!CX24</f>
        <v>0</v>
      </c>
      <c r="CV25" s="485"/>
      <c r="CW25" s="259">
        <f>'[1]February - 2023'!CZ24</f>
        <v>0</v>
      </c>
      <c r="CX25" s="262">
        <f>'[1]February - 2023'!DA24</f>
        <v>0</v>
      </c>
      <c r="CY25" s="260">
        <f>'[1]February - 2023'!DB24</f>
        <v>0</v>
      </c>
      <c r="CZ25" s="262">
        <f>'[1]February - 2023'!DC24</f>
        <v>0</v>
      </c>
      <c r="DA25" s="260">
        <f>'[1]February - 2023'!DD24</f>
        <v>0</v>
      </c>
      <c r="DB25" s="262">
        <f>'[1]February - 2023'!DE24</f>
        <v>0</v>
      </c>
      <c r="DC25" s="260">
        <f>'[1]February - 2023'!DF24</f>
        <v>0</v>
      </c>
      <c r="DD25" s="262">
        <f>'[1]February - 2023'!DG24</f>
        <v>0</v>
      </c>
      <c r="DE25" s="260">
        <f>'[1]February - 2023'!DH24</f>
        <v>0</v>
      </c>
      <c r="DF25" s="262">
        <f>'[1]February - 2023'!DI24</f>
        <v>0</v>
      </c>
      <c r="DG25" s="260">
        <f>'[1]February - 2023'!DJ24</f>
        <v>0</v>
      </c>
      <c r="DH25" s="262">
        <f>'[1]February - 2023'!DK24</f>
        <v>0</v>
      </c>
      <c r="DI25" s="260">
        <f>'[1]February - 2023'!DL24</f>
        <v>0</v>
      </c>
      <c r="DJ25" s="262">
        <f>'[1]February - 2023'!DM24</f>
        <v>0</v>
      </c>
      <c r="DK25" s="260">
        <f>'[1]February - 2023'!DN24</f>
        <v>0</v>
      </c>
      <c r="DL25" s="262">
        <f>'[1]February - 2023'!DO24</f>
        <v>0</v>
      </c>
      <c r="DM25" s="260">
        <f>'[1]February - 2023'!DP24</f>
        <v>0</v>
      </c>
      <c r="DN25" s="262">
        <f>'[1]February - 2023'!DQ24</f>
        <v>0</v>
      </c>
      <c r="DO25" s="260">
        <f>'[1]February - 2023'!DR24</f>
        <v>0</v>
      </c>
      <c r="DP25" s="262">
        <f>'[1]February - 2023'!DS24</f>
        <v>0</v>
      </c>
      <c r="DQ25" s="260">
        <f>'[1]February - 2023'!DT24</f>
        <v>0</v>
      </c>
      <c r="DR25" s="263">
        <f>'[1]February - 2023'!DU24</f>
        <v>0</v>
      </c>
      <c r="DS25" s="501"/>
      <c r="DT25" s="189">
        <f>'[1]February - 2023'!DW24</f>
        <v>0</v>
      </c>
      <c r="DU25" s="200">
        <f>'[1]February - 2023'!DX24</f>
        <v>0</v>
      </c>
      <c r="DV25" s="87">
        <f>'[1]February - 2023'!DY24</f>
        <v>0</v>
      </c>
      <c r="DW25" s="194">
        <f>'[1]February - 2023'!DZ24</f>
        <v>0</v>
      </c>
      <c r="DX25" s="87">
        <f>'[1]February - 2023'!EA24</f>
        <v>0</v>
      </c>
      <c r="DY25" s="194">
        <f>'[1]February - 2023'!EB24</f>
        <v>0</v>
      </c>
      <c r="DZ25" s="87">
        <f>'[1]February - 2023'!EC24</f>
        <v>0</v>
      </c>
      <c r="EA25" s="194">
        <f>'[1]February - 2023'!ED24</f>
        <v>0</v>
      </c>
      <c r="EB25" s="87">
        <f>'[1]February - 2023'!EE24</f>
        <v>0</v>
      </c>
      <c r="EC25" s="194">
        <f>'[1]February - 2023'!EF24</f>
        <v>0</v>
      </c>
      <c r="ED25" s="87">
        <f>'[1]February - 2023'!EI24</f>
        <v>0</v>
      </c>
      <c r="EE25" s="207">
        <f>'[1]February - 2023'!EJ24</f>
        <v>0</v>
      </c>
      <c r="EF25" s="548"/>
      <c r="EG25" s="213">
        <f>'[1]February - 2023'!EL24</f>
        <v>0</v>
      </c>
      <c r="EH25" s="208">
        <f>'[1]February - 2023'!EM24</f>
        <v>0</v>
      </c>
      <c r="EI25" s="86">
        <f>'[1]February - 2023'!EN24</f>
        <v>0</v>
      </c>
      <c r="EJ25" s="208">
        <f>'[1]February - 2023'!EO24</f>
        <v>0</v>
      </c>
      <c r="EK25" s="86">
        <f>'[1]February - 2023'!EP24</f>
        <v>0</v>
      </c>
      <c r="EL25" s="208">
        <f>'[1]February - 2023'!EQ24</f>
        <v>0</v>
      </c>
      <c r="EM25" s="86">
        <f>'[1]February - 2023'!ER24</f>
        <v>0</v>
      </c>
      <c r="EN25" s="208">
        <f>'[1]February - 2023'!ES24</f>
        <v>0</v>
      </c>
      <c r="EO25" s="86">
        <f>'[1]February - 2023'!ET24</f>
        <v>0</v>
      </c>
      <c r="EP25" s="208">
        <f>'[1]February - 2023'!EU24</f>
        <v>0</v>
      </c>
      <c r="EQ25" s="86">
        <f>'[1]February - 2023'!EV24</f>
        <v>0</v>
      </c>
      <c r="ER25" s="208">
        <f>'[1]February - 2023'!EW24</f>
        <v>0</v>
      </c>
      <c r="ES25" s="523"/>
      <c r="ET25" s="253">
        <f>'[1]February - 2023'!EY24</f>
        <v>0</v>
      </c>
      <c r="EU25" s="266">
        <f>'[1]February - 2023'!EZ24</f>
        <v>0</v>
      </c>
      <c r="EV25" s="254">
        <f>'[1]February - 2023'!FA24</f>
        <v>0</v>
      </c>
      <c r="EW25" s="266">
        <f>'[1]February - 2023'!FB24</f>
        <v>0</v>
      </c>
      <c r="EX25" s="254">
        <f>'[1]February - 2023'!FC24</f>
        <v>0</v>
      </c>
      <c r="EY25" s="266">
        <f>'[1]February - 2023'!FD24</f>
        <v>0</v>
      </c>
      <c r="EZ25" s="254">
        <f>'[1]February - 2023'!FE24</f>
        <v>0</v>
      </c>
      <c r="FA25" s="266">
        <f>'[1]February - 2023'!FF24</f>
        <v>0</v>
      </c>
      <c r="FB25" s="254">
        <f>'[1]February - 2023'!FG24</f>
        <v>0</v>
      </c>
      <c r="FC25" s="264">
        <f>'[1]February - 2023'!FH24</f>
        <v>0</v>
      </c>
    </row>
    <row r="26" spans="1:159" ht="30" customHeight="1" x14ac:dyDescent="0.25">
      <c r="A26" s="186">
        <v>44974</v>
      </c>
      <c r="B26" s="188">
        <f>'[1]February - 2023'!B25</f>
        <v>0</v>
      </c>
      <c r="C26" s="228">
        <f>'[1]February - 2023'!E25</f>
        <v>0</v>
      </c>
      <c r="D26" s="151">
        <f>'[1]February - 2023'!F26</f>
        <v>0</v>
      </c>
      <c r="E26" s="150">
        <f>'[1]February - 2023'!G25</f>
        <v>613</v>
      </c>
      <c r="F26" s="150">
        <f>'[1]February - 2023'!H25</f>
        <v>0</v>
      </c>
      <c r="G26" s="151">
        <f>'[1]February - 2023'!I26</f>
        <v>0</v>
      </c>
      <c r="H26" s="150">
        <f>'[1]February - 2023'!J25</f>
        <v>121240</v>
      </c>
      <c r="I26" s="239">
        <f>'[1]February - 2023'!K25</f>
        <v>0</v>
      </c>
      <c r="J26" s="151">
        <f>'[1]February - 2023'!L25</f>
        <v>0</v>
      </c>
      <c r="K26" s="239">
        <f>'[1]February - 2023'!N25</f>
        <v>0</v>
      </c>
      <c r="L26" s="151">
        <f>'[1]February - 2023'!O25</f>
        <v>0</v>
      </c>
      <c r="M26" s="239">
        <f>'[1]February - 2023'!Q25</f>
        <v>0</v>
      </c>
      <c r="N26" s="151">
        <f>'[1]February - 2023'!R25</f>
        <v>0</v>
      </c>
      <c r="O26" s="239">
        <f>'[1]February - 2023'!U25</f>
        <v>0</v>
      </c>
      <c r="P26" s="151">
        <f>'[1]February - 2023'!V25</f>
        <v>0</v>
      </c>
      <c r="Q26" s="150">
        <f>'[1]February - 2023'!W25</f>
        <v>-26</v>
      </c>
      <c r="R26" s="239">
        <f>'[1]February - 2023'!X25</f>
        <v>0</v>
      </c>
      <c r="S26" s="187">
        <f>'[1]February - 2023'!Y25</f>
        <v>0</v>
      </c>
      <c r="T26" s="444"/>
      <c r="U26" s="244">
        <f>'[1]February - 2023'!AE25</f>
        <v>0</v>
      </c>
      <c r="V26" s="265">
        <f>'[1]February - 2023'!AF25</f>
        <v>0</v>
      </c>
      <c r="W26" s="88">
        <f>'[1]February - 2023'!AG25</f>
        <v>2192.4000000003725</v>
      </c>
      <c r="X26" s="261">
        <f>'[1]February - 2023'!AH25</f>
        <v>0</v>
      </c>
      <c r="Y26" s="265">
        <f>'[1]February - 2023'!AI25</f>
        <v>0</v>
      </c>
      <c r="Z26" s="88">
        <f>'[1]February - 2023'!AJ25</f>
        <v>4774.5600000005215</v>
      </c>
      <c r="AA26" s="261">
        <f>'[1]February - 2023'!AK25</f>
        <v>0</v>
      </c>
      <c r="AB26" s="265">
        <f>'[1]February - 2023'!AL25</f>
        <v>0</v>
      </c>
      <c r="AC26" s="88">
        <f>'[1]February - 2023'!AM25</f>
        <v>194.88000000081956</v>
      </c>
      <c r="AD26" s="261">
        <f>'[1]February - 2023'!AN25</f>
        <v>0</v>
      </c>
      <c r="AE26" s="265">
        <f>'[1]February - 2023'!AO25</f>
        <v>0</v>
      </c>
      <c r="AF26" s="88">
        <f>'[1]February - 2023'!AP25</f>
        <v>8038.8000000007451</v>
      </c>
      <c r="AG26" s="261">
        <f>'[1]February - 2023'!AQ25</f>
        <v>0</v>
      </c>
      <c r="AH26" s="265">
        <f>'[1]February - 2023'!AR25</f>
        <v>0</v>
      </c>
      <c r="AI26" s="88">
        <f>'[1]February - 2023'!AS25</f>
        <v>1510.320000000298</v>
      </c>
      <c r="AJ26" s="261">
        <f>'[1]February - 2023'!AT25</f>
        <v>0</v>
      </c>
      <c r="AK26" s="265">
        <f>'[1]February - 2023'!AU25</f>
        <v>0</v>
      </c>
      <c r="AL26" s="88">
        <f>'[1]February - 2023'!AV25</f>
        <v>6041.2800000011921</v>
      </c>
      <c r="AM26" s="261">
        <f>'[1]February - 2023'!AW25</f>
        <v>0</v>
      </c>
      <c r="AN26" s="265">
        <f>'[1]February - 2023'!AX25</f>
        <v>0</v>
      </c>
      <c r="AO26" s="88">
        <f>'[1]February - 2023'!AY25</f>
        <v>4579.679999999702</v>
      </c>
      <c r="AP26" s="261">
        <f>'[1]February - 2023'!AZ25</f>
        <v>0</v>
      </c>
      <c r="AQ26" s="265">
        <f>'[1]February - 2023'!BA25</f>
        <v>0</v>
      </c>
      <c r="AR26" s="88">
        <f>'[1]February - 2023'!BB25</f>
        <v>4433.519999999553</v>
      </c>
      <c r="AS26" s="261">
        <f>'[1]February - 2023'!BC25</f>
        <v>0</v>
      </c>
      <c r="AT26" s="265">
        <f>'[1]February - 2023'!BD25</f>
        <v>0</v>
      </c>
      <c r="AU26" s="88">
        <f>'[1]February - 2023'!BE25</f>
        <v>3312.9599999990314</v>
      </c>
      <c r="AV26" s="261">
        <f>'[1]February - 2023'!BF25</f>
        <v>0</v>
      </c>
      <c r="AW26" s="229">
        <f>'[1]February - 2023'!BG25</f>
        <v>0</v>
      </c>
      <c r="AX26" s="230">
        <f>'[1]February - 2023'!BH25</f>
        <v>5651.5200000014156</v>
      </c>
      <c r="AY26" s="461"/>
      <c r="AZ26" s="247">
        <f>'[1]February - 2023'!BM25</f>
        <v>0</v>
      </c>
      <c r="BA26" s="160">
        <f>'[1]February - 2023'!BN25</f>
        <v>0</v>
      </c>
      <c r="BB26" s="89">
        <f>'[1]February - 2023'!BO26</f>
        <v>0</v>
      </c>
      <c r="BC26" s="247">
        <f>'[1]February - 2023'!BP25</f>
        <v>0</v>
      </c>
      <c r="BD26" s="223">
        <f>'[1]February - 2023'!BQ25</f>
        <v>0</v>
      </c>
      <c r="BE26" s="89">
        <f>'[1]February - 2023'!BR25</f>
        <v>40900</v>
      </c>
      <c r="BF26" s="247">
        <f>'[1]February - 2023'!BS25</f>
        <v>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0</v>
      </c>
      <c r="BT26" s="165">
        <f>'[1]February - 2023'!BW25</f>
        <v>0</v>
      </c>
      <c r="BU26" s="557"/>
      <c r="BV26" s="84">
        <f>'[1]February - 2023'!BY25</f>
        <v>0</v>
      </c>
      <c r="BW26" s="219">
        <f>'[1]February - 2023'!BZ25</f>
        <v>0</v>
      </c>
      <c r="BX26" s="84">
        <f>'[1]February - 2023'!CA25</f>
        <v>-4.9999999999999933E-2</v>
      </c>
      <c r="BY26" s="85">
        <f>'[1]February - 2023'!CB25</f>
        <v>0</v>
      </c>
      <c r="BZ26" s="171">
        <f>'[1]February - 2023'!CC25</f>
        <v>0</v>
      </c>
      <c r="CA26" s="85">
        <f>'[1]February - 2023'!CD25</f>
        <v>0</v>
      </c>
      <c r="CB26" s="171">
        <f>'[1]February - 2023'!CE25</f>
        <v>0</v>
      </c>
      <c r="CC26" s="85">
        <f>'[1]February - 2023'!CF25</f>
        <v>0</v>
      </c>
      <c r="CD26" s="171">
        <f>'[1]February - 2023'!CG25</f>
        <v>0</v>
      </c>
      <c r="CE26" s="85">
        <f>'[1]February - 2023'!CH25</f>
        <v>0</v>
      </c>
      <c r="CF26" s="171">
        <f>'[1]February - 2023'!CI25</f>
        <v>0</v>
      </c>
      <c r="CG26" s="85">
        <f>'[1]February - 2023'!CJ25</f>
        <v>0</v>
      </c>
      <c r="CH26" s="171">
        <f>'[1]February - 2023'!CK25</f>
        <v>0</v>
      </c>
      <c r="CI26" s="85">
        <f>'[1]February - 2023'!CL25</f>
        <v>0</v>
      </c>
      <c r="CJ26" s="171">
        <f>'[1]February - 2023'!CM25</f>
        <v>0</v>
      </c>
      <c r="CK26" s="85">
        <f>'[1]February - 2023'!CN25</f>
        <v>0</v>
      </c>
      <c r="CL26" s="224">
        <f>'[1]February - 2023'!CO25</f>
        <v>0</v>
      </c>
      <c r="CM26" s="85">
        <f>'[1]February - 2023'!CP25</f>
        <v>99</v>
      </c>
      <c r="CN26" s="85">
        <f>'[1]February - 2023'!CQ25</f>
        <v>0</v>
      </c>
      <c r="CO26" s="224">
        <f>'[1]February - 2023'!CR25</f>
        <v>0</v>
      </c>
      <c r="CP26" s="85">
        <f>'[1]February - 2023'!CV25</f>
        <v>353</v>
      </c>
      <c r="CQ26" s="85">
        <f>'[1]February - 2023'!CT25</f>
        <v>0</v>
      </c>
      <c r="CR26" s="224">
        <f>'[1]February - 2023'!CU25</f>
        <v>0</v>
      </c>
      <c r="CS26" s="85">
        <f>'[1]February - 2023'!CV25</f>
        <v>353</v>
      </c>
      <c r="CT26" s="85">
        <f>'[1]February - 2023'!CW25</f>
        <v>0</v>
      </c>
      <c r="CU26" s="171">
        <f>'[1]February - 2023'!CX25</f>
        <v>0</v>
      </c>
      <c r="CV26" s="485"/>
      <c r="CW26" s="259">
        <f>'[1]February - 2023'!CZ25</f>
        <v>0</v>
      </c>
      <c r="CX26" s="262">
        <f>'[1]February - 2023'!DA25</f>
        <v>0</v>
      </c>
      <c r="CY26" s="260">
        <f>'[1]February - 2023'!DB25</f>
        <v>0</v>
      </c>
      <c r="CZ26" s="262">
        <f>'[1]February - 2023'!DC25</f>
        <v>0</v>
      </c>
      <c r="DA26" s="260">
        <f>'[1]February - 2023'!DD25</f>
        <v>0</v>
      </c>
      <c r="DB26" s="262">
        <f>'[1]February - 2023'!DE25</f>
        <v>0</v>
      </c>
      <c r="DC26" s="260">
        <f>'[1]February - 2023'!DF25</f>
        <v>0</v>
      </c>
      <c r="DD26" s="262">
        <f>'[1]February - 2023'!DG25</f>
        <v>0</v>
      </c>
      <c r="DE26" s="260">
        <f>'[1]February - 2023'!DH25</f>
        <v>0</v>
      </c>
      <c r="DF26" s="262">
        <f>'[1]February - 2023'!DI25</f>
        <v>0</v>
      </c>
      <c r="DG26" s="260">
        <f>'[1]February - 2023'!DJ25</f>
        <v>0</v>
      </c>
      <c r="DH26" s="262">
        <f>'[1]February - 2023'!DK25</f>
        <v>0</v>
      </c>
      <c r="DI26" s="260">
        <f>'[1]February - 2023'!DL25</f>
        <v>0</v>
      </c>
      <c r="DJ26" s="262">
        <f>'[1]February - 2023'!DM25</f>
        <v>0</v>
      </c>
      <c r="DK26" s="260">
        <f>'[1]February - 2023'!DN25</f>
        <v>0</v>
      </c>
      <c r="DL26" s="262">
        <f>'[1]February - 2023'!DO25</f>
        <v>0</v>
      </c>
      <c r="DM26" s="260">
        <f>'[1]February - 2023'!DP25</f>
        <v>0</v>
      </c>
      <c r="DN26" s="262">
        <f>'[1]February - 2023'!DQ25</f>
        <v>0</v>
      </c>
      <c r="DO26" s="260">
        <f>'[1]February - 2023'!DR25</f>
        <v>0</v>
      </c>
      <c r="DP26" s="262">
        <f>'[1]February - 2023'!DS25</f>
        <v>0</v>
      </c>
      <c r="DQ26" s="260">
        <f>'[1]February - 2023'!DT25</f>
        <v>0</v>
      </c>
      <c r="DR26" s="263">
        <f>'[1]February - 2023'!DU25</f>
        <v>0</v>
      </c>
      <c r="DS26" s="501"/>
      <c r="DT26" s="189">
        <f>'[1]February - 2023'!DW25</f>
        <v>0</v>
      </c>
      <c r="DU26" s="200">
        <f>'[1]February - 2023'!DX25</f>
        <v>0</v>
      </c>
      <c r="DV26" s="87">
        <f>'[1]February - 2023'!DY25</f>
        <v>0</v>
      </c>
      <c r="DW26" s="194">
        <f>'[1]February - 2023'!DZ25</f>
        <v>0</v>
      </c>
      <c r="DX26" s="87">
        <f>'[1]February - 2023'!EA25</f>
        <v>0</v>
      </c>
      <c r="DY26" s="194">
        <f>'[1]February - 2023'!EB25</f>
        <v>0</v>
      </c>
      <c r="DZ26" s="87">
        <f>'[1]February - 2023'!EC25</f>
        <v>0</v>
      </c>
      <c r="EA26" s="194">
        <f>'[1]February - 2023'!ED25</f>
        <v>0</v>
      </c>
      <c r="EB26" s="87">
        <f>'[1]February - 2023'!EE25</f>
        <v>0</v>
      </c>
      <c r="EC26" s="194">
        <f>'[1]February - 2023'!EF25</f>
        <v>0</v>
      </c>
      <c r="ED26" s="87">
        <f>'[1]February - 2023'!EI25</f>
        <v>0</v>
      </c>
      <c r="EE26" s="207">
        <f>'[1]February - 2023'!EJ25</f>
        <v>0</v>
      </c>
      <c r="EF26" s="548"/>
      <c r="EG26" s="213">
        <f>'[1]February - 2023'!EL25</f>
        <v>0</v>
      </c>
      <c r="EH26" s="208">
        <f>'[1]February - 2023'!EM25</f>
        <v>0</v>
      </c>
      <c r="EI26" s="86">
        <f>'[1]February - 2023'!EN25</f>
        <v>0</v>
      </c>
      <c r="EJ26" s="208">
        <f>'[1]February - 2023'!EO25</f>
        <v>0</v>
      </c>
      <c r="EK26" s="86">
        <f>'[1]February - 2023'!EP25</f>
        <v>0</v>
      </c>
      <c r="EL26" s="208">
        <f>'[1]February - 2023'!EQ25</f>
        <v>0</v>
      </c>
      <c r="EM26" s="86">
        <f>'[1]February - 2023'!ER25</f>
        <v>0</v>
      </c>
      <c r="EN26" s="208">
        <f>'[1]February - 2023'!ES25</f>
        <v>0</v>
      </c>
      <c r="EO26" s="86">
        <f>'[1]February - 2023'!ET25</f>
        <v>0</v>
      </c>
      <c r="EP26" s="208">
        <f>'[1]February - 2023'!EU25</f>
        <v>0</v>
      </c>
      <c r="EQ26" s="86">
        <f>'[1]February - 2023'!EV25</f>
        <v>0</v>
      </c>
      <c r="ER26" s="208">
        <f>'[1]February - 2023'!EW25</f>
        <v>0</v>
      </c>
      <c r="ES26" s="523"/>
      <c r="ET26" s="253">
        <f>'[1]February - 2023'!EY25</f>
        <v>0</v>
      </c>
      <c r="EU26" s="266">
        <f>'[1]February - 2023'!EZ25</f>
        <v>0</v>
      </c>
      <c r="EV26" s="254">
        <f>'[1]February - 2023'!FA25</f>
        <v>0</v>
      </c>
      <c r="EW26" s="266">
        <f>'[1]February - 2023'!FB25</f>
        <v>0</v>
      </c>
      <c r="EX26" s="254">
        <f>'[1]February - 2023'!FC25</f>
        <v>0</v>
      </c>
      <c r="EY26" s="266">
        <f>'[1]February - 2023'!FD25</f>
        <v>0</v>
      </c>
      <c r="EZ26" s="254">
        <f>'[1]February - 2023'!FE25</f>
        <v>0</v>
      </c>
      <c r="FA26" s="266">
        <f>'[1]February - 2023'!FF25</f>
        <v>0</v>
      </c>
      <c r="FB26" s="254">
        <f>'[1]February - 2023'!FG25</f>
        <v>0</v>
      </c>
      <c r="FC26" s="264">
        <f>'[1]February - 2023'!FH25</f>
        <v>0</v>
      </c>
    </row>
    <row r="27" spans="1:159" ht="30" customHeight="1" x14ac:dyDescent="0.25">
      <c r="A27" s="186">
        <v>44975</v>
      </c>
      <c r="B27" s="188">
        <f>'[1]February - 2023'!B26</f>
        <v>0</v>
      </c>
      <c r="C27" s="228">
        <f>'[1]February - 2023'!E26</f>
        <v>0</v>
      </c>
      <c r="D27" s="151">
        <f>'[1]February - 2023'!F27</f>
        <v>0</v>
      </c>
      <c r="E27" s="150">
        <f>'[1]February - 2023'!G26</f>
        <v>643</v>
      </c>
      <c r="F27" s="150">
        <f>'[1]February - 2023'!H26</f>
        <v>0</v>
      </c>
      <c r="G27" s="151">
        <f>'[1]February - 2023'!I27</f>
        <v>0</v>
      </c>
      <c r="H27" s="150">
        <f>'[1]February - 2023'!J26</f>
        <v>121742</v>
      </c>
      <c r="I27" s="239">
        <f>'[1]February - 2023'!K26</f>
        <v>0</v>
      </c>
      <c r="J27" s="151">
        <f>'[1]February - 2023'!L26</f>
        <v>0</v>
      </c>
      <c r="K27" s="239">
        <f>'[1]February - 2023'!N26</f>
        <v>0</v>
      </c>
      <c r="L27" s="151">
        <f>'[1]February - 2023'!O26</f>
        <v>0</v>
      </c>
      <c r="M27" s="239">
        <f>'[1]February - 2023'!Q26</f>
        <v>0</v>
      </c>
      <c r="N27" s="151">
        <f>'[1]February - 2023'!R26</f>
        <v>0</v>
      </c>
      <c r="O27" s="239">
        <f>'[1]February - 2023'!U26</f>
        <v>0</v>
      </c>
      <c r="P27" s="151">
        <f>'[1]February - 2023'!V26</f>
        <v>0</v>
      </c>
      <c r="Q27" s="150">
        <f>'[1]February - 2023'!W26</f>
        <v>5</v>
      </c>
      <c r="R27" s="239">
        <f>'[1]February - 2023'!X26</f>
        <v>0</v>
      </c>
      <c r="S27" s="187">
        <f>'[1]February - 2023'!Y26</f>
        <v>0</v>
      </c>
      <c r="T27" s="444"/>
      <c r="U27" s="244">
        <f>'[1]February - 2023'!AE26</f>
        <v>0</v>
      </c>
      <c r="V27" s="265">
        <f>'[1]February - 2023'!AF26</f>
        <v>0</v>
      </c>
      <c r="W27" s="88">
        <f>'[1]February - 2023'!AG26</f>
        <v>2094.9599999990314</v>
      </c>
      <c r="X27" s="261">
        <f>'[1]February - 2023'!AH26</f>
        <v>0</v>
      </c>
      <c r="Y27" s="265">
        <f>'[1]February - 2023'!AI26</f>
        <v>0</v>
      </c>
      <c r="Z27" s="88">
        <f>'[1]February - 2023'!AJ26</f>
        <v>4823.2800000011921</v>
      </c>
      <c r="AA27" s="261">
        <f>'[1]February - 2023'!AK26</f>
        <v>0</v>
      </c>
      <c r="AB27" s="265">
        <f>'[1]February - 2023'!AL26</f>
        <v>0</v>
      </c>
      <c r="AC27" s="88">
        <f>'[1]February - 2023'!AM26</f>
        <v>194.88000000081956</v>
      </c>
      <c r="AD27" s="261">
        <f>'[1]February - 2023'!AN26</f>
        <v>0</v>
      </c>
      <c r="AE27" s="265">
        <f>'[1]February - 2023'!AO26</f>
        <v>0</v>
      </c>
      <c r="AF27" s="88">
        <f>'[1]February - 2023'!AP26</f>
        <v>8428.5600000023842</v>
      </c>
      <c r="AG27" s="261">
        <f>'[1]February - 2023'!AQ26</f>
        <v>0</v>
      </c>
      <c r="AH27" s="265">
        <f>'[1]February - 2023'!AR26</f>
        <v>0</v>
      </c>
      <c r="AI27" s="88">
        <f>'[1]February - 2023'!AS26</f>
        <v>1364.1599999964237</v>
      </c>
      <c r="AJ27" s="261">
        <f>'[1]February - 2023'!AT26</f>
        <v>0</v>
      </c>
      <c r="AK27" s="265">
        <f>'[1]February - 2023'!AU26</f>
        <v>0</v>
      </c>
      <c r="AL27" s="88">
        <f>'[1]February - 2023'!AV26</f>
        <v>6138.7199999988079</v>
      </c>
      <c r="AM27" s="261">
        <f>'[1]February - 2023'!AW26</f>
        <v>0</v>
      </c>
      <c r="AN27" s="265">
        <f>'[1]February - 2023'!AX26</f>
        <v>0</v>
      </c>
      <c r="AO27" s="88">
        <f>'[1]February - 2023'!AY26</f>
        <v>4384.7999999988824</v>
      </c>
      <c r="AP27" s="261">
        <f>'[1]February - 2023'!AZ26</f>
        <v>0</v>
      </c>
      <c r="AQ27" s="265">
        <f>'[1]February - 2023'!BA26</f>
        <v>0</v>
      </c>
      <c r="AR27" s="88">
        <f>'[1]February - 2023'!BB26</f>
        <v>4628.4000000003725</v>
      </c>
      <c r="AS27" s="261">
        <f>'[1]February - 2023'!BC26</f>
        <v>0</v>
      </c>
      <c r="AT27" s="265">
        <f>'[1]February - 2023'!BD26</f>
        <v>0</v>
      </c>
      <c r="AU27" s="88">
        <f>'[1]February - 2023'!BE26</f>
        <v>3069.359999999404</v>
      </c>
      <c r="AV27" s="261">
        <f>'[1]February - 2023'!BF26</f>
        <v>0</v>
      </c>
      <c r="AW27" s="229">
        <f>'[1]February - 2023'!BG26</f>
        <v>0</v>
      </c>
      <c r="AX27" s="230">
        <f>'[1]February - 2023'!BH26</f>
        <v>5554.0799999982119</v>
      </c>
      <c r="AY27" s="461"/>
      <c r="AZ27" s="247">
        <f>'[1]February - 2023'!BM26</f>
        <v>0</v>
      </c>
      <c r="BA27" s="160">
        <f>'[1]February - 2023'!BN26</f>
        <v>0</v>
      </c>
      <c r="BB27" s="89">
        <f>'[1]February - 2023'!BO27</f>
        <v>38900</v>
      </c>
      <c r="BC27" s="247">
        <f>'[1]February - 2023'!BP26</f>
        <v>0</v>
      </c>
      <c r="BD27" s="223">
        <f>'[1]February - 2023'!BQ26</f>
        <v>0</v>
      </c>
      <c r="BE27" s="89">
        <f>'[1]February - 2023'!BR26</f>
        <v>41000</v>
      </c>
      <c r="BF27" s="247">
        <f>'[1]February - 2023'!BS26</f>
        <v>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0</v>
      </c>
      <c r="BT27" s="165">
        <f>'[1]February - 2023'!BW26</f>
        <v>0</v>
      </c>
      <c r="BU27" s="557"/>
      <c r="BV27" s="84">
        <f>'[1]February - 2023'!BY26</f>
        <v>0</v>
      </c>
      <c r="BW27" s="219">
        <f>'[1]February - 2023'!BZ26</f>
        <v>0</v>
      </c>
      <c r="BX27" s="84">
        <f>'[1]February - 2023'!CA26</f>
        <v>7.999999999999996E-2</v>
      </c>
      <c r="BY27" s="85">
        <f>'[1]February - 2023'!CB26</f>
        <v>0</v>
      </c>
      <c r="BZ27" s="171">
        <f>'[1]February - 2023'!CC26</f>
        <v>0</v>
      </c>
      <c r="CA27" s="85">
        <f>'[1]February - 2023'!CD26</f>
        <v>0</v>
      </c>
      <c r="CB27" s="171">
        <f>'[1]February - 2023'!CE26</f>
        <v>0</v>
      </c>
      <c r="CC27" s="85">
        <f>'[1]February - 2023'!CF26</f>
        <v>0</v>
      </c>
      <c r="CD27" s="171">
        <f>'[1]February - 2023'!CG26</f>
        <v>0</v>
      </c>
      <c r="CE27" s="85">
        <f>'[1]February - 2023'!CH26</f>
        <v>0</v>
      </c>
      <c r="CF27" s="171">
        <f>'[1]February - 2023'!CI26</f>
        <v>0</v>
      </c>
      <c r="CG27" s="85">
        <f>'[1]February - 2023'!CJ26</f>
        <v>0</v>
      </c>
      <c r="CH27" s="171">
        <f>'[1]February - 2023'!CK26</f>
        <v>0</v>
      </c>
      <c r="CI27" s="85">
        <f>'[1]February - 2023'!CL26</f>
        <v>0</v>
      </c>
      <c r="CJ27" s="171">
        <f>'[1]February - 2023'!CM26</f>
        <v>0</v>
      </c>
      <c r="CK27" s="85">
        <f>'[1]February - 2023'!CN26</f>
        <v>0</v>
      </c>
      <c r="CL27" s="224">
        <f>'[1]February - 2023'!CO26</f>
        <v>0</v>
      </c>
      <c r="CM27" s="85">
        <f>'[1]February - 2023'!CP26</f>
        <v>99</v>
      </c>
      <c r="CN27" s="85">
        <f>'[1]February - 2023'!CQ26</f>
        <v>0</v>
      </c>
      <c r="CO27" s="224">
        <f>'[1]February - 2023'!CR26</f>
        <v>0</v>
      </c>
      <c r="CP27" s="85">
        <f>'[1]February - 2023'!CV26</f>
        <v>289</v>
      </c>
      <c r="CQ27" s="85">
        <f>'[1]February - 2023'!CT26</f>
        <v>0</v>
      </c>
      <c r="CR27" s="224">
        <f>'[1]February - 2023'!CU26</f>
        <v>0</v>
      </c>
      <c r="CS27" s="85">
        <f>'[1]February - 2023'!CV26</f>
        <v>289</v>
      </c>
      <c r="CT27" s="85">
        <f>'[1]February - 2023'!CW26</f>
        <v>0</v>
      </c>
      <c r="CU27" s="171">
        <f>'[1]February - 2023'!CX26</f>
        <v>0</v>
      </c>
      <c r="CV27" s="485"/>
      <c r="CW27" s="259">
        <f>'[1]February - 2023'!CZ26</f>
        <v>0</v>
      </c>
      <c r="CX27" s="262">
        <f>'[1]February - 2023'!DA26</f>
        <v>0</v>
      </c>
      <c r="CY27" s="260">
        <f>'[1]February - 2023'!DB26</f>
        <v>0</v>
      </c>
      <c r="CZ27" s="262">
        <f>'[1]February - 2023'!DC26</f>
        <v>0</v>
      </c>
      <c r="DA27" s="260">
        <f>'[1]February - 2023'!DD26</f>
        <v>0</v>
      </c>
      <c r="DB27" s="262">
        <f>'[1]February - 2023'!DE26</f>
        <v>0</v>
      </c>
      <c r="DC27" s="260">
        <f>'[1]February - 2023'!DF26</f>
        <v>0</v>
      </c>
      <c r="DD27" s="262">
        <f>'[1]February - 2023'!DG26</f>
        <v>0</v>
      </c>
      <c r="DE27" s="260">
        <f>'[1]February - 2023'!DH26</f>
        <v>0</v>
      </c>
      <c r="DF27" s="262">
        <f>'[1]February - 2023'!DI26</f>
        <v>0</v>
      </c>
      <c r="DG27" s="260">
        <f>'[1]February - 2023'!DJ26</f>
        <v>0</v>
      </c>
      <c r="DH27" s="262">
        <f>'[1]February - 2023'!DK26</f>
        <v>0</v>
      </c>
      <c r="DI27" s="260">
        <f>'[1]February - 2023'!DL26</f>
        <v>0</v>
      </c>
      <c r="DJ27" s="262">
        <f>'[1]February - 2023'!DM26</f>
        <v>0</v>
      </c>
      <c r="DK27" s="260">
        <f>'[1]February - 2023'!DN26</f>
        <v>0</v>
      </c>
      <c r="DL27" s="262">
        <f>'[1]February - 2023'!DO26</f>
        <v>0</v>
      </c>
      <c r="DM27" s="260">
        <f>'[1]February - 2023'!DP26</f>
        <v>0</v>
      </c>
      <c r="DN27" s="262">
        <f>'[1]February - 2023'!DQ26</f>
        <v>0</v>
      </c>
      <c r="DO27" s="260">
        <f>'[1]February - 2023'!DR26</f>
        <v>0</v>
      </c>
      <c r="DP27" s="262">
        <f>'[1]February - 2023'!DS26</f>
        <v>0</v>
      </c>
      <c r="DQ27" s="260">
        <f>'[1]February - 2023'!DT26</f>
        <v>0</v>
      </c>
      <c r="DR27" s="263">
        <f>'[1]February - 2023'!DU26</f>
        <v>0</v>
      </c>
      <c r="DS27" s="501"/>
      <c r="DT27" s="189">
        <f>'[1]February - 2023'!DW26</f>
        <v>0</v>
      </c>
      <c r="DU27" s="200">
        <f>'[1]February - 2023'!DX26</f>
        <v>0</v>
      </c>
      <c r="DV27" s="87">
        <f>'[1]February - 2023'!DY26</f>
        <v>0</v>
      </c>
      <c r="DW27" s="194">
        <f>'[1]February - 2023'!DZ26</f>
        <v>0</v>
      </c>
      <c r="DX27" s="87">
        <f>'[1]February - 2023'!EA26</f>
        <v>0</v>
      </c>
      <c r="DY27" s="194">
        <f>'[1]February - 2023'!EB26</f>
        <v>0</v>
      </c>
      <c r="DZ27" s="87">
        <f>'[1]February - 2023'!EC26</f>
        <v>0</v>
      </c>
      <c r="EA27" s="194">
        <f>'[1]February - 2023'!ED26</f>
        <v>0</v>
      </c>
      <c r="EB27" s="87">
        <f>'[1]February - 2023'!EE26</f>
        <v>0</v>
      </c>
      <c r="EC27" s="194">
        <f>'[1]February - 2023'!EF26</f>
        <v>0</v>
      </c>
      <c r="ED27" s="87">
        <f>'[1]February - 2023'!EI26</f>
        <v>0</v>
      </c>
      <c r="EE27" s="207">
        <f>'[1]February - 2023'!EJ26</f>
        <v>0</v>
      </c>
      <c r="EF27" s="548"/>
      <c r="EG27" s="213">
        <f>'[1]February - 2023'!EL26</f>
        <v>0</v>
      </c>
      <c r="EH27" s="208">
        <f>'[1]February - 2023'!EM26</f>
        <v>0</v>
      </c>
      <c r="EI27" s="86">
        <f>'[1]February - 2023'!EN26</f>
        <v>0</v>
      </c>
      <c r="EJ27" s="208">
        <f>'[1]February - 2023'!EO26</f>
        <v>0</v>
      </c>
      <c r="EK27" s="86">
        <f>'[1]February - 2023'!EP26</f>
        <v>0</v>
      </c>
      <c r="EL27" s="208">
        <f>'[1]February - 2023'!EQ26</f>
        <v>0</v>
      </c>
      <c r="EM27" s="86">
        <f>'[1]February - 2023'!ER26</f>
        <v>0</v>
      </c>
      <c r="EN27" s="208">
        <f>'[1]February - 2023'!ES26</f>
        <v>0</v>
      </c>
      <c r="EO27" s="86">
        <f>'[1]February - 2023'!ET26</f>
        <v>0</v>
      </c>
      <c r="EP27" s="208">
        <f>'[1]February - 2023'!EU26</f>
        <v>0</v>
      </c>
      <c r="EQ27" s="86">
        <f>'[1]February - 2023'!EV26</f>
        <v>0</v>
      </c>
      <c r="ER27" s="208">
        <f>'[1]February - 2023'!EW26</f>
        <v>0</v>
      </c>
      <c r="ES27" s="523"/>
      <c r="ET27" s="253">
        <f>'[1]February - 2023'!EY26</f>
        <v>0</v>
      </c>
      <c r="EU27" s="266">
        <f>'[1]February - 2023'!EZ26</f>
        <v>0</v>
      </c>
      <c r="EV27" s="254">
        <f>'[1]February - 2023'!FA26</f>
        <v>0</v>
      </c>
      <c r="EW27" s="266">
        <f>'[1]February - 2023'!FB26</f>
        <v>0</v>
      </c>
      <c r="EX27" s="254">
        <f>'[1]February - 2023'!FC26</f>
        <v>0</v>
      </c>
      <c r="EY27" s="266">
        <f>'[1]February - 2023'!FD26</f>
        <v>0</v>
      </c>
      <c r="EZ27" s="254">
        <f>'[1]February - 2023'!FE26</f>
        <v>0</v>
      </c>
      <c r="FA27" s="266">
        <f>'[1]February - 2023'!FF26</f>
        <v>0</v>
      </c>
      <c r="FB27" s="254">
        <f>'[1]February - 2023'!FG26</f>
        <v>0</v>
      </c>
      <c r="FC27" s="264">
        <f>'[1]February - 2023'!FH26</f>
        <v>0</v>
      </c>
    </row>
    <row r="28" spans="1:159" ht="30" customHeight="1" x14ac:dyDescent="0.25">
      <c r="A28" s="186">
        <v>44976</v>
      </c>
      <c r="B28" s="188">
        <f>'[1]February - 2023'!B27</f>
        <v>0</v>
      </c>
      <c r="C28" s="228">
        <f>'[1]February - 2023'!E27</f>
        <v>0</v>
      </c>
      <c r="D28" s="151">
        <f>'[1]February - 2023'!F28</f>
        <v>0</v>
      </c>
      <c r="E28" s="150">
        <f>'[1]February - 2023'!G27</f>
        <v>643</v>
      </c>
      <c r="F28" s="150">
        <f>'[1]February - 2023'!H27</f>
        <v>0</v>
      </c>
      <c r="G28" s="151">
        <f>'[1]February - 2023'!I28</f>
        <v>0</v>
      </c>
      <c r="H28" s="150">
        <f>'[1]February - 2023'!J27</f>
        <v>122247</v>
      </c>
      <c r="I28" s="239">
        <f>'[1]February - 2023'!K27</f>
        <v>0</v>
      </c>
      <c r="J28" s="151">
        <f>'[1]February - 2023'!L27</f>
        <v>0</v>
      </c>
      <c r="K28" s="239">
        <f>'[1]February - 2023'!N27</f>
        <v>0</v>
      </c>
      <c r="L28" s="151">
        <f>'[1]February - 2023'!O27</f>
        <v>0</v>
      </c>
      <c r="M28" s="239">
        <f>'[1]February - 2023'!Q27</f>
        <v>0</v>
      </c>
      <c r="N28" s="151">
        <f>'[1]February - 2023'!R27</f>
        <v>0</v>
      </c>
      <c r="O28" s="239">
        <f>'[1]February - 2023'!U27</f>
        <v>0</v>
      </c>
      <c r="P28" s="151">
        <f>'[1]February - 2023'!V27</f>
        <v>0</v>
      </c>
      <c r="Q28" s="150">
        <f>'[1]February - 2023'!W27</f>
        <v>89</v>
      </c>
      <c r="R28" s="239">
        <f>'[1]February - 2023'!X27</f>
        <v>0</v>
      </c>
      <c r="S28" s="187">
        <f>'[1]February - 2023'!Y27</f>
        <v>0</v>
      </c>
      <c r="T28" s="444"/>
      <c r="U28" s="244">
        <f>'[1]February - 2023'!AE27</f>
        <v>0</v>
      </c>
      <c r="V28" s="265">
        <f>'[1]February - 2023'!AF27</f>
        <v>0</v>
      </c>
      <c r="W28" s="88">
        <f>'[1]February - 2023'!AG27</f>
        <v>3312.9600000008941</v>
      </c>
      <c r="X28" s="261">
        <f>'[1]February - 2023'!AH27</f>
        <v>0</v>
      </c>
      <c r="Y28" s="265">
        <f>'[1]February - 2023'!AI27</f>
        <v>0</v>
      </c>
      <c r="Z28" s="88">
        <f>'[1]February - 2023'!AJ27</f>
        <v>5310.4799999985844</v>
      </c>
      <c r="AA28" s="261">
        <f>'[1]February - 2023'!AK27</f>
        <v>0</v>
      </c>
      <c r="AB28" s="265">
        <f>'[1]February - 2023'!AL27</f>
        <v>0</v>
      </c>
      <c r="AC28" s="88">
        <f>'[1]February - 2023'!AM27</f>
        <v>7941.359999999404</v>
      </c>
      <c r="AD28" s="261">
        <f>'[1]February - 2023'!AN27</f>
        <v>0</v>
      </c>
      <c r="AE28" s="265">
        <f>'[1]February - 2023'!AO27</f>
        <v>0</v>
      </c>
      <c r="AF28" s="88">
        <f>'[1]February - 2023'!AP27</f>
        <v>779.51999999955297</v>
      </c>
      <c r="AG28" s="261">
        <f>'[1]February - 2023'!AQ27</f>
        <v>0</v>
      </c>
      <c r="AH28" s="265">
        <f>'[1]February - 2023'!AR27</f>
        <v>0</v>
      </c>
      <c r="AI28" s="88">
        <f>'[1]February - 2023'!AS27</f>
        <v>48.720000002533197</v>
      </c>
      <c r="AJ28" s="261">
        <f>'[1]February - 2023'!AT27</f>
        <v>0</v>
      </c>
      <c r="AK28" s="265">
        <f>'[1]February - 2023'!AU27</f>
        <v>0</v>
      </c>
      <c r="AL28" s="88">
        <f>'[1]February - 2023'!AV27</f>
        <v>5943.839999999851</v>
      </c>
      <c r="AM28" s="261">
        <f>'[1]February - 2023'!AW27</f>
        <v>0</v>
      </c>
      <c r="AN28" s="265">
        <f>'[1]February - 2023'!AX27</f>
        <v>0</v>
      </c>
      <c r="AO28" s="88">
        <f>'[1]February - 2023'!AY27</f>
        <v>4336.0800000019372</v>
      </c>
      <c r="AP28" s="261">
        <f>'[1]February - 2023'!AZ27</f>
        <v>0</v>
      </c>
      <c r="AQ28" s="265">
        <f>'[1]February - 2023'!BA27</f>
        <v>0</v>
      </c>
      <c r="AR28" s="88">
        <f>'[1]February - 2023'!BB27</f>
        <v>4628.4000000003725</v>
      </c>
      <c r="AS28" s="261">
        <f>'[1]February - 2023'!BC27</f>
        <v>0</v>
      </c>
      <c r="AT28" s="265">
        <f>'[1]February - 2023'!BD27</f>
        <v>0</v>
      </c>
      <c r="AU28" s="88">
        <f>'[1]February - 2023'!BE27</f>
        <v>2971.9200000017881</v>
      </c>
      <c r="AV28" s="261">
        <f>'[1]February - 2023'!BF27</f>
        <v>0</v>
      </c>
      <c r="AW28" s="229">
        <f>'[1]February - 2023'!BG27</f>
        <v>0</v>
      </c>
      <c r="AX28" s="230">
        <f>'[1]February - 2023'!BH27</f>
        <v>5943.8400000017136</v>
      </c>
      <c r="AY28" s="461"/>
      <c r="AZ28" s="247">
        <f>'[1]February - 2023'!BM27</f>
        <v>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0</v>
      </c>
      <c r="BD28" s="223">
        <f>'[1]February - 2023'!BQ27</f>
        <v>0</v>
      </c>
      <c r="BE28" s="89">
        <f>'[1]February - 2023'!BR27</f>
        <v>4000</v>
      </c>
      <c r="BF28" s="247">
        <f>'[1]February - 2023'!BS27</f>
        <v>0</v>
      </c>
      <c r="BG28" s="223">
        <f>'[1]February - 2023'!BT27</f>
        <v>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0</v>
      </c>
      <c r="BT28" s="165">
        <f>'[1]February - 2023'!BW27</f>
        <v>0</v>
      </c>
      <c r="BU28" s="557"/>
      <c r="BV28" s="84">
        <f>'[1]February - 2023'!BY27</f>
        <v>0</v>
      </c>
      <c r="BW28" s="219">
        <f>'[1]February - 2023'!BZ27</f>
        <v>0</v>
      </c>
      <c r="BX28" s="84">
        <f>'[1]February - 2023'!CA27</f>
        <v>-9.9999999999999978E-2</v>
      </c>
      <c r="BY28" s="85">
        <f>'[1]February - 2023'!CB27</f>
        <v>0</v>
      </c>
      <c r="BZ28" s="171">
        <f>'[1]February - 2023'!CC27</f>
        <v>0</v>
      </c>
      <c r="CA28" s="85">
        <f>'[1]February - 2023'!CD27</f>
        <v>0</v>
      </c>
      <c r="CB28" s="171">
        <f>'[1]February - 2023'!CE27</f>
        <v>0</v>
      </c>
      <c r="CC28" s="85">
        <f>'[1]February - 2023'!CF27</f>
        <v>0</v>
      </c>
      <c r="CD28" s="171">
        <f>'[1]February - 2023'!CG27</f>
        <v>0</v>
      </c>
      <c r="CE28" s="85">
        <f>'[1]February - 2023'!CH27</f>
        <v>0</v>
      </c>
      <c r="CF28" s="171">
        <f>'[1]February - 2023'!CI27</f>
        <v>0</v>
      </c>
      <c r="CG28" s="85">
        <f>'[1]February - 2023'!CJ27</f>
        <v>0</v>
      </c>
      <c r="CH28" s="171">
        <f>'[1]February - 2023'!CK27</f>
        <v>0</v>
      </c>
      <c r="CI28" s="85">
        <f>'[1]February - 2023'!CL27</f>
        <v>0</v>
      </c>
      <c r="CJ28" s="171">
        <f>'[1]February - 2023'!CM27</f>
        <v>0</v>
      </c>
      <c r="CK28" s="85">
        <f>'[1]February - 2023'!CN27</f>
        <v>0</v>
      </c>
      <c r="CL28" s="224">
        <f>'[1]February - 2023'!CO27</f>
        <v>0</v>
      </c>
      <c r="CM28" s="85">
        <f>'[1]February - 2023'!CP27</f>
        <v>101</v>
      </c>
      <c r="CN28" s="85">
        <f>'[1]February - 2023'!CQ27</f>
        <v>0</v>
      </c>
      <c r="CO28" s="224">
        <f>'[1]February - 2023'!CR27</f>
        <v>0</v>
      </c>
      <c r="CP28" s="85">
        <f>'[1]February - 2023'!CV27</f>
        <v>268</v>
      </c>
      <c r="CQ28" s="85">
        <f>'[1]February - 2023'!CT27</f>
        <v>0</v>
      </c>
      <c r="CR28" s="224">
        <f>'[1]February - 2023'!CU27</f>
        <v>0</v>
      </c>
      <c r="CS28" s="85">
        <f>'[1]February - 2023'!CV27</f>
        <v>268</v>
      </c>
      <c r="CT28" s="85">
        <f>'[1]February - 2023'!CW27</f>
        <v>0</v>
      </c>
      <c r="CU28" s="171">
        <f>'[1]February - 2023'!CX27</f>
        <v>0</v>
      </c>
      <c r="CV28" s="485"/>
      <c r="CW28" s="259">
        <f>'[1]February - 2023'!CZ27</f>
        <v>0</v>
      </c>
      <c r="CX28" s="262">
        <f>'[1]February - 2023'!DA27</f>
        <v>0</v>
      </c>
      <c r="CY28" s="260">
        <f>'[1]February - 2023'!DB27</f>
        <v>0</v>
      </c>
      <c r="CZ28" s="262">
        <f>'[1]February - 2023'!DC27</f>
        <v>0</v>
      </c>
      <c r="DA28" s="260">
        <f>'[1]February - 2023'!DD27</f>
        <v>0</v>
      </c>
      <c r="DB28" s="262">
        <f>'[1]February - 2023'!DE27</f>
        <v>0</v>
      </c>
      <c r="DC28" s="260">
        <f>'[1]February - 2023'!DF27</f>
        <v>0</v>
      </c>
      <c r="DD28" s="262">
        <f>'[1]February - 2023'!DG27</f>
        <v>0</v>
      </c>
      <c r="DE28" s="260">
        <f>'[1]February - 2023'!DH27</f>
        <v>0</v>
      </c>
      <c r="DF28" s="262">
        <f>'[1]February - 2023'!DI27</f>
        <v>0</v>
      </c>
      <c r="DG28" s="260">
        <f>'[1]February - 2023'!DJ27</f>
        <v>0</v>
      </c>
      <c r="DH28" s="262">
        <f>'[1]February - 2023'!DK27</f>
        <v>0</v>
      </c>
      <c r="DI28" s="260">
        <f>'[1]February - 2023'!DL27</f>
        <v>0</v>
      </c>
      <c r="DJ28" s="262">
        <f>'[1]February - 2023'!DM27</f>
        <v>0</v>
      </c>
      <c r="DK28" s="260">
        <f>'[1]February - 2023'!DN27</f>
        <v>0</v>
      </c>
      <c r="DL28" s="262">
        <f>'[1]February - 2023'!DO27</f>
        <v>0</v>
      </c>
      <c r="DM28" s="260">
        <f>'[1]February - 2023'!DP27</f>
        <v>0</v>
      </c>
      <c r="DN28" s="262">
        <f>'[1]February - 2023'!DQ27</f>
        <v>0</v>
      </c>
      <c r="DO28" s="260">
        <f>'[1]February - 2023'!DR27</f>
        <v>0</v>
      </c>
      <c r="DP28" s="262">
        <f>'[1]February - 2023'!DS27</f>
        <v>0</v>
      </c>
      <c r="DQ28" s="260">
        <f>'[1]February - 2023'!DT27</f>
        <v>0</v>
      </c>
      <c r="DR28" s="263">
        <f>'[1]February - 2023'!DU27</f>
        <v>0</v>
      </c>
      <c r="DS28" s="501"/>
      <c r="DT28" s="189">
        <f>'[1]February - 2023'!DW27</f>
        <v>0</v>
      </c>
      <c r="DU28" s="200">
        <f>'[1]February - 2023'!DX27</f>
        <v>0</v>
      </c>
      <c r="DV28" s="87">
        <f>'[1]February - 2023'!DY27</f>
        <v>0</v>
      </c>
      <c r="DW28" s="194">
        <f>'[1]February - 2023'!DZ27</f>
        <v>0</v>
      </c>
      <c r="DX28" s="87">
        <f>'[1]February - 2023'!EA27</f>
        <v>0</v>
      </c>
      <c r="DY28" s="194">
        <f>'[1]February - 2023'!EB27</f>
        <v>0</v>
      </c>
      <c r="DZ28" s="87">
        <f>'[1]February - 2023'!EC27</f>
        <v>0</v>
      </c>
      <c r="EA28" s="194">
        <f>'[1]February - 2023'!ED27</f>
        <v>0</v>
      </c>
      <c r="EB28" s="87">
        <f>'[1]February - 2023'!EE27</f>
        <v>0</v>
      </c>
      <c r="EC28" s="194">
        <f>'[1]February - 2023'!EF27</f>
        <v>0</v>
      </c>
      <c r="ED28" s="87">
        <f>'[1]February - 2023'!EI27</f>
        <v>0</v>
      </c>
      <c r="EE28" s="207">
        <f>'[1]February - 2023'!EJ27</f>
        <v>0</v>
      </c>
      <c r="EF28" s="548"/>
      <c r="EG28" s="213">
        <f>'[1]February - 2023'!EL27</f>
        <v>0</v>
      </c>
      <c r="EH28" s="208">
        <f>'[1]February - 2023'!EM27</f>
        <v>0</v>
      </c>
      <c r="EI28" s="86">
        <f>'[1]February - 2023'!EN27</f>
        <v>0</v>
      </c>
      <c r="EJ28" s="208">
        <f>'[1]February - 2023'!EO27</f>
        <v>0</v>
      </c>
      <c r="EK28" s="86">
        <f>'[1]February - 2023'!EP27</f>
        <v>0</v>
      </c>
      <c r="EL28" s="208">
        <f>'[1]February - 2023'!EQ27</f>
        <v>0</v>
      </c>
      <c r="EM28" s="86">
        <f>'[1]February - 2023'!ER27</f>
        <v>0</v>
      </c>
      <c r="EN28" s="208">
        <f>'[1]February - 2023'!ES27</f>
        <v>0</v>
      </c>
      <c r="EO28" s="86">
        <f>'[1]February - 2023'!ET27</f>
        <v>0</v>
      </c>
      <c r="EP28" s="208">
        <f>'[1]February - 2023'!EU27</f>
        <v>0</v>
      </c>
      <c r="EQ28" s="86">
        <f>'[1]February - 2023'!EV27</f>
        <v>0</v>
      </c>
      <c r="ER28" s="208">
        <f>'[1]February - 2023'!EW27</f>
        <v>0</v>
      </c>
      <c r="ES28" s="523"/>
      <c r="ET28" s="253">
        <f>'[1]February - 2023'!EY27</f>
        <v>0</v>
      </c>
      <c r="EU28" s="266">
        <f>'[1]February - 2023'!EZ27</f>
        <v>0</v>
      </c>
      <c r="EV28" s="254">
        <f>'[1]February - 2023'!FA27</f>
        <v>0</v>
      </c>
      <c r="EW28" s="266">
        <f>'[1]February - 2023'!FB27</f>
        <v>0</v>
      </c>
      <c r="EX28" s="254">
        <f>'[1]February - 2023'!FC27</f>
        <v>0</v>
      </c>
      <c r="EY28" s="266">
        <f>'[1]February - 2023'!FD27</f>
        <v>0</v>
      </c>
      <c r="EZ28" s="254">
        <f>'[1]February - 2023'!FE27</f>
        <v>0</v>
      </c>
      <c r="FA28" s="266">
        <f>'[1]February - 2023'!FF27</f>
        <v>0</v>
      </c>
      <c r="FB28" s="254">
        <f>'[1]February - 2023'!FG27</f>
        <v>0</v>
      </c>
      <c r="FC28" s="264">
        <f>'[1]February - 2023'!FH27</f>
        <v>0</v>
      </c>
    </row>
    <row r="29" spans="1:159" ht="30" customHeight="1" x14ac:dyDescent="0.25">
      <c r="A29" s="186">
        <v>44977</v>
      </c>
      <c r="B29" s="188">
        <f>'[1]February - 2023'!B28</f>
        <v>0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0</v>
      </c>
      <c r="K29" s="239">
        <f>'[1]February - 2023'!N28</f>
        <v>0</v>
      </c>
      <c r="L29" s="151">
        <f>'[1]February - 2023'!O28</f>
        <v>0</v>
      </c>
      <c r="M29" s="239">
        <f>'[1]February - 2023'!Q28</f>
        <v>0</v>
      </c>
      <c r="N29" s="151">
        <f>'[1]February - 2023'!R28</f>
        <v>0</v>
      </c>
      <c r="O29" s="239">
        <f>'[1]February - 2023'!U28</f>
        <v>0</v>
      </c>
      <c r="P29" s="151">
        <f>'[1]February - 2023'!V28</f>
        <v>0</v>
      </c>
      <c r="Q29" s="150">
        <f>'[1]February - 2023'!W28</f>
        <v>3</v>
      </c>
      <c r="R29" s="239">
        <f>'[1]February - 2023'!X28</f>
        <v>0</v>
      </c>
      <c r="S29" s="187">
        <f>'[1]February - 2023'!Y28</f>
        <v>0</v>
      </c>
      <c r="T29" s="444"/>
      <c r="U29" s="244">
        <f>'[1]February - 2023'!AE28</f>
        <v>0</v>
      </c>
      <c r="V29" s="265">
        <f>'[1]February - 2023'!AF28</f>
        <v>0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0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0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0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0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0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0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0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0</v>
      </c>
      <c r="AX29" s="230">
        <f>'[1]February - 2023'!BH28</f>
        <v>5700.2399999983609</v>
      </c>
      <c r="AY29" s="461"/>
      <c r="AZ29" s="247">
        <f>'[1]February - 2023'!BM28</f>
        <v>0</v>
      </c>
      <c r="BA29" s="160">
        <f>'[1]February - 2023'!BN28</f>
        <v>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0</v>
      </c>
      <c r="BU29" s="557"/>
      <c r="BV29" s="84">
        <f>'[1]February - 2023'!BY28</f>
        <v>0</v>
      </c>
      <c r="BW29" s="219">
        <f>'[1]February - 2023'!BZ28</f>
        <v>0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0</v>
      </c>
      <c r="CA29" s="85">
        <f>'[1]February - 2023'!CD28</f>
        <v>0</v>
      </c>
      <c r="CB29" s="171">
        <f>'[1]February - 2023'!CE28</f>
        <v>0</v>
      </c>
      <c r="CC29" s="85">
        <f>'[1]February - 2023'!CF28</f>
        <v>0</v>
      </c>
      <c r="CD29" s="171">
        <f>'[1]February - 2023'!CG28</f>
        <v>0</v>
      </c>
      <c r="CE29" s="85">
        <f>'[1]February - 2023'!CH28</f>
        <v>0</v>
      </c>
      <c r="CF29" s="171">
        <f>'[1]February - 2023'!CI28</f>
        <v>0</v>
      </c>
      <c r="CG29" s="85">
        <f>'[1]February - 2023'!CJ28</f>
        <v>0</v>
      </c>
      <c r="CH29" s="171">
        <f>'[1]February - 2023'!CK28</f>
        <v>0</v>
      </c>
      <c r="CI29" s="85">
        <f>'[1]February - 2023'!CL28</f>
        <v>0</v>
      </c>
      <c r="CJ29" s="171">
        <f>'[1]February - 2023'!CM28</f>
        <v>0</v>
      </c>
      <c r="CK29" s="85">
        <f>'[1]February - 2023'!CN28</f>
        <v>0</v>
      </c>
      <c r="CL29" s="224">
        <f>'[1]February - 2023'!CO28</f>
        <v>0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0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0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0</v>
      </c>
      <c r="CV29" s="485"/>
      <c r="CW29" s="259">
        <f>'[1]February - 2023'!CZ28</f>
        <v>0</v>
      </c>
      <c r="CX29" s="262">
        <f>'[1]February - 2023'!DA28</f>
        <v>0</v>
      </c>
      <c r="CY29" s="260">
        <f>'[1]February - 2023'!DB28</f>
        <v>0</v>
      </c>
      <c r="CZ29" s="262">
        <f>'[1]February - 2023'!DC28</f>
        <v>0</v>
      </c>
      <c r="DA29" s="260">
        <f>'[1]February - 2023'!DD28</f>
        <v>0</v>
      </c>
      <c r="DB29" s="262">
        <f>'[1]February - 2023'!DE28</f>
        <v>0</v>
      </c>
      <c r="DC29" s="260">
        <f>'[1]February - 2023'!DF28</f>
        <v>0</v>
      </c>
      <c r="DD29" s="262">
        <f>'[1]February - 2023'!DG28</f>
        <v>0</v>
      </c>
      <c r="DE29" s="260">
        <f>'[1]February - 2023'!DH28</f>
        <v>0</v>
      </c>
      <c r="DF29" s="262">
        <f>'[1]February - 2023'!DI28</f>
        <v>0</v>
      </c>
      <c r="DG29" s="260">
        <f>'[1]February - 2023'!DJ28</f>
        <v>0</v>
      </c>
      <c r="DH29" s="262">
        <f>'[1]February - 2023'!DK28</f>
        <v>0</v>
      </c>
      <c r="DI29" s="260">
        <f>'[1]February - 2023'!DL28</f>
        <v>0</v>
      </c>
      <c r="DJ29" s="262">
        <f>'[1]February - 2023'!DM28</f>
        <v>0</v>
      </c>
      <c r="DK29" s="260">
        <f>'[1]February - 2023'!DN28</f>
        <v>0</v>
      </c>
      <c r="DL29" s="262">
        <f>'[1]February - 2023'!DO28</f>
        <v>0</v>
      </c>
      <c r="DM29" s="260">
        <f>'[1]February - 2023'!DP28</f>
        <v>0</v>
      </c>
      <c r="DN29" s="262">
        <f>'[1]February - 2023'!DQ28</f>
        <v>0</v>
      </c>
      <c r="DO29" s="260">
        <f>'[1]February - 2023'!DR28</f>
        <v>0</v>
      </c>
      <c r="DP29" s="262">
        <f>'[1]February - 2023'!DS28</f>
        <v>0</v>
      </c>
      <c r="DQ29" s="260">
        <f>'[1]February - 2023'!DT28</f>
        <v>0</v>
      </c>
      <c r="DR29" s="263">
        <f>'[1]February - 2023'!DU28</f>
        <v>0</v>
      </c>
      <c r="DS29" s="501"/>
      <c r="DT29" s="189">
        <f>'[1]February - 2023'!DW28</f>
        <v>0</v>
      </c>
      <c r="DU29" s="200">
        <f>'[1]February - 2023'!DX28</f>
        <v>0</v>
      </c>
      <c r="DV29" s="87">
        <f>'[1]February - 2023'!DY28</f>
        <v>0</v>
      </c>
      <c r="DW29" s="194">
        <f>'[1]February - 2023'!DZ28</f>
        <v>0</v>
      </c>
      <c r="DX29" s="87">
        <f>'[1]February - 2023'!EA28</f>
        <v>0</v>
      </c>
      <c r="DY29" s="194">
        <f>'[1]February - 2023'!EB28</f>
        <v>0</v>
      </c>
      <c r="DZ29" s="87">
        <f>'[1]February - 2023'!EC28</f>
        <v>0</v>
      </c>
      <c r="EA29" s="194">
        <f>'[1]February - 2023'!ED28</f>
        <v>0</v>
      </c>
      <c r="EB29" s="87">
        <f>'[1]February - 2023'!EE28</f>
        <v>0</v>
      </c>
      <c r="EC29" s="194">
        <f>'[1]February - 2023'!EF28</f>
        <v>0</v>
      </c>
      <c r="ED29" s="87">
        <f>'[1]February - 2023'!EI28</f>
        <v>0</v>
      </c>
      <c r="EE29" s="207">
        <f>'[1]February - 2023'!EJ28</f>
        <v>0</v>
      </c>
      <c r="EF29" s="548"/>
      <c r="EG29" s="213">
        <f>'[1]February - 2023'!EL28</f>
        <v>0</v>
      </c>
      <c r="EH29" s="208">
        <f>'[1]February - 2023'!EM28</f>
        <v>0</v>
      </c>
      <c r="EI29" s="86">
        <f>'[1]February - 2023'!EN28</f>
        <v>0</v>
      </c>
      <c r="EJ29" s="208">
        <f>'[1]February - 2023'!EO28</f>
        <v>0</v>
      </c>
      <c r="EK29" s="86">
        <f>'[1]February - 2023'!EP28</f>
        <v>0</v>
      </c>
      <c r="EL29" s="208">
        <f>'[1]February - 2023'!EQ28</f>
        <v>0</v>
      </c>
      <c r="EM29" s="86">
        <f>'[1]February - 2023'!ER28</f>
        <v>0</v>
      </c>
      <c r="EN29" s="208">
        <f>'[1]February - 2023'!ES28</f>
        <v>0</v>
      </c>
      <c r="EO29" s="86">
        <f>'[1]February - 2023'!ET28</f>
        <v>0</v>
      </c>
      <c r="EP29" s="208">
        <f>'[1]February - 2023'!EU28</f>
        <v>0</v>
      </c>
      <c r="EQ29" s="86">
        <f>'[1]February - 2023'!EV28</f>
        <v>0</v>
      </c>
      <c r="ER29" s="208">
        <f>'[1]February - 2023'!EW28</f>
        <v>0</v>
      </c>
      <c r="ES29" s="523"/>
      <c r="ET29" s="253">
        <f>'[1]February - 2023'!EY28</f>
        <v>0</v>
      </c>
      <c r="EU29" s="266">
        <f>'[1]February - 2023'!EZ28</f>
        <v>0</v>
      </c>
      <c r="EV29" s="254">
        <f>'[1]February - 2023'!FA28</f>
        <v>0</v>
      </c>
      <c r="EW29" s="266">
        <f>'[1]February - 2023'!FB28</f>
        <v>0</v>
      </c>
      <c r="EX29" s="254">
        <f>'[1]February - 2023'!FC28</f>
        <v>0</v>
      </c>
      <c r="EY29" s="266">
        <f>'[1]February - 2023'!FD28</f>
        <v>0</v>
      </c>
      <c r="EZ29" s="254">
        <f>'[1]February - 2023'!FE28</f>
        <v>0</v>
      </c>
      <c r="FA29" s="266">
        <f>'[1]February - 2023'!FF28</f>
        <v>0</v>
      </c>
      <c r="FB29" s="254">
        <f>'[1]February - 2023'!FG28</f>
        <v>0</v>
      </c>
      <c r="FC29" s="264">
        <f>'[1]February - 2023'!FH28</f>
        <v>0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49</v>
      </c>
      <c r="R30" s="239">
        <f>'[1]February - 2023'!X29</f>
        <v>0</v>
      </c>
      <c r="S30" s="187">
        <f>'[1]February - 2023'!Y29</f>
        <v>0</v>
      </c>
      <c r="T30" s="444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61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557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85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501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548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52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33</v>
      </c>
      <c r="R31" s="239">
        <f>'[1]February - 2023'!X30</f>
        <v>0</v>
      </c>
      <c r="S31" s="187">
        <f>'[1]February - 2023'!Y30</f>
        <v>0</v>
      </c>
      <c r="T31" s="444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61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557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85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501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548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52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25</v>
      </c>
      <c r="R32" s="239">
        <f>'[1]February - 2023'!X31</f>
        <v>0</v>
      </c>
      <c r="S32" s="187">
        <f>'[1]February - 2023'!Y31</f>
        <v>0</v>
      </c>
      <c r="T32" s="444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61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557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85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501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548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52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-25</v>
      </c>
      <c r="R33" s="239">
        <f>'[1]February - 2023'!X32</f>
        <v>0</v>
      </c>
      <c r="S33" s="187">
        <f>'[1]February - 2023'!Y32</f>
        <v>0</v>
      </c>
      <c r="T33" s="444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61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557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85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501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548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52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84</v>
      </c>
      <c r="R34" s="239">
        <f>'[1]February - 2023'!X33</f>
        <v>0</v>
      </c>
      <c r="S34" s="187">
        <f>'[1]February - 2023'!Y33</f>
        <v>0</v>
      </c>
      <c r="T34" s="444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61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557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85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501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548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52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182</v>
      </c>
      <c r="R35" s="239">
        <f>'[1]February - 2023'!X34</f>
        <v>0</v>
      </c>
      <c r="S35" s="187">
        <f>'[1]February - 2023'!Y34</f>
        <v>0</v>
      </c>
      <c r="T35" s="444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61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557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85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501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548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52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-53.699999999953434</v>
      </c>
      <c r="R36" s="239">
        <f>'[1]February - 2023'!X35</f>
        <v>0</v>
      </c>
      <c r="S36" s="187">
        <f>'[1]February - 2023'!Y35</f>
        <v>0</v>
      </c>
      <c r="T36" s="444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61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557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85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501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548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52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1923.3000000000466</v>
      </c>
      <c r="R37" s="239">
        <f>'[1]February - 2023'!X36</f>
        <v>0</v>
      </c>
      <c r="S37" s="187">
        <f>'[1]February - 2023'!Y36</f>
        <v>0</v>
      </c>
      <c r="T37" s="444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61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557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85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501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548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52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1758898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1400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-243605</v>
      </c>
      <c r="D45" s="562"/>
      <c r="E45" s="563"/>
      <c r="F45" s="562">
        <f>SUM(G9:G24)</f>
        <v>-265812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-120277</v>
      </c>
      <c r="P45" s="562"/>
      <c r="Q45" s="563"/>
      <c r="R45" s="565"/>
      <c r="S45" s="566"/>
      <c r="T45" s="380"/>
      <c r="U45" s="333">
        <f>SUM(V9:V24)</f>
        <v>-8278599.8399999999</v>
      </c>
      <c r="V45" s="333"/>
      <c r="W45" s="334"/>
      <c r="X45" s="333">
        <f>SUM(Y9:Y24)</f>
        <v>-15718143.84</v>
      </c>
      <c r="Y45" s="333"/>
      <c r="Z45" s="334"/>
      <c r="AA45" s="333">
        <f>SUM(AB9:AB24)</f>
        <v>-15913657.199999999</v>
      </c>
      <c r="AB45" s="333"/>
      <c r="AC45" s="334"/>
      <c r="AD45" s="333">
        <f>SUM(AE9:AE24)</f>
        <v>-19053368.879999999</v>
      </c>
      <c r="AE45" s="333"/>
      <c r="AF45" s="334"/>
      <c r="AG45" s="333">
        <f>SUM(AH9:AH24)</f>
        <v>-19316895.359999999</v>
      </c>
      <c r="AH45" s="333"/>
      <c r="AI45" s="334"/>
      <c r="AJ45" s="333">
        <f>SUM(AK9:AK24)</f>
        <v>-17853785.039999999</v>
      </c>
      <c r="AK45" s="333"/>
      <c r="AL45" s="334"/>
      <c r="AM45" s="333">
        <f>SUM(AN9:AN24)</f>
        <v>-15009949.919999998</v>
      </c>
      <c r="AN45" s="333"/>
      <c r="AO45" s="334"/>
      <c r="AP45" s="333">
        <f>SUM(AQ9:AQ24)</f>
        <v>-14552176.799999999</v>
      </c>
      <c r="AQ45" s="333"/>
      <c r="AR45" s="334"/>
      <c r="AS45" s="333">
        <f>SUM(AT9:AT24)</f>
        <v>-11342357.040000001</v>
      </c>
      <c r="AT45" s="333"/>
      <c r="AU45" s="334"/>
      <c r="AV45" s="333">
        <f>SUM(AW9:AW24)</f>
        <v>-18002722.080000002</v>
      </c>
      <c r="AW45" s="333"/>
      <c r="AX45" s="333"/>
      <c r="AY45" s="354"/>
      <c r="AZ45" s="334">
        <f>SUM(BA9:BA24)</f>
        <v>-78617600</v>
      </c>
      <c r="BA45" s="344"/>
      <c r="BB45" s="344"/>
      <c r="BC45" s="344">
        <f>SUM(BD9:BD24)</f>
        <v>-81547000</v>
      </c>
      <c r="BD45" s="344"/>
      <c r="BE45" s="344"/>
      <c r="BF45" s="344">
        <f>SUM(BG9:BG24)</f>
        <v>-75469900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-272050</v>
      </c>
      <c r="CL45" s="344"/>
      <c r="CM45" s="344"/>
      <c r="CN45" s="344">
        <f>SUM(CO9:CO24)</f>
        <v>-221087</v>
      </c>
      <c r="CO45" s="344"/>
      <c r="CP45" s="344"/>
      <c r="CQ45" s="344">
        <f>SUM(CR9:CR24)</f>
        <v>-369542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78617600</v>
      </c>
      <c r="BA46" s="374"/>
      <c r="BB46" s="374"/>
      <c r="BC46" s="373">
        <f>BC45-BC44</f>
        <v>-81934300</v>
      </c>
      <c r="BD46" s="374"/>
      <c r="BE46" s="374"/>
      <c r="BF46" s="373">
        <f>BF45-BF44</f>
        <v>-75647600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3365723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3704.6000000000931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-244103</v>
      </c>
      <c r="D48" s="330"/>
      <c r="E48" s="331"/>
      <c r="F48" s="329">
        <f>SUM(G9:G39)</f>
        <v>-265812</v>
      </c>
      <c r="G48" s="330"/>
      <c r="H48" s="331"/>
      <c r="I48" s="329">
        <f>SUM(J10:J39)</f>
        <v>-15762</v>
      </c>
      <c r="J48" s="331"/>
      <c r="K48" s="329">
        <f>SUM(L9:L39)</f>
        <v>-929662</v>
      </c>
      <c r="L48" s="331"/>
      <c r="M48" s="329"/>
      <c r="N48" s="331"/>
      <c r="O48" s="329">
        <f>SUM(P9:P39)</f>
        <v>-120277</v>
      </c>
      <c r="P48" s="330"/>
      <c r="Q48" s="331"/>
      <c r="R48" s="329">
        <f>SUM(S9:S39)</f>
        <v>-6721</v>
      </c>
      <c r="S48" s="330"/>
      <c r="T48" s="336"/>
      <c r="U48" s="337">
        <f>SUM(V9:V39)</f>
        <v>-8278599.8399999999</v>
      </c>
      <c r="V48" s="338"/>
      <c r="W48" s="339"/>
      <c r="X48" s="337">
        <f>SUM(Y9:Y39)</f>
        <v>-15718143.84</v>
      </c>
      <c r="Y48" s="338"/>
      <c r="Z48" s="339"/>
      <c r="AA48" s="326">
        <f>SUM(AB9:AB39)</f>
        <v>-15913657.199999999</v>
      </c>
      <c r="AB48" s="327"/>
      <c r="AC48" s="328"/>
      <c r="AD48" s="326">
        <f>SUM(AE9:AE39)</f>
        <v>-19053368.879999999</v>
      </c>
      <c r="AE48" s="327"/>
      <c r="AF48" s="328"/>
      <c r="AG48" s="326">
        <f>SUM(AH9:AH39)</f>
        <v>-19316895.359999999</v>
      </c>
      <c r="AH48" s="327"/>
      <c r="AI48" s="328"/>
      <c r="AJ48" s="326">
        <f>SUM(AK9:AK39)</f>
        <v>-17853785.039999999</v>
      </c>
      <c r="AK48" s="327"/>
      <c r="AL48" s="328"/>
      <c r="AM48" s="326">
        <f>SUM(AN9:AN39)</f>
        <v>-15009949.919999998</v>
      </c>
      <c r="AN48" s="327"/>
      <c r="AO48" s="328"/>
      <c r="AP48" s="326">
        <f>SUM(AQ9:AQ39)</f>
        <v>-14552176.799999999</v>
      </c>
      <c r="AQ48" s="327"/>
      <c r="AR48" s="328"/>
      <c r="AS48" s="326">
        <f>SUM(AT9:AT39)</f>
        <v>-11342357.040000001</v>
      </c>
      <c r="AT48" s="327"/>
      <c r="AU48" s="328"/>
      <c r="AV48" s="326">
        <f>SUM(AW9:AW39)</f>
        <v>-18002722.080000002</v>
      </c>
      <c r="AW48" s="327"/>
      <c r="AX48" s="327"/>
      <c r="AY48" s="354"/>
      <c r="AZ48" s="317">
        <f>SUM(BA9:BA40)</f>
        <v>-78617600</v>
      </c>
      <c r="BA48" s="317"/>
      <c r="BB48" s="318"/>
      <c r="BC48" s="317">
        <f t="shared" ref="BC48" si="0">SUM(BD9:BD40)</f>
        <v>-81547000</v>
      </c>
      <c r="BD48" s="317"/>
      <c r="BE48" s="318"/>
      <c r="BF48" s="317">
        <f t="shared" ref="BF48" si="1">SUM(BG9:BG40)</f>
        <v>-75469900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-10588930</v>
      </c>
      <c r="BT48" s="569"/>
      <c r="BU48" s="361"/>
      <c r="BV48" s="573"/>
      <c r="BW48" s="574"/>
      <c r="BX48" s="111"/>
      <c r="BY48" s="314">
        <f>SUM(BZ9:BZ39)</f>
        <v>-65338</v>
      </c>
      <c r="BZ48" s="315"/>
      <c r="CA48" s="314">
        <f>SUM(CB9:CB39)</f>
        <v>-56457</v>
      </c>
      <c r="CB48" s="315"/>
      <c r="CC48" s="314">
        <f>SUM(CD9:CD39)</f>
        <v>-19060</v>
      </c>
      <c r="CD48" s="315"/>
      <c r="CE48" s="314">
        <f>SUM(CF9:CF39)</f>
        <v>-26116</v>
      </c>
      <c r="CF48" s="315"/>
      <c r="CG48" s="314">
        <f>SUM(CH9:CH39)</f>
        <v>-29262</v>
      </c>
      <c r="CH48" s="315"/>
      <c r="CI48" s="314">
        <f>SUM(CJ9:CJ39)</f>
        <v>-64366</v>
      </c>
      <c r="CJ48" s="315"/>
      <c r="CK48" s="314">
        <f>SUM(CL9:CL39)</f>
        <v>-272050</v>
      </c>
      <c r="CL48" s="316"/>
      <c r="CM48" s="315"/>
      <c r="CN48" s="314">
        <f>SUM(CO9:CO39)</f>
        <v>-221087</v>
      </c>
      <c r="CO48" s="316"/>
      <c r="CP48" s="315"/>
      <c r="CQ48" s="314">
        <f>SUM(CR9:CR39)</f>
        <v>-369542</v>
      </c>
      <c r="CR48" s="316"/>
      <c r="CS48" s="315"/>
      <c r="CT48" s="314">
        <f>SUM(CU9:CU39)</f>
        <v>-703819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260561</v>
      </c>
      <c r="D49" s="310"/>
      <c r="E49" s="325"/>
      <c r="F49" s="309">
        <f>F47-F48</f>
        <v>3631535</v>
      </c>
      <c r="G49" s="310"/>
      <c r="H49" s="325"/>
      <c r="I49" s="309">
        <f>I47-I48</f>
        <v>22810.9</v>
      </c>
      <c r="J49" s="325"/>
      <c r="K49" s="309">
        <f>K47-K48</f>
        <v>937364.2</v>
      </c>
      <c r="L49" s="325"/>
      <c r="M49" s="309"/>
      <c r="N49" s="325"/>
      <c r="O49" s="340">
        <f>O47-O48</f>
        <v>123981.60000000009</v>
      </c>
      <c r="P49" s="340"/>
      <c r="Q49" s="340"/>
      <c r="R49" s="309">
        <f>R47-R48</f>
        <v>7197</v>
      </c>
      <c r="S49" s="310"/>
      <c r="T49" s="336"/>
      <c r="U49" s="311">
        <f>U48-U47</f>
        <v>-8353823.5199999996</v>
      </c>
      <c r="V49" s="312"/>
      <c r="W49" s="313"/>
      <c r="X49" s="311">
        <f>X47-X48</f>
        <v>15850418.640000001</v>
      </c>
      <c r="Y49" s="312"/>
      <c r="Z49" s="313"/>
      <c r="AA49" s="311">
        <f>AA47-AA48</f>
        <v>15981231.84</v>
      </c>
      <c r="AB49" s="312"/>
      <c r="AC49" s="313"/>
      <c r="AD49" s="311">
        <f>AD47-AD48</f>
        <v>19198749.359999999</v>
      </c>
      <c r="AE49" s="312"/>
      <c r="AF49" s="313"/>
      <c r="AG49" s="311">
        <f>AG47-AG48</f>
        <v>19364689.679999996</v>
      </c>
      <c r="AH49" s="312"/>
      <c r="AI49" s="313"/>
      <c r="AJ49" s="311">
        <f>AJ47-AJ48</f>
        <v>18017143.199999999</v>
      </c>
      <c r="AK49" s="312"/>
      <c r="AL49" s="313"/>
      <c r="AM49" s="311">
        <f>AM47-AM48</f>
        <v>15126390.719999997</v>
      </c>
      <c r="AN49" s="312"/>
      <c r="AO49" s="313"/>
      <c r="AP49" s="311">
        <f>AP47-AP48</f>
        <v>14673392.159999998</v>
      </c>
      <c r="AQ49" s="312"/>
      <c r="AR49" s="313"/>
      <c r="AS49" s="311">
        <f>AS47-AS48</f>
        <v>11430686.400000002</v>
      </c>
      <c r="AT49" s="312"/>
      <c r="AU49" s="313"/>
      <c r="AV49" s="311">
        <f>AV47-AV48</f>
        <v>18158041.440000005</v>
      </c>
      <c r="AW49" s="312"/>
      <c r="AX49" s="312"/>
      <c r="AY49" s="354"/>
      <c r="AZ49" s="317">
        <f>AZ48-AZ47</f>
        <v>-78964900</v>
      </c>
      <c r="BA49" s="317"/>
      <c r="BB49" s="318"/>
      <c r="BC49" s="317">
        <f t="shared" ref="BC49" si="2">BC48-BC47</f>
        <v>-81908100</v>
      </c>
      <c r="BD49" s="317"/>
      <c r="BE49" s="318"/>
      <c r="BF49" s="317">
        <f t="shared" ref="BF49" si="3">BF48-BF47</f>
        <v>-76028742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274928</v>
      </c>
      <c r="CL49" s="323"/>
      <c r="CM49" s="324"/>
      <c r="CN49" s="322">
        <f>CN47-CN48</f>
        <v>229053</v>
      </c>
      <c r="CO49" s="323"/>
      <c r="CP49" s="324"/>
      <c r="CQ49" s="322">
        <f>CQ47-CQ48</f>
        <v>377508</v>
      </c>
      <c r="CR49" s="323"/>
      <c r="CS49" s="324"/>
      <c r="CT49" s="576">
        <f>CT47-CT48</f>
        <v>707713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-155041656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156154566.96000001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-155041656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155629170.47999999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-235634500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2023-02-08T07:13:38Z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