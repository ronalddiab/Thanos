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<sst xmlns="http://schemas.openxmlformats.org/spreadsheetml/2006/main" count="129" uniqueCount="50">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</sst>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Submetering!R3</f>
        <v>529.95740000000001</v>
      </c>
      <c r="H3" s="11">
        <v>0.52800000000000002</v>
      </c>
      <c r="I3" s="12">
        <f>Hotel!B8</f>
        <v>182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Submetering!R4</f>
        <v>696.5154399999999</v>
      </c>
      <c r="H4" s="11">
        <v>0.52800000000000002</v>
      </c>
      <c r="I4" s="12">
        <f>Hotel!B9</f>
        <v>99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Submetering!R5</f>
        <v>684.78066899999999</v>
      </c>
      <c r="H5" s="11">
        <v>0.52800000000000002</v>
      </c>
      <c r="I5" s="12">
        <f>Hotel!B10</f>
        <v>86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Submetering!R6</f>
        <v>668.124865</v>
      </c>
      <c r="H6" s="11">
        <v>0.52800000000000002</v>
      </c>
      <c r="I6" s="12">
        <f>Hotel!B11</f>
        <v>126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Submetering!R7</f>
        <v>261.95037200000002</v>
      </c>
      <c r="H7" s="11">
        <v>0.52800000000000002</v>
      </c>
      <c r="I7" s="12">
        <f>Hotel!B12</f>
        <v>130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Submetering!R8</f>
        <v>194.57007400000001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159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124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76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77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79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53770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68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57170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56570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125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59790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99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55450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67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52870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Hotel!AV8*0.00378541*100</f>
        <v>529.95740000000001</v>
      </c>
      <c r="S3" s="4">
        <f>Hotel!B8</f>
        <v>182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Hotel!AV9*0.00378541*100</f>
        <v>696.5154399999999</v>
      </c>
      <c r="S4" s="4">
        <f>Hotel!B9</f>
        <v>99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Hotel!AV10*0.00378541*100</f>
        <v>684.78066899999999</v>
      </c>
      <c r="S5" s="4">
        <f>Hotel!B10</f>
        <v>86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Hotel!AV11*0.00378541*100</f>
        <v>668.124865</v>
      </c>
      <c r="S6" s="4">
        <f>Hotel!B11</f>
        <v>126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Hotel!AV12*0.00378541*100</f>
        <v>261.95037200000002</v>
      </c>
      <c r="S7" s="4">
        <f>Hotel!B12</f>
        <v>130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Hotel!AV13*0.00378541*100</f>
        <v>194.57007400000001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Hotel!AV14*0.00378541*100</f>
        <v>0</v>
      </c>
      <c r="S9" s="4">
        <f>Hotel!B14</f>
        <v>159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Hotel!AV15*0.00378541*100</f>
        <v>0</v>
      </c>
      <c r="S10" s="4">
        <f>Hotel!B15</f>
        <v>124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Hotel!AV16*0.00378541*100</f>
        <v>0</v>
      </c>
      <c r="S11" s="4">
        <f>Hotel!B16</f>
        <v>76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Hotel!AV17*0.00378541*100</f>
        <v>0</v>
      </c>
      <c r="S12" s="4">
        <f>Hotel!B17</f>
        <v>77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Hotel!AV18*0.00378541*100</f>
        <v>0</v>
      </c>
      <c r="S13" s="4">
        <f>Hotel!B18</f>
        <v>79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>
        <f>Hotel!Q19</f>
        <v>570</v>
      </c>
      <c r="F14" s="4">
        <f>Hotel!R19</f>
        <v>1810</v>
      </c>
      <c r="G14" s="4">
        <f>Hotel!S19</f>
        <v>3050</v>
      </c>
      <c r="H14" s="4">
        <f>Hotel!T19</f>
        <v>1400</v>
      </c>
      <c r="I14" s="4">
        <f>Hotel!U19</f>
        <v>4900</v>
      </c>
      <c r="J14" s="4">
        <f>Hotel!V19</f>
        <v>3930</v>
      </c>
      <c r="K14" s="4">
        <f>Hotel!W19</f>
        <v>3280</v>
      </c>
      <c r="L14" s="4">
        <f>Hotel!X19</f>
        <v>4910</v>
      </c>
      <c r="M14" s="4">
        <f>Hotel!Y19</f>
        <v>5680</v>
      </c>
      <c r="N14" s="4">
        <f>Hotel!Z19</f>
        <v>2280</v>
      </c>
      <c r="O14" s="4">
        <f>Hotel!AA19</f>
        <v>2500</v>
      </c>
      <c r="P14" s="4">
        <f>Hotel!AB19</f>
        <v>7750</v>
      </c>
      <c r="Q14" s="4">
        <f>Hotel!AC19</f>
        <v>11710</v>
      </c>
      <c r="R14" s="4">
        <f>Hotel!AV19*0.00378541*100</f>
        <v>0</v>
      </c>
      <c r="S14" s="4">
        <f>Hotel!B19</f>
        <v>68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580</v>
      </c>
      <c r="F15" s="4">
        <f>Hotel!R20</f>
        <v>1720</v>
      </c>
      <c r="G15" s="4">
        <f>Hotel!S20</f>
        <v>2870</v>
      </c>
      <c r="H15" s="4">
        <f>Hotel!T20</f>
        <v>1370</v>
      </c>
      <c r="I15" s="4">
        <f>Hotel!U20</f>
        <v>5260</v>
      </c>
      <c r="J15" s="4">
        <f>Hotel!V20</f>
        <v>3930</v>
      </c>
      <c r="K15" s="4">
        <f>Hotel!W20</f>
        <v>3090</v>
      </c>
      <c r="L15" s="4">
        <f>Hotel!X20</f>
        <v>4650</v>
      </c>
      <c r="M15" s="4">
        <f>Hotel!Y20</f>
        <v>5520</v>
      </c>
      <c r="N15" s="4">
        <f>Hotel!Z20</f>
        <v>2290</v>
      </c>
      <c r="O15" s="4">
        <f>Hotel!AA20</f>
        <v>3270</v>
      </c>
      <c r="P15" s="4">
        <f>Hotel!AB20</f>
        <v>7540</v>
      </c>
      <c r="Q15" s="4">
        <f>Hotel!AC20</f>
        <v>13070</v>
      </c>
      <c r="R15" s="4">
        <f>Hotel!AV20*0.00378541*100</f>
        <v>0</v>
      </c>
      <c r="S15" s="4">
        <f>Hotel!B20</f>
        <v>70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590</v>
      </c>
      <c r="F16" s="4">
        <f>Hotel!R21</f>
        <v>1860</v>
      </c>
      <c r="G16" s="4">
        <f>Hotel!S21</f>
        <v>3420</v>
      </c>
      <c r="H16" s="4">
        <f>Hotel!T21</f>
        <v>1420</v>
      </c>
      <c r="I16" s="4">
        <f>Hotel!U21</f>
        <v>5540</v>
      </c>
      <c r="J16" s="4">
        <f>Hotel!V21</f>
        <v>4340</v>
      </c>
      <c r="K16" s="4">
        <f>Hotel!W21</f>
        <v>3340</v>
      </c>
      <c r="L16" s="4">
        <f>Hotel!X21</f>
        <v>4790</v>
      </c>
      <c r="M16" s="4">
        <f>Hotel!Y21</f>
        <v>5880</v>
      </c>
      <c r="N16" s="4">
        <f>Hotel!Z21</f>
        <v>2510</v>
      </c>
      <c r="O16" s="4">
        <f>Hotel!AA21</f>
        <v>3120</v>
      </c>
      <c r="P16" s="4">
        <f>Hotel!AB21</f>
        <v>7810</v>
      </c>
      <c r="Q16" s="4">
        <f>Hotel!AC21</f>
        <v>12550</v>
      </c>
      <c r="R16" s="4">
        <f>Hotel!AV21*0.00378541*100</f>
        <v>0</v>
      </c>
      <c r="S16" s="4">
        <f>Hotel!B21</f>
        <v>109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590</v>
      </c>
      <c r="F17" s="4">
        <f>Hotel!R22</f>
        <v>1850</v>
      </c>
      <c r="G17" s="4">
        <f>Hotel!S22</f>
        <v>3300</v>
      </c>
      <c r="H17" s="4">
        <f>Hotel!T22</f>
        <v>1420</v>
      </c>
      <c r="I17" s="4">
        <f>Hotel!U22</f>
        <v>5490</v>
      </c>
      <c r="J17" s="4">
        <f>Hotel!V22</f>
        <v>4390</v>
      </c>
      <c r="K17" s="4">
        <f>Hotel!W22</f>
        <v>3180</v>
      </c>
      <c r="L17" s="4">
        <f>Hotel!X22</f>
        <v>4590</v>
      </c>
      <c r="M17" s="4">
        <f>Hotel!Y22</f>
        <v>6000</v>
      </c>
      <c r="N17" s="4">
        <f>Hotel!Z22</f>
        <v>2550</v>
      </c>
      <c r="O17" s="4">
        <f>Hotel!AA22</f>
        <v>3270</v>
      </c>
      <c r="P17" s="4">
        <f>Hotel!AB22</f>
        <v>7800</v>
      </c>
      <c r="Q17" s="4">
        <f>Hotel!AC22</f>
        <v>12140</v>
      </c>
      <c r="R17" s="4">
        <f>Hotel!AV22*0.00378541*100</f>
        <v>0</v>
      </c>
      <c r="S17" s="4">
        <f>Hotel!B22</f>
        <v>125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600</v>
      </c>
      <c r="F18" s="4">
        <f>Hotel!R23</f>
        <v>1880</v>
      </c>
      <c r="G18" s="4">
        <f>Hotel!S23</f>
        <v>3240</v>
      </c>
      <c r="H18" s="4">
        <f>Hotel!T23</f>
        <v>1450</v>
      </c>
      <c r="I18" s="4">
        <f>Hotel!U23</f>
        <v>5890</v>
      </c>
      <c r="J18" s="4">
        <f>Hotel!V23</f>
        <v>4560</v>
      </c>
      <c r="K18" s="4">
        <f>Hotel!W23</f>
        <v>3330</v>
      </c>
      <c r="L18" s="4">
        <f>Hotel!X23</f>
        <v>4670</v>
      </c>
      <c r="M18" s="4">
        <f>Hotel!Y23</f>
        <v>6020</v>
      </c>
      <c r="N18" s="4">
        <f>Hotel!Z23</f>
        <v>2630</v>
      </c>
      <c r="O18" s="4">
        <f>Hotel!AA23</f>
        <v>3410</v>
      </c>
      <c r="P18" s="4">
        <f>Hotel!AB23</f>
        <v>7890</v>
      </c>
      <c r="Q18" s="4">
        <f>Hotel!AC23</f>
        <v>14220</v>
      </c>
      <c r="R18" s="4">
        <f>Hotel!AV23*0.00378541*100</f>
        <v>0</v>
      </c>
      <c r="S18" s="4">
        <f>Hotel!B23</f>
        <v>99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580</v>
      </c>
      <c r="F19" s="4">
        <f>Hotel!R24</f>
        <v>1830</v>
      </c>
      <c r="G19" s="4">
        <f>Hotel!S24</f>
        <v>2880</v>
      </c>
      <c r="H19" s="4">
        <f>Hotel!T24</f>
        <v>1380</v>
      </c>
      <c r="I19" s="4">
        <f>Hotel!U24</f>
        <v>5570</v>
      </c>
      <c r="J19" s="4">
        <f>Hotel!V24</f>
        <v>4300</v>
      </c>
      <c r="K19" s="4">
        <f>Hotel!W24</f>
        <v>2830</v>
      </c>
      <c r="L19" s="4">
        <f>Hotel!X24</f>
        <v>4170</v>
      </c>
      <c r="M19" s="4">
        <f>Hotel!Y24</f>
        <v>5390</v>
      </c>
      <c r="N19" s="4">
        <f>Hotel!Z24</f>
        <v>2450</v>
      </c>
      <c r="O19" s="4">
        <f>Hotel!AA24</f>
        <v>3140</v>
      </c>
      <c r="P19" s="4">
        <f>Hotel!AB24</f>
        <v>7450</v>
      </c>
      <c r="Q19" s="4">
        <f>Hotel!AC24</f>
        <v>13480</v>
      </c>
      <c r="R19" s="4">
        <f>Hotel!AV24*0.00378541*100</f>
        <v>0</v>
      </c>
      <c r="S19" s="4">
        <f>Hotel!B24</f>
        <v>67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570</v>
      </c>
      <c r="F20" s="4">
        <f>Hotel!R25</f>
        <v>1800</v>
      </c>
      <c r="G20" s="4">
        <f>Hotel!S25</f>
        <v>2840</v>
      </c>
      <c r="H20" s="4">
        <f>Hotel!T25</f>
        <v>1360</v>
      </c>
      <c r="I20" s="4">
        <f>Hotel!U25</f>
        <v>5060</v>
      </c>
      <c r="J20" s="4">
        <f>Hotel!V25</f>
        <v>4100</v>
      </c>
      <c r="K20" s="4">
        <f>Hotel!W25</f>
        <v>2800</v>
      </c>
      <c r="L20" s="4">
        <f>Hotel!X25</f>
        <v>4440</v>
      </c>
      <c r="M20" s="4">
        <f>Hotel!Y25</f>
        <v>5380</v>
      </c>
      <c r="N20" s="4">
        <f>Hotel!Z25</f>
        <v>2340</v>
      </c>
      <c r="O20" s="4">
        <f>Hotel!AA25</f>
        <v>2870</v>
      </c>
      <c r="P20" s="4">
        <f>Hotel!AB25</f>
        <v>7240</v>
      </c>
      <c r="Q20" s="4">
        <f>Hotel!AC25</f>
        <v>12070</v>
      </c>
      <c r="R20" s="4">
        <f>Hotel!AV25*0.00378541*100</f>
        <v>0</v>
      </c>
      <c r="S20" s="4">
        <f>Hotel!B25</f>
        <v>72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E25" sqref="E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>
        <v>182</v>
      </c>
      <c r="C8" s="52">
        <v>8639930</v>
      </c>
      <c r="D8" s="52">
        <v>21023700</v>
      </c>
      <c r="E8" s="52">
        <v>3839990</v>
      </c>
      <c r="F8" s="52">
        <v>4376440</v>
      </c>
      <c r="G8" s="52">
        <v>12920160</v>
      </c>
      <c r="H8" s="52">
        <v>7661850</v>
      </c>
      <c r="I8" s="52">
        <v>6635650</v>
      </c>
      <c r="J8" s="52">
        <v>8277300</v>
      </c>
      <c r="K8" s="52">
        <v>12006490</v>
      </c>
      <c r="L8" s="52">
        <v>5240820</v>
      </c>
      <c r="M8" s="52">
        <v>9569080</v>
      </c>
      <c r="N8" s="52">
        <v>15918860</v>
      </c>
      <c r="O8" s="52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U8" s="55">
        <v>349160</v>
      </c>
      <c r="AV8" s="37">
        <f>IF((AU8-AU7&lt;0),"0",AU8-AU7)</f>
        <v>1400</v>
      </c>
      <c r="AW8" s="37">
        <f>AV8*100*AV44</f>
        <v>529.95740000000001</v>
      </c>
      <c r="AX8" s="35">
        <f t="shared" si="14"/>
        <v>2.8000000000000003</v>
      </c>
    </row>
    <row r="9" spans="1:50" x14ac:dyDescent="0.25">
      <c r="A9" s="23">
        <v>44898</v>
      </c>
      <c r="B9" s="40">
        <v>99</v>
      </c>
      <c r="C9" s="52">
        <v>8640510</v>
      </c>
      <c r="D9" s="52">
        <v>21025530</v>
      </c>
      <c r="E9" s="52">
        <v>3843270</v>
      </c>
      <c r="F9" s="52">
        <v>4377890</v>
      </c>
      <c r="G9" s="52">
        <v>12926030</v>
      </c>
      <c r="H9" s="52">
        <v>7665930</v>
      </c>
      <c r="I9" s="52">
        <v>6638650</v>
      </c>
      <c r="J9" s="52">
        <v>8281860</v>
      </c>
      <c r="K9" s="52">
        <v>12012380</v>
      </c>
      <c r="L9" s="52">
        <v>5243420</v>
      </c>
      <c r="M9" s="52">
        <v>9572320</v>
      </c>
      <c r="N9" s="52">
        <v>15928740</v>
      </c>
      <c r="O9" s="52">
        <v>22294110</v>
      </c>
      <c r="Q9" s="37">
        <f t="shared" ref="Q9:Q30" si="17">IF((C9-C8&lt;0), "0",C9-C8)</f>
        <v>580</v>
      </c>
      <c r="R9" s="37">
        <f t="shared" ref="R9:R37" si="18">IF((D9-D8&lt;0), "0",D9-D8)</f>
        <v>1830</v>
      </c>
      <c r="S9" s="37">
        <f t="shared" si="16"/>
        <v>3280</v>
      </c>
      <c r="T9" s="37">
        <f t="shared" ref="T9:T35" si="19">IF((F9-F8&lt;0), "0",F9-F8)</f>
        <v>1450</v>
      </c>
      <c r="U9" s="37">
        <f t="shared" ref="U9:U35" si="20">IF((G9-G8&lt;0), "0",G9-G8)</f>
        <v>5870</v>
      </c>
      <c r="V9" s="37">
        <f t="shared" ref="V9:V35" si="21">IF((H9-H8&lt;0), "0",H9-H8)</f>
        <v>4080</v>
      </c>
      <c r="W9" s="37">
        <f t="shared" ref="W9:W35" si="22">IF((I9-I8&lt;0), "0",I9-I8)</f>
        <v>3000</v>
      </c>
      <c r="X9" s="37">
        <f t="shared" ref="X9:X37" si="23">IF((J9-J8&lt;0), "0",J9-J8)</f>
        <v>4560</v>
      </c>
      <c r="Y9" s="37">
        <f t="shared" ref="Y9:Y35" si="24">IF((K9-K8&lt;0), "0",K9-K8)</f>
        <v>5890</v>
      </c>
      <c r="Z9" s="37">
        <f t="shared" ref="Z9:Z35" si="25">IF((L9-L8&lt;0), "0",L9-L8)</f>
        <v>2600</v>
      </c>
      <c r="AA9" s="37">
        <f t="shared" ref="AA9:AA35" si="26">IF((M9-M8&lt;0), "0",M9-M8)</f>
        <v>3240</v>
      </c>
      <c r="AB9" s="37">
        <f t="shared" ref="AB9:AB37" si="27">IF((N9-N8&lt;0), "0",N9-N8)</f>
        <v>9880</v>
      </c>
      <c r="AC9" s="37">
        <f t="shared" ref="AC9:AC37" si="28">IF((O9-O8&lt;0), "0",O9-O8)</f>
        <v>15790</v>
      </c>
      <c r="AD9" s="35">
        <f t="shared" ref="AD9:AD37" si="29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0">SUM(AF9:AR9)</f>
        <v>310.25</v>
      </c>
      <c r="AU9" s="55">
        <v>351000</v>
      </c>
      <c r="AV9" s="37">
        <f>IF((AU9-AU8&lt;0),"0",AU9-AU8)</f>
        <v>1840</v>
      </c>
      <c r="AW9" s="37">
        <f>AV9*100*AV44</f>
        <v>696.51544000000001</v>
      </c>
      <c r="AX9" s="35">
        <f t="shared" si="14"/>
        <v>3.68</v>
      </c>
    </row>
    <row r="10" spans="1:50" x14ac:dyDescent="0.25">
      <c r="A10" s="23">
        <v>44899</v>
      </c>
      <c r="B10" s="40">
        <v>86</v>
      </c>
      <c r="C10" s="51">
        <v>8641100</v>
      </c>
      <c r="D10" s="51">
        <v>21027400</v>
      </c>
      <c r="E10" s="51">
        <v>3846330</v>
      </c>
      <c r="F10" s="51">
        <v>4379380</v>
      </c>
      <c r="G10" s="51">
        <v>12931390</v>
      </c>
      <c r="H10" s="51">
        <v>7670020</v>
      </c>
      <c r="I10" s="51">
        <v>6641420</v>
      </c>
      <c r="J10" s="51">
        <v>8286100</v>
      </c>
      <c r="K10" s="51">
        <v>12018070</v>
      </c>
      <c r="L10" s="51">
        <v>5245860</v>
      </c>
      <c r="M10" s="51">
        <v>9575480</v>
      </c>
      <c r="N10" s="51">
        <v>15934440</v>
      </c>
      <c r="O10" s="51">
        <v>22302660</v>
      </c>
      <c r="Q10" s="37">
        <f t="shared" si="17"/>
        <v>590</v>
      </c>
      <c r="R10" s="37">
        <f t="shared" si="18"/>
        <v>1870</v>
      </c>
      <c r="S10" s="37">
        <f t="shared" si="16"/>
        <v>3060</v>
      </c>
      <c r="T10" s="37">
        <f t="shared" si="19"/>
        <v>1490</v>
      </c>
      <c r="U10" s="37">
        <f t="shared" si="20"/>
        <v>5360</v>
      </c>
      <c r="V10" s="37">
        <f t="shared" si="21"/>
        <v>4090</v>
      </c>
      <c r="W10" s="37">
        <f t="shared" si="22"/>
        <v>2770</v>
      </c>
      <c r="X10" s="37">
        <f t="shared" si="23"/>
        <v>4240</v>
      </c>
      <c r="Y10" s="37">
        <f t="shared" si="24"/>
        <v>5690</v>
      </c>
      <c r="Z10" s="37">
        <f t="shared" si="25"/>
        <v>2440</v>
      </c>
      <c r="AA10" s="37">
        <f t="shared" si="26"/>
        <v>3160</v>
      </c>
      <c r="AB10" s="37">
        <f t="shared" si="27"/>
        <v>5700</v>
      </c>
      <c r="AC10" s="37">
        <f t="shared" si="28"/>
        <v>8550</v>
      </c>
      <c r="AD10" s="35">
        <f t="shared" si="29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0"/>
        <v>245.05</v>
      </c>
      <c r="AU10" s="54">
        <v>352809</v>
      </c>
      <c r="AV10" s="37">
        <f t="shared" ref="AV10:AV26" si="31">IF((AU10-AU9&lt;0),"0",AU10-AU9)</f>
        <v>1809</v>
      </c>
      <c r="AW10" s="37">
        <f>AV10*100*AV44</f>
        <v>684.78066899999999</v>
      </c>
      <c r="AX10" s="35">
        <f t="shared" si="14"/>
        <v>3.6179999999999999</v>
      </c>
    </row>
    <row r="11" spans="1:50" x14ac:dyDescent="0.25">
      <c r="A11" s="23">
        <v>44900</v>
      </c>
      <c r="B11" s="40">
        <v>126</v>
      </c>
      <c r="C11" s="51">
        <v>8641690</v>
      </c>
      <c r="D11" s="51">
        <v>21029250</v>
      </c>
      <c r="E11" s="51">
        <v>3849280</v>
      </c>
      <c r="F11" s="51">
        <v>4380810</v>
      </c>
      <c r="G11" s="51">
        <v>12936550</v>
      </c>
      <c r="H11" s="51">
        <v>7674000</v>
      </c>
      <c r="I11" s="51">
        <v>6644280</v>
      </c>
      <c r="J11" s="51">
        <v>8290900</v>
      </c>
      <c r="K11" s="51">
        <v>12023550</v>
      </c>
      <c r="L11" s="51">
        <v>5248270</v>
      </c>
      <c r="M11" s="51">
        <v>9578610</v>
      </c>
      <c r="N11" s="51">
        <v>15942150</v>
      </c>
      <c r="O11" s="51">
        <v>22313910</v>
      </c>
      <c r="Q11" s="37">
        <f t="shared" si="17"/>
        <v>590</v>
      </c>
      <c r="R11" s="37">
        <f t="shared" si="18"/>
        <v>1850</v>
      </c>
      <c r="S11" s="37">
        <f t="shared" si="16"/>
        <v>2950</v>
      </c>
      <c r="T11" s="37">
        <f t="shared" si="19"/>
        <v>1430</v>
      </c>
      <c r="U11" s="37">
        <f t="shared" si="20"/>
        <v>5160</v>
      </c>
      <c r="V11" s="37">
        <f t="shared" si="21"/>
        <v>3980</v>
      </c>
      <c r="W11" s="37">
        <f t="shared" si="22"/>
        <v>2860</v>
      </c>
      <c r="X11" s="37">
        <f t="shared" si="23"/>
        <v>4800</v>
      </c>
      <c r="Y11" s="37">
        <f t="shared" si="24"/>
        <v>5480</v>
      </c>
      <c r="Z11" s="37">
        <f t="shared" si="25"/>
        <v>2410</v>
      </c>
      <c r="AA11" s="37">
        <f t="shared" si="26"/>
        <v>3130</v>
      </c>
      <c r="AB11" s="37">
        <f t="shared" si="27"/>
        <v>7710</v>
      </c>
      <c r="AC11" s="37">
        <f t="shared" si="28"/>
        <v>11250</v>
      </c>
      <c r="AD11" s="35">
        <f t="shared" si="29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0"/>
        <v>268</v>
      </c>
      <c r="AU11" s="54">
        <v>354574</v>
      </c>
      <c r="AV11" s="37">
        <f t="shared" si="31"/>
        <v>1765</v>
      </c>
      <c r="AW11" s="37">
        <f>AV11*100*AV44</f>
        <v>668.124865</v>
      </c>
      <c r="AX11" s="35">
        <f t="shared" si="14"/>
        <v>3.5300000000000002</v>
      </c>
    </row>
    <row r="12" spans="1:50" x14ac:dyDescent="0.25">
      <c r="A12" s="23">
        <v>44901</v>
      </c>
      <c r="B12" s="40">
        <v>130</v>
      </c>
      <c r="C12" s="52">
        <v>8642270</v>
      </c>
      <c r="D12" s="52">
        <v>21031090</v>
      </c>
      <c r="E12" s="52">
        <v>3852080</v>
      </c>
      <c r="F12" s="52">
        <v>4382220</v>
      </c>
      <c r="G12" s="52">
        <v>12941770</v>
      </c>
      <c r="H12" s="52">
        <v>7677880</v>
      </c>
      <c r="I12" s="52">
        <v>6647620</v>
      </c>
      <c r="J12" s="52">
        <v>8295730</v>
      </c>
      <c r="K12" s="52">
        <v>12029060</v>
      </c>
      <c r="L12" s="52">
        <v>5250630</v>
      </c>
      <c r="M12" s="52">
        <v>9581350</v>
      </c>
      <c r="N12" s="52">
        <v>15949880</v>
      </c>
      <c r="O12" s="52">
        <v>22325120</v>
      </c>
      <c r="Q12" s="37">
        <f t="shared" si="17"/>
        <v>580</v>
      </c>
      <c r="R12" s="37">
        <f t="shared" si="18"/>
        <v>1840</v>
      </c>
      <c r="S12" s="37">
        <f t="shared" si="16"/>
        <v>2800</v>
      </c>
      <c r="T12" s="37">
        <f t="shared" ref="T12:W14" si="32">IF((F12-F11&lt;0), "0",F12-F11)</f>
        <v>1410</v>
      </c>
      <c r="U12" s="37">
        <f t="shared" si="32"/>
        <v>5220</v>
      </c>
      <c r="V12" s="37">
        <f t="shared" si="32"/>
        <v>3880</v>
      </c>
      <c r="W12" s="37">
        <f t="shared" si="32"/>
        <v>3340</v>
      </c>
      <c r="X12" s="37">
        <f t="shared" si="23"/>
        <v>4830</v>
      </c>
      <c r="Y12" s="37">
        <f t="shared" si="24"/>
        <v>5510</v>
      </c>
      <c r="Z12" s="37">
        <f>IF((L12-L11&lt;0), "0",L12-L11)</f>
        <v>2360</v>
      </c>
      <c r="AA12" s="37">
        <f t="shared" si="26"/>
        <v>2740</v>
      </c>
      <c r="AB12" s="37">
        <f t="shared" si="27"/>
        <v>7730</v>
      </c>
      <c r="AC12" s="37">
        <f t="shared" si="28"/>
        <v>11210</v>
      </c>
      <c r="AD12" s="35">
        <f t="shared" si="29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0"/>
        <v>267.25</v>
      </c>
      <c r="AU12" s="55">
        <v>355266</v>
      </c>
      <c r="AV12" s="37">
        <f t="shared" si="31"/>
        <v>692</v>
      </c>
      <c r="AW12" s="37">
        <f>AV12*100*AV44</f>
        <v>261.95037200000002</v>
      </c>
      <c r="AX12" s="35">
        <f t="shared" si="14"/>
        <v>1.3840000000000001</v>
      </c>
    </row>
    <row r="13" spans="1:50" x14ac:dyDescent="0.25">
      <c r="A13" s="23">
        <v>44902</v>
      </c>
      <c r="B13" s="40">
        <v>109</v>
      </c>
      <c r="C13" s="52">
        <v>8642850</v>
      </c>
      <c r="D13" s="52">
        <v>21032920</v>
      </c>
      <c r="E13" s="52">
        <v>3855070</v>
      </c>
      <c r="F13" s="52">
        <v>4383640</v>
      </c>
      <c r="G13" s="52">
        <v>12947560</v>
      </c>
      <c r="H13" s="52">
        <v>7681960</v>
      </c>
      <c r="I13" s="52">
        <v>6650920</v>
      </c>
      <c r="J13" s="52">
        <v>8300510</v>
      </c>
      <c r="K13" s="52">
        <v>12034750</v>
      </c>
      <c r="L13" s="52">
        <v>5253080</v>
      </c>
      <c r="M13" s="52">
        <v>9584660</v>
      </c>
      <c r="N13" s="52">
        <v>15957520</v>
      </c>
      <c r="O13" s="52">
        <v>22336280</v>
      </c>
      <c r="Q13" s="37">
        <f t="shared" si="17"/>
        <v>580</v>
      </c>
      <c r="R13" s="37">
        <f t="shared" si="18"/>
        <v>1830</v>
      </c>
      <c r="S13" s="37">
        <f t="shared" si="16"/>
        <v>2990</v>
      </c>
      <c r="T13" s="37">
        <f t="shared" si="32"/>
        <v>1420</v>
      </c>
      <c r="U13" s="37">
        <f t="shared" si="32"/>
        <v>5790</v>
      </c>
      <c r="V13" s="37">
        <f t="shared" si="32"/>
        <v>4080</v>
      </c>
      <c r="W13" s="37">
        <f t="shared" si="32"/>
        <v>3300</v>
      </c>
      <c r="X13" s="37">
        <f t="shared" si="23"/>
        <v>4780</v>
      </c>
      <c r="Y13" s="37">
        <f t="shared" si="24"/>
        <v>5690</v>
      </c>
      <c r="Z13" s="37">
        <f>IF((L13-L12&lt;0), "0",L13-L12)</f>
        <v>2450</v>
      </c>
      <c r="AA13" s="37">
        <f t="shared" si="26"/>
        <v>3310</v>
      </c>
      <c r="AB13" s="37">
        <f t="shared" si="27"/>
        <v>7640</v>
      </c>
      <c r="AC13" s="37">
        <f t="shared" si="28"/>
        <v>11160</v>
      </c>
      <c r="AD13" s="35">
        <f t="shared" si="29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0"/>
        <v>275.10000000000002</v>
      </c>
      <c r="AU13" s="60">
        <v>355780</v>
      </c>
      <c r="AV13" s="37">
        <f t="shared" si="31"/>
        <v>514</v>
      </c>
      <c r="AW13" s="37">
        <f>AV13*100*AV44</f>
        <v>194.57007400000001</v>
      </c>
      <c r="AX13" s="35">
        <f t="shared" si="14"/>
        <v>1.028</v>
      </c>
    </row>
    <row r="14" spans="1:50" x14ac:dyDescent="0.25">
      <c r="A14" s="23">
        <v>44903</v>
      </c>
      <c r="B14" s="40">
        <v>159</v>
      </c>
      <c r="C14" s="51">
        <v>8643440</v>
      </c>
      <c r="D14" s="51">
        <v>21034800</v>
      </c>
      <c r="E14" s="51">
        <v>3858150</v>
      </c>
      <c r="F14" s="51">
        <v>4385090</v>
      </c>
      <c r="G14" s="51">
        <v>12953260</v>
      </c>
      <c r="H14" s="51">
        <v>7686210</v>
      </c>
      <c r="I14" s="51">
        <v>6654490</v>
      </c>
      <c r="J14" s="51">
        <v>8305470</v>
      </c>
      <c r="K14" s="51">
        <v>12040730</v>
      </c>
      <c r="L14" s="51">
        <v>5255680</v>
      </c>
      <c r="M14" s="51">
        <v>9588240</v>
      </c>
      <c r="N14" s="51">
        <v>15965410</v>
      </c>
      <c r="O14" s="51">
        <v>22348840</v>
      </c>
      <c r="P14" s="49"/>
      <c r="Q14" s="37">
        <f t="shared" si="17"/>
        <v>590</v>
      </c>
      <c r="R14" s="37">
        <f t="shared" si="18"/>
        <v>1880</v>
      </c>
      <c r="S14" s="37">
        <f t="shared" si="16"/>
        <v>3080</v>
      </c>
      <c r="T14" s="37">
        <f t="shared" si="32"/>
        <v>1450</v>
      </c>
      <c r="U14" s="37">
        <f t="shared" si="32"/>
        <v>5700</v>
      </c>
      <c r="V14" s="37">
        <f t="shared" si="32"/>
        <v>4250</v>
      </c>
      <c r="W14" s="37">
        <f t="shared" si="32"/>
        <v>3570</v>
      </c>
      <c r="X14" s="37">
        <f t="shared" si="23"/>
        <v>4960</v>
      </c>
      <c r="Y14" s="37">
        <f t="shared" si="24"/>
        <v>5980</v>
      </c>
      <c r="Z14" s="37">
        <f>IF((L14-L13&lt;0), "0",L14-L13)</f>
        <v>2600</v>
      </c>
      <c r="AA14" s="37">
        <f t="shared" si="26"/>
        <v>3580</v>
      </c>
      <c r="AB14" s="37">
        <f t="shared" si="27"/>
        <v>7890</v>
      </c>
      <c r="AC14" s="37">
        <f t="shared" si="28"/>
        <v>12560</v>
      </c>
      <c r="AD14" s="35">
        <f t="shared" si="29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0"/>
        <v>290.45</v>
      </c>
      <c r="AU14" s="54">
        <v>355780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>
        <v>124</v>
      </c>
      <c r="C15" s="52">
        <v>8644030</v>
      </c>
      <c r="D15" s="52">
        <v>21036650</v>
      </c>
      <c r="E15" s="52">
        <v>3861100</v>
      </c>
      <c r="F15" s="52">
        <v>4386520</v>
      </c>
      <c r="G15" s="52">
        <v>12959580</v>
      </c>
      <c r="H15" s="52">
        <v>7690430</v>
      </c>
      <c r="I15" s="52">
        <v>6657790</v>
      </c>
      <c r="J15" s="52">
        <v>8310240</v>
      </c>
      <c r="K15" s="52">
        <v>12046810</v>
      </c>
      <c r="L15" s="52">
        <v>5258300</v>
      </c>
      <c r="M15" s="52">
        <v>9591880</v>
      </c>
      <c r="N15" s="52">
        <v>15973270</v>
      </c>
      <c r="O15" s="52">
        <v>22362390</v>
      </c>
      <c r="Q15" s="37">
        <f t="shared" si="17"/>
        <v>590</v>
      </c>
      <c r="R15" s="37">
        <f t="shared" si="18"/>
        <v>1850</v>
      </c>
      <c r="S15" s="37">
        <f t="shared" si="16"/>
        <v>2950</v>
      </c>
      <c r="T15" s="37">
        <f t="shared" si="19"/>
        <v>1430</v>
      </c>
      <c r="U15" s="37">
        <f t="shared" si="20"/>
        <v>6320</v>
      </c>
      <c r="V15" s="37">
        <f t="shared" si="21"/>
        <v>4220</v>
      </c>
      <c r="W15" s="37">
        <f t="shared" si="22"/>
        <v>3300</v>
      </c>
      <c r="X15" s="37">
        <f t="shared" si="23"/>
        <v>4770</v>
      </c>
      <c r="Y15" s="37">
        <f t="shared" si="24"/>
        <v>6080</v>
      </c>
      <c r="Z15" s="37">
        <f t="shared" si="25"/>
        <v>2620</v>
      </c>
      <c r="AA15" s="37">
        <f t="shared" si="26"/>
        <v>3640</v>
      </c>
      <c r="AB15" s="37">
        <f t="shared" si="27"/>
        <v>7860</v>
      </c>
      <c r="AC15" s="37">
        <f t="shared" si="28"/>
        <v>13550</v>
      </c>
      <c r="AD15" s="35">
        <f t="shared" si="29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0"/>
        <v>295.89999999999998</v>
      </c>
      <c r="AU15" s="55">
        <v>355780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>
        <v>76</v>
      </c>
      <c r="C16" s="52">
        <v>8644610</v>
      </c>
      <c r="D16" s="52">
        <v>21038500</v>
      </c>
      <c r="E16" s="52">
        <v>3863920</v>
      </c>
      <c r="F16" s="52">
        <v>4387950</v>
      </c>
      <c r="G16" s="52">
        <v>12965490</v>
      </c>
      <c r="H16" s="52">
        <v>7694620</v>
      </c>
      <c r="I16" s="52">
        <v>6661020</v>
      </c>
      <c r="J16" s="52">
        <v>8315010</v>
      </c>
      <c r="K16" s="52">
        <v>12052600</v>
      </c>
      <c r="L16" s="52">
        <v>5260750</v>
      </c>
      <c r="M16" s="52">
        <v>9595350</v>
      </c>
      <c r="N16" s="52">
        <v>15981010</v>
      </c>
      <c r="O16" s="52">
        <v>22375750</v>
      </c>
      <c r="Q16" s="37">
        <f t="shared" si="17"/>
        <v>580</v>
      </c>
      <c r="R16" s="37">
        <f t="shared" si="18"/>
        <v>1850</v>
      </c>
      <c r="S16" s="37">
        <f t="shared" si="16"/>
        <v>2820</v>
      </c>
      <c r="T16" s="37">
        <f t="shared" si="19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2"/>
        <v>3230</v>
      </c>
      <c r="X16" s="37">
        <f t="shared" si="23"/>
        <v>4770</v>
      </c>
      <c r="Y16" s="37">
        <f t="shared" si="24"/>
        <v>5790</v>
      </c>
      <c r="Z16" s="37">
        <f t="shared" si="25"/>
        <v>2450</v>
      </c>
      <c r="AA16" s="37">
        <f t="shared" si="26"/>
        <v>3470</v>
      </c>
      <c r="AB16" s="37">
        <f t="shared" si="27"/>
        <v>7740</v>
      </c>
      <c r="AC16" s="37">
        <f t="shared" si="28"/>
        <v>13360</v>
      </c>
      <c r="AD16" s="35">
        <f t="shared" si="29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0"/>
        <v>287.95</v>
      </c>
      <c r="AU16" s="55">
        <v>355780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>
        <v>77</v>
      </c>
      <c r="C17" s="51">
        <v>8645200</v>
      </c>
      <c r="D17" s="51">
        <v>21040350</v>
      </c>
      <c r="E17" s="51">
        <v>3866650</v>
      </c>
      <c r="F17" s="51">
        <v>4389370</v>
      </c>
      <c r="G17" s="51">
        <v>12970950</v>
      </c>
      <c r="H17" s="51">
        <v>7698690</v>
      </c>
      <c r="I17" s="51">
        <v>6664400</v>
      </c>
      <c r="J17" s="51">
        <v>8319500</v>
      </c>
      <c r="K17" s="51">
        <v>12058090</v>
      </c>
      <c r="L17" s="51">
        <v>5263090</v>
      </c>
      <c r="M17" s="51">
        <v>9598640</v>
      </c>
      <c r="N17" s="51">
        <v>15988840</v>
      </c>
      <c r="O17" s="51">
        <v>22388440</v>
      </c>
      <c r="Q17" s="37">
        <f t="shared" si="17"/>
        <v>590</v>
      </c>
      <c r="R17" s="37">
        <f t="shared" si="18"/>
        <v>1850</v>
      </c>
      <c r="S17" s="37">
        <f t="shared" si="16"/>
        <v>2730</v>
      </c>
      <c r="T17" s="37">
        <f t="shared" si="19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2"/>
        <v>3380</v>
      </c>
      <c r="X17" s="37">
        <f t="shared" si="23"/>
        <v>4490</v>
      </c>
      <c r="Y17" s="37">
        <f t="shared" si="24"/>
        <v>5490</v>
      </c>
      <c r="Z17" s="37">
        <f t="shared" si="25"/>
        <v>2340</v>
      </c>
      <c r="AA17" s="37">
        <f t="shared" si="26"/>
        <v>3290</v>
      </c>
      <c r="AB17" s="37">
        <f t="shared" si="27"/>
        <v>7830</v>
      </c>
      <c r="AC17" s="37">
        <f t="shared" si="28"/>
        <v>12690</v>
      </c>
      <c r="AD17" s="35">
        <f t="shared" si="29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0"/>
        <v>278.14999999999998</v>
      </c>
      <c r="AU17" s="55">
        <v>355780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>
        <v>79</v>
      </c>
      <c r="C18" s="52">
        <v>8645810</v>
      </c>
      <c r="D18" s="52">
        <v>21042270</v>
      </c>
      <c r="E18" s="52">
        <v>3869740</v>
      </c>
      <c r="F18" s="52">
        <v>4390850</v>
      </c>
      <c r="G18" s="52">
        <v>12976510</v>
      </c>
      <c r="H18" s="52">
        <v>7702810</v>
      </c>
      <c r="I18" s="52">
        <v>6668160</v>
      </c>
      <c r="J18" s="52">
        <v>8324640</v>
      </c>
      <c r="K18" s="52">
        <v>12063890</v>
      </c>
      <c r="L18" s="52">
        <v>5265420</v>
      </c>
      <c r="M18" s="52">
        <v>9601960</v>
      </c>
      <c r="N18" s="52">
        <v>15996770</v>
      </c>
      <c r="O18" s="52">
        <v>22399770</v>
      </c>
      <c r="Q18" s="37">
        <f t="shared" si="17"/>
        <v>610</v>
      </c>
      <c r="R18" s="37">
        <f t="shared" si="18"/>
        <v>1920</v>
      </c>
      <c r="S18" s="37">
        <f t="shared" si="16"/>
        <v>3090</v>
      </c>
      <c r="T18" s="37">
        <f t="shared" si="19"/>
        <v>1480</v>
      </c>
      <c r="U18" s="37">
        <f t="shared" si="20"/>
        <v>5560</v>
      </c>
      <c r="V18" s="37">
        <f t="shared" si="21"/>
        <v>4120</v>
      </c>
      <c r="W18" s="37">
        <f t="shared" si="22"/>
        <v>3760</v>
      </c>
      <c r="X18" s="37">
        <f t="shared" si="23"/>
        <v>5140</v>
      </c>
      <c r="Y18" s="37">
        <f t="shared" si="24"/>
        <v>5800</v>
      </c>
      <c r="Z18" s="37">
        <f t="shared" si="25"/>
        <v>2330</v>
      </c>
      <c r="AA18" s="37">
        <f t="shared" si="26"/>
        <v>3320</v>
      </c>
      <c r="AB18" s="37">
        <f t="shared" si="27"/>
        <v>7930</v>
      </c>
      <c r="AC18" s="37">
        <f t="shared" si="28"/>
        <v>11330</v>
      </c>
      <c r="AD18" s="35">
        <f t="shared" si="29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0"/>
        <v>281.95</v>
      </c>
      <c r="AU18" s="55">
        <v>355780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>
        <v>68</v>
      </c>
      <c r="C19" s="51">
        <v>8646380</v>
      </c>
      <c r="D19" s="51">
        <v>21044080</v>
      </c>
      <c r="E19" s="51">
        <v>3872790</v>
      </c>
      <c r="F19" s="51">
        <v>4392250</v>
      </c>
      <c r="G19" s="51">
        <v>12981410</v>
      </c>
      <c r="H19" s="51">
        <v>7706740</v>
      </c>
      <c r="I19" s="51">
        <v>6671440</v>
      </c>
      <c r="J19" s="51">
        <v>8329550</v>
      </c>
      <c r="K19" s="51">
        <v>12069570</v>
      </c>
      <c r="L19" s="51">
        <v>5267700</v>
      </c>
      <c r="M19" s="51">
        <v>9604460</v>
      </c>
      <c r="N19" s="51">
        <v>16004520</v>
      </c>
      <c r="O19" s="51">
        <v>22411480</v>
      </c>
      <c r="Q19" s="37">
        <f t="shared" si="17"/>
        <v>570</v>
      </c>
      <c r="R19" s="37">
        <f t="shared" si="18"/>
        <v>1810</v>
      </c>
      <c r="S19" s="37">
        <f t="shared" si="16"/>
        <v>3050</v>
      </c>
      <c r="T19" s="37">
        <f t="shared" si="19"/>
        <v>1400</v>
      </c>
      <c r="U19" s="37">
        <f t="shared" si="20"/>
        <v>4900</v>
      </c>
      <c r="V19" s="37">
        <f t="shared" si="21"/>
        <v>3930</v>
      </c>
      <c r="W19" s="37">
        <f t="shared" si="22"/>
        <v>3280</v>
      </c>
      <c r="X19" s="37">
        <f t="shared" si="23"/>
        <v>4910</v>
      </c>
      <c r="Y19" s="37">
        <f t="shared" si="24"/>
        <v>5680</v>
      </c>
      <c r="Z19" s="37">
        <f t="shared" si="25"/>
        <v>2280</v>
      </c>
      <c r="AA19" s="37">
        <f t="shared" si="26"/>
        <v>2500</v>
      </c>
      <c r="AB19" s="37">
        <f t="shared" si="27"/>
        <v>7750</v>
      </c>
      <c r="AC19" s="37">
        <f t="shared" si="28"/>
        <v>11710</v>
      </c>
      <c r="AD19" s="35">
        <f t="shared" si="29"/>
        <v>53770</v>
      </c>
      <c r="AF19" s="20">
        <f t="shared" si="1"/>
        <v>2.85</v>
      </c>
      <c r="AG19" s="20">
        <f t="shared" si="2"/>
        <v>9.0500000000000007</v>
      </c>
      <c r="AH19" s="20">
        <f t="shared" si="3"/>
        <v>15.25</v>
      </c>
      <c r="AI19" s="20">
        <f t="shared" si="4"/>
        <v>7</v>
      </c>
      <c r="AJ19" s="20">
        <f t="shared" si="5"/>
        <v>24.5</v>
      </c>
      <c r="AK19" s="20">
        <f t="shared" si="6"/>
        <v>19.650000000000002</v>
      </c>
      <c r="AL19" s="20">
        <f t="shared" si="7"/>
        <v>16.399999999999999</v>
      </c>
      <c r="AM19" s="20">
        <f t="shared" si="8"/>
        <v>24.55</v>
      </c>
      <c r="AN19" s="20">
        <f t="shared" si="9"/>
        <v>28.400000000000002</v>
      </c>
      <c r="AO19" s="20">
        <f t="shared" si="10"/>
        <v>11.4</v>
      </c>
      <c r="AP19" s="20">
        <f t="shared" si="11"/>
        <v>12.5</v>
      </c>
      <c r="AQ19" s="20">
        <f t="shared" si="12"/>
        <v>38.75</v>
      </c>
      <c r="AR19" s="20">
        <f t="shared" si="13"/>
        <v>58.550000000000004</v>
      </c>
      <c r="AS19" s="35">
        <f t="shared" si="30"/>
        <v>268.84999999999997</v>
      </c>
      <c r="AU19" s="55">
        <v>355780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>
        <v>70</v>
      </c>
      <c r="C20" s="52">
        <v>8646960</v>
      </c>
      <c r="D20" s="52">
        <v>21045800</v>
      </c>
      <c r="E20" s="52">
        <v>3875660</v>
      </c>
      <c r="F20" s="52">
        <v>4393620</v>
      </c>
      <c r="G20" s="52">
        <v>12986670</v>
      </c>
      <c r="H20" s="52">
        <v>7710670</v>
      </c>
      <c r="I20" s="52">
        <v>6674530</v>
      </c>
      <c r="J20" s="52">
        <v>8334200</v>
      </c>
      <c r="K20" s="52">
        <v>12075090</v>
      </c>
      <c r="L20" s="52">
        <v>5269990</v>
      </c>
      <c r="M20" s="52">
        <v>9607730</v>
      </c>
      <c r="N20" s="52">
        <v>16012060</v>
      </c>
      <c r="O20" s="52">
        <v>22424550</v>
      </c>
      <c r="Q20" s="37">
        <f t="shared" si="17"/>
        <v>580</v>
      </c>
      <c r="R20" s="37">
        <f t="shared" si="18"/>
        <v>1720</v>
      </c>
      <c r="S20" s="37">
        <f t="shared" si="16"/>
        <v>2870</v>
      </c>
      <c r="T20" s="37">
        <f t="shared" si="19"/>
        <v>1370</v>
      </c>
      <c r="U20" s="37">
        <f t="shared" si="20"/>
        <v>5260</v>
      </c>
      <c r="V20" s="37">
        <f t="shared" si="21"/>
        <v>3930</v>
      </c>
      <c r="W20" s="37">
        <f t="shared" si="22"/>
        <v>3090</v>
      </c>
      <c r="X20" s="37">
        <f t="shared" si="23"/>
        <v>4650</v>
      </c>
      <c r="Y20" s="37">
        <f t="shared" si="24"/>
        <v>5520</v>
      </c>
      <c r="Z20" s="37">
        <f t="shared" si="25"/>
        <v>2290</v>
      </c>
      <c r="AA20" s="37">
        <f t="shared" si="26"/>
        <v>3270</v>
      </c>
      <c r="AB20" s="37">
        <f t="shared" si="27"/>
        <v>7540</v>
      </c>
      <c r="AC20" s="37">
        <f t="shared" si="28"/>
        <v>13070</v>
      </c>
      <c r="AD20" s="35">
        <f t="shared" si="29"/>
        <v>55160</v>
      </c>
      <c r="AF20" s="20">
        <f t="shared" si="1"/>
        <v>2.9</v>
      </c>
      <c r="AG20" s="20">
        <f t="shared" si="2"/>
        <v>8.6</v>
      </c>
      <c r="AH20" s="20">
        <f t="shared" si="3"/>
        <v>14.35</v>
      </c>
      <c r="AI20" s="20">
        <f t="shared" si="4"/>
        <v>6.8500000000000005</v>
      </c>
      <c r="AJ20" s="20">
        <f t="shared" si="5"/>
        <v>26.3</v>
      </c>
      <c r="AK20" s="20">
        <f t="shared" si="6"/>
        <v>19.650000000000002</v>
      </c>
      <c r="AL20" s="20">
        <f t="shared" si="7"/>
        <v>15.450000000000001</v>
      </c>
      <c r="AM20" s="20">
        <f t="shared" si="8"/>
        <v>23.25</v>
      </c>
      <c r="AN20" s="20">
        <f t="shared" si="9"/>
        <v>27.6</v>
      </c>
      <c r="AO20" s="20">
        <f t="shared" si="10"/>
        <v>11.450000000000001</v>
      </c>
      <c r="AP20" s="20">
        <f t="shared" si="11"/>
        <v>16.350000000000001</v>
      </c>
      <c r="AQ20" s="20">
        <f t="shared" si="12"/>
        <v>37.700000000000003</v>
      </c>
      <c r="AR20" s="20">
        <f t="shared" si="13"/>
        <v>65.349999999999994</v>
      </c>
      <c r="AS20" s="35">
        <f t="shared" si="30"/>
        <v>275.79999999999995</v>
      </c>
      <c r="AU20" s="55">
        <v>355780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>
        <v>109</v>
      </c>
      <c r="C21" s="51">
        <v>8647550</v>
      </c>
      <c r="D21" s="51">
        <v>21047660</v>
      </c>
      <c r="E21" s="51">
        <v>3879080</v>
      </c>
      <c r="F21" s="51">
        <v>4395040</v>
      </c>
      <c r="G21" s="51">
        <v>12992210</v>
      </c>
      <c r="H21" s="51">
        <v>7715010</v>
      </c>
      <c r="I21" s="51">
        <v>6677870</v>
      </c>
      <c r="J21" s="51">
        <v>8338990</v>
      </c>
      <c r="K21" s="51">
        <v>12080970</v>
      </c>
      <c r="L21" s="51">
        <v>5272500</v>
      </c>
      <c r="M21" s="51">
        <v>9610850</v>
      </c>
      <c r="N21" s="51">
        <v>16019870</v>
      </c>
      <c r="O21" s="51">
        <v>22437100</v>
      </c>
      <c r="Q21" s="37">
        <f t="shared" si="17"/>
        <v>590</v>
      </c>
      <c r="R21" s="37">
        <f t="shared" si="18"/>
        <v>1860</v>
      </c>
      <c r="S21" s="37">
        <f t="shared" si="16"/>
        <v>3420</v>
      </c>
      <c r="T21" s="37">
        <f t="shared" si="19"/>
        <v>1420</v>
      </c>
      <c r="U21" s="37">
        <f t="shared" si="20"/>
        <v>5540</v>
      </c>
      <c r="V21" s="37">
        <f t="shared" si="21"/>
        <v>4340</v>
      </c>
      <c r="W21" s="37">
        <f t="shared" si="22"/>
        <v>3340</v>
      </c>
      <c r="X21" s="37">
        <f t="shared" si="23"/>
        <v>4790</v>
      </c>
      <c r="Y21" s="37">
        <f t="shared" si="24"/>
        <v>5880</v>
      </c>
      <c r="Z21" s="37">
        <f t="shared" si="25"/>
        <v>2510</v>
      </c>
      <c r="AA21" s="37">
        <f t="shared" si="26"/>
        <v>3120</v>
      </c>
      <c r="AB21" s="37">
        <f t="shared" si="27"/>
        <v>7810</v>
      </c>
      <c r="AC21" s="37">
        <f t="shared" si="28"/>
        <v>12550</v>
      </c>
      <c r="AD21" s="35">
        <f t="shared" si="29"/>
        <v>57170</v>
      </c>
      <c r="AF21" s="20">
        <f t="shared" si="1"/>
        <v>2.95</v>
      </c>
      <c r="AG21" s="20">
        <f t="shared" si="2"/>
        <v>9.3000000000000007</v>
      </c>
      <c r="AH21" s="20">
        <f t="shared" si="3"/>
        <v>17.100000000000001</v>
      </c>
      <c r="AI21" s="20">
        <f t="shared" si="4"/>
        <v>7.1000000000000005</v>
      </c>
      <c r="AJ21" s="20">
        <f t="shared" si="5"/>
        <v>27.7</v>
      </c>
      <c r="AK21" s="20">
        <f t="shared" si="6"/>
        <v>21.7</v>
      </c>
      <c r="AL21" s="20">
        <f t="shared" si="7"/>
        <v>16.7</v>
      </c>
      <c r="AM21" s="20">
        <f t="shared" si="8"/>
        <v>23.95</v>
      </c>
      <c r="AN21" s="20">
        <f t="shared" si="9"/>
        <v>29.400000000000002</v>
      </c>
      <c r="AO21" s="20">
        <f t="shared" si="10"/>
        <v>12.55</v>
      </c>
      <c r="AP21" s="20">
        <f t="shared" si="11"/>
        <v>15.6</v>
      </c>
      <c r="AQ21" s="20">
        <f t="shared" si="12"/>
        <v>39.050000000000004</v>
      </c>
      <c r="AR21" s="20">
        <f t="shared" si="13"/>
        <v>62.75</v>
      </c>
      <c r="AS21" s="35">
        <f t="shared" si="30"/>
        <v>285.85000000000002</v>
      </c>
      <c r="AU21" s="55">
        <v>355780</v>
      </c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>
        <v>125</v>
      </c>
      <c r="C22" s="52">
        <v>8648140</v>
      </c>
      <c r="D22" s="52">
        <v>21049510</v>
      </c>
      <c r="E22" s="52">
        <v>3882380</v>
      </c>
      <c r="F22" s="52">
        <v>4396460</v>
      </c>
      <c r="G22" s="52">
        <v>12997700</v>
      </c>
      <c r="H22" s="52">
        <v>7719400</v>
      </c>
      <c r="I22" s="52">
        <v>6681050</v>
      </c>
      <c r="J22" s="52">
        <v>8343580</v>
      </c>
      <c r="K22" s="52">
        <v>12086970</v>
      </c>
      <c r="L22" s="52">
        <v>5275050</v>
      </c>
      <c r="M22" s="52">
        <v>9614120</v>
      </c>
      <c r="N22" s="52">
        <v>16027670</v>
      </c>
      <c r="O22" s="52">
        <v>22449240</v>
      </c>
      <c r="Q22" s="37">
        <f t="shared" si="17"/>
        <v>590</v>
      </c>
      <c r="R22" s="37">
        <f t="shared" si="18"/>
        <v>1850</v>
      </c>
      <c r="S22" s="37">
        <f t="shared" si="16"/>
        <v>3300</v>
      </c>
      <c r="T22" s="37">
        <f t="shared" si="19"/>
        <v>1420</v>
      </c>
      <c r="U22" s="37">
        <f t="shared" si="20"/>
        <v>5490</v>
      </c>
      <c r="V22" s="37">
        <f t="shared" si="21"/>
        <v>4390</v>
      </c>
      <c r="W22" s="37">
        <f t="shared" si="22"/>
        <v>3180</v>
      </c>
      <c r="X22" s="37">
        <f t="shared" si="23"/>
        <v>4590</v>
      </c>
      <c r="Y22" s="37">
        <f t="shared" si="24"/>
        <v>6000</v>
      </c>
      <c r="Z22" s="37">
        <f t="shared" si="25"/>
        <v>2550</v>
      </c>
      <c r="AA22" s="37">
        <f t="shared" si="26"/>
        <v>3270</v>
      </c>
      <c r="AB22" s="37">
        <f t="shared" si="27"/>
        <v>7800</v>
      </c>
      <c r="AC22" s="37">
        <f t="shared" si="28"/>
        <v>12140</v>
      </c>
      <c r="AD22" s="35">
        <f t="shared" si="29"/>
        <v>56570</v>
      </c>
      <c r="AF22" s="20">
        <f t="shared" si="1"/>
        <v>2.95</v>
      </c>
      <c r="AG22" s="20">
        <f t="shared" si="2"/>
        <v>9.25</v>
      </c>
      <c r="AH22" s="20">
        <f t="shared" si="3"/>
        <v>16.5</v>
      </c>
      <c r="AI22" s="20">
        <f t="shared" si="4"/>
        <v>7.1000000000000005</v>
      </c>
      <c r="AJ22" s="20">
        <f t="shared" si="5"/>
        <v>27.45</v>
      </c>
      <c r="AK22" s="20">
        <f t="shared" si="6"/>
        <v>21.95</v>
      </c>
      <c r="AL22" s="20">
        <f t="shared" si="7"/>
        <v>15.9</v>
      </c>
      <c r="AM22" s="20">
        <f t="shared" si="8"/>
        <v>22.95</v>
      </c>
      <c r="AN22" s="20">
        <f t="shared" si="9"/>
        <v>30</v>
      </c>
      <c r="AO22" s="20">
        <f t="shared" si="10"/>
        <v>12.75</v>
      </c>
      <c r="AP22" s="20">
        <f t="shared" si="11"/>
        <v>16.350000000000001</v>
      </c>
      <c r="AQ22" s="20">
        <f t="shared" si="12"/>
        <v>39</v>
      </c>
      <c r="AR22" s="20">
        <f t="shared" si="13"/>
        <v>60.7</v>
      </c>
      <c r="AS22" s="35">
        <f t="shared" si="30"/>
        <v>282.85000000000002</v>
      </c>
      <c r="AU22" s="55">
        <v>355780</v>
      </c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>
        <v>99</v>
      </c>
      <c r="C23" s="24">
        <v>8648740</v>
      </c>
      <c r="D23" s="24">
        <v>21051390</v>
      </c>
      <c r="E23" s="24">
        <v>3885620</v>
      </c>
      <c r="F23" s="24">
        <v>4397910</v>
      </c>
      <c r="G23" s="24">
        <v>13003590</v>
      </c>
      <c r="H23" s="24">
        <v>7723960</v>
      </c>
      <c r="I23" s="24">
        <v>6684380</v>
      </c>
      <c r="J23" s="24">
        <v>8348250</v>
      </c>
      <c r="K23" s="24">
        <v>12092990</v>
      </c>
      <c r="L23" s="24">
        <v>5277680</v>
      </c>
      <c r="M23" s="24">
        <v>9617530</v>
      </c>
      <c r="N23" s="24">
        <v>16035560</v>
      </c>
      <c r="O23" s="24">
        <v>22463460</v>
      </c>
      <c r="Q23" s="37">
        <f t="shared" si="17"/>
        <v>600</v>
      </c>
      <c r="R23" s="37">
        <f t="shared" si="18"/>
        <v>1880</v>
      </c>
      <c r="S23" s="37">
        <f t="shared" si="16"/>
        <v>3240</v>
      </c>
      <c r="T23" s="37">
        <f t="shared" si="19"/>
        <v>1450</v>
      </c>
      <c r="U23" s="37">
        <f t="shared" si="20"/>
        <v>5890</v>
      </c>
      <c r="V23" s="37">
        <f t="shared" si="21"/>
        <v>4560</v>
      </c>
      <c r="W23" s="37">
        <f t="shared" si="22"/>
        <v>3330</v>
      </c>
      <c r="X23" s="37">
        <f t="shared" si="23"/>
        <v>4670</v>
      </c>
      <c r="Y23" s="37">
        <f t="shared" si="24"/>
        <v>6020</v>
      </c>
      <c r="Z23" s="37">
        <f t="shared" si="25"/>
        <v>2630</v>
      </c>
      <c r="AA23" s="37">
        <f t="shared" si="26"/>
        <v>3410</v>
      </c>
      <c r="AB23" s="37">
        <f t="shared" si="27"/>
        <v>7890</v>
      </c>
      <c r="AC23" s="37">
        <f t="shared" si="28"/>
        <v>14220</v>
      </c>
      <c r="AD23" s="35">
        <f t="shared" si="29"/>
        <v>59790</v>
      </c>
      <c r="AF23" s="20">
        <f t="shared" si="1"/>
        <v>3</v>
      </c>
      <c r="AG23" s="20">
        <f t="shared" si="2"/>
        <v>9.4</v>
      </c>
      <c r="AH23" s="20">
        <f t="shared" si="3"/>
        <v>16.2</v>
      </c>
      <c r="AI23" s="20">
        <f t="shared" si="4"/>
        <v>7.25</v>
      </c>
      <c r="AJ23" s="20">
        <f t="shared" si="5"/>
        <v>29.45</v>
      </c>
      <c r="AK23" s="20">
        <f t="shared" si="6"/>
        <v>22.8</v>
      </c>
      <c r="AL23" s="20">
        <f t="shared" si="7"/>
        <v>16.649999999999999</v>
      </c>
      <c r="AM23" s="20">
        <f t="shared" si="8"/>
        <v>23.35</v>
      </c>
      <c r="AN23" s="20">
        <f t="shared" si="9"/>
        <v>30.1</v>
      </c>
      <c r="AO23" s="20">
        <f t="shared" si="10"/>
        <v>13.15</v>
      </c>
      <c r="AP23" s="20">
        <f t="shared" si="11"/>
        <v>17.05</v>
      </c>
      <c r="AQ23" s="20">
        <f t="shared" si="12"/>
        <v>39.450000000000003</v>
      </c>
      <c r="AR23" s="20">
        <f t="shared" si="13"/>
        <v>71.100000000000009</v>
      </c>
      <c r="AS23" s="35">
        <f t="shared" si="30"/>
        <v>298.95000000000005</v>
      </c>
      <c r="AU23" s="55">
        <v>355780</v>
      </c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>
        <v>67</v>
      </c>
      <c r="C24" s="52">
        <v>8649320</v>
      </c>
      <c r="D24" s="52">
        <v>21053220</v>
      </c>
      <c r="E24" s="52">
        <v>3888500</v>
      </c>
      <c r="F24" s="52">
        <v>4399290</v>
      </c>
      <c r="G24" s="52">
        <v>13009160</v>
      </c>
      <c r="H24" s="52">
        <v>7728260</v>
      </c>
      <c r="I24" s="52">
        <v>6687210</v>
      </c>
      <c r="J24" s="52">
        <v>8352420</v>
      </c>
      <c r="K24" s="52">
        <v>12098380</v>
      </c>
      <c r="L24" s="52">
        <v>5280130</v>
      </c>
      <c r="M24" s="52">
        <v>9620670</v>
      </c>
      <c r="N24" s="52">
        <v>16043010</v>
      </c>
      <c r="O24" s="52">
        <v>22476940</v>
      </c>
      <c r="Q24" s="37">
        <f t="shared" si="17"/>
        <v>580</v>
      </c>
      <c r="R24" s="37">
        <f t="shared" si="18"/>
        <v>1830</v>
      </c>
      <c r="S24" s="37">
        <f t="shared" si="16"/>
        <v>2880</v>
      </c>
      <c r="T24" s="37">
        <f t="shared" si="19"/>
        <v>1380</v>
      </c>
      <c r="U24" s="37">
        <f t="shared" si="20"/>
        <v>5570</v>
      </c>
      <c r="V24" s="37">
        <f t="shared" si="21"/>
        <v>4300</v>
      </c>
      <c r="W24" s="37">
        <f t="shared" si="22"/>
        <v>2830</v>
      </c>
      <c r="X24" s="37">
        <f t="shared" si="23"/>
        <v>4170</v>
      </c>
      <c r="Y24" s="37">
        <f t="shared" si="24"/>
        <v>5390</v>
      </c>
      <c r="Z24" s="37">
        <f t="shared" si="25"/>
        <v>2450</v>
      </c>
      <c r="AA24" s="37">
        <f t="shared" si="26"/>
        <v>3140</v>
      </c>
      <c r="AB24" s="37">
        <f t="shared" si="27"/>
        <v>7450</v>
      </c>
      <c r="AC24" s="37">
        <f t="shared" si="28"/>
        <v>13480</v>
      </c>
      <c r="AD24" s="35">
        <f t="shared" si="29"/>
        <v>55450</v>
      </c>
      <c r="AF24" s="20">
        <f t="shared" si="1"/>
        <v>2.9</v>
      </c>
      <c r="AG24" s="20">
        <f t="shared" si="2"/>
        <v>9.15</v>
      </c>
      <c r="AH24" s="20">
        <f t="shared" si="3"/>
        <v>14.4</v>
      </c>
      <c r="AI24" s="20">
        <f t="shared" si="4"/>
        <v>6.9</v>
      </c>
      <c r="AJ24" s="20">
        <f t="shared" si="5"/>
        <v>27.85</v>
      </c>
      <c r="AK24" s="20">
        <f t="shared" si="6"/>
        <v>21.5</v>
      </c>
      <c r="AL24" s="20">
        <f t="shared" si="7"/>
        <v>14.15</v>
      </c>
      <c r="AM24" s="20">
        <f t="shared" si="8"/>
        <v>20.85</v>
      </c>
      <c r="AN24" s="20">
        <f t="shared" si="9"/>
        <v>26.95</v>
      </c>
      <c r="AO24" s="20">
        <f t="shared" si="10"/>
        <v>12.25</v>
      </c>
      <c r="AP24" s="20">
        <f t="shared" si="11"/>
        <v>15.700000000000001</v>
      </c>
      <c r="AQ24" s="20">
        <f t="shared" si="12"/>
        <v>37.25</v>
      </c>
      <c r="AR24" s="20">
        <f t="shared" si="13"/>
        <v>67.400000000000006</v>
      </c>
      <c r="AS24" s="35">
        <f t="shared" si="30"/>
        <v>277.25</v>
      </c>
      <c r="AU24" s="55">
        <v>355780</v>
      </c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>
        <v>72</v>
      </c>
      <c r="C25" s="24">
        <v>8649890</v>
      </c>
      <c r="D25" s="24">
        <v>21055020</v>
      </c>
      <c r="E25" s="24">
        <v>3891340</v>
      </c>
      <c r="F25" s="24">
        <v>4400650</v>
      </c>
      <c r="G25" s="24">
        <v>13014220</v>
      </c>
      <c r="H25" s="24">
        <v>7732360</v>
      </c>
      <c r="I25" s="24">
        <v>6690010</v>
      </c>
      <c r="J25" s="24">
        <v>8356860</v>
      </c>
      <c r="K25" s="24">
        <v>12103760</v>
      </c>
      <c r="L25" s="24">
        <v>5282470</v>
      </c>
      <c r="M25" s="24">
        <v>9623540</v>
      </c>
      <c r="N25" s="24">
        <v>16050250</v>
      </c>
      <c r="O25" s="24">
        <v>22489010</v>
      </c>
      <c r="Q25" s="37">
        <f t="shared" ref="Q25:AC27" si="33">IF((C25-C24&lt;0), "0",C25-C24)</f>
        <v>570</v>
      </c>
      <c r="R25" s="37">
        <f t="shared" si="18"/>
        <v>1800</v>
      </c>
      <c r="S25" s="37">
        <f t="shared" si="33"/>
        <v>2840</v>
      </c>
      <c r="T25" s="37">
        <f t="shared" si="33"/>
        <v>1360</v>
      </c>
      <c r="U25" s="37">
        <f t="shared" si="33"/>
        <v>5060</v>
      </c>
      <c r="V25" s="37">
        <f t="shared" si="33"/>
        <v>4100</v>
      </c>
      <c r="W25" s="37">
        <f t="shared" si="33"/>
        <v>2800</v>
      </c>
      <c r="X25" s="37">
        <f t="shared" si="33"/>
        <v>4440</v>
      </c>
      <c r="Y25" s="37">
        <f t="shared" si="33"/>
        <v>5380</v>
      </c>
      <c r="Z25" s="37">
        <f t="shared" si="33"/>
        <v>2340</v>
      </c>
      <c r="AA25" s="37">
        <f t="shared" si="33"/>
        <v>2870</v>
      </c>
      <c r="AB25" s="37">
        <f t="shared" si="33"/>
        <v>7240</v>
      </c>
      <c r="AC25" s="37">
        <f t="shared" si="33"/>
        <v>12070</v>
      </c>
      <c r="AD25" s="35">
        <f t="shared" si="29"/>
        <v>52870</v>
      </c>
      <c r="AF25" s="20">
        <f t="shared" si="1"/>
        <v>2.85</v>
      </c>
      <c r="AG25" s="20">
        <f t="shared" si="2"/>
        <v>9</v>
      </c>
      <c r="AH25" s="20">
        <f t="shared" si="3"/>
        <v>14.200000000000001</v>
      </c>
      <c r="AI25" s="20">
        <f t="shared" si="4"/>
        <v>6.8</v>
      </c>
      <c r="AJ25" s="20">
        <f t="shared" si="5"/>
        <v>25.3</v>
      </c>
      <c r="AK25" s="20">
        <f t="shared" si="6"/>
        <v>20.5</v>
      </c>
      <c r="AL25" s="20">
        <f t="shared" si="7"/>
        <v>14</v>
      </c>
      <c r="AM25" s="20">
        <f t="shared" si="8"/>
        <v>22.2</v>
      </c>
      <c r="AN25" s="20">
        <f t="shared" si="9"/>
        <v>26.900000000000002</v>
      </c>
      <c r="AO25" s="20">
        <f t="shared" si="10"/>
        <v>11.700000000000001</v>
      </c>
      <c r="AP25" s="20">
        <f t="shared" si="11"/>
        <v>14.35</v>
      </c>
      <c r="AQ25" s="20">
        <f t="shared" si="12"/>
        <v>36.200000000000003</v>
      </c>
      <c r="AR25" s="20">
        <f t="shared" si="13"/>
        <v>60.35</v>
      </c>
      <c r="AS25" s="35">
        <f t="shared" si="30"/>
        <v>264.35000000000002</v>
      </c>
      <c r="AU25" s="55">
        <v>355780</v>
      </c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 t="str">
        <f t="shared" si="33"/>
        <v>0</v>
      </c>
      <c r="R26" s="37" t="str">
        <f t="shared" si="18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 t="str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11160</v>
      </c>
      <c r="R38" s="38">
        <f t="shared" ref="R38:AD38" si="60">SUM(R7:R37)</f>
        <v>35030</v>
      </c>
      <c r="S38" s="38">
        <f t="shared" si="60"/>
        <v>58860</v>
      </c>
      <c r="T38" s="38">
        <f t="shared" si="60"/>
        <v>27160</v>
      </c>
      <c r="U38" s="38">
        <f t="shared" si="60"/>
        <v>105620</v>
      </c>
      <c r="V38" s="38">
        <f t="shared" si="60"/>
        <v>78730</v>
      </c>
      <c r="W38" s="38">
        <f t="shared" si="60"/>
        <v>60600</v>
      </c>
      <c r="X38" s="38">
        <f t="shared" si="60"/>
        <v>88690</v>
      </c>
      <c r="Y38" s="38">
        <f t="shared" si="60"/>
        <v>109080</v>
      </c>
      <c r="Z38" s="38">
        <f t="shared" si="60"/>
        <v>46910</v>
      </c>
      <c r="AA38" s="38">
        <f t="shared" si="60"/>
        <v>61020</v>
      </c>
      <c r="AB38" s="38">
        <f t="shared" si="60"/>
        <v>147080</v>
      </c>
      <c r="AC38" s="38">
        <f t="shared" si="60"/>
        <v>233710</v>
      </c>
      <c r="AD38" s="38">
        <f t="shared" si="60"/>
        <v>1063650</v>
      </c>
      <c r="AF38" s="35">
        <f>SUM(AF7:AF37)</f>
        <v>55.8</v>
      </c>
      <c r="AG38" s="35">
        <f t="shared" ref="AG38:AS38" si="61">SUM(AG7:AG37)</f>
        <v>175.15000000000003</v>
      </c>
      <c r="AH38" s="35">
        <f t="shared" si="61"/>
        <v>294.29999999999995</v>
      </c>
      <c r="AI38" s="35">
        <f t="shared" si="61"/>
        <v>135.80000000000001</v>
      </c>
      <c r="AJ38" s="35">
        <f t="shared" si="61"/>
        <v>528.1</v>
      </c>
      <c r="AK38" s="35">
        <f t="shared" si="61"/>
        <v>393.64999999999992</v>
      </c>
      <c r="AL38" s="35">
        <f t="shared" si="61"/>
        <v>302.99999999999994</v>
      </c>
      <c r="AM38" s="35">
        <f t="shared" si="61"/>
        <v>443.45000000000005</v>
      </c>
      <c r="AN38" s="35">
        <f t="shared" si="61"/>
        <v>545.4</v>
      </c>
      <c r="AO38" s="35">
        <f t="shared" si="61"/>
        <v>234.54999999999998</v>
      </c>
      <c r="AP38" s="35">
        <f t="shared" si="61"/>
        <v>305.09999999999997</v>
      </c>
      <c r="AQ38" s="35">
        <f t="shared" si="61"/>
        <v>735.4</v>
      </c>
      <c r="AR38" s="35">
        <f t="shared" si="61"/>
        <v>1168.55</v>
      </c>
      <c r="AS38" s="35">
        <f t="shared" si="61"/>
        <v>5318.25</v>
      </c>
      <c r="AU38" s="46"/>
      <c r="AV38" s="34">
        <f>SUM(AV7:AV37)</f>
        <v>9786</v>
      </c>
      <c r="AW38" s="34">
        <f>SUM(AW7:AW37)</f>
        <v>3704.4022260000002</v>
      </c>
      <c r="AX38" s="35">
        <f>SUM(AX7:AX37)</f>
        <v>19.571999999999999</v>
      </c>
    </row>
    <row r="39" spans="1:50" x14ac:dyDescent="0.25">
      <c r="B39" s="39">
        <f>SUM(B7:B37)</f>
        <v>2027</v>
      </c>
      <c r="D39">
        <v>5.0000000000000001E-3</v>
      </c>
      <c r="AV39" s="36"/>
      <c r="AW39" s="50">
        <f>AW38/31</f>
        <v>119.49684600000001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2022-12-20T11:30:58Z</dcterms:modified>
</cp:coreProperties>
</file>